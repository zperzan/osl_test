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145" yWindow="1005" windowWidth="19440" windowHeight="7290" tabRatio="653" activeTab="2"/>
  </bookViews>
  <sheets>
    <sheet name="Raw Data" sheetId="1" r:id="rId1"/>
    <sheet name="Raw Data2" sheetId="8" state="hidden" r:id="rId2"/>
    <sheet name="Regression" sheetId="2" r:id="rId3"/>
    <sheet name="Sig-Dose Plt" sheetId="3" r:id="rId4"/>
    <sheet name="Signals Plt" sheetId="6" r:id="rId5"/>
    <sheet name="TD Plts" sheetId="7" r:id="rId6"/>
  </sheets>
  <definedNames>
    <definedName name="solver_adj" localSheetId="4" hidden="1">'Signals Plt'!$D$10:$D$11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2" hidden="1">1</definedName>
    <definedName name="solver_est" localSheetId="2" hidden="1">1</definedName>
    <definedName name="solver_est" localSheetId="4" hidden="1">1</definedName>
    <definedName name="solver_itr" localSheetId="2" hidden="1">500</definedName>
    <definedName name="solver_itr" localSheetId="4" hidden="1">500</definedName>
    <definedName name="solver_lhs1" localSheetId="2" hidden="1">Regression!$AW$22</definedName>
    <definedName name="solver_lhs1" localSheetId="4" hidden="1">'Signals Plt'!$D$11</definedName>
    <definedName name="solver_lhs10" localSheetId="2" hidden="1">Regression!$AW$12</definedName>
    <definedName name="solver_lhs11" localSheetId="2" hidden="1">Regression!$AW$13</definedName>
    <definedName name="solver_lhs12" localSheetId="2" hidden="1">Regression!$AW$14</definedName>
    <definedName name="solver_lhs13" localSheetId="2" hidden="1">Regression!$AW$15</definedName>
    <definedName name="solver_lhs14" localSheetId="2" hidden="1">Regression!$AW$16</definedName>
    <definedName name="solver_lhs15" localSheetId="2" hidden="1">Regression!$AW$17</definedName>
    <definedName name="solver_lhs16" localSheetId="2" hidden="1">Regression!$AW$18</definedName>
    <definedName name="solver_lhs17" localSheetId="2" hidden="1">Regression!$AW$19</definedName>
    <definedName name="solver_lhs18" localSheetId="2" hidden="1">Regression!$AW$20</definedName>
    <definedName name="solver_lhs19" localSheetId="2" hidden="1">Regression!$AW$21</definedName>
    <definedName name="solver_lhs2" localSheetId="2" hidden="1">Regression!$AW$22</definedName>
    <definedName name="solver_lhs20" localSheetId="2" hidden="1">Regression!$AW$22</definedName>
    <definedName name="solver_lhs21" localSheetId="2" hidden="1">Regression!$AW$3</definedName>
    <definedName name="solver_lhs22" localSheetId="2" hidden="1">Regression!$AW$4</definedName>
    <definedName name="solver_lhs23" localSheetId="2" hidden="1">Regression!$AW$5</definedName>
    <definedName name="solver_lhs24" localSheetId="2" hidden="1">Regression!$AW$6</definedName>
    <definedName name="solver_lhs25" localSheetId="2" hidden="1">Regression!$AW$7</definedName>
    <definedName name="solver_lhs26" localSheetId="2" hidden="1">Regression!$AW$8</definedName>
    <definedName name="solver_lhs27" localSheetId="2" hidden="1">Regression!$AW$9</definedName>
    <definedName name="solver_lhs28" localSheetId="2" hidden="1">Regression!$AW$10</definedName>
    <definedName name="solver_lhs29" localSheetId="2" hidden="1">Regression!$AW$11</definedName>
    <definedName name="solver_lhs3" localSheetId="2" hidden="1">Regression!$AW$5</definedName>
    <definedName name="solver_lhs30" localSheetId="2" hidden="1">Regression!$AW$12</definedName>
    <definedName name="solver_lhs31" localSheetId="2" hidden="1">Regression!$AW$13</definedName>
    <definedName name="solver_lhs32" localSheetId="2" hidden="1">Regression!$AW$14</definedName>
    <definedName name="solver_lhs33" localSheetId="2" hidden="1">Regression!$AW$15</definedName>
    <definedName name="solver_lhs34" localSheetId="2" hidden="1">Regression!$AW$16</definedName>
    <definedName name="solver_lhs35" localSheetId="2" hidden="1">Regression!$AW$17</definedName>
    <definedName name="solver_lhs36" localSheetId="2" hidden="1">Regression!$AW$18</definedName>
    <definedName name="solver_lhs37" localSheetId="2" hidden="1">Regression!$AW$19</definedName>
    <definedName name="solver_lhs38" localSheetId="2" hidden="1">Regression!$AW$20</definedName>
    <definedName name="solver_lhs39" localSheetId="2" hidden="1">Regression!$AW$21</definedName>
    <definedName name="solver_lhs4" localSheetId="2" hidden="1">Regression!$AW$6</definedName>
    <definedName name="solver_lhs40" localSheetId="2" hidden="1">Regression!$AW$22</definedName>
    <definedName name="solver_lhs41" localSheetId="2" hidden="1">Regression!$AW$3</definedName>
    <definedName name="solver_lhs42" localSheetId="2" hidden="1">Regression!$AW$4</definedName>
    <definedName name="solver_lhs43" localSheetId="2" hidden="1">Regression!$AW$5</definedName>
    <definedName name="solver_lhs44" localSheetId="2" hidden="1">Regression!$AW$6</definedName>
    <definedName name="solver_lhs45" localSheetId="2" hidden="1">Regression!$AW$7</definedName>
    <definedName name="solver_lhs46" localSheetId="2" hidden="1">Regression!$AW$8</definedName>
    <definedName name="solver_lhs47" localSheetId="2" hidden="1">Regression!$AW$9</definedName>
    <definedName name="solver_lhs48" localSheetId="2" hidden="1">Regression!$AW$10</definedName>
    <definedName name="solver_lhs49" localSheetId="2" hidden="1">Regression!$AW$11</definedName>
    <definedName name="solver_lhs5" localSheetId="2" hidden="1">Regression!$AW$7</definedName>
    <definedName name="solver_lhs50" localSheetId="2" hidden="1">Regression!$AW$12</definedName>
    <definedName name="solver_lhs51" localSheetId="2" hidden="1">Regression!$AW$13</definedName>
    <definedName name="solver_lhs52" localSheetId="2" hidden="1">Regression!$AW$14</definedName>
    <definedName name="solver_lhs53" localSheetId="2" hidden="1">Regression!$AW$15</definedName>
    <definedName name="solver_lhs54" localSheetId="2" hidden="1">Regression!$AW$16</definedName>
    <definedName name="solver_lhs55" localSheetId="2" hidden="1">Regression!$AW$17</definedName>
    <definedName name="solver_lhs56" localSheetId="2" hidden="1">Regression!$AW$18</definedName>
    <definedName name="solver_lhs57" localSheetId="2" hidden="1">Regression!$AW$19</definedName>
    <definedName name="solver_lhs58" localSheetId="2" hidden="1">Regression!$AW$20</definedName>
    <definedName name="solver_lhs59" localSheetId="2" hidden="1">Regression!$AW$21</definedName>
    <definedName name="solver_lhs6" localSheetId="2" hidden="1">Regression!$AW$8</definedName>
    <definedName name="solver_lhs60" localSheetId="2" hidden="1">Regression!$AW$22</definedName>
    <definedName name="solver_lhs61" localSheetId="2" hidden="1">Regression!$AW$3</definedName>
    <definedName name="solver_lhs62" localSheetId="2" hidden="1">Regression!$AW$4</definedName>
    <definedName name="solver_lhs63" localSheetId="2" hidden="1">Regression!$AW$5</definedName>
    <definedName name="solver_lhs64" localSheetId="2" hidden="1">Regression!$AW$6</definedName>
    <definedName name="solver_lhs65" localSheetId="2" hidden="1">Regression!$AW$7</definedName>
    <definedName name="solver_lhs66" localSheetId="2" hidden="1">Regression!$AW$8</definedName>
    <definedName name="solver_lhs67" localSheetId="2" hidden="1">Regression!$AW$9</definedName>
    <definedName name="solver_lhs68" localSheetId="2" hidden="1">Regression!$AW$10</definedName>
    <definedName name="solver_lhs69" localSheetId="2" hidden="1">Regression!$AW$11</definedName>
    <definedName name="solver_lhs7" localSheetId="2" hidden="1">Regression!$AW$9</definedName>
    <definedName name="solver_lhs70" localSheetId="2" hidden="1">Regression!$AW$12</definedName>
    <definedName name="solver_lhs71" localSheetId="2" hidden="1">Regression!$AW$13</definedName>
    <definedName name="solver_lhs72" localSheetId="2" hidden="1">Regression!$AW$14</definedName>
    <definedName name="solver_lhs73" localSheetId="2" hidden="1">Regression!$AW$15</definedName>
    <definedName name="solver_lhs74" localSheetId="2" hidden="1">Regression!$AW$16</definedName>
    <definedName name="solver_lhs75" localSheetId="2" hidden="1">Regression!$AW$17</definedName>
    <definedName name="solver_lhs76" localSheetId="2" hidden="1">Regression!$AW$18</definedName>
    <definedName name="solver_lhs77" localSheetId="2" hidden="1">Regression!$AW$19</definedName>
    <definedName name="solver_lhs78" localSheetId="2" hidden="1">Regression!$AW$20</definedName>
    <definedName name="solver_lhs79" localSheetId="2" hidden="1">Regression!$AW$21</definedName>
    <definedName name="solver_lhs8" localSheetId="2" hidden="1">Regression!$AW$10</definedName>
    <definedName name="solver_lhs80" localSheetId="2" hidden="1">Regression!$AW$22</definedName>
    <definedName name="solver_lhs9" localSheetId="2" hidden="1">Regression!$AW$11</definedName>
    <definedName name="solver_lin" localSheetId="2" hidden="1">2</definedName>
    <definedName name="solver_lin" localSheetId="4" hidden="1">2</definedName>
    <definedName name="solver_neg" localSheetId="2" hidden="1">1</definedName>
    <definedName name="solver_neg" localSheetId="4" hidden="1">2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4" hidden="1">'Signals Plt'!$E$9</definedName>
    <definedName name="solver_pre" localSheetId="2" hidden="1">0.000001</definedName>
    <definedName name="solver_pre" localSheetId="4" hidden="1">0.001</definedName>
    <definedName name="solver_rel1" localSheetId="2" hidden="1">3</definedName>
    <definedName name="solver_rel1" localSheetId="4" hidden="1">1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25" localSheetId="2" hidden="1">3</definedName>
    <definedName name="solver_rel26" localSheetId="2" hidden="1">3</definedName>
    <definedName name="solver_rel27" localSheetId="2" hidden="1">3</definedName>
    <definedName name="solver_rel28" localSheetId="2" hidden="1">3</definedName>
    <definedName name="solver_rel29" localSheetId="2" hidden="1">3</definedName>
    <definedName name="solver_rel3" localSheetId="2" hidden="1">3</definedName>
    <definedName name="solver_rel30" localSheetId="2" hidden="1">3</definedName>
    <definedName name="solver_rel31" localSheetId="2" hidden="1">3</definedName>
    <definedName name="solver_rel32" localSheetId="2" hidden="1">3</definedName>
    <definedName name="solver_rel33" localSheetId="2" hidden="1">3</definedName>
    <definedName name="solver_rel34" localSheetId="2" hidden="1">3</definedName>
    <definedName name="solver_rel35" localSheetId="2" hidden="1">3</definedName>
    <definedName name="solver_rel36" localSheetId="2" hidden="1">3</definedName>
    <definedName name="solver_rel37" localSheetId="2" hidden="1">3</definedName>
    <definedName name="solver_rel38" localSheetId="2" hidden="1">3</definedName>
    <definedName name="solver_rel39" localSheetId="2" hidden="1">3</definedName>
    <definedName name="solver_rel4" localSheetId="2" hidden="1">3</definedName>
    <definedName name="solver_rel40" localSheetId="2" hidden="1">3</definedName>
    <definedName name="solver_rel41" localSheetId="2" hidden="1">3</definedName>
    <definedName name="solver_rel42" localSheetId="2" hidden="1">3</definedName>
    <definedName name="solver_rel43" localSheetId="2" hidden="1">3</definedName>
    <definedName name="solver_rel44" localSheetId="2" hidden="1">3</definedName>
    <definedName name="solver_rel45" localSheetId="2" hidden="1">3</definedName>
    <definedName name="solver_rel46" localSheetId="2" hidden="1">3</definedName>
    <definedName name="solver_rel47" localSheetId="2" hidden="1">3</definedName>
    <definedName name="solver_rel48" localSheetId="2" hidden="1">3</definedName>
    <definedName name="solver_rel49" localSheetId="2" hidden="1">3</definedName>
    <definedName name="solver_rel5" localSheetId="2" hidden="1">3</definedName>
    <definedName name="solver_rel50" localSheetId="2" hidden="1">3</definedName>
    <definedName name="solver_rel51" localSheetId="2" hidden="1">3</definedName>
    <definedName name="solver_rel52" localSheetId="2" hidden="1">3</definedName>
    <definedName name="solver_rel53" localSheetId="2" hidden="1">3</definedName>
    <definedName name="solver_rel54" localSheetId="2" hidden="1">3</definedName>
    <definedName name="solver_rel55" localSheetId="2" hidden="1">3</definedName>
    <definedName name="solver_rel56" localSheetId="2" hidden="1">3</definedName>
    <definedName name="solver_rel57" localSheetId="2" hidden="1">3</definedName>
    <definedName name="solver_rel58" localSheetId="2" hidden="1">3</definedName>
    <definedName name="solver_rel59" localSheetId="2" hidden="1">3</definedName>
    <definedName name="solver_rel6" localSheetId="2" hidden="1">3</definedName>
    <definedName name="solver_rel60" localSheetId="2" hidden="1">3</definedName>
    <definedName name="solver_rel61" localSheetId="2" hidden="1">3</definedName>
    <definedName name="solver_rel62" localSheetId="2" hidden="1">3</definedName>
    <definedName name="solver_rel63" localSheetId="2" hidden="1">3</definedName>
    <definedName name="solver_rel64" localSheetId="2" hidden="1">3</definedName>
    <definedName name="solver_rel65" localSheetId="2" hidden="1">3</definedName>
    <definedName name="solver_rel66" localSheetId="2" hidden="1">3</definedName>
    <definedName name="solver_rel67" localSheetId="2" hidden="1">3</definedName>
    <definedName name="solver_rel68" localSheetId="2" hidden="1">3</definedName>
    <definedName name="solver_rel69" localSheetId="2" hidden="1">3</definedName>
    <definedName name="solver_rel7" localSheetId="2" hidden="1">3</definedName>
    <definedName name="solver_rel70" localSheetId="2" hidden="1">3</definedName>
    <definedName name="solver_rel71" localSheetId="2" hidden="1">3</definedName>
    <definedName name="solver_rel72" localSheetId="2" hidden="1">3</definedName>
    <definedName name="solver_rel73" localSheetId="2" hidden="1">3</definedName>
    <definedName name="solver_rel74" localSheetId="2" hidden="1">3</definedName>
    <definedName name="solver_rel75" localSheetId="2" hidden="1">3</definedName>
    <definedName name="solver_rel76" localSheetId="2" hidden="1">3</definedName>
    <definedName name="solver_rel77" localSheetId="2" hidden="1">3</definedName>
    <definedName name="solver_rel78" localSheetId="2" hidden="1">3</definedName>
    <definedName name="solver_rel79" localSheetId="2" hidden="1">3</definedName>
    <definedName name="solver_rel8" localSheetId="2" hidden="1">3</definedName>
    <definedName name="solver_rel80" localSheetId="2" hidden="1">3</definedName>
    <definedName name="solver_rel9" localSheetId="2" hidden="1">3</definedName>
    <definedName name="solver_rhs1" localSheetId="2" hidden="1">244.5</definedName>
    <definedName name="solver_rhs1" localSheetId="4" hidden="1">1</definedName>
    <definedName name="solver_rhs10" localSheetId="2" hidden="1">4941.03225806452</definedName>
    <definedName name="solver_rhs11" localSheetId="2" hidden="1">4426.16129032258</definedName>
    <definedName name="solver_rhs12" localSheetId="2" hidden="1">7436.83870967742</definedName>
    <definedName name="solver_rhs13" localSheetId="2" hidden="1">6227.96774193548</definedName>
    <definedName name="solver_rhs14" localSheetId="2" hidden="1">5380.70967741936</definedName>
    <definedName name="solver_rhs15" localSheetId="2" hidden="1">3484.1935483871</definedName>
    <definedName name="solver_rhs16" localSheetId="2" hidden="1">3064.12903225806</definedName>
    <definedName name="solver_rhs17" localSheetId="2" hidden="1">3749.90322580645</definedName>
    <definedName name="solver_rhs18" localSheetId="2" hidden="1">3664.25806451613</definedName>
    <definedName name="solver_rhs19" localSheetId="2" hidden="1">2526.38709677419</definedName>
    <definedName name="solver_rhs2" localSheetId="2" hidden="1">211.151176792556</definedName>
    <definedName name="solver_rhs20" localSheetId="2" hidden="1">5020.67741935484</definedName>
    <definedName name="solver_rhs21" localSheetId="2" hidden="1">7090</definedName>
    <definedName name="solver_rhs22" localSheetId="2" hidden="1">3824.11173060253</definedName>
    <definedName name="solver_rhs23" localSheetId="2" hidden="1">3404</definedName>
    <definedName name="solver_rhs24" localSheetId="2" hidden="1">9300</definedName>
    <definedName name="solver_rhs25" localSheetId="2" hidden="1">7657</definedName>
    <definedName name="solver_rhs26" localSheetId="2" hidden="1">6480</definedName>
    <definedName name="solver_rhs27" localSheetId="2" hidden="1">5077</definedName>
    <definedName name="solver_rhs28" localSheetId="2" hidden="1">16576</definedName>
    <definedName name="solver_rhs29" localSheetId="2" hidden="1">8796</definedName>
    <definedName name="solver_rhs3" localSheetId="2" hidden="1">4038.61290322581</definedName>
    <definedName name="solver_rhs30" localSheetId="2" hidden="1">7345</definedName>
    <definedName name="solver_rhs31" localSheetId="2" hidden="1">8136</definedName>
    <definedName name="solver_rhs32" localSheetId="2" hidden="1">2811</definedName>
    <definedName name="solver_rhs33" localSheetId="2" hidden="1">1508</definedName>
    <definedName name="solver_rhs34" localSheetId="2" hidden="1">3732</definedName>
    <definedName name="solver_rhs35" localSheetId="2" hidden="1">12508</definedName>
    <definedName name="solver_rhs36" localSheetId="2" hidden="1">6465</definedName>
    <definedName name="solver_rhs37" localSheetId="2" hidden="1">4398</definedName>
    <definedName name="solver_rhs38" localSheetId="2" hidden="1">2007</definedName>
    <definedName name="solver_rhs39" localSheetId="2" hidden="1">12879</definedName>
    <definedName name="solver_rhs4" localSheetId="2" hidden="1">2689.03225806452</definedName>
    <definedName name="solver_rhs40" localSheetId="2" hidden="1">6379</definedName>
    <definedName name="solver_rhs41" localSheetId="2" hidden="1">6604.58064516129</definedName>
    <definedName name="solver_rhs42" localSheetId="2" hidden="1">4373.48387096774</definedName>
    <definedName name="solver_rhs43" localSheetId="2" hidden="1">4038.61290322581</definedName>
    <definedName name="solver_rhs44" localSheetId="2" hidden="1">2689.03225806452</definedName>
    <definedName name="solver_rhs45" localSheetId="2" hidden="1">8960.1935483871</definedName>
    <definedName name="solver_rhs46" localSheetId="2" hidden="1">1875.45161290323</definedName>
    <definedName name="solver_rhs47" localSheetId="2" hidden="1">3636.22580645161</definedName>
    <definedName name="solver_rhs48" localSheetId="2" hidden="1">5085.22580645161</definedName>
    <definedName name="solver_rhs49" localSheetId="2" hidden="1">8747.51612903226</definedName>
    <definedName name="solver_rhs5" localSheetId="2" hidden="1">8960.1935483871</definedName>
    <definedName name="solver_rhs50" localSheetId="2" hidden="1">4941.03225806452</definedName>
    <definedName name="solver_rhs51" localSheetId="2" hidden="1">4426.16129032258</definedName>
    <definedName name="solver_rhs52" localSheetId="2" hidden="1">7436.83870967742</definedName>
    <definedName name="solver_rhs53" localSheetId="2" hidden="1">6227.96774193548</definedName>
    <definedName name="solver_rhs54" localSheetId="2" hidden="1">5380.70967741936</definedName>
    <definedName name="solver_rhs55" localSheetId="2" hidden="1">3484.1935483871</definedName>
    <definedName name="solver_rhs56" localSheetId="2" hidden="1">3064.12903225806</definedName>
    <definedName name="solver_rhs57" localSheetId="2" hidden="1">3749.90322580645</definedName>
    <definedName name="solver_rhs58" localSheetId="2" hidden="1">3664.25806451613</definedName>
    <definedName name="solver_rhs59" localSheetId="2" hidden="1">2526.38709677419</definedName>
    <definedName name="solver_rhs6" localSheetId="2" hidden="1">1875.45161290323</definedName>
    <definedName name="solver_rhs60" localSheetId="2" hidden="1">5020.67741935484</definedName>
    <definedName name="solver_rhs61" localSheetId="2" hidden="1">6604.58064516129</definedName>
    <definedName name="solver_rhs62" localSheetId="2" hidden="1">4373.48387096774</definedName>
    <definedName name="solver_rhs63" localSheetId="2" hidden="1">4038.61290322581</definedName>
    <definedName name="solver_rhs64" localSheetId="2" hidden="1">2689.03225806452</definedName>
    <definedName name="solver_rhs65" localSheetId="2" hidden="1">8960.1935483871</definedName>
    <definedName name="solver_rhs66" localSheetId="2" hidden="1">1875.45161290323</definedName>
    <definedName name="solver_rhs67" localSheetId="2" hidden="1">3636.22580645161</definedName>
    <definedName name="solver_rhs68" localSheetId="2" hidden="1">5085.22580645161</definedName>
    <definedName name="solver_rhs69" localSheetId="2" hidden="1">8747.51612903226</definedName>
    <definedName name="solver_rhs7" localSheetId="2" hidden="1">3636.22580645161</definedName>
    <definedName name="solver_rhs70" localSheetId="2" hidden="1">4941.03225806452</definedName>
    <definedName name="solver_rhs71" localSheetId="2" hidden="1">4426.16129032258</definedName>
    <definedName name="solver_rhs72" localSheetId="2" hidden="1">7436.83870967742</definedName>
    <definedName name="solver_rhs73" localSheetId="2" hidden="1">6227.96774193548</definedName>
    <definedName name="solver_rhs74" localSheetId="2" hidden="1">5380.70967741936</definedName>
    <definedName name="solver_rhs75" localSheetId="2" hidden="1">3484.1935483871</definedName>
    <definedName name="solver_rhs76" localSheetId="2" hidden="1">3064.12903225806</definedName>
    <definedName name="solver_rhs77" localSheetId="2" hidden="1">3749.90322580645</definedName>
    <definedName name="solver_rhs78" localSheetId="2" hidden="1">3664.25806451613</definedName>
    <definedName name="solver_rhs79" localSheetId="2" hidden="1">2526.38709677419</definedName>
    <definedName name="solver_rhs8" localSheetId="2" hidden="1">5085.22580645161</definedName>
    <definedName name="solver_rhs80" localSheetId="2" hidden="1">5020.67741935484</definedName>
    <definedName name="solver_rhs9" localSheetId="2" hidden="1">8747.51612903226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2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0.1</definedName>
    <definedName name="solver_typ" localSheetId="2" hidden="1">1</definedName>
    <definedName name="solver_typ" localSheetId="4" hidden="1">2</definedName>
    <definedName name="solver_val" localSheetId="2" hidden="1">0</definedName>
    <definedName name="solver_val" localSheetId="4" hidden="1">0</definedName>
    <definedName name="solver_ver" localSheetId="2" hidden="1">3</definedName>
  </definedNames>
  <calcPr calcId="145621" concurrentCalc="0"/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F5" i="1"/>
  <c r="E19" i="2"/>
  <c r="F19" i="2"/>
  <c r="T19" i="2"/>
  <c r="G19" i="2"/>
  <c r="U19" i="2"/>
  <c r="H19" i="2"/>
  <c r="V19" i="2"/>
  <c r="I19" i="2"/>
  <c r="W19" i="2"/>
  <c r="J19" i="2"/>
  <c r="X19" i="2"/>
  <c r="BL19" i="2"/>
  <c r="F97" i="3"/>
  <c r="AZ19" i="2"/>
  <c r="E97" i="3"/>
  <c r="BR19" i="2"/>
  <c r="BQ19" i="2"/>
  <c r="BT19" i="2"/>
  <c r="B97" i="3"/>
  <c r="BX19" i="2"/>
  <c r="BY19" i="2"/>
  <c r="BZ19" i="2"/>
  <c r="CB19" i="2"/>
  <c r="C97" i="3"/>
  <c r="CJ19" i="2"/>
  <c r="D97" i="3"/>
  <c r="S66" i="3"/>
  <c r="Q3" i="2"/>
  <c r="E3" i="2"/>
  <c r="F3" i="2"/>
  <c r="T3" i="2"/>
  <c r="G3" i="2"/>
  <c r="U3" i="2"/>
  <c r="H3" i="2"/>
  <c r="V3" i="2"/>
  <c r="I3" i="2"/>
  <c r="W3" i="2"/>
  <c r="J3" i="2"/>
  <c r="X3" i="2"/>
  <c r="AT3" i="2"/>
  <c r="BY3" i="2"/>
  <c r="BX3" i="2"/>
  <c r="BZ3" i="2"/>
  <c r="BV3" i="2"/>
  <c r="AR3" i="2"/>
  <c r="E4" i="2"/>
  <c r="F4" i="2"/>
  <c r="T4" i="2"/>
  <c r="G4" i="2"/>
  <c r="U4" i="2"/>
  <c r="H4" i="2"/>
  <c r="V4" i="2"/>
  <c r="I4" i="2"/>
  <c r="W4" i="2"/>
  <c r="J4" i="2"/>
  <c r="X4" i="2"/>
  <c r="Q4" i="2"/>
  <c r="AT4" i="2"/>
  <c r="AR4" i="2"/>
  <c r="E5" i="2"/>
  <c r="F5" i="2"/>
  <c r="T5" i="2"/>
  <c r="G5" i="2"/>
  <c r="U5" i="2"/>
  <c r="H5" i="2"/>
  <c r="V5" i="2"/>
  <c r="I5" i="2"/>
  <c r="W5" i="2"/>
  <c r="J5" i="2"/>
  <c r="X5" i="2"/>
  <c r="Q5" i="2"/>
  <c r="AT5" i="2"/>
  <c r="BY5" i="2"/>
  <c r="BX5" i="2"/>
  <c r="BZ5" i="2"/>
  <c r="BV5" i="2"/>
  <c r="AR5" i="2"/>
  <c r="E6" i="2"/>
  <c r="F6" i="2"/>
  <c r="T6" i="2"/>
  <c r="G6" i="2"/>
  <c r="U6" i="2"/>
  <c r="H6" i="2"/>
  <c r="V6" i="2"/>
  <c r="I6" i="2"/>
  <c r="W6" i="2"/>
  <c r="J6" i="2"/>
  <c r="X6" i="2"/>
  <c r="Q6" i="2"/>
  <c r="AT6" i="2"/>
  <c r="AR6" i="2"/>
  <c r="E7" i="2"/>
  <c r="F7" i="2"/>
  <c r="T7" i="2"/>
  <c r="G7" i="2"/>
  <c r="U7" i="2"/>
  <c r="H7" i="2"/>
  <c r="V7" i="2"/>
  <c r="I7" i="2"/>
  <c r="W7" i="2"/>
  <c r="J7" i="2"/>
  <c r="X7" i="2"/>
  <c r="BY7" i="2"/>
  <c r="BX7" i="2"/>
  <c r="BZ7" i="2"/>
  <c r="Q7" i="2"/>
  <c r="BV7" i="2"/>
  <c r="AR7" i="2"/>
  <c r="E8" i="2"/>
  <c r="F8" i="2"/>
  <c r="T8" i="2"/>
  <c r="G8" i="2"/>
  <c r="U8" i="2"/>
  <c r="H8" i="2"/>
  <c r="V8" i="2"/>
  <c r="I8" i="2"/>
  <c r="W8" i="2"/>
  <c r="J8" i="2"/>
  <c r="X8" i="2"/>
  <c r="Q8" i="2"/>
  <c r="AT8" i="2"/>
  <c r="AR8" i="2"/>
  <c r="E9" i="2"/>
  <c r="F9" i="2"/>
  <c r="T9" i="2"/>
  <c r="G9" i="2"/>
  <c r="U9" i="2"/>
  <c r="H9" i="2"/>
  <c r="V9" i="2"/>
  <c r="I9" i="2"/>
  <c r="W9" i="2"/>
  <c r="J9" i="2"/>
  <c r="X9" i="2"/>
  <c r="Q9" i="2"/>
  <c r="AT9" i="2"/>
  <c r="AR9" i="2"/>
  <c r="E10" i="2"/>
  <c r="F10" i="2"/>
  <c r="T10" i="2"/>
  <c r="G10" i="2"/>
  <c r="U10" i="2"/>
  <c r="H10" i="2"/>
  <c r="V10" i="2"/>
  <c r="I10" i="2"/>
  <c r="W10" i="2"/>
  <c r="J10" i="2"/>
  <c r="X10" i="2"/>
  <c r="Q10" i="2"/>
  <c r="AT10" i="2"/>
  <c r="AR10" i="2"/>
  <c r="E11" i="2"/>
  <c r="F11" i="2"/>
  <c r="T11" i="2"/>
  <c r="G11" i="2"/>
  <c r="U11" i="2"/>
  <c r="H11" i="2"/>
  <c r="V11" i="2"/>
  <c r="I11" i="2"/>
  <c r="W11" i="2"/>
  <c r="J11" i="2"/>
  <c r="X11" i="2"/>
  <c r="Q11" i="2"/>
  <c r="AT11" i="2"/>
  <c r="AR11" i="2"/>
  <c r="E12" i="2"/>
  <c r="F12" i="2"/>
  <c r="T12" i="2"/>
  <c r="G12" i="2"/>
  <c r="U12" i="2"/>
  <c r="H12" i="2"/>
  <c r="V12" i="2"/>
  <c r="I12" i="2"/>
  <c r="W12" i="2"/>
  <c r="J12" i="2"/>
  <c r="X12" i="2"/>
  <c r="Q12" i="2"/>
  <c r="AT12" i="2"/>
  <c r="AR12" i="2"/>
  <c r="E13" i="2"/>
  <c r="F13" i="2"/>
  <c r="T13" i="2"/>
  <c r="G13" i="2"/>
  <c r="U13" i="2"/>
  <c r="H13" i="2"/>
  <c r="V13" i="2"/>
  <c r="I13" i="2"/>
  <c r="W13" i="2"/>
  <c r="J13" i="2"/>
  <c r="X13" i="2"/>
  <c r="Q13" i="2"/>
  <c r="AT13" i="2"/>
  <c r="BR13" i="2"/>
  <c r="BQ13" i="2"/>
  <c r="BO13" i="2"/>
  <c r="AR13" i="2"/>
  <c r="E14" i="2"/>
  <c r="F14" i="2"/>
  <c r="T14" i="2"/>
  <c r="G14" i="2"/>
  <c r="U14" i="2"/>
  <c r="H14" i="2"/>
  <c r="V14" i="2"/>
  <c r="I14" i="2"/>
  <c r="W14" i="2"/>
  <c r="J14" i="2"/>
  <c r="X14" i="2"/>
  <c r="BY14" i="2"/>
  <c r="BX14" i="2"/>
  <c r="BZ14" i="2"/>
  <c r="Q14" i="2"/>
  <c r="BV14" i="2"/>
  <c r="AR14" i="2"/>
  <c r="E15" i="2"/>
  <c r="F15" i="2"/>
  <c r="T15" i="2"/>
  <c r="G15" i="2"/>
  <c r="U15" i="2"/>
  <c r="H15" i="2"/>
  <c r="V15" i="2"/>
  <c r="I15" i="2"/>
  <c r="W15" i="2"/>
  <c r="J15" i="2"/>
  <c r="X15" i="2"/>
  <c r="BR15" i="2"/>
  <c r="BQ15" i="2"/>
  <c r="Q15" i="2"/>
  <c r="BO15" i="2"/>
  <c r="AR15" i="2"/>
  <c r="E16" i="2"/>
  <c r="F16" i="2"/>
  <c r="T16" i="2"/>
  <c r="G16" i="2"/>
  <c r="U16" i="2"/>
  <c r="H16" i="2"/>
  <c r="V16" i="2"/>
  <c r="I16" i="2"/>
  <c r="W16" i="2"/>
  <c r="J16" i="2"/>
  <c r="X16" i="2"/>
  <c r="BR16" i="2"/>
  <c r="BQ16" i="2"/>
  <c r="Q16" i="2"/>
  <c r="BO16" i="2"/>
  <c r="AR16" i="2"/>
  <c r="E17" i="2"/>
  <c r="F17" i="2"/>
  <c r="T17" i="2"/>
  <c r="G17" i="2"/>
  <c r="U17" i="2"/>
  <c r="H17" i="2"/>
  <c r="V17" i="2"/>
  <c r="I17" i="2"/>
  <c r="W17" i="2"/>
  <c r="J17" i="2"/>
  <c r="X17" i="2"/>
  <c r="Q17" i="2"/>
  <c r="AT17" i="2"/>
  <c r="AR17" i="2"/>
  <c r="E18" i="2"/>
  <c r="F18" i="2"/>
  <c r="T18" i="2"/>
  <c r="G18" i="2"/>
  <c r="U18" i="2"/>
  <c r="H18" i="2"/>
  <c r="V18" i="2"/>
  <c r="I18" i="2"/>
  <c r="W18" i="2"/>
  <c r="J18" i="2"/>
  <c r="X18" i="2"/>
  <c r="Q18" i="2"/>
  <c r="AT18" i="2"/>
  <c r="AR18" i="2"/>
  <c r="Q19" i="2"/>
  <c r="AT19" i="2"/>
  <c r="AR19" i="2"/>
  <c r="E20" i="2"/>
  <c r="F20" i="2"/>
  <c r="T20" i="2"/>
  <c r="G20" i="2"/>
  <c r="U20" i="2"/>
  <c r="H20" i="2"/>
  <c r="V20" i="2"/>
  <c r="I20" i="2"/>
  <c r="W20" i="2"/>
  <c r="J20" i="2"/>
  <c r="X20" i="2"/>
  <c r="Q20" i="2"/>
  <c r="AT20" i="2"/>
  <c r="AR20" i="2"/>
  <c r="E21" i="2"/>
  <c r="F21" i="2"/>
  <c r="T21" i="2"/>
  <c r="G21" i="2"/>
  <c r="U21" i="2"/>
  <c r="H21" i="2"/>
  <c r="V21" i="2"/>
  <c r="I21" i="2"/>
  <c r="W21" i="2"/>
  <c r="J21" i="2"/>
  <c r="X21" i="2"/>
  <c r="BY21" i="2"/>
  <c r="BX21" i="2"/>
  <c r="BZ21" i="2"/>
  <c r="Q21" i="2"/>
  <c r="BV21" i="2"/>
  <c r="AR21" i="2"/>
  <c r="E22" i="2"/>
  <c r="F22" i="2"/>
  <c r="T22" i="2"/>
  <c r="G22" i="2"/>
  <c r="U22" i="2"/>
  <c r="H22" i="2"/>
  <c r="V22" i="2"/>
  <c r="I22" i="2"/>
  <c r="W22" i="2"/>
  <c r="J22" i="2"/>
  <c r="X22" i="2"/>
  <c r="BR22" i="2"/>
  <c r="BQ22" i="2"/>
  <c r="Q22" i="2"/>
  <c r="BO22" i="2"/>
  <c r="AR22" i="2"/>
  <c r="K2" i="1"/>
  <c r="B322" i="1"/>
  <c r="A22" i="2"/>
  <c r="B321" i="1"/>
  <c r="A21" i="2"/>
  <c r="B320" i="1"/>
  <c r="A20" i="2"/>
  <c r="B319" i="1"/>
  <c r="A19" i="2"/>
  <c r="B318" i="1"/>
  <c r="A18" i="2"/>
  <c r="B317" i="1"/>
  <c r="A17" i="2"/>
  <c r="B316" i="1"/>
  <c r="A16" i="2"/>
  <c r="B315" i="1"/>
  <c r="A15" i="2"/>
  <c r="B314" i="1"/>
  <c r="A14" i="2"/>
  <c r="B313" i="1"/>
  <c r="A13" i="2"/>
  <c r="B312" i="1"/>
  <c r="A12" i="2"/>
  <c r="B311" i="1"/>
  <c r="A11" i="2"/>
  <c r="B310" i="1"/>
  <c r="A10" i="2"/>
  <c r="B309" i="1"/>
  <c r="A9" i="2"/>
  <c r="B308" i="1"/>
  <c r="A8" i="2"/>
  <c r="B307" i="1"/>
  <c r="A7" i="2"/>
  <c r="B306" i="1"/>
  <c r="A6" i="2"/>
  <c r="B305" i="1"/>
  <c r="A5" i="2"/>
  <c r="B304" i="1"/>
  <c r="A4" i="2"/>
  <c r="B303" i="1"/>
  <c r="A3" i="2"/>
  <c r="AO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CH4" i="8"/>
  <c r="CI4" i="8"/>
  <c r="CJ4" i="8"/>
  <c r="CK4" i="8"/>
  <c r="CL4" i="8"/>
  <c r="CM4" i="8"/>
  <c r="CN4" i="8"/>
  <c r="CO4" i="8"/>
  <c r="CP4" i="8"/>
  <c r="CQ4" i="8"/>
  <c r="CR4" i="8"/>
  <c r="CS4" i="8"/>
  <c r="CT4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H29" i="8"/>
  <c r="CI29" i="8"/>
  <c r="CJ29" i="8"/>
  <c r="CK29" i="8"/>
  <c r="CL29" i="8"/>
  <c r="CM29" i="8"/>
  <c r="CN29" i="8"/>
  <c r="CO29" i="8"/>
  <c r="CP29" i="8"/>
  <c r="CQ29" i="8"/>
  <c r="CR29" i="8"/>
  <c r="CS29" i="8"/>
  <c r="CT29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H36" i="8"/>
  <c r="CI36" i="8"/>
  <c r="CJ36" i="8"/>
  <c r="CK36" i="8"/>
  <c r="CL36" i="8"/>
  <c r="CM36" i="8"/>
  <c r="CN36" i="8"/>
  <c r="CO36" i="8"/>
  <c r="CP36" i="8"/>
  <c r="CQ36" i="8"/>
  <c r="CR36" i="8"/>
  <c r="CS36" i="8"/>
  <c r="CT36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H46" i="8"/>
  <c r="CI46" i="8"/>
  <c r="CJ46" i="8"/>
  <c r="CK46" i="8"/>
  <c r="CL46" i="8"/>
  <c r="CM46" i="8"/>
  <c r="CN46" i="8"/>
  <c r="CO46" i="8"/>
  <c r="CP46" i="8"/>
  <c r="CQ46" i="8"/>
  <c r="CR46" i="8"/>
  <c r="CS46" i="8"/>
  <c r="CT46" i="8"/>
  <c r="CH47" i="8"/>
  <c r="CI47" i="8"/>
  <c r="CJ47" i="8"/>
  <c r="CK47" i="8"/>
  <c r="CL47" i="8"/>
  <c r="CM47" i="8"/>
  <c r="CN47" i="8"/>
  <c r="CO47" i="8"/>
  <c r="CP47" i="8"/>
  <c r="CQ47" i="8"/>
  <c r="CR47" i="8"/>
  <c r="CS47" i="8"/>
  <c r="CT47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H64" i="8"/>
  <c r="CI64" i="8"/>
  <c r="CJ64" i="8"/>
  <c r="CK64" i="8"/>
  <c r="CL64" i="8"/>
  <c r="CM64" i="8"/>
  <c r="CN64" i="8"/>
  <c r="CO64" i="8"/>
  <c r="CP64" i="8"/>
  <c r="CQ64" i="8"/>
  <c r="CR64" i="8"/>
  <c r="CS64" i="8"/>
  <c r="CT64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T67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H71" i="8"/>
  <c r="CI71" i="8"/>
  <c r="CJ71" i="8"/>
  <c r="CK71" i="8"/>
  <c r="CL71" i="8"/>
  <c r="CM71" i="8"/>
  <c r="CN71" i="8"/>
  <c r="CO71" i="8"/>
  <c r="CP71" i="8"/>
  <c r="CQ71" i="8"/>
  <c r="CR71" i="8"/>
  <c r="CS71" i="8"/>
  <c r="CT71" i="8"/>
  <c r="CH72" i="8"/>
  <c r="CI72" i="8"/>
  <c r="CJ72" i="8"/>
  <c r="CK72" i="8"/>
  <c r="CL72" i="8"/>
  <c r="CM72" i="8"/>
  <c r="CN72" i="8"/>
  <c r="CO72" i="8"/>
  <c r="CP72" i="8"/>
  <c r="CQ72" i="8"/>
  <c r="CR72" i="8"/>
  <c r="CS72" i="8"/>
  <c r="CT72" i="8"/>
  <c r="CH73" i="8"/>
  <c r="CI73" i="8"/>
  <c r="CJ73" i="8"/>
  <c r="CK73" i="8"/>
  <c r="CL73" i="8"/>
  <c r="CM73" i="8"/>
  <c r="CN73" i="8"/>
  <c r="CO73" i="8"/>
  <c r="CP73" i="8"/>
  <c r="CQ73" i="8"/>
  <c r="CR73" i="8"/>
  <c r="CS73" i="8"/>
  <c r="CT73" i="8"/>
  <c r="CH74" i="8"/>
  <c r="CI74" i="8"/>
  <c r="CJ74" i="8"/>
  <c r="CK74" i="8"/>
  <c r="CL74" i="8"/>
  <c r="CM74" i="8"/>
  <c r="CN74" i="8"/>
  <c r="CO74" i="8"/>
  <c r="CP74" i="8"/>
  <c r="CQ74" i="8"/>
  <c r="CR74" i="8"/>
  <c r="CS74" i="8"/>
  <c r="CT74" i="8"/>
  <c r="CH75" i="8"/>
  <c r="CI75" i="8"/>
  <c r="CJ75" i="8"/>
  <c r="CK75" i="8"/>
  <c r="CL75" i="8"/>
  <c r="CM75" i="8"/>
  <c r="CN75" i="8"/>
  <c r="CO75" i="8"/>
  <c r="CP75" i="8"/>
  <c r="CQ75" i="8"/>
  <c r="CR75" i="8"/>
  <c r="CS75" i="8"/>
  <c r="CT75" i="8"/>
  <c r="CH76" i="8"/>
  <c r="CI76" i="8"/>
  <c r="CJ76" i="8"/>
  <c r="CK76" i="8"/>
  <c r="CL76" i="8"/>
  <c r="CM76" i="8"/>
  <c r="CN76" i="8"/>
  <c r="CO76" i="8"/>
  <c r="CP76" i="8"/>
  <c r="CQ76" i="8"/>
  <c r="CR76" i="8"/>
  <c r="CS76" i="8"/>
  <c r="CT76" i="8"/>
  <c r="CH77" i="8"/>
  <c r="CI77" i="8"/>
  <c r="CJ77" i="8"/>
  <c r="CK77" i="8"/>
  <c r="CL77" i="8"/>
  <c r="CM77" i="8"/>
  <c r="CN77" i="8"/>
  <c r="CO77" i="8"/>
  <c r="CP77" i="8"/>
  <c r="CQ77" i="8"/>
  <c r="CR77" i="8"/>
  <c r="CS77" i="8"/>
  <c r="CT77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H79" i="8"/>
  <c r="CI79" i="8"/>
  <c r="CJ79" i="8"/>
  <c r="CK79" i="8"/>
  <c r="CL79" i="8"/>
  <c r="CM79" i="8"/>
  <c r="CN79" i="8"/>
  <c r="CO79" i="8"/>
  <c r="CP79" i="8"/>
  <c r="CQ79" i="8"/>
  <c r="CR79" i="8"/>
  <c r="CS79" i="8"/>
  <c r="CT79" i="8"/>
  <c r="CH80" i="8"/>
  <c r="CI80" i="8"/>
  <c r="CJ80" i="8"/>
  <c r="CK80" i="8"/>
  <c r="CL80" i="8"/>
  <c r="CM80" i="8"/>
  <c r="CN80" i="8"/>
  <c r="CO80" i="8"/>
  <c r="CP80" i="8"/>
  <c r="CQ80" i="8"/>
  <c r="CR80" i="8"/>
  <c r="CS80" i="8"/>
  <c r="CT80" i="8"/>
  <c r="CH81" i="8"/>
  <c r="CI81" i="8"/>
  <c r="CJ81" i="8"/>
  <c r="CK81" i="8"/>
  <c r="CL81" i="8"/>
  <c r="CM81" i="8"/>
  <c r="CN81" i="8"/>
  <c r="CO81" i="8"/>
  <c r="CP81" i="8"/>
  <c r="CQ81" i="8"/>
  <c r="CR81" i="8"/>
  <c r="CS81" i="8"/>
  <c r="CT81" i="8"/>
  <c r="CH82" i="8"/>
  <c r="CI82" i="8"/>
  <c r="CJ82" i="8"/>
  <c r="CK82" i="8"/>
  <c r="CL82" i="8"/>
  <c r="CM82" i="8"/>
  <c r="CN82" i="8"/>
  <c r="CO82" i="8"/>
  <c r="CP82" i="8"/>
  <c r="CQ82" i="8"/>
  <c r="CR82" i="8"/>
  <c r="CS82" i="8"/>
  <c r="CT82" i="8"/>
  <c r="CH83" i="8"/>
  <c r="CI83" i="8"/>
  <c r="CJ83" i="8"/>
  <c r="CK83" i="8"/>
  <c r="CL83" i="8"/>
  <c r="CM83" i="8"/>
  <c r="CN83" i="8"/>
  <c r="CO83" i="8"/>
  <c r="CP83" i="8"/>
  <c r="CQ83" i="8"/>
  <c r="CR83" i="8"/>
  <c r="CS83" i="8"/>
  <c r="CT83" i="8"/>
  <c r="CH84" i="8"/>
  <c r="CI84" i="8"/>
  <c r="CJ84" i="8"/>
  <c r="CK84" i="8"/>
  <c r="CL84" i="8"/>
  <c r="CM84" i="8"/>
  <c r="CN84" i="8"/>
  <c r="CO84" i="8"/>
  <c r="CP84" i="8"/>
  <c r="CQ84" i="8"/>
  <c r="CR84" i="8"/>
  <c r="CS84" i="8"/>
  <c r="CT84" i="8"/>
  <c r="CH85" i="8"/>
  <c r="CI85" i="8"/>
  <c r="CJ85" i="8"/>
  <c r="CK85" i="8"/>
  <c r="CL85" i="8"/>
  <c r="CM85" i="8"/>
  <c r="CN85" i="8"/>
  <c r="CO85" i="8"/>
  <c r="CP85" i="8"/>
  <c r="CQ85" i="8"/>
  <c r="CR85" i="8"/>
  <c r="CS85" i="8"/>
  <c r="CT85" i="8"/>
  <c r="CH86" i="8"/>
  <c r="CI86" i="8"/>
  <c r="CJ86" i="8"/>
  <c r="CK86" i="8"/>
  <c r="CL86" i="8"/>
  <c r="CM86" i="8"/>
  <c r="CN86" i="8"/>
  <c r="CO86" i="8"/>
  <c r="CP86" i="8"/>
  <c r="CQ86" i="8"/>
  <c r="CR86" i="8"/>
  <c r="CS86" i="8"/>
  <c r="CT86" i="8"/>
  <c r="CH87" i="8"/>
  <c r="CI87" i="8"/>
  <c r="CJ87" i="8"/>
  <c r="CK87" i="8"/>
  <c r="CL87" i="8"/>
  <c r="CM87" i="8"/>
  <c r="CN87" i="8"/>
  <c r="CO87" i="8"/>
  <c r="CP87" i="8"/>
  <c r="CQ87" i="8"/>
  <c r="CR87" i="8"/>
  <c r="CS87" i="8"/>
  <c r="CT87" i="8"/>
  <c r="CH88" i="8"/>
  <c r="CI88" i="8"/>
  <c r="CJ88" i="8"/>
  <c r="CK88" i="8"/>
  <c r="CL88" i="8"/>
  <c r="CM88" i="8"/>
  <c r="CN88" i="8"/>
  <c r="CO88" i="8"/>
  <c r="CP88" i="8"/>
  <c r="CQ88" i="8"/>
  <c r="CR88" i="8"/>
  <c r="CS88" i="8"/>
  <c r="CT88" i="8"/>
  <c r="CH89" i="8"/>
  <c r="CI89" i="8"/>
  <c r="CJ89" i="8"/>
  <c r="CK89" i="8"/>
  <c r="CL89" i="8"/>
  <c r="CM89" i="8"/>
  <c r="CN89" i="8"/>
  <c r="CO89" i="8"/>
  <c r="CP89" i="8"/>
  <c r="CQ89" i="8"/>
  <c r="CR89" i="8"/>
  <c r="CS89" i="8"/>
  <c r="CT89" i="8"/>
  <c r="CH90" i="8"/>
  <c r="CI90" i="8"/>
  <c r="CJ90" i="8"/>
  <c r="CK90" i="8"/>
  <c r="CL90" i="8"/>
  <c r="CM90" i="8"/>
  <c r="CN90" i="8"/>
  <c r="CO90" i="8"/>
  <c r="CP90" i="8"/>
  <c r="CQ90" i="8"/>
  <c r="CR90" i="8"/>
  <c r="CS90" i="8"/>
  <c r="CT90" i="8"/>
  <c r="CH91" i="8"/>
  <c r="CI91" i="8"/>
  <c r="CJ91" i="8"/>
  <c r="CK91" i="8"/>
  <c r="CL91" i="8"/>
  <c r="CM91" i="8"/>
  <c r="CN91" i="8"/>
  <c r="CO91" i="8"/>
  <c r="CP91" i="8"/>
  <c r="CQ91" i="8"/>
  <c r="CR91" i="8"/>
  <c r="CS91" i="8"/>
  <c r="CT91" i="8"/>
  <c r="CH92" i="8"/>
  <c r="CI92" i="8"/>
  <c r="CJ92" i="8"/>
  <c r="CK92" i="8"/>
  <c r="CL92" i="8"/>
  <c r="CM92" i="8"/>
  <c r="CN92" i="8"/>
  <c r="CO92" i="8"/>
  <c r="CP92" i="8"/>
  <c r="CQ92" i="8"/>
  <c r="CR92" i="8"/>
  <c r="CS92" i="8"/>
  <c r="CT92" i="8"/>
  <c r="CH93" i="8"/>
  <c r="CI93" i="8"/>
  <c r="CJ93" i="8"/>
  <c r="CK93" i="8"/>
  <c r="CL93" i="8"/>
  <c r="CM93" i="8"/>
  <c r="CN93" i="8"/>
  <c r="CO93" i="8"/>
  <c r="CP93" i="8"/>
  <c r="CQ93" i="8"/>
  <c r="CR93" i="8"/>
  <c r="CS93" i="8"/>
  <c r="CT93" i="8"/>
  <c r="CH94" i="8"/>
  <c r="CI94" i="8"/>
  <c r="CJ94" i="8"/>
  <c r="CK94" i="8"/>
  <c r="CL94" i="8"/>
  <c r="CM94" i="8"/>
  <c r="CN94" i="8"/>
  <c r="CO94" i="8"/>
  <c r="CP94" i="8"/>
  <c r="CQ94" i="8"/>
  <c r="CR94" i="8"/>
  <c r="CS94" i="8"/>
  <c r="CT94" i="8"/>
  <c r="CH95" i="8"/>
  <c r="CI95" i="8"/>
  <c r="CJ95" i="8"/>
  <c r="CK95" i="8"/>
  <c r="CL95" i="8"/>
  <c r="CM95" i="8"/>
  <c r="CN95" i="8"/>
  <c r="CO95" i="8"/>
  <c r="CP95" i="8"/>
  <c r="CQ95" i="8"/>
  <c r="CR95" i="8"/>
  <c r="CS95" i="8"/>
  <c r="CT95" i="8"/>
  <c r="CH96" i="8"/>
  <c r="CI96" i="8"/>
  <c r="CJ96" i="8"/>
  <c r="CK96" i="8"/>
  <c r="CL96" i="8"/>
  <c r="CM96" i="8"/>
  <c r="CN96" i="8"/>
  <c r="CO96" i="8"/>
  <c r="CP96" i="8"/>
  <c r="CQ96" i="8"/>
  <c r="CR96" i="8"/>
  <c r="CS96" i="8"/>
  <c r="CT96" i="8"/>
  <c r="CH97" i="8"/>
  <c r="CI97" i="8"/>
  <c r="CJ97" i="8"/>
  <c r="CK97" i="8"/>
  <c r="CL97" i="8"/>
  <c r="CM97" i="8"/>
  <c r="CN97" i="8"/>
  <c r="CO97" i="8"/>
  <c r="CP97" i="8"/>
  <c r="CQ97" i="8"/>
  <c r="CR97" i="8"/>
  <c r="CS97" i="8"/>
  <c r="CT97" i="8"/>
  <c r="CH98" i="8"/>
  <c r="CI98" i="8"/>
  <c r="CJ98" i="8"/>
  <c r="CK98" i="8"/>
  <c r="CL98" i="8"/>
  <c r="CM98" i="8"/>
  <c r="CN98" i="8"/>
  <c r="CO98" i="8"/>
  <c r="CP98" i="8"/>
  <c r="CQ98" i="8"/>
  <c r="CR98" i="8"/>
  <c r="CS98" i="8"/>
  <c r="CT98" i="8"/>
  <c r="CH99" i="8"/>
  <c r="CI99" i="8"/>
  <c r="CJ99" i="8"/>
  <c r="CK99" i="8"/>
  <c r="CL99" i="8"/>
  <c r="CM99" i="8"/>
  <c r="CN99" i="8"/>
  <c r="CO99" i="8"/>
  <c r="CP99" i="8"/>
  <c r="CQ99" i="8"/>
  <c r="CR99" i="8"/>
  <c r="CS99" i="8"/>
  <c r="CT99" i="8"/>
  <c r="CH100" i="8"/>
  <c r="CI100" i="8"/>
  <c r="CJ100" i="8"/>
  <c r="CK100" i="8"/>
  <c r="CL100" i="8"/>
  <c r="CM100" i="8"/>
  <c r="CN100" i="8"/>
  <c r="CO100" i="8"/>
  <c r="CP100" i="8"/>
  <c r="CQ100" i="8"/>
  <c r="CR100" i="8"/>
  <c r="CS100" i="8"/>
  <c r="CT100" i="8"/>
  <c r="CH101" i="8"/>
  <c r="CI101" i="8"/>
  <c r="CJ101" i="8"/>
  <c r="CK101" i="8"/>
  <c r="CL101" i="8"/>
  <c r="CM101" i="8"/>
  <c r="CN101" i="8"/>
  <c r="CO101" i="8"/>
  <c r="CP101" i="8"/>
  <c r="CQ101" i="8"/>
  <c r="CR101" i="8"/>
  <c r="CS101" i="8"/>
  <c r="CT101" i="8"/>
  <c r="CH102" i="8"/>
  <c r="CI102" i="8"/>
  <c r="CJ102" i="8"/>
  <c r="CK102" i="8"/>
  <c r="CL102" i="8"/>
  <c r="CM102" i="8"/>
  <c r="CN102" i="8"/>
  <c r="CO102" i="8"/>
  <c r="CP102" i="8"/>
  <c r="CQ102" i="8"/>
  <c r="CR102" i="8"/>
  <c r="CS102" i="8"/>
  <c r="CT102" i="8"/>
  <c r="CH103" i="8"/>
  <c r="CI103" i="8"/>
  <c r="CJ103" i="8"/>
  <c r="CK103" i="8"/>
  <c r="CL103" i="8"/>
  <c r="CM103" i="8"/>
  <c r="CN103" i="8"/>
  <c r="CO103" i="8"/>
  <c r="CP103" i="8"/>
  <c r="CQ103" i="8"/>
  <c r="CR103" i="8"/>
  <c r="CS103" i="8"/>
  <c r="CT103" i="8"/>
  <c r="CH104" i="8"/>
  <c r="CI104" i="8"/>
  <c r="CJ104" i="8"/>
  <c r="CK104" i="8"/>
  <c r="CL104" i="8"/>
  <c r="CM104" i="8"/>
  <c r="CN104" i="8"/>
  <c r="CO104" i="8"/>
  <c r="CP104" i="8"/>
  <c r="CQ104" i="8"/>
  <c r="CR104" i="8"/>
  <c r="CS104" i="8"/>
  <c r="CT104" i="8"/>
  <c r="CH105" i="8"/>
  <c r="CI105" i="8"/>
  <c r="CJ105" i="8"/>
  <c r="CK105" i="8"/>
  <c r="CL105" i="8"/>
  <c r="CM105" i="8"/>
  <c r="CN105" i="8"/>
  <c r="CO105" i="8"/>
  <c r="CP105" i="8"/>
  <c r="CQ105" i="8"/>
  <c r="CR105" i="8"/>
  <c r="CS105" i="8"/>
  <c r="CT105" i="8"/>
  <c r="CH106" i="8"/>
  <c r="CI106" i="8"/>
  <c r="CJ106" i="8"/>
  <c r="CK106" i="8"/>
  <c r="CL106" i="8"/>
  <c r="CM106" i="8"/>
  <c r="CN106" i="8"/>
  <c r="CO106" i="8"/>
  <c r="CP106" i="8"/>
  <c r="CQ106" i="8"/>
  <c r="CR106" i="8"/>
  <c r="CS106" i="8"/>
  <c r="CT106" i="8"/>
  <c r="CH107" i="8"/>
  <c r="CI107" i="8"/>
  <c r="CJ107" i="8"/>
  <c r="CK107" i="8"/>
  <c r="CL107" i="8"/>
  <c r="CM107" i="8"/>
  <c r="CN107" i="8"/>
  <c r="CO107" i="8"/>
  <c r="CP107" i="8"/>
  <c r="CQ107" i="8"/>
  <c r="CR107" i="8"/>
  <c r="CS107" i="8"/>
  <c r="CT107" i="8"/>
  <c r="CH108" i="8"/>
  <c r="CI108" i="8"/>
  <c r="CJ108" i="8"/>
  <c r="CK108" i="8"/>
  <c r="CL108" i="8"/>
  <c r="CM108" i="8"/>
  <c r="CN108" i="8"/>
  <c r="CO108" i="8"/>
  <c r="CP108" i="8"/>
  <c r="CQ108" i="8"/>
  <c r="CR108" i="8"/>
  <c r="CS108" i="8"/>
  <c r="CT108" i="8"/>
  <c r="CH109" i="8"/>
  <c r="CI109" i="8"/>
  <c r="CJ109" i="8"/>
  <c r="CK109" i="8"/>
  <c r="CL109" i="8"/>
  <c r="CM109" i="8"/>
  <c r="CN109" i="8"/>
  <c r="CO109" i="8"/>
  <c r="CP109" i="8"/>
  <c r="CQ109" i="8"/>
  <c r="CR109" i="8"/>
  <c r="CS109" i="8"/>
  <c r="CT109" i="8"/>
  <c r="CH110" i="8"/>
  <c r="CI110" i="8"/>
  <c r="CJ110" i="8"/>
  <c r="CK110" i="8"/>
  <c r="CL110" i="8"/>
  <c r="CM110" i="8"/>
  <c r="CN110" i="8"/>
  <c r="CO110" i="8"/>
  <c r="CP110" i="8"/>
  <c r="CQ110" i="8"/>
  <c r="CR110" i="8"/>
  <c r="CS110" i="8"/>
  <c r="CT110" i="8"/>
  <c r="CH111" i="8"/>
  <c r="CI111" i="8"/>
  <c r="CJ111" i="8"/>
  <c r="CK111" i="8"/>
  <c r="CL111" i="8"/>
  <c r="CM111" i="8"/>
  <c r="CN111" i="8"/>
  <c r="CO111" i="8"/>
  <c r="CP111" i="8"/>
  <c r="CQ111" i="8"/>
  <c r="CR111" i="8"/>
  <c r="CS111" i="8"/>
  <c r="CT111" i="8"/>
  <c r="CH112" i="8"/>
  <c r="CI112" i="8"/>
  <c r="CJ112" i="8"/>
  <c r="CK112" i="8"/>
  <c r="CL112" i="8"/>
  <c r="CM112" i="8"/>
  <c r="CN112" i="8"/>
  <c r="CO112" i="8"/>
  <c r="CP112" i="8"/>
  <c r="CQ112" i="8"/>
  <c r="CR112" i="8"/>
  <c r="CS112" i="8"/>
  <c r="CT112" i="8"/>
  <c r="CH113" i="8"/>
  <c r="CI113" i="8"/>
  <c r="CJ113" i="8"/>
  <c r="CK113" i="8"/>
  <c r="CL113" i="8"/>
  <c r="CM113" i="8"/>
  <c r="CN113" i="8"/>
  <c r="CO113" i="8"/>
  <c r="CP113" i="8"/>
  <c r="CQ113" i="8"/>
  <c r="CR113" i="8"/>
  <c r="CS113" i="8"/>
  <c r="CT113" i="8"/>
  <c r="CH114" i="8"/>
  <c r="CI114" i="8"/>
  <c r="CJ114" i="8"/>
  <c r="CK114" i="8"/>
  <c r="CL114" i="8"/>
  <c r="CM114" i="8"/>
  <c r="CN114" i="8"/>
  <c r="CO114" i="8"/>
  <c r="CP114" i="8"/>
  <c r="CQ114" i="8"/>
  <c r="CR114" i="8"/>
  <c r="CS114" i="8"/>
  <c r="CT114" i="8"/>
  <c r="CH115" i="8"/>
  <c r="CI115" i="8"/>
  <c r="CJ115" i="8"/>
  <c r="CK115" i="8"/>
  <c r="CL115" i="8"/>
  <c r="CM115" i="8"/>
  <c r="CN115" i="8"/>
  <c r="CO115" i="8"/>
  <c r="CP115" i="8"/>
  <c r="CQ115" i="8"/>
  <c r="CR115" i="8"/>
  <c r="CS115" i="8"/>
  <c r="CT115" i="8"/>
  <c r="CH116" i="8"/>
  <c r="CI116" i="8"/>
  <c r="CJ116" i="8"/>
  <c r="CK116" i="8"/>
  <c r="CL116" i="8"/>
  <c r="CM116" i="8"/>
  <c r="CN116" i="8"/>
  <c r="CO116" i="8"/>
  <c r="CP116" i="8"/>
  <c r="CQ116" i="8"/>
  <c r="CR116" i="8"/>
  <c r="CS116" i="8"/>
  <c r="CT116" i="8"/>
  <c r="CH117" i="8"/>
  <c r="CI117" i="8"/>
  <c r="CJ117" i="8"/>
  <c r="CK117" i="8"/>
  <c r="CL117" i="8"/>
  <c r="CM117" i="8"/>
  <c r="CN117" i="8"/>
  <c r="CO117" i="8"/>
  <c r="CP117" i="8"/>
  <c r="CQ117" i="8"/>
  <c r="CR117" i="8"/>
  <c r="CS117" i="8"/>
  <c r="CT117" i="8"/>
  <c r="CH118" i="8"/>
  <c r="CI118" i="8"/>
  <c r="CJ118" i="8"/>
  <c r="CK118" i="8"/>
  <c r="CL118" i="8"/>
  <c r="CM118" i="8"/>
  <c r="CN118" i="8"/>
  <c r="CO118" i="8"/>
  <c r="CP118" i="8"/>
  <c r="CQ118" i="8"/>
  <c r="CR118" i="8"/>
  <c r="CS118" i="8"/>
  <c r="CT118" i="8"/>
  <c r="CH119" i="8"/>
  <c r="CI119" i="8"/>
  <c r="CJ119" i="8"/>
  <c r="CK119" i="8"/>
  <c r="CL119" i="8"/>
  <c r="CM119" i="8"/>
  <c r="CN119" i="8"/>
  <c r="CO119" i="8"/>
  <c r="CP119" i="8"/>
  <c r="CQ119" i="8"/>
  <c r="CR119" i="8"/>
  <c r="CS119" i="8"/>
  <c r="CT119" i="8"/>
  <c r="CH120" i="8"/>
  <c r="CI120" i="8"/>
  <c r="CJ120" i="8"/>
  <c r="CK120" i="8"/>
  <c r="CL120" i="8"/>
  <c r="CM120" i="8"/>
  <c r="CN120" i="8"/>
  <c r="CO120" i="8"/>
  <c r="CP120" i="8"/>
  <c r="CQ120" i="8"/>
  <c r="CR120" i="8"/>
  <c r="CS120" i="8"/>
  <c r="CT120" i="8"/>
  <c r="CH121" i="8"/>
  <c r="CI121" i="8"/>
  <c r="CJ121" i="8"/>
  <c r="CK121" i="8"/>
  <c r="CL121" i="8"/>
  <c r="CM121" i="8"/>
  <c r="CN121" i="8"/>
  <c r="CO121" i="8"/>
  <c r="CP121" i="8"/>
  <c r="CQ121" i="8"/>
  <c r="CR121" i="8"/>
  <c r="CS121" i="8"/>
  <c r="CT121" i="8"/>
  <c r="CH122" i="8"/>
  <c r="CI122" i="8"/>
  <c r="CJ122" i="8"/>
  <c r="CK122" i="8"/>
  <c r="CL122" i="8"/>
  <c r="CM122" i="8"/>
  <c r="CN122" i="8"/>
  <c r="CO122" i="8"/>
  <c r="CP122" i="8"/>
  <c r="CQ122" i="8"/>
  <c r="CR122" i="8"/>
  <c r="CS122" i="8"/>
  <c r="CT122" i="8"/>
  <c r="CH123" i="8"/>
  <c r="CI123" i="8"/>
  <c r="CJ123" i="8"/>
  <c r="CK123" i="8"/>
  <c r="CL123" i="8"/>
  <c r="CM123" i="8"/>
  <c r="CN123" i="8"/>
  <c r="CO123" i="8"/>
  <c r="CP123" i="8"/>
  <c r="CQ123" i="8"/>
  <c r="CR123" i="8"/>
  <c r="CS123" i="8"/>
  <c r="CT123" i="8"/>
  <c r="CH124" i="8"/>
  <c r="CI124" i="8"/>
  <c r="CJ124" i="8"/>
  <c r="CK124" i="8"/>
  <c r="CL124" i="8"/>
  <c r="CM124" i="8"/>
  <c r="CN124" i="8"/>
  <c r="CO124" i="8"/>
  <c r="CP124" i="8"/>
  <c r="CQ124" i="8"/>
  <c r="CR124" i="8"/>
  <c r="CS124" i="8"/>
  <c r="CT124" i="8"/>
  <c r="CH125" i="8"/>
  <c r="CI125" i="8"/>
  <c r="CJ125" i="8"/>
  <c r="CK125" i="8"/>
  <c r="CL125" i="8"/>
  <c r="CM125" i="8"/>
  <c r="CN125" i="8"/>
  <c r="CO125" i="8"/>
  <c r="CP125" i="8"/>
  <c r="CQ125" i="8"/>
  <c r="CR125" i="8"/>
  <c r="CS125" i="8"/>
  <c r="CT125" i="8"/>
  <c r="CH126" i="8"/>
  <c r="CI126" i="8"/>
  <c r="CJ126" i="8"/>
  <c r="CK126" i="8"/>
  <c r="CL126" i="8"/>
  <c r="CM126" i="8"/>
  <c r="CN126" i="8"/>
  <c r="CO126" i="8"/>
  <c r="CP126" i="8"/>
  <c r="CQ126" i="8"/>
  <c r="CR126" i="8"/>
  <c r="CS126" i="8"/>
  <c r="CT126" i="8"/>
  <c r="CH127" i="8"/>
  <c r="CI127" i="8"/>
  <c r="CJ127" i="8"/>
  <c r="CK127" i="8"/>
  <c r="CL127" i="8"/>
  <c r="CM127" i="8"/>
  <c r="CN127" i="8"/>
  <c r="CO127" i="8"/>
  <c r="CP127" i="8"/>
  <c r="CQ127" i="8"/>
  <c r="CR127" i="8"/>
  <c r="CS127" i="8"/>
  <c r="CT127" i="8"/>
  <c r="CH128" i="8"/>
  <c r="CI128" i="8"/>
  <c r="CJ128" i="8"/>
  <c r="CK128" i="8"/>
  <c r="CL128" i="8"/>
  <c r="CM128" i="8"/>
  <c r="CN128" i="8"/>
  <c r="CO128" i="8"/>
  <c r="CP128" i="8"/>
  <c r="CQ128" i="8"/>
  <c r="CR128" i="8"/>
  <c r="CS128" i="8"/>
  <c r="CT128" i="8"/>
  <c r="CH129" i="8"/>
  <c r="CI129" i="8"/>
  <c r="CJ129" i="8"/>
  <c r="CK129" i="8"/>
  <c r="CL129" i="8"/>
  <c r="CM129" i="8"/>
  <c r="CN129" i="8"/>
  <c r="CO129" i="8"/>
  <c r="CP129" i="8"/>
  <c r="CQ129" i="8"/>
  <c r="CR129" i="8"/>
  <c r="CS129" i="8"/>
  <c r="CT129" i="8"/>
  <c r="CH130" i="8"/>
  <c r="CI130" i="8"/>
  <c r="CJ130" i="8"/>
  <c r="CK130" i="8"/>
  <c r="CL130" i="8"/>
  <c r="CM130" i="8"/>
  <c r="CN130" i="8"/>
  <c r="CO130" i="8"/>
  <c r="CP130" i="8"/>
  <c r="CQ130" i="8"/>
  <c r="CR130" i="8"/>
  <c r="CS130" i="8"/>
  <c r="CT130" i="8"/>
  <c r="CH131" i="8"/>
  <c r="CI131" i="8"/>
  <c r="CJ131" i="8"/>
  <c r="CK131" i="8"/>
  <c r="CL131" i="8"/>
  <c r="CM131" i="8"/>
  <c r="CN131" i="8"/>
  <c r="CO131" i="8"/>
  <c r="CP131" i="8"/>
  <c r="CQ131" i="8"/>
  <c r="CR131" i="8"/>
  <c r="CS131" i="8"/>
  <c r="CT131" i="8"/>
  <c r="CH132" i="8"/>
  <c r="CI132" i="8"/>
  <c r="CJ132" i="8"/>
  <c r="CK132" i="8"/>
  <c r="CL132" i="8"/>
  <c r="CM132" i="8"/>
  <c r="CN132" i="8"/>
  <c r="CO132" i="8"/>
  <c r="CP132" i="8"/>
  <c r="CQ132" i="8"/>
  <c r="CR132" i="8"/>
  <c r="CS132" i="8"/>
  <c r="CT132" i="8"/>
  <c r="CH133" i="8"/>
  <c r="CI133" i="8"/>
  <c r="CJ133" i="8"/>
  <c r="CK133" i="8"/>
  <c r="CL133" i="8"/>
  <c r="CM133" i="8"/>
  <c r="CN133" i="8"/>
  <c r="CO133" i="8"/>
  <c r="CP133" i="8"/>
  <c r="CQ133" i="8"/>
  <c r="CR133" i="8"/>
  <c r="CS133" i="8"/>
  <c r="CT133" i="8"/>
  <c r="CH134" i="8"/>
  <c r="CI134" i="8"/>
  <c r="CJ134" i="8"/>
  <c r="CK134" i="8"/>
  <c r="CL134" i="8"/>
  <c r="CM134" i="8"/>
  <c r="CN134" i="8"/>
  <c r="CO134" i="8"/>
  <c r="CP134" i="8"/>
  <c r="CQ134" i="8"/>
  <c r="CR134" i="8"/>
  <c r="CS134" i="8"/>
  <c r="CT134" i="8"/>
  <c r="CH135" i="8"/>
  <c r="CI135" i="8"/>
  <c r="CJ135" i="8"/>
  <c r="CK135" i="8"/>
  <c r="CL135" i="8"/>
  <c r="CM135" i="8"/>
  <c r="CN135" i="8"/>
  <c r="CO135" i="8"/>
  <c r="CP135" i="8"/>
  <c r="CQ135" i="8"/>
  <c r="CR135" i="8"/>
  <c r="CS135" i="8"/>
  <c r="CT135" i="8"/>
  <c r="CH136" i="8"/>
  <c r="CI136" i="8"/>
  <c r="CJ136" i="8"/>
  <c r="CK136" i="8"/>
  <c r="CL136" i="8"/>
  <c r="CM136" i="8"/>
  <c r="CN136" i="8"/>
  <c r="CO136" i="8"/>
  <c r="CP136" i="8"/>
  <c r="CQ136" i="8"/>
  <c r="CR136" i="8"/>
  <c r="CS136" i="8"/>
  <c r="CT136" i="8"/>
  <c r="CH137" i="8"/>
  <c r="CI137" i="8"/>
  <c r="CJ137" i="8"/>
  <c r="CK137" i="8"/>
  <c r="CL137" i="8"/>
  <c r="CM137" i="8"/>
  <c r="CN137" i="8"/>
  <c r="CO137" i="8"/>
  <c r="CP137" i="8"/>
  <c r="CQ137" i="8"/>
  <c r="CR137" i="8"/>
  <c r="CS137" i="8"/>
  <c r="CT137" i="8"/>
  <c r="CH138" i="8"/>
  <c r="CI138" i="8"/>
  <c r="CJ138" i="8"/>
  <c r="CK138" i="8"/>
  <c r="CL138" i="8"/>
  <c r="CM138" i="8"/>
  <c r="CN138" i="8"/>
  <c r="CO138" i="8"/>
  <c r="CP138" i="8"/>
  <c r="CQ138" i="8"/>
  <c r="CR138" i="8"/>
  <c r="CS138" i="8"/>
  <c r="CT138" i="8"/>
  <c r="CH139" i="8"/>
  <c r="CI139" i="8"/>
  <c r="CJ139" i="8"/>
  <c r="CK139" i="8"/>
  <c r="CL139" i="8"/>
  <c r="CM139" i="8"/>
  <c r="CN139" i="8"/>
  <c r="CO139" i="8"/>
  <c r="CP139" i="8"/>
  <c r="CQ139" i="8"/>
  <c r="CR139" i="8"/>
  <c r="CS139" i="8"/>
  <c r="CT139" i="8"/>
  <c r="CH140" i="8"/>
  <c r="CI140" i="8"/>
  <c r="CJ140" i="8"/>
  <c r="CK140" i="8"/>
  <c r="CL140" i="8"/>
  <c r="CM140" i="8"/>
  <c r="CN140" i="8"/>
  <c r="CO140" i="8"/>
  <c r="CP140" i="8"/>
  <c r="CQ140" i="8"/>
  <c r="CR140" i="8"/>
  <c r="CS140" i="8"/>
  <c r="CT140" i="8"/>
  <c r="CH141" i="8"/>
  <c r="CI141" i="8"/>
  <c r="CJ141" i="8"/>
  <c r="CK141" i="8"/>
  <c r="CL141" i="8"/>
  <c r="CM141" i="8"/>
  <c r="CN141" i="8"/>
  <c r="CO141" i="8"/>
  <c r="CP141" i="8"/>
  <c r="CQ141" i="8"/>
  <c r="CR141" i="8"/>
  <c r="CS141" i="8"/>
  <c r="CT141" i="8"/>
  <c r="CH142" i="8"/>
  <c r="CI142" i="8"/>
  <c r="CJ142" i="8"/>
  <c r="CK142" i="8"/>
  <c r="CL142" i="8"/>
  <c r="CM142" i="8"/>
  <c r="CN142" i="8"/>
  <c r="CO142" i="8"/>
  <c r="CP142" i="8"/>
  <c r="CQ142" i="8"/>
  <c r="CR142" i="8"/>
  <c r="CS142" i="8"/>
  <c r="CT142" i="8"/>
  <c r="CH143" i="8"/>
  <c r="CI143" i="8"/>
  <c r="CJ143" i="8"/>
  <c r="CK143" i="8"/>
  <c r="CL143" i="8"/>
  <c r="CM143" i="8"/>
  <c r="CN143" i="8"/>
  <c r="CO143" i="8"/>
  <c r="CP143" i="8"/>
  <c r="CQ143" i="8"/>
  <c r="CR143" i="8"/>
  <c r="CS143" i="8"/>
  <c r="CT143" i="8"/>
  <c r="CH144" i="8"/>
  <c r="CI144" i="8"/>
  <c r="CJ144" i="8"/>
  <c r="CK144" i="8"/>
  <c r="CL144" i="8"/>
  <c r="CM144" i="8"/>
  <c r="CN144" i="8"/>
  <c r="CO144" i="8"/>
  <c r="CP144" i="8"/>
  <c r="CQ144" i="8"/>
  <c r="CR144" i="8"/>
  <c r="CS144" i="8"/>
  <c r="CT144" i="8"/>
  <c r="CH145" i="8"/>
  <c r="CI145" i="8"/>
  <c r="CJ145" i="8"/>
  <c r="CK145" i="8"/>
  <c r="CL145" i="8"/>
  <c r="CM145" i="8"/>
  <c r="CN145" i="8"/>
  <c r="CO145" i="8"/>
  <c r="CP145" i="8"/>
  <c r="CQ145" i="8"/>
  <c r="CR145" i="8"/>
  <c r="CS145" i="8"/>
  <c r="CT145" i="8"/>
  <c r="CH146" i="8"/>
  <c r="CI146" i="8"/>
  <c r="CJ146" i="8"/>
  <c r="CK146" i="8"/>
  <c r="CL146" i="8"/>
  <c r="CM146" i="8"/>
  <c r="CN146" i="8"/>
  <c r="CO146" i="8"/>
  <c r="CP146" i="8"/>
  <c r="CQ146" i="8"/>
  <c r="CR146" i="8"/>
  <c r="CS146" i="8"/>
  <c r="CT146" i="8"/>
  <c r="CH147" i="8"/>
  <c r="CI147" i="8"/>
  <c r="CJ147" i="8"/>
  <c r="CK147" i="8"/>
  <c r="CL147" i="8"/>
  <c r="CM147" i="8"/>
  <c r="CN147" i="8"/>
  <c r="CO147" i="8"/>
  <c r="CP147" i="8"/>
  <c r="CQ147" i="8"/>
  <c r="CR147" i="8"/>
  <c r="CS147" i="8"/>
  <c r="CT147" i="8"/>
  <c r="CH148" i="8"/>
  <c r="CI148" i="8"/>
  <c r="CJ148" i="8"/>
  <c r="CK148" i="8"/>
  <c r="CL148" i="8"/>
  <c r="CM148" i="8"/>
  <c r="CN148" i="8"/>
  <c r="CO148" i="8"/>
  <c r="CP148" i="8"/>
  <c r="CQ148" i="8"/>
  <c r="CR148" i="8"/>
  <c r="CS148" i="8"/>
  <c r="CT148" i="8"/>
  <c r="CH149" i="8"/>
  <c r="CI149" i="8"/>
  <c r="CJ149" i="8"/>
  <c r="CK149" i="8"/>
  <c r="CL149" i="8"/>
  <c r="CM149" i="8"/>
  <c r="CN149" i="8"/>
  <c r="CO149" i="8"/>
  <c r="CP149" i="8"/>
  <c r="CQ149" i="8"/>
  <c r="CR149" i="8"/>
  <c r="CS149" i="8"/>
  <c r="CT149" i="8"/>
  <c r="CH150" i="8"/>
  <c r="CI150" i="8"/>
  <c r="CJ150" i="8"/>
  <c r="CK150" i="8"/>
  <c r="CL150" i="8"/>
  <c r="CM150" i="8"/>
  <c r="CN150" i="8"/>
  <c r="CO150" i="8"/>
  <c r="CP150" i="8"/>
  <c r="CQ150" i="8"/>
  <c r="CR150" i="8"/>
  <c r="CS150" i="8"/>
  <c r="CT150" i="8"/>
  <c r="CH151" i="8"/>
  <c r="CI151" i="8"/>
  <c r="CJ151" i="8"/>
  <c r="CK151" i="8"/>
  <c r="CL151" i="8"/>
  <c r="CM151" i="8"/>
  <c r="CN151" i="8"/>
  <c r="CO151" i="8"/>
  <c r="CP151" i="8"/>
  <c r="CQ151" i="8"/>
  <c r="CR151" i="8"/>
  <c r="CS151" i="8"/>
  <c r="CT151" i="8"/>
  <c r="CH152" i="8"/>
  <c r="CI152" i="8"/>
  <c r="CJ152" i="8"/>
  <c r="CK152" i="8"/>
  <c r="CL152" i="8"/>
  <c r="CM152" i="8"/>
  <c r="CN152" i="8"/>
  <c r="CO152" i="8"/>
  <c r="CP152" i="8"/>
  <c r="CQ152" i="8"/>
  <c r="CR152" i="8"/>
  <c r="CS152" i="8"/>
  <c r="CT152" i="8"/>
  <c r="CH153" i="8"/>
  <c r="CI153" i="8"/>
  <c r="CJ153" i="8"/>
  <c r="CK153" i="8"/>
  <c r="CL153" i="8"/>
  <c r="CM153" i="8"/>
  <c r="CN153" i="8"/>
  <c r="CO153" i="8"/>
  <c r="CP153" i="8"/>
  <c r="CQ153" i="8"/>
  <c r="CR153" i="8"/>
  <c r="CS153" i="8"/>
  <c r="CT153" i="8"/>
  <c r="CH154" i="8"/>
  <c r="CI154" i="8"/>
  <c r="CJ154" i="8"/>
  <c r="CK154" i="8"/>
  <c r="CL154" i="8"/>
  <c r="CM154" i="8"/>
  <c r="CN154" i="8"/>
  <c r="CO154" i="8"/>
  <c r="CP154" i="8"/>
  <c r="CQ154" i="8"/>
  <c r="CR154" i="8"/>
  <c r="CS154" i="8"/>
  <c r="CT154" i="8"/>
  <c r="CH155" i="8"/>
  <c r="CI155" i="8"/>
  <c r="CJ155" i="8"/>
  <c r="CK155" i="8"/>
  <c r="CL155" i="8"/>
  <c r="CM155" i="8"/>
  <c r="CN155" i="8"/>
  <c r="CO155" i="8"/>
  <c r="CP155" i="8"/>
  <c r="CQ155" i="8"/>
  <c r="CR155" i="8"/>
  <c r="CS155" i="8"/>
  <c r="CT155" i="8"/>
  <c r="CH156" i="8"/>
  <c r="CI156" i="8"/>
  <c r="CJ156" i="8"/>
  <c r="CK156" i="8"/>
  <c r="CL156" i="8"/>
  <c r="CM156" i="8"/>
  <c r="CN156" i="8"/>
  <c r="CO156" i="8"/>
  <c r="CP156" i="8"/>
  <c r="CQ156" i="8"/>
  <c r="CR156" i="8"/>
  <c r="CS156" i="8"/>
  <c r="CT156" i="8"/>
  <c r="CH157" i="8"/>
  <c r="CI157" i="8"/>
  <c r="CJ157" i="8"/>
  <c r="CK157" i="8"/>
  <c r="CL157" i="8"/>
  <c r="CM157" i="8"/>
  <c r="CN157" i="8"/>
  <c r="CO157" i="8"/>
  <c r="CP157" i="8"/>
  <c r="CQ157" i="8"/>
  <c r="CR157" i="8"/>
  <c r="CS157" i="8"/>
  <c r="CT157" i="8"/>
  <c r="CH158" i="8"/>
  <c r="CI158" i="8"/>
  <c r="CJ158" i="8"/>
  <c r="CK158" i="8"/>
  <c r="CL158" i="8"/>
  <c r="CM158" i="8"/>
  <c r="CN158" i="8"/>
  <c r="CO158" i="8"/>
  <c r="CP158" i="8"/>
  <c r="CQ158" i="8"/>
  <c r="CR158" i="8"/>
  <c r="CS158" i="8"/>
  <c r="CT158" i="8"/>
  <c r="CH159" i="8"/>
  <c r="CI159" i="8"/>
  <c r="CJ159" i="8"/>
  <c r="CK159" i="8"/>
  <c r="CL159" i="8"/>
  <c r="CM159" i="8"/>
  <c r="CN159" i="8"/>
  <c r="CO159" i="8"/>
  <c r="CP159" i="8"/>
  <c r="CQ159" i="8"/>
  <c r="CR159" i="8"/>
  <c r="CS159" i="8"/>
  <c r="CT159" i="8"/>
  <c r="CH160" i="8"/>
  <c r="CI160" i="8"/>
  <c r="CJ160" i="8"/>
  <c r="CK160" i="8"/>
  <c r="CL160" i="8"/>
  <c r="CM160" i="8"/>
  <c r="CN160" i="8"/>
  <c r="CO160" i="8"/>
  <c r="CP160" i="8"/>
  <c r="CQ160" i="8"/>
  <c r="CR160" i="8"/>
  <c r="CS160" i="8"/>
  <c r="CT160" i="8"/>
  <c r="CH161" i="8"/>
  <c r="CI161" i="8"/>
  <c r="CJ161" i="8"/>
  <c r="CK161" i="8"/>
  <c r="CL161" i="8"/>
  <c r="CM161" i="8"/>
  <c r="CN161" i="8"/>
  <c r="CO161" i="8"/>
  <c r="CP161" i="8"/>
  <c r="CQ161" i="8"/>
  <c r="CR161" i="8"/>
  <c r="CS161" i="8"/>
  <c r="CT161" i="8"/>
  <c r="CH162" i="8"/>
  <c r="CI162" i="8"/>
  <c r="CJ162" i="8"/>
  <c r="CK162" i="8"/>
  <c r="CL162" i="8"/>
  <c r="CM162" i="8"/>
  <c r="CN162" i="8"/>
  <c r="CO162" i="8"/>
  <c r="CP162" i="8"/>
  <c r="CQ162" i="8"/>
  <c r="CR162" i="8"/>
  <c r="CS162" i="8"/>
  <c r="CT162" i="8"/>
  <c r="CH163" i="8"/>
  <c r="CI163" i="8"/>
  <c r="CJ163" i="8"/>
  <c r="CK163" i="8"/>
  <c r="CL163" i="8"/>
  <c r="CM163" i="8"/>
  <c r="CN163" i="8"/>
  <c r="CO163" i="8"/>
  <c r="CP163" i="8"/>
  <c r="CQ163" i="8"/>
  <c r="CR163" i="8"/>
  <c r="CS163" i="8"/>
  <c r="CT163" i="8"/>
  <c r="CH164" i="8"/>
  <c r="CI164" i="8"/>
  <c r="CJ164" i="8"/>
  <c r="CK164" i="8"/>
  <c r="CL164" i="8"/>
  <c r="CM164" i="8"/>
  <c r="CN164" i="8"/>
  <c r="CO164" i="8"/>
  <c r="CP164" i="8"/>
  <c r="CQ164" i="8"/>
  <c r="CR164" i="8"/>
  <c r="CS164" i="8"/>
  <c r="CT164" i="8"/>
  <c r="CH165" i="8"/>
  <c r="CI165" i="8"/>
  <c r="CJ165" i="8"/>
  <c r="CK165" i="8"/>
  <c r="CL165" i="8"/>
  <c r="CM165" i="8"/>
  <c r="CN165" i="8"/>
  <c r="CO165" i="8"/>
  <c r="CP165" i="8"/>
  <c r="CQ165" i="8"/>
  <c r="CR165" i="8"/>
  <c r="CS165" i="8"/>
  <c r="CT165" i="8"/>
  <c r="CH166" i="8"/>
  <c r="CI166" i="8"/>
  <c r="CJ166" i="8"/>
  <c r="CK166" i="8"/>
  <c r="CL166" i="8"/>
  <c r="CM166" i="8"/>
  <c r="CN166" i="8"/>
  <c r="CO166" i="8"/>
  <c r="CP166" i="8"/>
  <c r="CQ166" i="8"/>
  <c r="CR166" i="8"/>
  <c r="CS166" i="8"/>
  <c r="CT166" i="8"/>
  <c r="CH167" i="8"/>
  <c r="CI167" i="8"/>
  <c r="CJ167" i="8"/>
  <c r="CK167" i="8"/>
  <c r="CL167" i="8"/>
  <c r="CM167" i="8"/>
  <c r="CN167" i="8"/>
  <c r="CO167" i="8"/>
  <c r="CP167" i="8"/>
  <c r="CQ167" i="8"/>
  <c r="CR167" i="8"/>
  <c r="CS167" i="8"/>
  <c r="CT167" i="8"/>
  <c r="CH168" i="8"/>
  <c r="CI168" i="8"/>
  <c r="CJ168" i="8"/>
  <c r="CK168" i="8"/>
  <c r="CL168" i="8"/>
  <c r="CM168" i="8"/>
  <c r="CN168" i="8"/>
  <c r="CO168" i="8"/>
  <c r="CP168" i="8"/>
  <c r="CQ168" i="8"/>
  <c r="CR168" i="8"/>
  <c r="CS168" i="8"/>
  <c r="CT168" i="8"/>
  <c r="CH169" i="8"/>
  <c r="CI169" i="8"/>
  <c r="CJ169" i="8"/>
  <c r="CK169" i="8"/>
  <c r="CL169" i="8"/>
  <c r="CM169" i="8"/>
  <c r="CN169" i="8"/>
  <c r="CO169" i="8"/>
  <c r="CP169" i="8"/>
  <c r="CQ169" i="8"/>
  <c r="CR169" i="8"/>
  <c r="CS169" i="8"/>
  <c r="CT169" i="8"/>
  <c r="CH170" i="8"/>
  <c r="CI170" i="8"/>
  <c r="CJ170" i="8"/>
  <c r="CK170" i="8"/>
  <c r="CL170" i="8"/>
  <c r="CM170" i="8"/>
  <c r="CN170" i="8"/>
  <c r="CO170" i="8"/>
  <c r="CP170" i="8"/>
  <c r="CQ170" i="8"/>
  <c r="CR170" i="8"/>
  <c r="CS170" i="8"/>
  <c r="CT170" i="8"/>
  <c r="CH171" i="8"/>
  <c r="CI171" i="8"/>
  <c r="CJ171" i="8"/>
  <c r="CK171" i="8"/>
  <c r="CL171" i="8"/>
  <c r="CM171" i="8"/>
  <c r="CN171" i="8"/>
  <c r="CO171" i="8"/>
  <c r="CP171" i="8"/>
  <c r="CQ171" i="8"/>
  <c r="CR171" i="8"/>
  <c r="CS171" i="8"/>
  <c r="CT171" i="8"/>
  <c r="CH172" i="8"/>
  <c r="CI172" i="8"/>
  <c r="CJ172" i="8"/>
  <c r="CK172" i="8"/>
  <c r="CL172" i="8"/>
  <c r="CM172" i="8"/>
  <c r="CN172" i="8"/>
  <c r="CO172" i="8"/>
  <c r="CP172" i="8"/>
  <c r="CQ172" i="8"/>
  <c r="CR172" i="8"/>
  <c r="CS172" i="8"/>
  <c r="CT172" i="8"/>
  <c r="CH173" i="8"/>
  <c r="CI173" i="8"/>
  <c r="CJ173" i="8"/>
  <c r="CK173" i="8"/>
  <c r="CL173" i="8"/>
  <c r="CM173" i="8"/>
  <c r="CN173" i="8"/>
  <c r="CO173" i="8"/>
  <c r="CP173" i="8"/>
  <c r="CQ173" i="8"/>
  <c r="CR173" i="8"/>
  <c r="CS173" i="8"/>
  <c r="CT173" i="8"/>
  <c r="CH174" i="8"/>
  <c r="CI174" i="8"/>
  <c r="CJ174" i="8"/>
  <c r="CK174" i="8"/>
  <c r="CL174" i="8"/>
  <c r="CM174" i="8"/>
  <c r="CN174" i="8"/>
  <c r="CO174" i="8"/>
  <c r="CP174" i="8"/>
  <c r="CQ174" i="8"/>
  <c r="CR174" i="8"/>
  <c r="CS174" i="8"/>
  <c r="CT174" i="8"/>
  <c r="CH175" i="8"/>
  <c r="CI175" i="8"/>
  <c r="CJ175" i="8"/>
  <c r="CK175" i="8"/>
  <c r="CL175" i="8"/>
  <c r="CM175" i="8"/>
  <c r="CN175" i="8"/>
  <c r="CO175" i="8"/>
  <c r="CP175" i="8"/>
  <c r="CQ175" i="8"/>
  <c r="CR175" i="8"/>
  <c r="CS175" i="8"/>
  <c r="CT175" i="8"/>
  <c r="CH176" i="8"/>
  <c r="CI176" i="8"/>
  <c r="CJ176" i="8"/>
  <c r="CK176" i="8"/>
  <c r="CL176" i="8"/>
  <c r="CM176" i="8"/>
  <c r="CN176" i="8"/>
  <c r="CO176" i="8"/>
  <c r="CP176" i="8"/>
  <c r="CQ176" i="8"/>
  <c r="CR176" i="8"/>
  <c r="CS176" i="8"/>
  <c r="CT176" i="8"/>
  <c r="CH177" i="8"/>
  <c r="CI177" i="8"/>
  <c r="CJ177" i="8"/>
  <c r="CK177" i="8"/>
  <c r="CL177" i="8"/>
  <c r="CM177" i="8"/>
  <c r="CN177" i="8"/>
  <c r="CO177" i="8"/>
  <c r="CP177" i="8"/>
  <c r="CQ177" i="8"/>
  <c r="CR177" i="8"/>
  <c r="CS177" i="8"/>
  <c r="CT177" i="8"/>
  <c r="CH178" i="8"/>
  <c r="CI178" i="8"/>
  <c r="CJ178" i="8"/>
  <c r="CK178" i="8"/>
  <c r="CL178" i="8"/>
  <c r="CM178" i="8"/>
  <c r="CN178" i="8"/>
  <c r="CO178" i="8"/>
  <c r="CP178" i="8"/>
  <c r="CQ178" i="8"/>
  <c r="CR178" i="8"/>
  <c r="CS178" i="8"/>
  <c r="CT178" i="8"/>
  <c r="CH179" i="8"/>
  <c r="CI179" i="8"/>
  <c r="CJ179" i="8"/>
  <c r="CK179" i="8"/>
  <c r="CL179" i="8"/>
  <c r="CM179" i="8"/>
  <c r="CN179" i="8"/>
  <c r="CO179" i="8"/>
  <c r="CP179" i="8"/>
  <c r="CQ179" i="8"/>
  <c r="CR179" i="8"/>
  <c r="CS179" i="8"/>
  <c r="CT179" i="8"/>
  <c r="CH180" i="8"/>
  <c r="CI180" i="8"/>
  <c r="CJ180" i="8"/>
  <c r="CK180" i="8"/>
  <c r="CL180" i="8"/>
  <c r="CM180" i="8"/>
  <c r="CN180" i="8"/>
  <c r="CO180" i="8"/>
  <c r="CP180" i="8"/>
  <c r="CQ180" i="8"/>
  <c r="CR180" i="8"/>
  <c r="CS180" i="8"/>
  <c r="CT180" i="8"/>
  <c r="CH181" i="8"/>
  <c r="CI181" i="8"/>
  <c r="CJ181" i="8"/>
  <c r="CK181" i="8"/>
  <c r="CL181" i="8"/>
  <c r="CM181" i="8"/>
  <c r="CN181" i="8"/>
  <c r="CO181" i="8"/>
  <c r="CP181" i="8"/>
  <c r="CQ181" i="8"/>
  <c r="CR181" i="8"/>
  <c r="CS181" i="8"/>
  <c r="CT181" i="8"/>
  <c r="CH182" i="8"/>
  <c r="CI182" i="8"/>
  <c r="CJ182" i="8"/>
  <c r="CK182" i="8"/>
  <c r="CL182" i="8"/>
  <c r="CM182" i="8"/>
  <c r="CN182" i="8"/>
  <c r="CO182" i="8"/>
  <c r="CP182" i="8"/>
  <c r="CQ182" i="8"/>
  <c r="CR182" i="8"/>
  <c r="CS182" i="8"/>
  <c r="CT182" i="8"/>
  <c r="CH183" i="8"/>
  <c r="CI183" i="8"/>
  <c r="CJ183" i="8"/>
  <c r="CK183" i="8"/>
  <c r="CL183" i="8"/>
  <c r="CM183" i="8"/>
  <c r="CN183" i="8"/>
  <c r="CO183" i="8"/>
  <c r="CP183" i="8"/>
  <c r="CQ183" i="8"/>
  <c r="CR183" i="8"/>
  <c r="CS183" i="8"/>
  <c r="CT183" i="8"/>
  <c r="CH184" i="8"/>
  <c r="CI184" i="8"/>
  <c r="CJ184" i="8"/>
  <c r="CK184" i="8"/>
  <c r="CL184" i="8"/>
  <c r="CM184" i="8"/>
  <c r="CN184" i="8"/>
  <c r="CO184" i="8"/>
  <c r="CP184" i="8"/>
  <c r="CQ184" i="8"/>
  <c r="CR184" i="8"/>
  <c r="CS184" i="8"/>
  <c r="CT184" i="8"/>
  <c r="CH185" i="8"/>
  <c r="CI185" i="8"/>
  <c r="CJ185" i="8"/>
  <c r="CK185" i="8"/>
  <c r="CL185" i="8"/>
  <c r="CM185" i="8"/>
  <c r="CN185" i="8"/>
  <c r="CO185" i="8"/>
  <c r="CP185" i="8"/>
  <c r="CQ185" i="8"/>
  <c r="CR185" i="8"/>
  <c r="CS185" i="8"/>
  <c r="CT185" i="8"/>
  <c r="CH186" i="8"/>
  <c r="CI186" i="8"/>
  <c r="CJ186" i="8"/>
  <c r="CK186" i="8"/>
  <c r="CL186" i="8"/>
  <c r="CM186" i="8"/>
  <c r="CN186" i="8"/>
  <c r="CO186" i="8"/>
  <c r="CP186" i="8"/>
  <c r="CQ186" i="8"/>
  <c r="CR186" i="8"/>
  <c r="CS186" i="8"/>
  <c r="CT186" i="8"/>
  <c r="CH187" i="8"/>
  <c r="CI187" i="8"/>
  <c r="CJ187" i="8"/>
  <c r="CK187" i="8"/>
  <c r="CL187" i="8"/>
  <c r="CM187" i="8"/>
  <c r="CN187" i="8"/>
  <c r="CO187" i="8"/>
  <c r="CP187" i="8"/>
  <c r="CQ187" i="8"/>
  <c r="CR187" i="8"/>
  <c r="CS187" i="8"/>
  <c r="CT187" i="8"/>
  <c r="CH188" i="8"/>
  <c r="CI188" i="8"/>
  <c r="CJ188" i="8"/>
  <c r="CK188" i="8"/>
  <c r="CL188" i="8"/>
  <c r="CM188" i="8"/>
  <c r="CN188" i="8"/>
  <c r="CO188" i="8"/>
  <c r="CP188" i="8"/>
  <c r="CQ188" i="8"/>
  <c r="CR188" i="8"/>
  <c r="CS188" i="8"/>
  <c r="CT188" i="8"/>
  <c r="CH189" i="8"/>
  <c r="CI189" i="8"/>
  <c r="CJ189" i="8"/>
  <c r="CK189" i="8"/>
  <c r="CL189" i="8"/>
  <c r="CM189" i="8"/>
  <c r="CN189" i="8"/>
  <c r="CO189" i="8"/>
  <c r="CP189" i="8"/>
  <c r="CQ189" i="8"/>
  <c r="CR189" i="8"/>
  <c r="CS189" i="8"/>
  <c r="CT189" i="8"/>
  <c r="CH190" i="8"/>
  <c r="CI190" i="8"/>
  <c r="CJ190" i="8"/>
  <c r="CK190" i="8"/>
  <c r="CL190" i="8"/>
  <c r="CM190" i="8"/>
  <c r="CN190" i="8"/>
  <c r="CO190" i="8"/>
  <c r="CP190" i="8"/>
  <c r="CQ190" i="8"/>
  <c r="CR190" i="8"/>
  <c r="CS190" i="8"/>
  <c r="CT190" i="8"/>
  <c r="CH191" i="8"/>
  <c r="CI191" i="8"/>
  <c r="CJ191" i="8"/>
  <c r="CK191" i="8"/>
  <c r="CL191" i="8"/>
  <c r="CM191" i="8"/>
  <c r="CN191" i="8"/>
  <c r="CO191" i="8"/>
  <c r="CP191" i="8"/>
  <c r="CQ191" i="8"/>
  <c r="CR191" i="8"/>
  <c r="CS191" i="8"/>
  <c r="CT191" i="8"/>
  <c r="CH192" i="8"/>
  <c r="CI192" i="8"/>
  <c r="CJ192" i="8"/>
  <c r="CK192" i="8"/>
  <c r="CL192" i="8"/>
  <c r="CM192" i="8"/>
  <c r="CN192" i="8"/>
  <c r="CO192" i="8"/>
  <c r="CP192" i="8"/>
  <c r="CQ192" i="8"/>
  <c r="CR192" i="8"/>
  <c r="CS192" i="8"/>
  <c r="CT192" i="8"/>
  <c r="CH193" i="8"/>
  <c r="CI193" i="8"/>
  <c r="CJ193" i="8"/>
  <c r="CK193" i="8"/>
  <c r="CL193" i="8"/>
  <c r="CM193" i="8"/>
  <c r="CN193" i="8"/>
  <c r="CO193" i="8"/>
  <c r="CP193" i="8"/>
  <c r="CQ193" i="8"/>
  <c r="CR193" i="8"/>
  <c r="CS193" i="8"/>
  <c r="CT193" i="8"/>
  <c r="CH194" i="8"/>
  <c r="CI194" i="8"/>
  <c r="CJ194" i="8"/>
  <c r="CK194" i="8"/>
  <c r="CL194" i="8"/>
  <c r="CM194" i="8"/>
  <c r="CN194" i="8"/>
  <c r="CO194" i="8"/>
  <c r="CP194" i="8"/>
  <c r="CQ194" i="8"/>
  <c r="CR194" i="8"/>
  <c r="CS194" i="8"/>
  <c r="CT194" i="8"/>
  <c r="CH195" i="8"/>
  <c r="CI195" i="8"/>
  <c r="CJ195" i="8"/>
  <c r="CK195" i="8"/>
  <c r="CL195" i="8"/>
  <c r="CM195" i="8"/>
  <c r="CN195" i="8"/>
  <c r="CO195" i="8"/>
  <c r="CP195" i="8"/>
  <c r="CQ195" i="8"/>
  <c r="CR195" i="8"/>
  <c r="CS195" i="8"/>
  <c r="CT195" i="8"/>
  <c r="CH196" i="8"/>
  <c r="CI196" i="8"/>
  <c r="CJ196" i="8"/>
  <c r="CK196" i="8"/>
  <c r="CL196" i="8"/>
  <c r="CM196" i="8"/>
  <c r="CN196" i="8"/>
  <c r="CO196" i="8"/>
  <c r="CP196" i="8"/>
  <c r="CQ196" i="8"/>
  <c r="CR196" i="8"/>
  <c r="CS196" i="8"/>
  <c r="CT196" i="8"/>
  <c r="CH197" i="8"/>
  <c r="CI197" i="8"/>
  <c r="CJ197" i="8"/>
  <c r="CK197" i="8"/>
  <c r="CL197" i="8"/>
  <c r="CM197" i="8"/>
  <c r="CN197" i="8"/>
  <c r="CO197" i="8"/>
  <c r="CP197" i="8"/>
  <c r="CQ197" i="8"/>
  <c r="CR197" i="8"/>
  <c r="CS197" i="8"/>
  <c r="CT197" i="8"/>
  <c r="CH198" i="8"/>
  <c r="CI198" i="8"/>
  <c r="CJ198" i="8"/>
  <c r="CK198" i="8"/>
  <c r="CL198" i="8"/>
  <c r="CM198" i="8"/>
  <c r="CN198" i="8"/>
  <c r="CO198" i="8"/>
  <c r="CP198" i="8"/>
  <c r="CQ198" i="8"/>
  <c r="CR198" i="8"/>
  <c r="CS198" i="8"/>
  <c r="CT198" i="8"/>
  <c r="CH199" i="8"/>
  <c r="CI199" i="8"/>
  <c r="CJ199" i="8"/>
  <c r="CK199" i="8"/>
  <c r="CL199" i="8"/>
  <c r="CM199" i="8"/>
  <c r="CN199" i="8"/>
  <c r="CO199" i="8"/>
  <c r="CP199" i="8"/>
  <c r="CQ199" i="8"/>
  <c r="CR199" i="8"/>
  <c r="CS199" i="8"/>
  <c r="CT199" i="8"/>
  <c r="CH200" i="8"/>
  <c r="CI200" i="8"/>
  <c r="CJ200" i="8"/>
  <c r="CK200" i="8"/>
  <c r="CL200" i="8"/>
  <c r="CM200" i="8"/>
  <c r="CN200" i="8"/>
  <c r="CO200" i="8"/>
  <c r="CP200" i="8"/>
  <c r="CQ200" i="8"/>
  <c r="CR200" i="8"/>
  <c r="CS200" i="8"/>
  <c r="CT200" i="8"/>
  <c r="CH201" i="8"/>
  <c r="CI201" i="8"/>
  <c r="CJ201" i="8"/>
  <c r="CK201" i="8"/>
  <c r="CL201" i="8"/>
  <c r="CM201" i="8"/>
  <c r="CN201" i="8"/>
  <c r="CO201" i="8"/>
  <c r="CP201" i="8"/>
  <c r="CQ201" i="8"/>
  <c r="CR201" i="8"/>
  <c r="CS201" i="8"/>
  <c r="CT201" i="8"/>
  <c r="CH202" i="8"/>
  <c r="CI202" i="8"/>
  <c r="CJ202" i="8"/>
  <c r="CK202" i="8"/>
  <c r="CL202" i="8"/>
  <c r="CM202" i="8"/>
  <c r="CN202" i="8"/>
  <c r="CO202" i="8"/>
  <c r="CP202" i="8"/>
  <c r="CQ202" i="8"/>
  <c r="CR202" i="8"/>
  <c r="CS202" i="8"/>
  <c r="CT202" i="8"/>
  <c r="CH203" i="8"/>
  <c r="CI203" i="8"/>
  <c r="CJ203" i="8"/>
  <c r="CK203" i="8"/>
  <c r="CL203" i="8"/>
  <c r="CM203" i="8"/>
  <c r="CN203" i="8"/>
  <c r="CO203" i="8"/>
  <c r="CP203" i="8"/>
  <c r="CQ203" i="8"/>
  <c r="CR203" i="8"/>
  <c r="CS203" i="8"/>
  <c r="CT203" i="8"/>
  <c r="CH204" i="8"/>
  <c r="CI204" i="8"/>
  <c r="CJ204" i="8"/>
  <c r="CK204" i="8"/>
  <c r="CL204" i="8"/>
  <c r="CM204" i="8"/>
  <c r="CN204" i="8"/>
  <c r="CO204" i="8"/>
  <c r="CP204" i="8"/>
  <c r="CQ204" i="8"/>
  <c r="CR204" i="8"/>
  <c r="CS204" i="8"/>
  <c r="CT204" i="8"/>
  <c r="CH205" i="8"/>
  <c r="CI205" i="8"/>
  <c r="CJ205" i="8"/>
  <c r="CK205" i="8"/>
  <c r="CL205" i="8"/>
  <c r="CM205" i="8"/>
  <c r="CN205" i="8"/>
  <c r="CO205" i="8"/>
  <c r="CP205" i="8"/>
  <c r="CQ205" i="8"/>
  <c r="CR205" i="8"/>
  <c r="CS205" i="8"/>
  <c r="CT205" i="8"/>
  <c r="CH206" i="8"/>
  <c r="CI206" i="8"/>
  <c r="CJ206" i="8"/>
  <c r="CK206" i="8"/>
  <c r="CL206" i="8"/>
  <c r="CM206" i="8"/>
  <c r="CN206" i="8"/>
  <c r="CO206" i="8"/>
  <c r="CP206" i="8"/>
  <c r="CQ206" i="8"/>
  <c r="CR206" i="8"/>
  <c r="CS206" i="8"/>
  <c r="CT206" i="8"/>
  <c r="CH207" i="8"/>
  <c r="CI207" i="8"/>
  <c r="CJ207" i="8"/>
  <c r="CK207" i="8"/>
  <c r="CL207" i="8"/>
  <c r="CM207" i="8"/>
  <c r="CN207" i="8"/>
  <c r="CO207" i="8"/>
  <c r="CP207" i="8"/>
  <c r="CQ207" i="8"/>
  <c r="CR207" i="8"/>
  <c r="CS207" i="8"/>
  <c r="CT207" i="8"/>
  <c r="CH208" i="8"/>
  <c r="CI208" i="8"/>
  <c r="CJ208" i="8"/>
  <c r="CK208" i="8"/>
  <c r="CL208" i="8"/>
  <c r="CM208" i="8"/>
  <c r="CN208" i="8"/>
  <c r="CO208" i="8"/>
  <c r="CP208" i="8"/>
  <c r="CQ208" i="8"/>
  <c r="CR208" i="8"/>
  <c r="CS208" i="8"/>
  <c r="CT208" i="8"/>
  <c r="CH209" i="8"/>
  <c r="CI209" i="8"/>
  <c r="CJ209" i="8"/>
  <c r="CK209" i="8"/>
  <c r="CL209" i="8"/>
  <c r="CM209" i="8"/>
  <c r="CN209" i="8"/>
  <c r="CO209" i="8"/>
  <c r="CP209" i="8"/>
  <c r="CQ209" i="8"/>
  <c r="CR209" i="8"/>
  <c r="CS209" i="8"/>
  <c r="CT209" i="8"/>
  <c r="CH210" i="8"/>
  <c r="CI210" i="8"/>
  <c r="CJ210" i="8"/>
  <c r="CK210" i="8"/>
  <c r="CL210" i="8"/>
  <c r="CM210" i="8"/>
  <c r="CN210" i="8"/>
  <c r="CO210" i="8"/>
  <c r="CP210" i="8"/>
  <c r="CQ210" i="8"/>
  <c r="CR210" i="8"/>
  <c r="CS210" i="8"/>
  <c r="CT210" i="8"/>
  <c r="CH211" i="8"/>
  <c r="CI211" i="8"/>
  <c r="CJ211" i="8"/>
  <c r="CK211" i="8"/>
  <c r="CL211" i="8"/>
  <c r="CM211" i="8"/>
  <c r="CN211" i="8"/>
  <c r="CO211" i="8"/>
  <c r="CP211" i="8"/>
  <c r="CQ211" i="8"/>
  <c r="CR211" i="8"/>
  <c r="CS211" i="8"/>
  <c r="CT211" i="8"/>
  <c r="CH212" i="8"/>
  <c r="CI212" i="8"/>
  <c r="CJ212" i="8"/>
  <c r="CK212" i="8"/>
  <c r="CL212" i="8"/>
  <c r="CM212" i="8"/>
  <c r="CN212" i="8"/>
  <c r="CO212" i="8"/>
  <c r="CP212" i="8"/>
  <c r="CQ212" i="8"/>
  <c r="CR212" i="8"/>
  <c r="CS212" i="8"/>
  <c r="CT212" i="8"/>
  <c r="CH213" i="8"/>
  <c r="CI213" i="8"/>
  <c r="CJ213" i="8"/>
  <c r="CK213" i="8"/>
  <c r="CL213" i="8"/>
  <c r="CM213" i="8"/>
  <c r="CN213" i="8"/>
  <c r="CO213" i="8"/>
  <c r="CP213" i="8"/>
  <c r="CQ213" i="8"/>
  <c r="CR213" i="8"/>
  <c r="CS213" i="8"/>
  <c r="CT213" i="8"/>
  <c r="CH214" i="8"/>
  <c r="CI214" i="8"/>
  <c r="CJ214" i="8"/>
  <c r="CK214" i="8"/>
  <c r="CL214" i="8"/>
  <c r="CM214" i="8"/>
  <c r="CN214" i="8"/>
  <c r="CO214" i="8"/>
  <c r="CP214" i="8"/>
  <c r="CQ214" i="8"/>
  <c r="CR214" i="8"/>
  <c r="CS214" i="8"/>
  <c r="CT214" i="8"/>
  <c r="CH215" i="8"/>
  <c r="CI215" i="8"/>
  <c r="CJ215" i="8"/>
  <c r="CK215" i="8"/>
  <c r="CL215" i="8"/>
  <c r="CM215" i="8"/>
  <c r="CN215" i="8"/>
  <c r="CO215" i="8"/>
  <c r="CP215" i="8"/>
  <c r="CQ215" i="8"/>
  <c r="CR215" i="8"/>
  <c r="CS215" i="8"/>
  <c r="CT215" i="8"/>
  <c r="CH216" i="8"/>
  <c r="CI216" i="8"/>
  <c r="CJ216" i="8"/>
  <c r="CK216" i="8"/>
  <c r="CL216" i="8"/>
  <c r="CM216" i="8"/>
  <c r="CN216" i="8"/>
  <c r="CO216" i="8"/>
  <c r="CP216" i="8"/>
  <c r="CQ216" i="8"/>
  <c r="CR216" i="8"/>
  <c r="CS216" i="8"/>
  <c r="CT216" i="8"/>
  <c r="CH217" i="8"/>
  <c r="CI217" i="8"/>
  <c r="CJ217" i="8"/>
  <c r="CK217" i="8"/>
  <c r="CL217" i="8"/>
  <c r="CM217" i="8"/>
  <c r="CN217" i="8"/>
  <c r="CO217" i="8"/>
  <c r="CP217" i="8"/>
  <c r="CQ217" i="8"/>
  <c r="CR217" i="8"/>
  <c r="CS217" i="8"/>
  <c r="CT217" i="8"/>
  <c r="CH218" i="8"/>
  <c r="CI218" i="8"/>
  <c r="CJ218" i="8"/>
  <c r="CK218" i="8"/>
  <c r="CL218" i="8"/>
  <c r="CM218" i="8"/>
  <c r="CN218" i="8"/>
  <c r="CO218" i="8"/>
  <c r="CP218" i="8"/>
  <c r="CQ218" i="8"/>
  <c r="CR218" i="8"/>
  <c r="CS218" i="8"/>
  <c r="CT218" i="8"/>
  <c r="CH219" i="8"/>
  <c r="CI219" i="8"/>
  <c r="CJ219" i="8"/>
  <c r="CK219" i="8"/>
  <c r="CL219" i="8"/>
  <c r="CM219" i="8"/>
  <c r="CN219" i="8"/>
  <c r="CO219" i="8"/>
  <c r="CP219" i="8"/>
  <c r="CQ219" i="8"/>
  <c r="CR219" i="8"/>
  <c r="CS219" i="8"/>
  <c r="CT219" i="8"/>
  <c r="CH220" i="8"/>
  <c r="CI220" i="8"/>
  <c r="CJ220" i="8"/>
  <c r="CK220" i="8"/>
  <c r="CL220" i="8"/>
  <c r="CM220" i="8"/>
  <c r="CN220" i="8"/>
  <c r="CO220" i="8"/>
  <c r="CP220" i="8"/>
  <c r="CQ220" i="8"/>
  <c r="CR220" i="8"/>
  <c r="CS220" i="8"/>
  <c r="CT220" i="8"/>
  <c r="CH221" i="8"/>
  <c r="CI221" i="8"/>
  <c r="CJ221" i="8"/>
  <c r="CK221" i="8"/>
  <c r="CL221" i="8"/>
  <c r="CM221" i="8"/>
  <c r="CN221" i="8"/>
  <c r="CO221" i="8"/>
  <c r="CP221" i="8"/>
  <c r="CQ221" i="8"/>
  <c r="CR221" i="8"/>
  <c r="CS221" i="8"/>
  <c r="CT221" i="8"/>
  <c r="CH222" i="8"/>
  <c r="CI222" i="8"/>
  <c r="CJ222" i="8"/>
  <c r="CK222" i="8"/>
  <c r="CL222" i="8"/>
  <c r="CM222" i="8"/>
  <c r="CN222" i="8"/>
  <c r="CO222" i="8"/>
  <c r="CP222" i="8"/>
  <c r="CQ222" i="8"/>
  <c r="CR222" i="8"/>
  <c r="CS222" i="8"/>
  <c r="CT222" i="8"/>
  <c r="CH223" i="8"/>
  <c r="CI223" i="8"/>
  <c r="CJ223" i="8"/>
  <c r="CK223" i="8"/>
  <c r="CL223" i="8"/>
  <c r="CM223" i="8"/>
  <c r="CN223" i="8"/>
  <c r="CO223" i="8"/>
  <c r="CP223" i="8"/>
  <c r="CQ223" i="8"/>
  <c r="CR223" i="8"/>
  <c r="CS223" i="8"/>
  <c r="CT223" i="8"/>
  <c r="CH224" i="8"/>
  <c r="CI224" i="8"/>
  <c r="CJ224" i="8"/>
  <c r="CK224" i="8"/>
  <c r="CL224" i="8"/>
  <c r="CM224" i="8"/>
  <c r="CN224" i="8"/>
  <c r="CO224" i="8"/>
  <c r="CP224" i="8"/>
  <c r="CQ224" i="8"/>
  <c r="CR224" i="8"/>
  <c r="CS224" i="8"/>
  <c r="CT224" i="8"/>
  <c r="CH225" i="8"/>
  <c r="CI225" i="8"/>
  <c r="CJ225" i="8"/>
  <c r="CK225" i="8"/>
  <c r="CL225" i="8"/>
  <c r="CM225" i="8"/>
  <c r="CN225" i="8"/>
  <c r="CO225" i="8"/>
  <c r="CP225" i="8"/>
  <c r="CQ225" i="8"/>
  <c r="CR225" i="8"/>
  <c r="CS225" i="8"/>
  <c r="CT225" i="8"/>
  <c r="CH226" i="8"/>
  <c r="CI226" i="8"/>
  <c r="CJ226" i="8"/>
  <c r="CK226" i="8"/>
  <c r="CL226" i="8"/>
  <c r="CM226" i="8"/>
  <c r="CN226" i="8"/>
  <c r="CO226" i="8"/>
  <c r="CP226" i="8"/>
  <c r="CQ226" i="8"/>
  <c r="CR226" i="8"/>
  <c r="CS226" i="8"/>
  <c r="CT226" i="8"/>
  <c r="CH227" i="8"/>
  <c r="CI227" i="8"/>
  <c r="CJ227" i="8"/>
  <c r="CK227" i="8"/>
  <c r="CL227" i="8"/>
  <c r="CM227" i="8"/>
  <c r="CN227" i="8"/>
  <c r="CO227" i="8"/>
  <c r="CP227" i="8"/>
  <c r="CQ227" i="8"/>
  <c r="CR227" i="8"/>
  <c r="CS227" i="8"/>
  <c r="CT227" i="8"/>
  <c r="CH228" i="8"/>
  <c r="CI228" i="8"/>
  <c r="CJ228" i="8"/>
  <c r="CK228" i="8"/>
  <c r="CL228" i="8"/>
  <c r="CM228" i="8"/>
  <c r="CN228" i="8"/>
  <c r="CO228" i="8"/>
  <c r="CP228" i="8"/>
  <c r="CQ228" i="8"/>
  <c r="CR228" i="8"/>
  <c r="CS228" i="8"/>
  <c r="CT228" i="8"/>
  <c r="CH229" i="8"/>
  <c r="CI229" i="8"/>
  <c r="CJ229" i="8"/>
  <c r="CK229" i="8"/>
  <c r="CL229" i="8"/>
  <c r="CM229" i="8"/>
  <c r="CN229" i="8"/>
  <c r="CO229" i="8"/>
  <c r="CP229" i="8"/>
  <c r="CQ229" i="8"/>
  <c r="CR229" i="8"/>
  <c r="CS229" i="8"/>
  <c r="CT229" i="8"/>
  <c r="CH230" i="8"/>
  <c r="CI230" i="8"/>
  <c r="CJ230" i="8"/>
  <c r="CK230" i="8"/>
  <c r="CL230" i="8"/>
  <c r="CM230" i="8"/>
  <c r="CN230" i="8"/>
  <c r="CO230" i="8"/>
  <c r="CP230" i="8"/>
  <c r="CQ230" i="8"/>
  <c r="CR230" i="8"/>
  <c r="CS230" i="8"/>
  <c r="CT230" i="8"/>
  <c r="CH231" i="8"/>
  <c r="CI231" i="8"/>
  <c r="CJ231" i="8"/>
  <c r="CK231" i="8"/>
  <c r="CL231" i="8"/>
  <c r="CM231" i="8"/>
  <c r="CN231" i="8"/>
  <c r="CO231" i="8"/>
  <c r="CP231" i="8"/>
  <c r="CQ231" i="8"/>
  <c r="CR231" i="8"/>
  <c r="CS231" i="8"/>
  <c r="CT231" i="8"/>
  <c r="CH232" i="8"/>
  <c r="CI232" i="8"/>
  <c r="CJ232" i="8"/>
  <c r="CK232" i="8"/>
  <c r="CL232" i="8"/>
  <c r="CM232" i="8"/>
  <c r="CN232" i="8"/>
  <c r="CO232" i="8"/>
  <c r="CP232" i="8"/>
  <c r="CQ232" i="8"/>
  <c r="CR232" i="8"/>
  <c r="CS232" i="8"/>
  <c r="CT232" i="8"/>
  <c r="CH233" i="8"/>
  <c r="CI233" i="8"/>
  <c r="CJ233" i="8"/>
  <c r="CK233" i="8"/>
  <c r="CL233" i="8"/>
  <c r="CM233" i="8"/>
  <c r="CN233" i="8"/>
  <c r="CO233" i="8"/>
  <c r="CP233" i="8"/>
  <c r="CQ233" i="8"/>
  <c r="CR233" i="8"/>
  <c r="CS233" i="8"/>
  <c r="CT233" i="8"/>
  <c r="CH234" i="8"/>
  <c r="CI234" i="8"/>
  <c r="CJ234" i="8"/>
  <c r="CK234" i="8"/>
  <c r="CL234" i="8"/>
  <c r="CM234" i="8"/>
  <c r="CN234" i="8"/>
  <c r="CO234" i="8"/>
  <c r="CP234" i="8"/>
  <c r="CQ234" i="8"/>
  <c r="CR234" i="8"/>
  <c r="CS234" i="8"/>
  <c r="CT234" i="8"/>
  <c r="CH235" i="8"/>
  <c r="CI235" i="8"/>
  <c r="CJ235" i="8"/>
  <c r="CK235" i="8"/>
  <c r="CL235" i="8"/>
  <c r="CM235" i="8"/>
  <c r="CN235" i="8"/>
  <c r="CO235" i="8"/>
  <c r="CP235" i="8"/>
  <c r="CQ235" i="8"/>
  <c r="CR235" i="8"/>
  <c r="CS235" i="8"/>
  <c r="CT235" i="8"/>
  <c r="CH236" i="8"/>
  <c r="CI236" i="8"/>
  <c r="CJ236" i="8"/>
  <c r="CK236" i="8"/>
  <c r="CL236" i="8"/>
  <c r="CM236" i="8"/>
  <c r="CN236" i="8"/>
  <c r="CO236" i="8"/>
  <c r="CP236" i="8"/>
  <c r="CQ236" i="8"/>
  <c r="CR236" i="8"/>
  <c r="CS236" i="8"/>
  <c r="CT236" i="8"/>
  <c r="CH237" i="8"/>
  <c r="CI237" i="8"/>
  <c r="CJ237" i="8"/>
  <c r="CK237" i="8"/>
  <c r="CL237" i="8"/>
  <c r="CM237" i="8"/>
  <c r="CN237" i="8"/>
  <c r="CO237" i="8"/>
  <c r="CP237" i="8"/>
  <c r="CQ237" i="8"/>
  <c r="CR237" i="8"/>
  <c r="CS237" i="8"/>
  <c r="CT237" i="8"/>
  <c r="CH238" i="8"/>
  <c r="CI238" i="8"/>
  <c r="CJ238" i="8"/>
  <c r="CK238" i="8"/>
  <c r="CL238" i="8"/>
  <c r="CM238" i="8"/>
  <c r="CN238" i="8"/>
  <c r="CO238" i="8"/>
  <c r="CP238" i="8"/>
  <c r="CQ238" i="8"/>
  <c r="CR238" i="8"/>
  <c r="CS238" i="8"/>
  <c r="CT238" i="8"/>
  <c r="CH239" i="8"/>
  <c r="CI239" i="8"/>
  <c r="CJ239" i="8"/>
  <c r="CK239" i="8"/>
  <c r="CL239" i="8"/>
  <c r="CM239" i="8"/>
  <c r="CN239" i="8"/>
  <c r="CO239" i="8"/>
  <c r="CP239" i="8"/>
  <c r="CQ239" i="8"/>
  <c r="CR239" i="8"/>
  <c r="CS239" i="8"/>
  <c r="CT239" i="8"/>
  <c r="CH240" i="8"/>
  <c r="CI240" i="8"/>
  <c r="CJ240" i="8"/>
  <c r="CK240" i="8"/>
  <c r="CL240" i="8"/>
  <c r="CM240" i="8"/>
  <c r="CN240" i="8"/>
  <c r="CO240" i="8"/>
  <c r="CP240" i="8"/>
  <c r="CQ240" i="8"/>
  <c r="CR240" i="8"/>
  <c r="CS240" i="8"/>
  <c r="CT240" i="8"/>
  <c r="CH241" i="8"/>
  <c r="CI241" i="8"/>
  <c r="CJ241" i="8"/>
  <c r="CK241" i="8"/>
  <c r="CL241" i="8"/>
  <c r="CM241" i="8"/>
  <c r="CN241" i="8"/>
  <c r="CO241" i="8"/>
  <c r="CP241" i="8"/>
  <c r="CQ241" i="8"/>
  <c r="CR241" i="8"/>
  <c r="CS241" i="8"/>
  <c r="CT241" i="8"/>
  <c r="CH242" i="8"/>
  <c r="CI242" i="8"/>
  <c r="CJ242" i="8"/>
  <c r="CK242" i="8"/>
  <c r="CL242" i="8"/>
  <c r="CM242" i="8"/>
  <c r="CN242" i="8"/>
  <c r="CO242" i="8"/>
  <c r="CP242" i="8"/>
  <c r="CQ242" i="8"/>
  <c r="CR242" i="8"/>
  <c r="CS242" i="8"/>
  <c r="CT242" i="8"/>
  <c r="CH243" i="8"/>
  <c r="CI243" i="8"/>
  <c r="CJ243" i="8"/>
  <c r="CK243" i="8"/>
  <c r="CL243" i="8"/>
  <c r="CM243" i="8"/>
  <c r="CN243" i="8"/>
  <c r="CO243" i="8"/>
  <c r="CP243" i="8"/>
  <c r="CQ243" i="8"/>
  <c r="CR243" i="8"/>
  <c r="CS243" i="8"/>
  <c r="CT243" i="8"/>
  <c r="CG5" i="8"/>
  <c r="CG6" i="8"/>
  <c r="CG7" i="8"/>
  <c r="CG8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5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6" i="8"/>
  <c r="CG67" i="8"/>
  <c r="CG68" i="8"/>
  <c r="CG69" i="8"/>
  <c r="CG70" i="8"/>
  <c r="CG71" i="8"/>
  <c r="CG72" i="8"/>
  <c r="CG73" i="8"/>
  <c r="CG74" i="8"/>
  <c r="CG75" i="8"/>
  <c r="CG76" i="8"/>
  <c r="CG77" i="8"/>
  <c r="CG78" i="8"/>
  <c r="CG79" i="8"/>
  <c r="CG80" i="8"/>
  <c r="CG81" i="8"/>
  <c r="CG82" i="8"/>
  <c r="CG83" i="8"/>
  <c r="CG84" i="8"/>
  <c r="CG85" i="8"/>
  <c r="CG86" i="8"/>
  <c r="CG87" i="8"/>
  <c r="CG88" i="8"/>
  <c r="CG89" i="8"/>
  <c r="CG90" i="8"/>
  <c r="CG91" i="8"/>
  <c r="CG92" i="8"/>
  <c r="CG93" i="8"/>
  <c r="CG94" i="8"/>
  <c r="CG95" i="8"/>
  <c r="CG96" i="8"/>
  <c r="CG97" i="8"/>
  <c r="CG98" i="8"/>
  <c r="CG99" i="8"/>
  <c r="CG100" i="8"/>
  <c r="CG101" i="8"/>
  <c r="CG102" i="8"/>
  <c r="CG103" i="8"/>
  <c r="CG104" i="8"/>
  <c r="CG105" i="8"/>
  <c r="CG106" i="8"/>
  <c r="CG107" i="8"/>
  <c r="CG108" i="8"/>
  <c r="CG109" i="8"/>
  <c r="CG110" i="8"/>
  <c r="CG111" i="8"/>
  <c r="CG112" i="8"/>
  <c r="CG113" i="8"/>
  <c r="CG114" i="8"/>
  <c r="CG115" i="8"/>
  <c r="CG116" i="8"/>
  <c r="CG117" i="8"/>
  <c r="CG118" i="8"/>
  <c r="CG119" i="8"/>
  <c r="CG120" i="8"/>
  <c r="CG121" i="8"/>
  <c r="CG122" i="8"/>
  <c r="CG123" i="8"/>
  <c r="CG124" i="8"/>
  <c r="CG125" i="8"/>
  <c r="CG126" i="8"/>
  <c r="CG127" i="8"/>
  <c r="CG128" i="8"/>
  <c r="CG129" i="8"/>
  <c r="CG130" i="8"/>
  <c r="CG131" i="8"/>
  <c r="CG132" i="8"/>
  <c r="CG133" i="8"/>
  <c r="CG134" i="8"/>
  <c r="CG135" i="8"/>
  <c r="CG136" i="8"/>
  <c r="CG137" i="8"/>
  <c r="CG138" i="8"/>
  <c r="CG139" i="8"/>
  <c r="CG140" i="8"/>
  <c r="CG141" i="8"/>
  <c r="CG142" i="8"/>
  <c r="CG143" i="8"/>
  <c r="CG144" i="8"/>
  <c r="CG145" i="8"/>
  <c r="CG146" i="8"/>
  <c r="CG147" i="8"/>
  <c r="CG148" i="8"/>
  <c r="CG149" i="8"/>
  <c r="CG150" i="8"/>
  <c r="CG151" i="8"/>
  <c r="CG152" i="8"/>
  <c r="CG153" i="8"/>
  <c r="CG154" i="8"/>
  <c r="CG155" i="8"/>
  <c r="CG156" i="8"/>
  <c r="CG157" i="8"/>
  <c r="CG158" i="8"/>
  <c r="CG159" i="8"/>
  <c r="CG160" i="8"/>
  <c r="CG161" i="8"/>
  <c r="CG162" i="8"/>
  <c r="CG163" i="8"/>
  <c r="CG164" i="8"/>
  <c r="CG165" i="8"/>
  <c r="CG166" i="8"/>
  <c r="CG167" i="8"/>
  <c r="CG168" i="8"/>
  <c r="CG169" i="8"/>
  <c r="CG170" i="8"/>
  <c r="CG171" i="8"/>
  <c r="CG172" i="8"/>
  <c r="CG173" i="8"/>
  <c r="CG174" i="8"/>
  <c r="CG175" i="8"/>
  <c r="CG176" i="8"/>
  <c r="CG177" i="8"/>
  <c r="CG178" i="8"/>
  <c r="CG179" i="8"/>
  <c r="CG180" i="8"/>
  <c r="CG181" i="8"/>
  <c r="CG182" i="8"/>
  <c r="CG183" i="8"/>
  <c r="CG184" i="8"/>
  <c r="CG185" i="8"/>
  <c r="CG186" i="8"/>
  <c r="CG187" i="8"/>
  <c r="CG188" i="8"/>
  <c r="CG189" i="8"/>
  <c r="CG190" i="8"/>
  <c r="CG191" i="8"/>
  <c r="CG192" i="8"/>
  <c r="CG193" i="8"/>
  <c r="CG194" i="8"/>
  <c r="CG195" i="8"/>
  <c r="CG196" i="8"/>
  <c r="CG197" i="8"/>
  <c r="CG198" i="8"/>
  <c r="CG199" i="8"/>
  <c r="CG200" i="8"/>
  <c r="CG201" i="8"/>
  <c r="CG202" i="8"/>
  <c r="CG203" i="8"/>
  <c r="CG204" i="8"/>
  <c r="CG205" i="8"/>
  <c r="CG206" i="8"/>
  <c r="CG207" i="8"/>
  <c r="CG208" i="8"/>
  <c r="CG209" i="8"/>
  <c r="CG210" i="8"/>
  <c r="CG211" i="8"/>
  <c r="CG212" i="8"/>
  <c r="CG213" i="8"/>
  <c r="CG214" i="8"/>
  <c r="CG215" i="8"/>
  <c r="CG216" i="8"/>
  <c r="CG217" i="8"/>
  <c r="CG218" i="8"/>
  <c r="CG219" i="8"/>
  <c r="CG220" i="8"/>
  <c r="CG221" i="8"/>
  <c r="CG222" i="8"/>
  <c r="CG223" i="8"/>
  <c r="CG224" i="8"/>
  <c r="CG225" i="8"/>
  <c r="CG226" i="8"/>
  <c r="CG227" i="8"/>
  <c r="CG228" i="8"/>
  <c r="CG229" i="8"/>
  <c r="CG230" i="8"/>
  <c r="CG231" i="8"/>
  <c r="CG232" i="8"/>
  <c r="CG233" i="8"/>
  <c r="CG234" i="8"/>
  <c r="CG235" i="8"/>
  <c r="CG236" i="8"/>
  <c r="CG237" i="8"/>
  <c r="CG238" i="8"/>
  <c r="CG239" i="8"/>
  <c r="CG240" i="8"/>
  <c r="CG241" i="8"/>
  <c r="CG242" i="8"/>
  <c r="CG243" i="8"/>
  <c r="CG4" i="8"/>
  <c r="CF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BW4" i="8"/>
  <c r="BX4" i="8"/>
  <c r="BY4" i="8"/>
  <c r="BZ4" i="8"/>
  <c r="CA4" i="8"/>
  <c r="CB4" i="8"/>
  <c r="CC4" i="8"/>
  <c r="CD4" i="8"/>
  <c r="CE4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F10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F21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F44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U46" i="8"/>
  <c r="BV46" i="8"/>
  <c r="BW46" i="8"/>
  <c r="BX46" i="8"/>
  <c r="BY46" i="8"/>
  <c r="BZ46" i="8"/>
  <c r="CA46" i="8"/>
  <c r="CB46" i="8"/>
  <c r="CC46" i="8"/>
  <c r="CD46" i="8"/>
  <c r="CE46" i="8"/>
  <c r="CF46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U47" i="8"/>
  <c r="BV47" i="8"/>
  <c r="BW47" i="8"/>
  <c r="BX47" i="8"/>
  <c r="BY47" i="8"/>
  <c r="BZ47" i="8"/>
  <c r="CA47" i="8"/>
  <c r="CB47" i="8"/>
  <c r="CC47" i="8"/>
  <c r="CD47" i="8"/>
  <c r="CE47" i="8"/>
  <c r="CF47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U49" i="8"/>
  <c r="BV49" i="8"/>
  <c r="BW49" i="8"/>
  <c r="BX49" i="8"/>
  <c r="BY49" i="8"/>
  <c r="BZ49" i="8"/>
  <c r="CA49" i="8"/>
  <c r="CB49" i="8"/>
  <c r="CC49" i="8"/>
  <c r="CD49" i="8"/>
  <c r="CE49" i="8"/>
  <c r="CF49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U51" i="8"/>
  <c r="BV51" i="8"/>
  <c r="BW51" i="8"/>
  <c r="BX51" i="8"/>
  <c r="BY51" i="8"/>
  <c r="BZ51" i="8"/>
  <c r="CA51" i="8"/>
  <c r="CB51" i="8"/>
  <c r="CC51" i="8"/>
  <c r="CD51" i="8"/>
  <c r="CE51" i="8"/>
  <c r="CF51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U64" i="8"/>
  <c r="BV64" i="8"/>
  <c r="BW64" i="8"/>
  <c r="BX64" i="8"/>
  <c r="BY64" i="8"/>
  <c r="BZ64" i="8"/>
  <c r="CA64" i="8"/>
  <c r="CB64" i="8"/>
  <c r="CC64" i="8"/>
  <c r="CD64" i="8"/>
  <c r="CE64" i="8"/>
  <c r="CF64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I65" i="8"/>
  <c r="BJ65" i="8"/>
  <c r="BK65" i="8"/>
  <c r="BL65" i="8"/>
  <c r="BM65" i="8"/>
  <c r="BN65" i="8"/>
  <c r="BO65" i="8"/>
  <c r="BP65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BU74" i="8"/>
  <c r="BV74" i="8"/>
  <c r="BW74" i="8"/>
  <c r="BX74" i="8"/>
  <c r="BY74" i="8"/>
  <c r="BZ74" i="8"/>
  <c r="CA74" i="8"/>
  <c r="CB74" i="8"/>
  <c r="CC74" i="8"/>
  <c r="CD74" i="8"/>
  <c r="CE74" i="8"/>
  <c r="CF74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BU75" i="8"/>
  <c r="BV75" i="8"/>
  <c r="BW75" i="8"/>
  <c r="BX75" i="8"/>
  <c r="BY75" i="8"/>
  <c r="BZ75" i="8"/>
  <c r="CA75" i="8"/>
  <c r="CB75" i="8"/>
  <c r="CC75" i="8"/>
  <c r="CD75" i="8"/>
  <c r="CE75" i="8"/>
  <c r="CF75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BU76" i="8"/>
  <c r="BV76" i="8"/>
  <c r="BW76" i="8"/>
  <c r="BX76" i="8"/>
  <c r="BY76" i="8"/>
  <c r="BZ76" i="8"/>
  <c r="CA76" i="8"/>
  <c r="CB76" i="8"/>
  <c r="CC76" i="8"/>
  <c r="CD76" i="8"/>
  <c r="CE76" i="8"/>
  <c r="CF76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BU77" i="8"/>
  <c r="BV77" i="8"/>
  <c r="BW77" i="8"/>
  <c r="BX77" i="8"/>
  <c r="BY77" i="8"/>
  <c r="BZ77" i="8"/>
  <c r="CA77" i="8"/>
  <c r="CB77" i="8"/>
  <c r="CC77" i="8"/>
  <c r="CD77" i="8"/>
  <c r="CE77" i="8"/>
  <c r="CF77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BU78" i="8"/>
  <c r="BV78" i="8"/>
  <c r="BW78" i="8"/>
  <c r="BX78" i="8"/>
  <c r="BY78" i="8"/>
  <c r="BZ78" i="8"/>
  <c r="CA78" i="8"/>
  <c r="CB78" i="8"/>
  <c r="CC78" i="8"/>
  <c r="CD78" i="8"/>
  <c r="CE78" i="8"/>
  <c r="CF78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BU79" i="8"/>
  <c r="BV79" i="8"/>
  <c r="BW79" i="8"/>
  <c r="BX79" i="8"/>
  <c r="BY79" i="8"/>
  <c r="BZ79" i="8"/>
  <c r="CA79" i="8"/>
  <c r="CB79" i="8"/>
  <c r="CC79" i="8"/>
  <c r="CD79" i="8"/>
  <c r="CE79" i="8"/>
  <c r="CF79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BU80" i="8"/>
  <c r="BV80" i="8"/>
  <c r="BW80" i="8"/>
  <c r="BX80" i="8"/>
  <c r="BY80" i="8"/>
  <c r="BZ80" i="8"/>
  <c r="CA80" i="8"/>
  <c r="CB80" i="8"/>
  <c r="CC80" i="8"/>
  <c r="CD80" i="8"/>
  <c r="CE80" i="8"/>
  <c r="CF80" i="8"/>
  <c r="AB81" i="8"/>
  <c r="AC81" i="8"/>
  <c r="AD81" i="8"/>
  <c r="AE81" i="8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BU81" i="8"/>
  <c r="BV81" i="8"/>
  <c r="BW81" i="8"/>
  <c r="BX81" i="8"/>
  <c r="BY81" i="8"/>
  <c r="BZ81" i="8"/>
  <c r="CA81" i="8"/>
  <c r="CB81" i="8"/>
  <c r="CC81" i="8"/>
  <c r="CD81" i="8"/>
  <c r="CE81" i="8"/>
  <c r="CF81" i="8"/>
  <c r="AB82" i="8"/>
  <c r="AC82" i="8"/>
  <c r="AD82" i="8"/>
  <c r="AE82" i="8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BU82" i="8"/>
  <c r="BV82" i="8"/>
  <c r="BW82" i="8"/>
  <c r="BX82" i="8"/>
  <c r="BY82" i="8"/>
  <c r="BZ82" i="8"/>
  <c r="CA82" i="8"/>
  <c r="CB82" i="8"/>
  <c r="CC82" i="8"/>
  <c r="CD82" i="8"/>
  <c r="CE82" i="8"/>
  <c r="CF82" i="8"/>
  <c r="AB83" i="8"/>
  <c r="AC83" i="8"/>
  <c r="AD83" i="8"/>
  <c r="AE83" i="8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BU83" i="8"/>
  <c r="BV83" i="8"/>
  <c r="BW83" i="8"/>
  <c r="BX83" i="8"/>
  <c r="BY83" i="8"/>
  <c r="BZ83" i="8"/>
  <c r="CA83" i="8"/>
  <c r="CB83" i="8"/>
  <c r="CC83" i="8"/>
  <c r="CD83" i="8"/>
  <c r="CE83" i="8"/>
  <c r="CF83" i="8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BU84" i="8"/>
  <c r="BV84" i="8"/>
  <c r="BW84" i="8"/>
  <c r="BX84" i="8"/>
  <c r="BY84" i="8"/>
  <c r="BZ84" i="8"/>
  <c r="CA84" i="8"/>
  <c r="CB84" i="8"/>
  <c r="CC84" i="8"/>
  <c r="CD84" i="8"/>
  <c r="CE84" i="8"/>
  <c r="CF84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BU85" i="8"/>
  <c r="BV85" i="8"/>
  <c r="BW85" i="8"/>
  <c r="BX85" i="8"/>
  <c r="BY85" i="8"/>
  <c r="BZ85" i="8"/>
  <c r="CA85" i="8"/>
  <c r="CB85" i="8"/>
  <c r="CC85" i="8"/>
  <c r="CD85" i="8"/>
  <c r="CE85" i="8"/>
  <c r="CF85" i="8"/>
  <c r="AB86" i="8"/>
  <c r="AC86" i="8"/>
  <c r="AD86" i="8"/>
  <c r="AE86" i="8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BU86" i="8"/>
  <c r="BV86" i="8"/>
  <c r="BW86" i="8"/>
  <c r="BX86" i="8"/>
  <c r="BY86" i="8"/>
  <c r="BZ86" i="8"/>
  <c r="CA86" i="8"/>
  <c r="CB86" i="8"/>
  <c r="CC86" i="8"/>
  <c r="CD86" i="8"/>
  <c r="CE86" i="8"/>
  <c r="CF86" i="8"/>
  <c r="AB87" i="8"/>
  <c r="AC87" i="8"/>
  <c r="AD87" i="8"/>
  <c r="AE87" i="8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BU87" i="8"/>
  <c r="BV87" i="8"/>
  <c r="BW87" i="8"/>
  <c r="BX87" i="8"/>
  <c r="BY87" i="8"/>
  <c r="BZ87" i="8"/>
  <c r="CA87" i="8"/>
  <c r="CB87" i="8"/>
  <c r="CC87" i="8"/>
  <c r="CD87" i="8"/>
  <c r="CE87" i="8"/>
  <c r="CF87" i="8"/>
  <c r="AB88" i="8"/>
  <c r="AC88" i="8"/>
  <c r="AD88" i="8"/>
  <c r="AE88" i="8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BU88" i="8"/>
  <c r="BV88" i="8"/>
  <c r="BW88" i="8"/>
  <c r="BX88" i="8"/>
  <c r="BY88" i="8"/>
  <c r="BZ88" i="8"/>
  <c r="CA88" i="8"/>
  <c r="CB88" i="8"/>
  <c r="CC88" i="8"/>
  <c r="CD88" i="8"/>
  <c r="CE88" i="8"/>
  <c r="CF88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BU89" i="8"/>
  <c r="BV89" i="8"/>
  <c r="BW89" i="8"/>
  <c r="BX89" i="8"/>
  <c r="BY89" i="8"/>
  <c r="BZ89" i="8"/>
  <c r="CA89" i="8"/>
  <c r="CB89" i="8"/>
  <c r="CC89" i="8"/>
  <c r="CD89" i="8"/>
  <c r="CE89" i="8"/>
  <c r="CF89" i="8"/>
  <c r="AB90" i="8"/>
  <c r="AC90" i="8"/>
  <c r="AD90" i="8"/>
  <c r="AE90" i="8"/>
  <c r="AF90" i="8"/>
  <c r="AG90" i="8"/>
  <c r="AH90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BU90" i="8"/>
  <c r="BV90" i="8"/>
  <c r="BW90" i="8"/>
  <c r="BX90" i="8"/>
  <c r="BY90" i="8"/>
  <c r="BZ90" i="8"/>
  <c r="CA90" i="8"/>
  <c r="CB90" i="8"/>
  <c r="CC90" i="8"/>
  <c r="CD90" i="8"/>
  <c r="CE90" i="8"/>
  <c r="CF90" i="8"/>
  <c r="AB91" i="8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BU91" i="8"/>
  <c r="BV91" i="8"/>
  <c r="BW91" i="8"/>
  <c r="BX91" i="8"/>
  <c r="BY91" i="8"/>
  <c r="BZ91" i="8"/>
  <c r="CA91" i="8"/>
  <c r="CB91" i="8"/>
  <c r="CC91" i="8"/>
  <c r="CD91" i="8"/>
  <c r="CE91" i="8"/>
  <c r="CF91" i="8"/>
  <c r="AB92" i="8"/>
  <c r="AC92" i="8"/>
  <c r="AD92" i="8"/>
  <c r="AE92" i="8"/>
  <c r="AF92" i="8"/>
  <c r="AG92" i="8"/>
  <c r="AH92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BU92" i="8"/>
  <c r="BV92" i="8"/>
  <c r="BW92" i="8"/>
  <c r="BX92" i="8"/>
  <c r="BY92" i="8"/>
  <c r="BZ92" i="8"/>
  <c r="CA92" i="8"/>
  <c r="CB92" i="8"/>
  <c r="CC92" i="8"/>
  <c r="CD92" i="8"/>
  <c r="CE92" i="8"/>
  <c r="CF92" i="8"/>
  <c r="AB93" i="8"/>
  <c r="AC93" i="8"/>
  <c r="AD93" i="8"/>
  <c r="AE93" i="8"/>
  <c r="AF93" i="8"/>
  <c r="AG93" i="8"/>
  <c r="AH93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BU93" i="8"/>
  <c r="BV93" i="8"/>
  <c r="BW93" i="8"/>
  <c r="BX93" i="8"/>
  <c r="BY93" i="8"/>
  <c r="BZ93" i="8"/>
  <c r="CA93" i="8"/>
  <c r="CB93" i="8"/>
  <c r="CC93" i="8"/>
  <c r="CD93" i="8"/>
  <c r="CE93" i="8"/>
  <c r="CF93" i="8"/>
  <c r="AB94" i="8"/>
  <c r="AC94" i="8"/>
  <c r="AD94" i="8"/>
  <c r="AE94" i="8"/>
  <c r="AF94" i="8"/>
  <c r="AG94" i="8"/>
  <c r="AH94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BU94" i="8"/>
  <c r="BV94" i="8"/>
  <c r="BW94" i="8"/>
  <c r="BX94" i="8"/>
  <c r="BY94" i="8"/>
  <c r="BZ94" i="8"/>
  <c r="CA94" i="8"/>
  <c r="CB94" i="8"/>
  <c r="CC94" i="8"/>
  <c r="CD94" i="8"/>
  <c r="CE94" i="8"/>
  <c r="CF94" i="8"/>
  <c r="AB95" i="8"/>
  <c r="AC95" i="8"/>
  <c r="AD95" i="8"/>
  <c r="AE95" i="8"/>
  <c r="AF95" i="8"/>
  <c r="AG95" i="8"/>
  <c r="AH95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BU95" i="8"/>
  <c r="BV95" i="8"/>
  <c r="BW95" i="8"/>
  <c r="BX95" i="8"/>
  <c r="BY95" i="8"/>
  <c r="BZ95" i="8"/>
  <c r="CA95" i="8"/>
  <c r="CB95" i="8"/>
  <c r="CC95" i="8"/>
  <c r="CD95" i="8"/>
  <c r="CE95" i="8"/>
  <c r="CF95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U96" i="8"/>
  <c r="BV96" i="8"/>
  <c r="BW96" i="8"/>
  <c r="BX96" i="8"/>
  <c r="BY96" i="8"/>
  <c r="BZ96" i="8"/>
  <c r="CA96" i="8"/>
  <c r="CB96" i="8"/>
  <c r="CC96" i="8"/>
  <c r="CD96" i="8"/>
  <c r="CE96" i="8"/>
  <c r="CF96" i="8"/>
  <c r="AB97" i="8"/>
  <c r="AC97" i="8"/>
  <c r="AD97" i="8"/>
  <c r="AE97" i="8"/>
  <c r="AF97" i="8"/>
  <c r="AG97" i="8"/>
  <c r="AH97" i="8"/>
  <c r="AI97" i="8"/>
  <c r="AJ97" i="8"/>
  <c r="AK97" i="8"/>
  <c r="AL97" i="8"/>
  <c r="AM97" i="8"/>
  <c r="AN97" i="8"/>
  <c r="AO97" i="8"/>
  <c r="AP97" i="8"/>
  <c r="AQ97" i="8"/>
  <c r="AR97" i="8"/>
  <c r="AS97" i="8"/>
  <c r="AT97" i="8"/>
  <c r="AU97" i="8"/>
  <c r="AV97" i="8"/>
  <c r="AW97" i="8"/>
  <c r="AX97" i="8"/>
  <c r="AY97" i="8"/>
  <c r="AZ97" i="8"/>
  <c r="BA97" i="8"/>
  <c r="BB97" i="8"/>
  <c r="BC97" i="8"/>
  <c r="BD97" i="8"/>
  <c r="BE97" i="8"/>
  <c r="BF97" i="8"/>
  <c r="BG97" i="8"/>
  <c r="BH97" i="8"/>
  <c r="BI97" i="8"/>
  <c r="BJ97" i="8"/>
  <c r="BK97" i="8"/>
  <c r="BL97" i="8"/>
  <c r="BM97" i="8"/>
  <c r="BN97" i="8"/>
  <c r="BO97" i="8"/>
  <c r="BP97" i="8"/>
  <c r="BQ97" i="8"/>
  <c r="BR97" i="8"/>
  <c r="BS97" i="8"/>
  <c r="BT97" i="8"/>
  <c r="BU97" i="8"/>
  <c r="BV97" i="8"/>
  <c r="BW97" i="8"/>
  <c r="BX97" i="8"/>
  <c r="BY97" i="8"/>
  <c r="BZ97" i="8"/>
  <c r="CA97" i="8"/>
  <c r="CB97" i="8"/>
  <c r="CC97" i="8"/>
  <c r="CD97" i="8"/>
  <c r="CE97" i="8"/>
  <c r="CF97" i="8"/>
  <c r="AB98" i="8"/>
  <c r="AC98" i="8"/>
  <c r="AD98" i="8"/>
  <c r="AE98" i="8"/>
  <c r="AF98" i="8"/>
  <c r="AG98" i="8"/>
  <c r="AH98" i="8"/>
  <c r="AI98" i="8"/>
  <c r="AJ98" i="8"/>
  <c r="AK98" i="8"/>
  <c r="AL98" i="8"/>
  <c r="AM98" i="8"/>
  <c r="AN98" i="8"/>
  <c r="AO98" i="8"/>
  <c r="AP98" i="8"/>
  <c r="AQ98" i="8"/>
  <c r="AR98" i="8"/>
  <c r="AS98" i="8"/>
  <c r="AT98" i="8"/>
  <c r="AU98" i="8"/>
  <c r="AV98" i="8"/>
  <c r="AW98" i="8"/>
  <c r="AX98" i="8"/>
  <c r="AY98" i="8"/>
  <c r="AZ98" i="8"/>
  <c r="BA98" i="8"/>
  <c r="BB98" i="8"/>
  <c r="BC98" i="8"/>
  <c r="BD98" i="8"/>
  <c r="BE98" i="8"/>
  <c r="BF98" i="8"/>
  <c r="BG98" i="8"/>
  <c r="BH98" i="8"/>
  <c r="BI98" i="8"/>
  <c r="BJ98" i="8"/>
  <c r="BK98" i="8"/>
  <c r="BL98" i="8"/>
  <c r="BM98" i="8"/>
  <c r="BN98" i="8"/>
  <c r="BO98" i="8"/>
  <c r="BP98" i="8"/>
  <c r="BQ98" i="8"/>
  <c r="BR98" i="8"/>
  <c r="BS98" i="8"/>
  <c r="BT98" i="8"/>
  <c r="BU98" i="8"/>
  <c r="BV98" i="8"/>
  <c r="BW98" i="8"/>
  <c r="BX98" i="8"/>
  <c r="BY98" i="8"/>
  <c r="BZ98" i="8"/>
  <c r="CA98" i="8"/>
  <c r="CB98" i="8"/>
  <c r="CC98" i="8"/>
  <c r="CD98" i="8"/>
  <c r="CE98" i="8"/>
  <c r="CF98" i="8"/>
  <c r="AB99" i="8"/>
  <c r="AC99" i="8"/>
  <c r="AD99" i="8"/>
  <c r="AE99" i="8"/>
  <c r="AF99" i="8"/>
  <c r="AG99" i="8"/>
  <c r="AH99" i="8"/>
  <c r="AI99" i="8"/>
  <c r="AJ99" i="8"/>
  <c r="AK99" i="8"/>
  <c r="AL99" i="8"/>
  <c r="AM99" i="8"/>
  <c r="AN99" i="8"/>
  <c r="AO99" i="8"/>
  <c r="AP99" i="8"/>
  <c r="AQ99" i="8"/>
  <c r="AR99" i="8"/>
  <c r="AS99" i="8"/>
  <c r="AT99" i="8"/>
  <c r="AU99" i="8"/>
  <c r="AV99" i="8"/>
  <c r="AW99" i="8"/>
  <c r="AX99" i="8"/>
  <c r="AY99" i="8"/>
  <c r="AZ99" i="8"/>
  <c r="BA99" i="8"/>
  <c r="BB99" i="8"/>
  <c r="BC99" i="8"/>
  <c r="BD99" i="8"/>
  <c r="BE99" i="8"/>
  <c r="BF99" i="8"/>
  <c r="BG99" i="8"/>
  <c r="BH99" i="8"/>
  <c r="BI99" i="8"/>
  <c r="BJ99" i="8"/>
  <c r="BK99" i="8"/>
  <c r="BL99" i="8"/>
  <c r="BM99" i="8"/>
  <c r="BN99" i="8"/>
  <c r="BO99" i="8"/>
  <c r="BP99" i="8"/>
  <c r="BQ99" i="8"/>
  <c r="BR99" i="8"/>
  <c r="BS99" i="8"/>
  <c r="BT99" i="8"/>
  <c r="BU99" i="8"/>
  <c r="BV99" i="8"/>
  <c r="BW99" i="8"/>
  <c r="BX99" i="8"/>
  <c r="BY99" i="8"/>
  <c r="BZ99" i="8"/>
  <c r="CA99" i="8"/>
  <c r="CB99" i="8"/>
  <c r="CC99" i="8"/>
  <c r="CD99" i="8"/>
  <c r="CE99" i="8"/>
  <c r="CF99" i="8"/>
  <c r="AB100" i="8"/>
  <c r="AC100" i="8"/>
  <c r="AD100" i="8"/>
  <c r="AE100" i="8"/>
  <c r="AF100" i="8"/>
  <c r="AG100" i="8"/>
  <c r="AH100" i="8"/>
  <c r="AI100" i="8"/>
  <c r="AJ100" i="8"/>
  <c r="AK100" i="8"/>
  <c r="AL100" i="8"/>
  <c r="AM100" i="8"/>
  <c r="AN100" i="8"/>
  <c r="AO100" i="8"/>
  <c r="AP100" i="8"/>
  <c r="AQ100" i="8"/>
  <c r="AR100" i="8"/>
  <c r="AS100" i="8"/>
  <c r="AT100" i="8"/>
  <c r="AU100" i="8"/>
  <c r="AV100" i="8"/>
  <c r="AW100" i="8"/>
  <c r="AX100" i="8"/>
  <c r="AY100" i="8"/>
  <c r="AZ100" i="8"/>
  <c r="BA100" i="8"/>
  <c r="BB100" i="8"/>
  <c r="BC100" i="8"/>
  <c r="BD100" i="8"/>
  <c r="BE100" i="8"/>
  <c r="BF100" i="8"/>
  <c r="BG100" i="8"/>
  <c r="BH100" i="8"/>
  <c r="BI100" i="8"/>
  <c r="BJ100" i="8"/>
  <c r="BK100" i="8"/>
  <c r="BL100" i="8"/>
  <c r="BM100" i="8"/>
  <c r="BN100" i="8"/>
  <c r="BO100" i="8"/>
  <c r="BP100" i="8"/>
  <c r="BQ100" i="8"/>
  <c r="BR100" i="8"/>
  <c r="BS100" i="8"/>
  <c r="BT100" i="8"/>
  <c r="BU100" i="8"/>
  <c r="BV100" i="8"/>
  <c r="BW100" i="8"/>
  <c r="BX100" i="8"/>
  <c r="BY100" i="8"/>
  <c r="BZ100" i="8"/>
  <c r="CA100" i="8"/>
  <c r="CB100" i="8"/>
  <c r="CC100" i="8"/>
  <c r="CD100" i="8"/>
  <c r="CE100" i="8"/>
  <c r="CF100" i="8"/>
  <c r="AB101" i="8"/>
  <c r="AC101" i="8"/>
  <c r="AD101" i="8"/>
  <c r="AE101" i="8"/>
  <c r="AF101" i="8"/>
  <c r="AG101" i="8"/>
  <c r="AH101" i="8"/>
  <c r="AI101" i="8"/>
  <c r="AJ101" i="8"/>
  <c r="AK101" i="8"/>
  <c r="AL101" i="8"/>
  <c r="AM101" i="8"/>
  <c r="AN101" i="8"/>
  <c r="AO101" i="8"/>
  <c r="AP101" i="8"/>
  <c r="AQ101" i="8"/>
  <c r="AR101" i="8"/>
  <c r="AS101" i="8"/>
  <c r="AT101" i="8"/>
  <c r="AU101" i="8"/>
  <c r="AV101" i="8"/>
  <c r="AW101" i="8"/>
  <c r="AX101" i="8"/>
  <c r="AY101" i="8"/>
  <c r="AZ101" i="8"/>
  <c r="BA101" i="8"/>
  <c r="BB101" i="8"/>
  <c r="BC101" i="8"/>
  <c r="BD101" i="8"/>
  <c r="BE101" i="8"/>
  <c r="BF101" i="8"/>
  <c r="BG101" i="8"/>
  <c r="BH101" i="8"/>
  <c r="BI101" i="8"/>
  <c r="BJ101" i="8"/>
  <c r="BK101" i="8"/>
  <c r="BL101" i="8"/>
  <c r="BM101" i="8"/>
  <c r="BN101" i="8"/>
  <c r="BO101" i="8"/>
  <c r="BP101" i="8"/>
  <c r="BQ101" i="8"/>
  <c r="BR101" i="8"/>
  <c r="BS101" i="8"/>
  <c r="BT101" i="8"/>
  <c r="BU101" i="8"/>
  <c r="BV101" i="8"/>
  <c r="BW101" i="8"/>
  <c r="BX101" i="8"/>
  <c r="BY101" i="8"/>
  <c r="BZ101" i="8"/>
  <c r="CA101" i="8"/>
  <c r="CB101" i="8"/>
  <c r="CC101" i="8"/>
  <c r="CD101" i="8"/>
  <c r="CE101" i="8"/>
  <c r="CF101" i="8"/>
  <c r="AB102" i="8"/>
  <c r="AC102" i="8"/>
  <c r="AD102" i="8"/>
  <c r="AE102" i="8"/>
  <c r="AF102" i="8"/>
  <c r="AG102" i="8"/>
  <c r="AH102" i="8"/>
  <c r="AI102" i="8"/>
  <c r="AJ102" i="8"/>
  <c r="AK102" i="8"/>
  <c r="AL102" i="8"/>
  <c r="AM102" i="8"/>
  <c r="AN102" i="8"/>
  <c r="AO102" i="8"/>
  <c r="AP102" i="8"/>
  <c r="AQ102" i="8"/>
  <c r="AR102" i="8"/>
  <c r="AS102" i="8"/>
  <c r="AT102" i="8"/>
  <c r="AU102" i="8"/>
  <c r="AV102" i="8"/>
  <c r="AW102" i="8"/>
  <c r="AX102" i="8"/>
  <c r="AY102" i="8"/>
  <c r="AZ102" i="8"/>
  <c r="BA102" i="8"/>
  <c r="BB102" i="8"/>
  <c r="BC102" i="8"/>
  <c r="BD102" i="8"/>
  <c r="BE102" i="8"/>
  <c r="BF102" i="8"/>
  <c r="BG102" i="8"/>
  <c r="BH102" i="8"/>
  <c r="BI102" i="8"/>
  <c r="BJ102" i="8"/>
  <c r="BK102" i="8"/>
  <c r="BL102" i="8"/>
  <c r="BM102" i="8"/>
  <c r="BN102" i="8"/>
  <c r="BO102" i="8"/>
  <c r="BP102" i="8"/>
  <c r="BQ102" i="8"/>
  <c r="BR102" i="8"/>
  <c r="BS102" i="8"/>
  <c r="BT102" i="8"/>
  <c r="BU102" i="8"/>
  <c r="BV102" i="8"/>
  <c r="BW102" i="8"/>
  <c r="BX102" i="8"/>
  <c r="BY102" i="8"/>
  <c r="BZ102" i="8"/>
  <c r="CA102" i="8"/>
  <c r="CB102" i="8"/>
  <c r="CC102" i="8"/>
  <c r="CD102" i="8"/>
  <c r="CE102" i="8"/>
  <c r="CF102" i="8"/>
  <c r="AB103" i="8"/>
  <c r="AC103" i="8"/>
  <c r="AD103" i="8"/>
  <c r="AE103" i="8"/>
  <c r="AF103" i="8"/>
  <c r="AG103" i="8"/>
  <c r="AH103" i="8"/>
  <c r="AI103" i="8"/>
  <c r="AJ103" i="8"/>
  <c r="AK103" i="8"/>
  <c r="AL103" i="8"/>
  <c r="AM103" i="8"/>
  <c r="AN103" i="8"/>
  <c r="AO103" i="8"/>
  <c r="AP103" i="8"/>
  <c r="AQ103" i="8"/>
  <c r="AR103" i="8"/>
  <c r="AS103" i="8"/>
  <c r="AT103" i="8"/>
  <c r="AU103" i="8"/>
  <c r="AV103" i="8"/>
  <c r="AW103" i="8"/>
  <c r="AX103" i="8"/>
  <c r="AY103" i="8"/>
  <c r="AZ103" i="8"/>
  <c r="BA103" i="8"/>
  <c r="BB103" i="8"/>
  <c r="BC103" i="8"/>
  <c r="BD103" i="8"/>
  <c r="BE103" i="8"/>
  <c r="BF103" i="8"/>
  <c r="BG103" i="8"/>
  <c r="BH103" i="8"/>
  <c r="BI103" i="8"/>
  <c r="BJ103" i="8"/>
  <c r="BK103" i="8"/>
  <c r="BL103" i="8"/>
  <c r="BM103" i="8"/>
  <c r="BN103" i="8"/>
  <c r="BO103" i="8"/>
  <c r="BP103" i="8"/>
  <c r="BQ103" i="8"/>
  <c r="BR103" i="8"/>
  <c r="BS103" i="8"/>
  <c r="BT103" i="8"/>
  <c r="BU103" i="8"/>
  <c r="BV103" i="8"/>
  <c r="BW103" i="8"/>
  <c r="BX103" i="8"/>
  <c r="BY103" i="8"/>
  <c r="BZ103" i="8"/>
  <c r="CA103" i="8"/>
  <c r="CB103" i="8"/>
  <c r="CC103" i="8"/>
  <c r="CD103" i="8"/>
  <c r="CE103" i="8"/>
  <c r="CF103" i="8"/>
  <c r="AB104" i="8"/>
  <c r="AC104" i="8"/>
  <c r="AD104" i="8"/>
  <c r="AE104" i="8"/>
  <c r="AF104" i="8"/>
  <c r="AG104" i="8"/>
  <c r="AH104" i="8"/>
  <c r="AI104" i="8"/>
  <c r="AJ104" i="8"/>
  <c r="AK104" i="8"/>
  <c r="AL104" i="8"/>
  <c r="AM104" i="8"/>
  <c r="AN104" i="8"/>
  <c r="AO104" i="8"/>
  <c r="AP104" i="8"/>
  <c r="AQ104" i="8"/>
  <c r="AR104" i="8"/>
  <c r="AS104" i="8"/>
  <c r="AT104" i="8"/>
  <c r="AU104" i="8"/>
  <c r="AV104" i="8"/>
  <c r="AW104" i="8"/>
  <c r="AX104" i="8"/>
  <c r="AY104" i="8"/>
  <c r="AZ104" i="8"/>
  <c r="BA104" i="8"/>
  <c r="BB104" i="8"/>
  <c r="BC104" i="8"/>
  <c r="BD104" i="8"/>
  <c r="BE104" i="8"/>
  <c r="BF104" i="8"/>
  <c r="BG104" i="8"/>
  <c r="BH104" i="8"/>
  <c r="BI104" i="8"/>
  <c r="BJ104" i="8"/>
  <c r="BK104" i="8"/>
  <c r="BL104" i="8"/>
  <c r="BM104" i="8"/>
  <c r="BN104" i="8"/>
  <c r="BO104" i="8"/>
  <c r="BP104" i="8"/>
  <c r="BQ104" i="8"/>
  <c r="BR104" i="8"/>
  <c r="BS104" i="8"/>
  <c r="BT104" i="8"/>
  <c r="BU104" i="8"/>
  <c r="BV104" i="8"/>
  <c r="BW104" i="8"/>
  <c r="BX104" i="8"/>
  <c r="BY104" i="8"/>
  <c r="BZ104" i="8"/>
  <c r="CA104" i="8"/>
  <c r="CB104" i="8"/>
  <c r="CC104" i="8"/>
  <c r="CD104" i="8"/>
  <c r="CE104" i="8"/>
  <c r="CF104" i="8"/>
  <c r="AB105" i="8"/>
  <c r="AC105" i="8"/>
  <c r="AD105" i="8"/>
  <c r="AE105" i="8"/>
  <c r="AF105" i="8"/>
  <c r="AG105" i="8"/>
  <c r="AH105" i="8"/>
  <c r="AI105" i="8"/>
  <c r="AJ105" i="8"/>
  <c r="AK105" i="8"/>
  <c r="AL105" i="8"/>
  <c r="AM105" i="8"/>
  <c r="AN105" i="8"/>
  <c r="AO105" i="8"/>
  <c r="AP105" i="8"/>
  <c r="AQ105" i="8"/>
  <c r="AR105" i="8"/>
  <c r="AS105" i="8"/>
  <c r="AT105" i="8"/>
  <c r="AU105" i="8"/>
  <c r="AV105" i="8"/>
  <c r="AW105" i="8"/>
  <c r="AX105" i="8"/>
  <c r="AY105" i="8"/>
  <c r="AZ105" i="8"/>
  <c r="BA105" i="8"/>
  <c r="BB105" i="8"/>
  <c r="BC105" i="8"/>
  <c r="BD105" i="8"/>
  <c r="BE105" i="8"/>
  <c r="BF105" i="8"/>
  <c r="BG105" i="8"/>
  <c r="BH105" i="8"/>
  <c r="BI105" i="8"/>
  <c r="BJ105" i="8"/>
  <c r="BK105" i="8"/>
  <c r="BL105" i="8"/>
  <c r="BM105" i="8"/>
  <c r="BN105" i="8"/>
  <c r="BO105" i="8"/>
  <c r="BP105" i="8"/>
  <c r="BQ105" i="8"/>
  <c r="BR105" i="8"/>
  <c r="BS105" i="8"/>
  <c r="BT105" i="8"/>
  <c r="BU105" i="8"/>
  <c r="BV105" i="8"/>
  <c r="BW105" i="8"/>
  <c r="BX105" i="8"/>
  <c r="BY105" i="8"/>
  <c r="BZ105" i="8"/>
  <c r="CA105" i="8"/>
  <c r="CB105" i="8"/>
  <c r="CC105" i="8"/>
  <c r="CD105" i="8"/>
  <c r="CE105" i="8"/>
  <c r="CF105" i="8"/>
  <c r="AB106" i="8"/>
  <c r="AC106" i="8"/>
  <c r="AD106" i="8"/>
  <c r="AE106" i="8"/>
  <c r="AF106" i="8"/>
  <c r="AG106" i="8"/>
  <c r="AH106" i="8"/>
  <c r="AI106" i="8"/>
  <c r="AJ106" i="8"/>
  <c r="AK106" i="8"/>
  <c r="AL106" i="8"/>
  <c r="AM106" i="8"/>
  <c r="AN106" i="8"/>
  <c r="AO106" i="8"/>
  <c r="AP106" i="8"/>
  <c r="AQ106" i="8"/>
  <c r="AR106" i="8"/>
  <c r="AS106" i="8"/>
  <c r="AT106" i="8"/>
  <c r="AU106" i="8"/>
  <c r="AV106" i="8"/>
  <c r="AW106" i="8"/>
  <c r="AX106" i="8"/>
  <c r="AY106" i="8"/>
  <c r="AZ106" i="8"/>
  <c r="BA106" i="8"/>
  <c r="BB106" i="8"/>
  <c r="BC106" i="8"/>
  <c r="BD106" i="8"/>
  <c r="BE106" i="8"/>
  <c r="BF106" i="8"/>
  <c r="BG106" i="8"/>
  <c r="BH106" i="8"/>
  <c r="BI106" i="8"/>
  <c r="BJ106" i="8"/>
  <c r="BK106" i="8"/>
  <c r="BL106" i="8"/>
  <c r="BM106" i="8"/>
  <c r="BN106" i="8"/>
  <c r="BO106" i="8"/>
  <c r="BP106" i="8"/>
  <c r="BQ106" i="8"/>
  <c r="BR106" i="8"/>
  <c r="BS106" i="8"/>
  <c r="BT106" i="8"/>
  <c r="BU106" i="8"/>
  <c r="BV106" i="8"/>
  <c r="BW106" i="8"/>
  <c r="BX106" i="8"/>
  <c r="BY106" i="8"/>
  <c r="BZ106" i="8"/>
  <c r="CA106" i="8"/>
  <c r="CB106" i="8"/>
  <c r="CC106" i="8"/>
  <c r="CD106" i="8"/>
  <c r="CE106" i="8"/>
  <c r="CF106" i="8"/>
  <c r="AB107" i="8"/>
  <c r="AC107" i="8"/>
  <c r="AD107" i="8"/>
  <c r="AE107" i="8"/>
  <c r="AF107" i="8"/>
  <c r="AG107" i="8"/>
  <c r="AH107" i="8"/>
  <c r="AI107" i="8"/>
  <c r="AJ107" i="8"/>
  <c r="AK107" i="8"/>
  <c r="AL107" i="8"/>
  <c r="AM107" i="8"/>
  <c r="AN107" i="8"/>
  <c r="AO107" i="8"/>
  <c r="AP107" i="8"/>
  <c r="AQ107" i="8"/>
  <c r="AR107" i="8"/>
  <c r="AS107" i="8"/>
  <c r="AT107" i="8"/>
  <c r="AU107" i="8"/>
  <c r="AV107" i="8"/>
  <c r="AW107" i="8"/>
  <c r="AX107" i="8"/>
  <c r="AY107" i="8"/>
  <c r="AZ107" i="8"/>
  <c r="BA107" i="8"/>
  <c r="BB107" i="8"/>
  <c r="BC107" i="8"/>
  <c r="BD107" i="8"/>
  <c r="BE107" i="8"/>
  <c r="BF107" i="8"/>
  <c r="BG107" i="8"/>
  <c r="BH107" i="8"/>
  <c r="BI107" i="8"/>
  <c r="BJ107" i="8"/>
  <c r="BK107" i="8"/>
  <c r="BL107" i="8"/>
  <c r="BM107" i="8"/>
  <c r="BN107" i="8"/>
  <c r="BO107" i="8"/>
  <c r="BP107" i="8"/>
  <c r="BQ107" i="8"/>
  <c r="BR107" i="8"/>
  <c r="BS107" i="8"/>
  <c r="BT107" i="8"/>
  <c r="BU107" i="8"/>
  <c r="BV107" i="8"/>
  <c r="BW107" i="8"/>
  <c r="BX107" i="8"/>
  <c r="BY107" i="8"/>
  <c r="BZ107" i="8"/>
  <c r="CA107" i="8"/>
  <c r="CB107" i="8"/>
  <c r="CC107" i="8"/>
  <c r="CD107" i="8"/>
  <c r="CE107" i="8"/>
  <c r="CF107" i="8"/>
  <c r="AB108" i="8"/>
  <c r="AC108" i="8"/>
  <c r="AD108" i="8"/>
  <c r="AE108" i="8"/>
  <c r="AF108" i="8"/>
  <c r="AG108" i="8"/>
  <c r="AH108" i="8"/>
  <c r="AI108" i="8"/>
  <c r="AJ108" i="8"/>
  <c r="AK108" i="8"/>
  <c r="AL108" i="8"/>
  <c r="AM108" i="8"/>
  <c r="AN108" i="8"/>
  <c r="AO108" i="8"/>
  <c r="AP108" i="8"/>
  <c r="AQ108" i="8"/>
  <c r="AR108" i="8"/>
  <c r="AS108" i="8"/>
  <c r="AT108" i="8"/>
  <c r="AU108" i="8"/>
  <c r="AV108" i="8"/>
  <c r="AW108" i="8"/>
  <c r="AX108" i="8"/>
  <c r="AY108" i="8"/>
  <c r="AZ108" i="8"/>
  <c r="BA108" i="8"/>
  <c r="BB108" i="8"/>
  <c r="BC108" i="8"/>
  <c r="BD108" i="8"/>
  <c r="BE108" i="8"/>
  <c r="BF108" i="8"/>
  <c r="BG108" i="8"/>
  <c r="BH108" i="8"/>
  <c r="BI108" i="8"/>
  <c r="BJ108" i="8"/>
  <c r="BK108" i="8"/>
  <c r="BL108" i="8"/>
  <c r="BM108" i="8"/>
  <c r="BN108" i="8"/>
  <c r="BO108" i="8"/>
  <c r="BP108" i="8"/>
  <c r="BQ108" i="8"/>
  <c r="BR108" i="8"/>
  <c r="BS108" i="8"/>
  <c r="BT108" i="8"/>
  <c r="BU108" i="8"/>
  <c r="BV108" i="8"/>
  <c r="BW108" i="8"/>
  <c r="BX108" i="8"/>
  <c r="BY108" i="8"/>
  <c r="BZ108" i="8"/>
  <c r="CA108" i="8"/>
  <c r="CB108" i="8"/>
  <c r="CC108" i="8"/>
  <c r="CD108" i="8"/>
  <c r="CE108" i="8"/>
  <c r="CF108" i="8"/>
  <c r="AB109" i="8"/>
  <c r="AC109" i="8"/>
  <c r="AD109" i="8"/>
  <c r="AE109" i="8"/>
  <c r="AF109" i="8"/>
  <c r="AG109" i="8"/>
  <c r="AH109" i="8"/>
  <c r="AI109" i="8"/>
  <c r="AJ109" i="8"/>
  <c r="AK109" i="8"/>
  <c r="AL109" i="8"/>
  <c r="AM109" i="8"/>
  <c r="AN109" i="8"/>
  <c r="AO109" i="8"/>
  <c r="AP109" i="8"/>
  <c r="AQ109" i="8"/>
  <c r="AR109" i="8"/>
  <c r="AS109" i="8"/>
  <c r="AT109" i="8"/>
  <c r="AU109" i="8"/>
  <c r="AV109" i="8"/>
  <c r="AW109" i="8"/>
  <c r="AX109" i="8"/>
  <c r="AY109" i="8"/>
  <c r="AZ109" i="8"/>
  <c r="BA109" i="8"/>
  <c r="BB109" i="8"/>
  <c r="BC109" i="8"/>
  <c r="BD109" i="8"/>
  <c r="BE109" i="8"/>
  <c r="BF109" i="8"/>
  <c r="BG109" i="8"/>
  <c r="BH109" i="8"/>
  <c r="BI109" i="8"/>
  <c r="BJ109" i="8"/>
  <c r="BK109" i="8"/>
  <c r="BL109" i="8"/>
  <c r="BM109" i="8"/>
  <c r="BN109" i="8"/>
  <c r="BO109" i="8"/>
  <c r="BP109" i="8"/>
  <c r="BQ109" i="8"/>
  <c r="BR109" i="8"/>
  <c r="BS109" i="8"/>
  <c r="BT109" i="8"/>
  <c r="BU109" i="8"/>
  <c r="BV109" i="8"/>
  <c r="BW109" i="8"/>
  <c r="BX109" i="8"/>
  <c r="BY109" i="8"/>
  <c r="BZ109" i="8"/>
  <c r="CA109" i="8"/>
  <c r="CB109" i="8"/>
  <c r="CC109" i="8"/>
  <c r="CD109" i="8"/>
  <c r="CE109" i="8"/>
  <c r="CF109" i="8"/>
  <c r="AB110" i="8"/>
  <c r="AC110" i="8"/>
  <c r="AD110" i="8"/>
  <c r="AE110" i="8"/>
  <c r="AF110" i="8"/>
  <c r="AG110" i="8"/>
  <c r="AH110" i="8"/>
  <c r="AI110" i="8"/>
  <c r="AJ110" i="8"/>
  <c r="AK110" i="8"/>
  <c r="AL110" i="8"/>
  <c r="AM110" i="8"/>
  <c r="AN110" i="8"/>
  <c r="AO110" i="8"/>
  <c r="AP110" i="8"/>
  <c r="AQ110" i="8"/>
  <c r="AR110" i="8"/>
  <c r="AS110" i="8"/>
  <c r="AT110" i="8"/>
  <c r="AU110" i="8"/>
  <c r="AV110" i="8"/>
  <c r="AW110" i="8"/>
  <c r="AX110" i="8"/>
  <c r="AY110" i="8"/>
  <c r="AZ110" i="8"/>
  <c r="BA110" i="8"/>
  <c r="BB110" i="8"/>
  <c r="BC110" i="8"/>
  <c r="BD110" i="8"/>
  <c r="BE110" i="8"/>
  <c r="BF110" i="8"/>
  <c r="BG110" i="8"/>
  <c r="BH110" i="8"/>
  <c r="BI110" i="8"/>
  <c r="BJ110" i="8"/>
  <c r="BK110" i="8"/>
  <c r="BL110" i="8"/>
  <c r="BM110" i="8"/>
  <c r="BN110" i="8"/>
  <c r="BO110" i="8"/>
  <c r="BP110" i="8"/>
  <c r="BQ110" i="8"/>
  <c r="BR110" i="8"/>
  <c r="BS110" i="8"/>
  <c r="BT110" i="8"/>
  <c r="BU110" i="8"/>
  <c r="BV110" i="8"/>
  <c r="BW110" i="8"/>
  <c r="BX110" i="8"/>
  <c r="BY110" i="8"/>
  <c r="BZ110" i="8"/>
  <c r="CA110" i="8"/>
  <c r="CB110" i="8"/>
  <c r="CC110" i="8"/>
  <c r="CD110" i="8"/>
  <c r="CE110" i="8"/>
  <c r="CF110" i="8"/>
  <c r="AB111" i="8"/>
  <c r="AC111" i="8"/>
  <c r="AD111" i="8"/>
  <c r="AE111" i="8"/>
  <c r="AF111" i="8"/>
  <c r="AG111" i="8"/>
  <c r="AH111" i="8"/>
  <c r="AI111" i="8"/>
  <c r="AJ111" i="8"/>
  <c r="AK111" i="8"/>
  <c r="AL111" i="8"/>
  <c r="AM111" i="8"/>
  <c r="AN111" i="8"/>
  <c r="AO111" i="8"/>
  <c r="AP111" i="8"/>
  <c r="AQ111" i="8"/>
  <c r="AR111" i="8"/>
  <c r="AS111" i="8"/>
  <c r="AT111" i="8"/>
  <c r="AU111" i="8"/>
  <c r="AV111" i="8"/>
  <c r="AW111" i="8"/>
  <c r="AX111" i="8"/>
  <c r="AY111" i="8"/>
  <c r="AZ111" i="8"/>
  <c r="BA111" i="8"/>
  <c r="BB111" i="8"/>
  <c r="BC111" i="8"/>
  <c r="BD111" i="8"/>
  <c r="BE111" i="8"/>
  <c r="BF111" i="8"/>
  <c r="BG111" i="8"/>
  <c r="BH111" i="8"/>
  <c r="BI111" i="8"/>
  <c r="BJ111" i="8"/>
  <c r="BK111" i="8"/>
  <c r="BL111" i="8"/>
  <c r="BM111" i="8"/>
  <c r="BN111" i="8"/>
  <c r="BO111" i="8"/>
  <c r="BP111" i="8"/>
  <c r="BQ111" i="8"/>
  <c r="BR111" i="8"/>
  <c r="BS111" i="8"/>
  <c r="BT111" i="8"/>
  <c r="BU111" i="8"/>
  <c r="BV111" i="8"/>
  <c r="BW111" i="8"/>
  <c r="BX111" i="8"/>
  <c r="BY111" i="8"/>
  <c r="BZ111" i="8"/>
  <c r="CA111" i="8"/>
  <c r="CB111" i="8"/>
  <c r="CC111" i="8"/>
  <c r="CD111" i="8"/>
  <c r="CE111" i="8"/>
  <c r="CF111" i="8"/>
  <c r="AB112" i="8"/>
  <c r="AC112" i="8"/>
  <c r="AD112" i="8"/>
  <c r="AE112" i="8"/>
  <c r="AF112" i="8"/>
  <c r="AG112" i="8"/>
  <c r="AH112" i="8"/>
  <c r="AI112" i="8"/>
  <c r="AJ112" i="8"/>
  <c r="AK112" i="8"/>
  <c r="AL112" i="8"/>
  <c r="AM112" i="8"/>
  <c r="AN112" i="8"/>
  <c r="AO112" i="8"/>
  <c r="AP112" i="8"/>
  <c r="AQ112" i="8"/>
  <c r="AR112" i="8"/>
  <c r="AS112" i="8"/>
  <c r="AT112" i="8"/>
  <c r="AU112" i="8"/>
  <c r="AV112" i="8"/>
  <c r="AW112" i="8"/>
  <c r="AX112" i="8"/>
  <c r="AY112" i="8"/>
  <c r="AZ112" i="8"/>
  <c r="BA112" i="8"/>
  <c r="BB112" i="8"/>
  <c r="BC112" i="8"/>
  <c r="BD112" i="8"/>
  <c r="BE112" i="8"/>
  <c r="BF112" i="8"/>
  <c r="BG112" i="8"/>
  <c r="BH112" i="8"/>
  <c r="BI112" i="8"/>
  <c r="BJ112" i="8"/>
  <c r="BK112" i="8"/>
  <c r="BL112" i="8"/>
  <c r="BM112" i="8"/>
  <c r="BN112" i="8"/>
  <c r="BO112" i="8"/>
  <c r="BP112" i="8"/>
  <c r="BQ112" i="8"/>
  <c r="BR112" i="8"/>
  <c r="BS112" i="8"/>
  <c r="BT112" i="8"/>
  <c r="BU112" i="8"/>
  <c r="BV112" i="8"/>
  <c r="BW112" i="8"/>
  <c r="BX112" i="8"/>
  <c r="BY112" i="8"/>
  <c r="BZ112" i="8"/>
  <c r="CA112" i="8"/>
  <c r="CB112" i="8"/>
  <c r="CC112" i="8"/>
  <c r="CD112" i="8"/>
  <c r="CE112" i="8"/>
  <c r="CF112" i="8"/>
  <c r="AB113" i="8"/>
  <c r="AC113" i="8"/>
  <c r="AD113" i="8"/>
  <c r="AE113" i="8"/>
  <c r="AF113" i="8"/>
  <c r="AG113" i="8"/>
  <c r="AH113" i="8"/>
  <c r="AI113" i="8"/>
  <c r="AJ113" i="8"/>
  <c r="AK113" i="8"/>
  <c r="AL113" i="8"/>
  <c r="AM113" i="8"/>
  <c r="AN113" i="8"/>
  <c r="AO113" i="8"/>
  <c r="AP113" i="8"/>
  <c r="AQ113" i="8"/>
  <c r="AR113" i="8"/>
  <c r="AS113" i="8"/>
  <c r="AT113" i="8"/>
  <c r="AU113" i="8"/>
  <c r="AV113" i="8"/>
  <c r="AW113" i="8"/>
  <c r="AX113" i="8"/>
  <c r="AY113" i="8"/>
  <c r="AZ113" i="8"/>
  <c r="BA113" i="8"/>
  <c r="BB113" i="8"/>
  <c r="BC113" i="8"/>
  <c r="BD113" i="8"/>
  <c r="BE113" i="8"/>
  <c r="BF113" i="8"/>
  <c r="BG113" i="8"/>
  <c r="BH113" i="8"/>
  <c r="BI113" i="8"/>
  <c r="BJ113" i="8"/>
  <c r="BK113" i="8"/>
  <c r="BL113" i="8"/>
  <c r="BM113" i="8"/>
  <c r="BN113" i="8"/>
  <c r="BO113" i="8"/>
  <c r="BP113" i="8"/>
  <c r="BQ113" i="8"/>
  <c r="BR113" i="8"/>
  <c r="BS113" i="8"/>
  <c r="BT113" i="8"/>
  <c r="BU113" i="8"/>
  <c r="BV113" i="8"/>
  <c r="BW113" i="8"/>
  <c r="BX113" i="8"/>
  <c r="BY113" i="8"/>
  <c r="BZ113" i="8"/>
  <c r="CA113" i="8"/>
  <c r="CB113" i="8"/>
  <c r="CC113" i="8"/>
  <c r="CD113" i="8"/>
  <c r="CE113" i="8"/>
  <c r="CF113" i="8"/>
  <c r="AB114" i="8"/>
  <c r="AC114" i="8"/>
  <c r="AD114" i="8"/>
  <c r="AE114" i="8"/>
  <c r="AF114" i="8"/>
  <c r="AG114" i="8"/>
  <c r="AH114" i="8"/>
  <c r="AI114" i="8"/>
  <c r="AJ114" i="8"/>
  <c r="AK114" i="8"/>
  <c r="AL114" i="8"/>
  <c r="AM114" i="8"/>
  <c r="AN114" i="8"/>
  <c r="AO114" i="8"/>
  <c r="AP114" i="8"/>
  <c r="AQ114" i="8"/>
  <c r="AR114" i="8"/>
  <c r="AS114" i="8"/>
  <c r="AT114" i="8"/>
  <c r="AU114" i="8"/>
  <c r="AV114" i="8"/>
  <c r="AW114" i="8"/>
  <c r="AX114" i="8"/>
  <c r="AY114" i="8"/>
  <c r="AZ114" i="8"/>
  <c r="BA114" i="8"/>
  <c r="BB114" i="8"/>
  <c r="BC114" i="8"/>
  <c r="BD114" i="8"/>
  <c r="BE114" i="8"/>
  <c r="BF114" i="8"/>
  <c r="BG114" i="8"/>
  <c r="BH114" i="8"/>
  <c r="BI114" i="8"/>
  <c r="BJ114" i="8"/>
  <c r="BK114" i="8"/>
  <c r="BL114" i="8"/>
  <c r="BM114" i="8"/>
  <c r="BN114" i="8"/>
  <c r="BO114" i="8"/>
  <c r="BP114" i="8"/>
  <c r="BQ114" i="8"/>
  <c r="BR114" i="8"/>
  <c r="BS114" i="8"/>
  <c r="BT114" i="8"/>
  <c r="BU114" i="8"/>
  <c r="BV114" i="8"/>
  <c r="BW114" i="8"/>
  <c r="BX114" i="8"/>
  <c r="BY114" i="8"/>
  <c r="BZ114" i="8"/>
  <c r="CA114" i="8"/>
  <c r="CB114" i="8"/>
  <c r="CC114" i="8"/>
  <c r="CD114" i="8"/>
  <c r="CE114" i="8"/>
  <c r="CF114" i="8"/>
  <c r="AB115" i="8"/>
  <c r="AC115" i="8"/>
  <c r="AD115" i="8"/>
  <c r="AE115" i="8"/>
  <c r="AF115" i="8"/>
  <c r="AG115" i="8"/>
  <c r="AH115" i="8"/>
  <c r="AI115" i="8"/>
  <c r="AJ115" i="8"/>
  <c r="AK115" i="8"/>
  <c r="AL115" i="8"/>
  <c r="AM115" i="8"/>
  <c r="AN115" i="8"/>
  <c r="AO115" i="8"/>
  <c r="AP115" i="8"/>
  <c r="AQ115" i="8"/>
  <c r="AR115" i="8"/>
  <c r="AS115" i="8"/>
  <c r="AT115" i="8"/>
  <c r="AU115" i="8"/>
  <c r="AV115" i="8"/>
  <c r="AW115" i="8"/>
  <c r="AX115" i="8"/>
  <c r="AY115" i="8"/>
  <c r="AZ115" i="8"/>
  <c r="BA115" i="8"/>
  <c r="BB115" i="8"/>
  <c r="BC115" i="8"/>
  <c r="BD115" i="8"/>
  <c r="BE115" i="8"/>
  <c r="BF115" i="8"/>
  <c r="BG115" i="8"/>
  <c r="BH115" i="8"/>
  <c r="BI115" i="8"/>
  <c r="BJ115" i="8"/>
  <c r="BK115" i="8"/>
  <c r="BL115" i="8"/>
  <c r="BM115" i="8"/>
  <c r="BN115" i="8"/>
  <c r="BO115" i="8"/>
  <c r="BP115" i="8"/>
  <c r="BQ115" i="8"/>
  <c r="BR115" i="8"/>
  <c r="BS115" i="8"/>
  <c r="BT115" i="8"/>
  <c r="BU115" i="8"/>
  <c r="BV115" i="8"/>
  <c r="BW115" i="8"/>
  <c r="BX115" i="8"/>
  <c r="BY115" i="8"/>
  <c r="BZ115" i="8"/>
  <c r="CA115" i="8"/>
  <c r="CB115" i="8"/>
  <c r="CC115" i="8"/>
  <c r="CD115" i="8"/>
  <c r="CE115" i="8"/>
  <c r="CF115" i="8"/>
  <c r="AB116" i="8"/>
  <c r="AC116" i="8"/>
  <c r="AD116" i="8"/>
  <c r="AE116" i="8"/>
  <c r="AF116" i="8"/>
  <c r="AG116" i="8"/>
  <c r="AH116" i="8"/>
  <c r="AI116" i="8"/>
  <c r="AJ116" i="8"/>
  <c r="AK116" i="8"/>
  <c r="AL116" i="8"/>
  <c r="AM116" i="8"/>
  <c r="AN116" i="8"/>
  <c r="AO116" i="8"/>
  <c r="AP116" i="8"/>
  <c r="AQ116" i="8"/>
  <c r="AR116" i="8"/>
  <c r="AS116" i="8"/>
  <c r="AT116" i="8"/>
  <c r="AU116" i="8"/>
  <c r="AV116" i="8"/>
  <c r="AW116" i="8"/>
  <c r="AX116" i="8"/>
  <c r="AY116" i="8"/>
  <c r="AZ116" i="8"/>
  <c r="BA116" i="8"/>
  <c r="BB116" i="8"/>
  <c r="BC116" i="8"/>
  <c r="BD116" i="8"/>
  <c r="BE116" i="8"/>
  <c r="BF116" i="8"/>
  <c r="BG116" i="8"/>
  <c r="BH116" i="8"/>
  <c r="BI116" i="8"/>
  <c r="BJ116" i="8"/>
  <c r="BK116" i="8"/>
  <c r="BL116" i="8"/>
  <c r="BM116" i="8"/>
  <c r="BN116" i="8"/>
  <c r="BO116" i="8"/>
  <c r="BP116" i="8"/>
  <c r="BQ116" i="8"/>
  <c r="BR116" i="8"/>
  <c r="BS116" i="8"/>
  <c r="BT116" i="8"/>
  <c r="BU116" i="8"/>
  <c r="BV116" i="8"/>
  <c r="BW116" i="8"/>
  <c r="BX116" i="8"/>
  <c r="BY116" i="8"/>
  <c r="BZ116" i="8"/>
  <c r="CA116" i="8"/>
  <c r="CB116" i="8"/>
  <c r="CC116" i="8"/>
  <c r="CD116" i="8"/>
  <c r="CE116" i="8"/>
  <c r="CF116" i="8"/>
  <c r="AB117" i="8"/>
  <c r="AC117" i="8"/>
  <c r="AD117" i="8"/>
  <c r="AE117" i="8"/>
  <c r="AF117" i="8"/>
  <c r="AG117" i="8"/>
  <c r="AH117" i="8"/>
  <c r="AI117" i="8"/>
  <c r="AJ117" i="8"/>
  <c r="AK117" i="8"/>
  <c r="AL117" i="8"/>
  <c r="AM117" i="8"/>
  <c r="AN117" i="8"/>
  <c r="AO117" i="8"/>
  <c r="AP117" i="8"/>
  <c r="AQ117" i="8"/>
  <c r="AR117" i="8"/>
  <c r="AS117" i="8"/>
  <c r="AT117" i="8"/>
  <c r="AU117" i="8"/>
  <c r="AV117" i="8"/>
  <c r="AW117" i="8"/>
  <c r="AX117" i="8"/>
  <c r="AY117" i="8"/>
  <c r="AZ117" i="8"/>
  <c r="BA117" i="8"/>
  <c r="BB117" i="8"/>
  <c r="BC117" i="8"/>
  <c r="BD117" i="8"/>
  <c r="BE117" i="8"/>
  <c r="BF117" i="8"/>
  <c r="BG117" i="8"/>
  <c r="BH117" i="8"/>
  <c r="BI117" i="8"/>
  <c r="BJ117" i="8"/>
  <c r="BK117" i="8"/>
  <c r="BL117" i="8"/>
  <c r="BM117" i="8"/>
  <c r="BN117" i="8"/>
  <c r="BO117" i="8"/>
  <c r="BP117" i="8"/>
  <c r="BQ117" i="8"/>
  <c r="BR117" i="8"/>
  <c r="BS117" i="8"/>
  <c r="BT117" i="8"/>
  <c r="BU117" i="8"/>
  <c r="BV117" i="8"/>
  <c r="BW117" i="8"/>
  <c r="BX117" i="8"/>
  <c r="BY117" i="8"/>
  <c r="BZ117" i="8"/>
  <c r="CA117" i="8"/>
  <c r="CB117" i="8"/>
  <c r="CC117" i="8"/>
  <c r="CD117" i="8"/>
  <c r="CE117" i="8"/>
  <c r="CF117" i="8"/>
  <c r="AB118" i="8"/>
  <c r="AC118" i="8"/>
  <c r="AD118" i="8"/>
  <c r="AE118" i="8"/>
  <c r="AF118" i="8"/>
  <c r="AG118" i="8"/>
  <c r="AH118" i="8"/>
  <c r="AI118" i="8"/>
  <c r="AJ118" i="8"/>
  <c r="AK118" i="8"/>
  <c r="AL118" i="8"/>
  <c r="AM118" i="8"/>
  <c r="AN118" i="8"/>
  <c r="AO118" i="8"/>
  <c r="AP118" i="8"/>
  <c r="AQ118" i="8"/>
  <c r="AR118" i="8"/>
  <c r="AS118" i="8"/>
  <c r="AT118" i="8"/>
  <c r="AU118" i="8"/>
  <c r="AV118" i="8"/>
  <c r="AW118" i="8"/>
  <c r="AX118" i="8"/>
  <c r="AY118" i="8"/>
  <c r="AZ118" i="8"/>
  <c r="BA118" i="8"/>
  <c r="BB118" i="8"/>
  <c r="BC118" i="8"/>
  <c r="BD118" i="8"/>
  <c r="BE118" i="8"/>
  <c r="BF118" i="8"/>
  <c r="BG118" i="8"/>
  <c r="BH118" i="8"/>
  <c r="BI118" i="8"/>
  <c r="BJ118" i="8"/>
  <c r="BK118" i="8"/>
  <c r="BL118" i="8"/>
  <c r="BM118" i="8"/>
  <c r="BN118" i="8"/>
  <c r="BO118" i="8"/>
  <c r="BP118" i="8"/>
  <c r="BQ118" i="8"/>
  <c r="BR118" i="8"/>
  <c r="BS118" i="8"/>
  <c r="BT118" i="8"/>
  <c r="BU118" i="8"/>
  <c r="BV118" i="8"/>
  <c r="BW118" i="8"/>
  <c r="BX118" i="8"/>
  <c r="BY118" i="8"/>
  <c r="BZ118" i="8"/>
  <c r="CA118" i="8"/>
  <c r="CB118" i="8"/>
  <c r="CC118" i="8"/>
  <c r="CD118" i="8"/>
  <c r="CE118" i="8"/>
  <c r="CF118" i="8"/>
  <c r="AB119" i="8"/>
  <c r="AC119" i="8"/>
  <c r="AD119" i="8"/>
  <c r="AE119" i="8"/>
  <c r="AF119" i="8"/>
  <c r="AG119" i="8"/>
  <c r="AH119" i="8"/>
  <c r="AI119" i="8"/>
  <c r="AJ119" i="8"/>
  <c r="AK119" i="8"/>
  <c r="AL119" i="8"/>
  <c r="AM119" i="8"/>
  <c r="AN119" i="8"/>
  <c r="AO119" i="8"/>
  <c r="AP119" i="8"/>
  <c r="AQ119" i="8"/>
  <c r="AR119" i="8"/>
  <c r="AS119" i="8"/>
  <c r="AT119" i="8"/>
  <c r="AU119" i="8"/>
  <c r="AV119" i="8"/>
  <c r="AW119" i="8"/>
  <c r="AX119" i="8"/>
  <c r="AY119" i="8"/>
  <c r="AZ119" i="8"/>
  <c r="BA119" i="8"/>
  <c r="BB119" i="8"/>
  <c r="BC119" i="8"/>
  <c r="BD119" i="8"/>
  <c r="BE119" i="8"/>
  <c r="BF119" i="8"/>
  <c r="BG119" i="8"/>
  <c r="BH119" i="8"/>
  <c r="BI119" i="8"/>
  <c r="BJ119" i="8"/>
  <c r="BK119" i="8"/>
  <c r="BL119" i="8"/>
  <c r="BM119" i="8"/>
  <c r="BN119" i="8"/>
  <c r="BO119" i="8"/>
  <c r="BP119" i="8"/>
  <c r="BQ119" i="8"/>
  <c r="BR119" i="8"/>
  <c r="BS119" i="8"/>
  <c r="BT119" i="8"/>
  <c r="BU119" i="8"/>
  <c r="BV119" i="8"/>
  <c r="BW119" i="8"/>
  <c r="BX119" i="8"/>
  <c r="BY119" i="8"/>
  <c r="BZ119" i="8"/>
  <c r="CA119" i="8"/>
  <c r="CB119" i="8"/>
  <c r="CC119" i="8"/>
  <c r="CD119" i="8"/>
  <c r="CE119" i="8"/>
  <c r="CF119" i="8"/>
  <c r="AB120" i="8"/>
  <c r="AC120" i="8"/>
  <c r="AD120" i="8"/>
  <c r="AE120" i="8"/>
  <c r="AF120" i="8"/>
  <c r="AG120" i="8"/>
  <c r="AH120" i="8"/>
  <c r="AI120" i="8"/>
  <c r="AJ120" i="8"/>
  <c r="AK120" i="8"/>
  <c r="AL120" i="8"/>
  <c r="AM120" i="8"/>
  <c r="AN120" i="8"/>
  <c r="AO120" i="8"/>
  <c r="AP120" i="8"/>
  <c r="AQ120" i="8"/>
  <c r="AR120" i="8"/>
  <c r="AS120" i="8"/>
  <c r="AT120" i="8"/>
  <c r="AU120" i="8"/>
  <c r="AV120" i="8"/>
  <c r="AW120" i="8"/>
  <c r="AX120" i="8"/>
  <c r="AY120" i="8"/>
  <c r="AZ120" i="8"/>
  <c r="BA120" i="8"/>
  <c r="BB120" i="8"/>
  <c r="BC120" i="8"/>
  <c r="BD120" i="8"/>
  <c r="BE120" i="8"/>
  <c r="BF120" i="8"/>
  <c r="BG120" i="8"/>
  <c r="BH120" i="8"/>
  <c r="BI120" i="8"/>
  <c r="BJ120" i="8"/>
  <c r="BK120" i="8"/>
  <c r="BL120" i="8"/>
  <c r="BM120" i="8"/>
  <c r="BN120" i="8"/>
  <c r="BO120" i="8"/>
  <c r="BP120" i="8"/>
  <c r="BQ120" i="8"/>
  <c r="BR120" i="8"/>
  <c r="BS120" i="8"/>
  <c r="BT120" i="8"/>
  <c r="BU120" i="8"/>
  <c r="BV120" i="8"/>
  <c r="BW120" i="8"/>
  <c r="BX120" i="8"/>
  <c r="BY120" i="8"/>
  <c r="BZ120" i="8"/>
  <c r="CA120" i="8"/>
  <c r="CB120" i="8"/>
  <c r="CC120" i="8"/>
  <c r="CD120" i="8"/>
  <c r="CE120" i="8"/>
  <c r="CF120" i="8"/>
  <c r="AB121" i="8"/>
  <c r="AC121" i="8"/>
  <c r="AD121" i="8"/>
  <c r="AE121" i="8"/>
  <c r="AF121" i="8"/>
  <c r="AG121" i="8"/>
  <c r="AH121" i="8"/>
  <c r="AI121" i="8"/>
  <c r="AJ121" i="8"/>
  <c r="AK121" i="8"/>
  <c r="AL121" i="8"/>
  <c r="AM121" i="8"/>
  <c r="AN121" i="8"/>
  <c r="AO121" i="8"/>
  <c r="AP121" i="8"/>
  <c r="AQ121" i="8"/>
  <c r="AR121" i="8"/>
  <c r="AS121" i="8"/>
  <c r="AT121" i="8"/>
  <c r="AU121" i="8"/>
  <c r="AV121" i="8"/>
  <c r="AW121" i="8"/>
  <c r="AX121" i="8"/>
  <c r="AY121" i="8"/>
  <c r="AZ121" i="8"/>
  <c r="BA121" i="8"/>
  <c r="BB121" i="8"/>
  <c r="BC121" i="8"/>
  <c r="BD121" i="8"/>
  <c r="BE121" i="8"/>
  <c r="BF121" i="8"/>
  <c r="BG121" i="8"/>
  <c r="BH121" i="8"/>
  <c r="BI121" i="8"/>
  <c r="BJ121" i="8"/>
  <c r="BK121" i="8"/>
  <c r="BL121" i="8"/>
  <c r="BM121" i="8"/>
  <c r="BN121" i="8"/>
  <c r="BO121" i="8"/>
  <c r="BP121" i="8"/>
  <c r="BQ121" i="8"/>
  <c r="BR121" i="8"/>
  <c r="BS121" i="8"/>
  <c r="BT121" i="8"/>
  <c r="BU121" i="8"/>
  <c r="BV121" i="8"/>
  <c r="BW121" i="8"/>
  <c r="BX121" i="8"/>
  <c r="BY121" i="8"/>
  <c r="BZ121" i="8"/>
  <c r="CA121" i="8"/>
  <c r="CB121" i="8"/>
  <c r="CC121" i="8"/>
  <c r="CD121" i="8"/>
  <c r="CE121" i="8"/>
  <c r="CF121" i="8"/>
  <c r="AB122" i="8"/>
  <c r="AC122" i="8"/>
  <c r="AD122" i="8"/>
  <c r="AE122" i="8"/>
  <c r="AF122" i="8"/>
  <c r="AG122" i="8"/>
  <c r="AH122" i="8"/>
  <c r="AI122" i="8"/>
  <c r="AJ122" i="8"/>
  <c r="AK122" i="8"/>
  <c r="AL122" i="8"/>
  <c r="AM122" i="8"/>
  <c r="AN122" i="8"/>
  <c r="AO122" i="8"/>
  <c r="AP122" i="8"/>
  <c r="AQ122" i="8"/>
  <c r="AR122" i="8"/>
  <c r="AS122" i="8"/>
  <c r="AT122" i="8"/>
  <c r="AU122" i="8"/>
  <c r="AV122" i="8"/>
  <c r="AW122" i="8"/>
  <c r="AX122" i="8"/>
  <c r="AY122" i="8"/>
  <c r="AZ122" i="8"/>
  <c r="BA122" i="8"/>
  <c r="BB122" i="8"/>
  <c r="BC122" i="8"/>
  <c r="BD122" i="8"/>
  <c r="BE122" i="8"/>
  <c r="BF122" i="8"/>
  <c r="BG122" i="8"/>
  <c r="BH122" i="8"/>
  <c r="BI122" i="8"/>
  <c r="BJ122" i="8"/>
  <c r="BK122" i="8"/>
  <c r="BL122" i="8"/>
  <c r="BM122" i="8"/>
  <c r="BN122" i="8"/>
  <c r="BO122" i="8"/>
  <c r="BP122" i="8"/>
  <c r="BQ122" i="8"/>
  <c r="BR122" i="8"/>
  <c r="BS122" i="8"/>
  <c r="BT122" i="8"/>
  <c r="BU122" i="8"/>
  <c r="BV122" i="8"/>
  <c r="BW122" i="8"/>
  <c r="BX122" i="8"/>
  <c r="BY122" i="8"/>
  <c r="BZ122" i="8"/>
  <c r="CA122" i="8"/>
  <c r="CB122" i="8"/>
  <c r="CC122" i="8"/>
  <c r="CD122" i="8"/>
  <c r="CE122" i="8"/>
  <c r="CF122" i="8"/>
  <c r="AB123" i="8"/>
  <c r="AC123" i="8"/>
  <c r="AD123" i="8"/>
  <c r="AE123" i="8"/>
  <c r="AF123" i="8"/>
  <c r="AG123" i="8"/>
  <c r="AH123" i="8"/>
  <c r="AI123" i="8"/>
  <c r="AJ123" i="8"/>
  <c r="AK123" i="8"/>
  <c r="AL123" i="8"/>
  <c r="AM123" i="8"/>
  <c r="AN123" i="8"/>
  <c r="AO123" i="8"/>
  <c r="AP123" i="8"/>
  <c r="AQ123" i="8"/>
  <c r="AR123" i="8"/>
  <c r="AS123" i="8"/>
  <c r="AT123" i="8"/>
  <c r="AU123" i="8"/>
  <c r="AV123" i="8"/>
  <c r="AW123" i="8"/>
  <c r="AX123" i="8"/>
  <c r="AY123" i="8"/>
  <c r="AZ123" i="8"/>
  <c r="BA123" i="8"/>
  <c r="BB123" i="8"/>
  <c r="BC123" i="8"/>
  <c r="BD123" i="8"/>
  <c r="BE123" i="8"/>
  <c r="BF123" i="8"/>
  <c r="BG123" i="8"/>
  <c r="BH123" i="8"/>
  <c r="BI123" i="8"/>
  <c r="BJ123" i="8"/>
  <c r="BK123" i="8"/>
  <c r="BL123" i="8"/>
  <c r="BM123" i="8"/>
  <c r="BN123" i="8"/>
  <c r="BO123" i="8"/>
  <c r="BP123" i="8"/>
  <c r="BQ123" i="8"/>
  <c r="BR123" i="8"/>
  <c r="BS123" i="8"/>
  <c r="BT123" i="8"/>
  <c r="BU123" i="8"/>
  <c r="BV123" i="8"/>
  <c r="BW123" i="8"/>
  <c r="BX123" i="8"/>
  <c r="BY123" i="8"/>
  <c r="BZ123" i="8"/>
  <c r="CA123" i="8"/>
  <c r="CB123" i="8"/>
  <c r="CC123" i="8"/>
  <c r="CD123" i="8"/>
  <c r="CE123" i="8"/>
  <c r="CF123" i="8"/>
  <c r="AB124" i="8"/>
  <c r="AC124" i="8"/>
  <c r="AD124" i="8"/>
  <c r="AE124" i="8"/>
  <c r="AF124" i="8"/>
  <c r="AG124" i="8"/>
  <c r="AH124" i="8"/>
  <c r="AI124" i="8"/>
  <c r="AJ124" i="8"/>
  <c r="AK124" i="8"/>
  <c r="AL124" i="8"/>
  <c r="AM124" i="8"/>
  <c r="AN124" i="8"/>
  <c r="AO124" i="8"/>
  <c r="AP124" i="8"/>
  <c r="AQ124" i="8"/>
  <c r="AR124" i="8"/>
  <c r="AS124" i="8"/>
  <c r="AT124" i="8"/>
  <c r="AU124" i="8"/>
  <c r="AV124" i="8"/>
  <c r="AW124" i="8"/>
  <c r="AX124" i="8"/>
  <c r="AY124" i="8"/>
  <c r="AZ124" i="8"/>
  <c r="BA124" i="8"/>
  <c r="BB124" i="8"/>
  <c r="BC124" i="8"/>
  <c r="BD124" i="8"/>
  <c r="BE124" i="8"/>
  <c r="BF124" i="8"/>
  <c r="BG124" i="8"/>
  <c r="BH124" i="8"/>
  <c r="BI124" i="8"/>
  <c r="BJ124" i="8"/>
  <c r="BK124" i="8"/>
  <c r="BL124" i="8"/>
  <c r="BM124" i="8"/>
  <c r="BN124" i="8"/>
  <c r="BO124" i="8"/>
  <c r="BP124" i="8"/>
  <c r="BQ124" i="8"/>
  <c r="BR124" i="8"/>
  <c r="BS124" i="8"/>
  <c r="BT124" i="8"/>
  <c r="BU124" i="8"/>
  <c r="BV124" i="8"/>
  <c r="BW124" i="8"/>
  <c r="BX124" i="8"/>
  <c r="BY124" i="8"/>
  <c r="BZ124" i="8"/>
  <c r="CA124" i="8"/>
  <c r="CB124" i="8"/>
  <c r="CC124" i="8"/>
  <c r="CD124" i="8"/>
  <c r="CE124" i="8"/>
  <c r="CF124" i="8"/>
  <c r="AB125" i="8"/>
  <c r="AC125" i="8"/>
  <c r="AD125" i="8"/>
  <c r="AE125" i="8"/>
  <c r="AF125" i="8"/>
  <c r="AG125" i="8"/>
  <c r="AH125" i="8"/>
  <c r="AI125" i="8"/>
  <c r="AJ125" i="8"/>
  <c r="AK125" i="8"/>
  <c r="AL125" i="8"/>
  <c r="AM125" i="8"/>
  <c r="AN125" i="8"/>
  <c r="AO125" i="8"/>
  <c r="AP125" i="8"/>
  <c r="AQ125" i="8"/>
  <c r="AR125" i="8"/>
  <c r="AS125" i="8"/>
  <c r="AT125" i="8"/>
  <c r="AU125" i="8"/>
  <c r="AV125" i="8"/>
  <c r="AW125" i="8"/>
  <c r="AX125" i="8"/>
  <c r="AY125" i="8"/>
  <c r="AZ125" i="8"/>
  <c r="BA125" i="8"/>
  <c r="BB125" i="8"/>
  <c r="BC125" i="8"/>
  <c r="BD125" i="8"/>
  <c r="BE125" i="8"/>
  <c r="BF125" i="8"/>
  <c r="BG125" i="8"/>
  <c r="BH125" i="8"/>
  <c r="BI125" i="8"/>
  <c r="BJ125" i="8"/>
  <c r="BK125" i="8"/>
  <c r="BL125" i="8"/>
  <c r="BM125" i="8"/>
  <c r="BN125" i="8"/>
  <c r="BO125" i="8"/>
  <c r="BP125" i="8"/>
  <c r="BQ125" i="8"/>
  <c r="BR125" i="8"/>
  <c r="BS125" i="8"/>
  <c r="BT125" i="8"/>
  <c r="BU125" i="8"/>
  <c r="BV125" i="8"/>
  <c r="BW125" i="8"/>
  <c r="BX125" i="8"/>
  <c r="BY125" i="8"/>
  <c r="BZ125" i="8"/>
  <c r="CA125" i="8"/>
  <c r="CB125" i="8"/>
  <c r="CC125" i="8"/>
  <c r="CD125" i="8"/>
  <c r="CE125" i="8"/>
  <c r="CF125" i="8"/>
  <c r="AB126" i="8"/>
  <c r="AC126" i="8"/>
  <c r="AD126" i="8"/>
  <c r="AE126" i="8"/>
  <c r="AF126" i="8"/>
  <c r="AG126" i="8"/>
  <c r="AH126" i="8"/>
  <c r="AI126" i="8"/>
  <c r="AJ126" i="8"/>
  <c r="AK126" i="8"/>
  <c r="AL126" i="8"/>
  <c r="AM126" i="8"/>
  <c r="AN126" i="8"/>
  <c r="AO126" i="8"/>
  <c r="AP126" i="8"/>
  <c r="AQ126" i="8"/>
  <c r="AR126" i="8"/>
  <c r="AS126" i="8"/>
  <c r="AT126" i="8"/>
  <c r="AU126" i="8"/>
  <c r="AV126" i="8"/>
  <c r="AW126" i="8"/>
  <c r="AX126" i="8"/>
  <c r="AY126" i="8"/>
  <c r="AZ126" i="8"/>
  <c r="BA126" i="8"/>
  <c r="BB126" i="8"/>
  <c r="BC126" i="8"/>
  <c r="BD126" i="8"/>
  <c r="BE126" i="8"/>
  <c r="BF126" i="8"/>
  <c r="BG126" i="8"/>
  <c r="BH126" i="8"/>
  <c r="BI126" i="8"/>
  <c r="BJ126" i="8"/>
  <c r="BK126" i="8"/>
  <c r="BL126" i="8"/>
  <c r="BM126" i="8"/>
  <c r="BN126" i="8"/>
  <c r="BO126" i="8"/>
  <c r="BP126" i="8"/>
  <c r="BQ126" i="8"/>
  <c r="BR126" i="8"/>
  <c r="BS126" i="8"/>
  <c r="BT126" i="8"/>
  <c r="BU126" i="8"/>
  <c r="BV126" i="8"/>
  <c r="BW126" i="8"/>
  <c r="BX126" i="8"/>
  <c r="BY126" i="8"/>
  <c r="BZ126" i="8"/>
  <c r="CA126" i="8"/>
  <c r="CB126" i="8"/>
  <c r="CC126" i="8"/>
  <c r="CD126" i="8"/>
  <c r="CE126" i="8"/>
  <c r="CF126" i="8"/>
  <c r="AB127" i="8"/>
  <c r="AC127" i="8"/>
  <c r="AD127" i="8"/>
  <c r="AE127" i="8"/>
  <c r="AF127" i="8"/>
  <c r="AG127" i="8"/>
  <c r="AH127" i="8"/>
  <c r="AI127" i="8"/>
  <c r="AJ127" i="8"/>
  <c r="AK127" i="8"/>
  <c r="AL127" i="8"/>
  <c r="AM127" i="8"/>
  <c r="AN127" i="8"/>
  <c r="AO127" i="8"/>
  <c r="AP127" i="8"/>
  <c r="AQ127" i="8"/>
  <c r="AR127" i="8"/>
  <c r="AS127" i="8"/>
  <c r="AT127" i="8"/>
  <c r="AU127" i="8"/>
  <c r="AV127" i="8"/>
  <c r="AW127" i="8"/>
  <c r="AX127" i="8"/>
  <c r="AY127" i="8"/>
  <c r="AZ127" i="8"/>
  <c r="BA127" i="8"/>
  <c r="BB127" i="8"/>
  <c r="BC127" i="8"/>
  <c r="BD127" i="8"/>
  <c r="BE127" i="8"/>
  <c r="BF127" i="8"/>
  <c r="BG127" i="8"/>
  <c r="BH127" i="8"/>
  <c r="BI127" i="8"/>
  <c r="BJ127" i="8"/>
  <c r="BK127" i="8"/>
  <c r="BL127" i="8"/>
  <c r="BM127" i="8"/>
  <c r="BN127" i="8"/>
  <c r="BO127" i="8"/>
  <c r="BP127" i="8"/>
  <c r="BQ127" i="8"/>
  <c r="BR127" i="8"/>
  <c r="BS127" i="8"/>
  <c r="BT127" i="8"/>
  <c r="BU127" i="8"/>
  <c r="BV127" i="8"/>
  <c r="BW127" i="8"/>
  <c r="BX127" i="8"/>
  <c r="BY127" i="8"/>
  <c r="BZ127" i="8"/>
  <c r="CA127" i="8"/>
  <c r="CB127" i="8"/>
  <c r="CC127" i="8"/>
  <c r="CD127" i="8"/>
  <c r="CE127" i="8"/>
  <c r="CF127" i="8"/>
  <c r="AB128" i="8"/>
  <c r="AC128" i="8"/>
  <c r="AD128" i="8"/>
  <c r="AE128" i="8"/>
  <c r="AF128" i="8"/>
  <c r="AG128" i="8"/>
  <c r="AH128" i="8"/>
  <c r="AI128" i="8"/>
  <c r="AJ128" i="8"/>
  <c r="AK128" i="8"/>
  <c r="AL128" i="8"/>
  <c r="AM128" i="8"/>
  <c r="AN128" i="8"/>
  <c r="AO128" i="8"/>
  <c r="AP128" i="8"/>
  <c r="AQ128" i="8"/>
  <c r="AR128" i="8"/>
  <c r="AS128" i="8"/>
  <c r="AT128" i="8"/>
  <c r="AU128" i="8"/>
  <c r="AV128" i="8"/>
  <c r="AW128" i="8"/>
  <c r="AX128" i="8"/>
  <c r="AY128" i="8"/>
  <c r="AZ128" i="8"/>
  <c r="BA128" i="8"/>
  <c r="BB128" i="8"/>
  <c r="BC128" i="8"/>
  <c r="BD128" i="8"/>
  <c r="BE128" i="8"/>
  <c r="BF128" i="8"/>
  <c r="BG128" i="8"/>
  <c r="BH128" i="8"/>
  <c r="BI128" i="8"/>
  <c r="BJ128" i="8"/>
  <c r="BK128" i="8"/>
  <c r="BL128" i="8"/>
  <c r="BM128" i="8"/>
  <c r="BN128" i="8"/>
  <c r="BO128" i="8"/>
  <c r="BP128" i="8"/>
  <c r="BQ128" i="8"/>
  <c r="BR128" i="8"/>
  <c r="BS128" i="8"/>
  <c r="BT128" i="8"/>
  <c r="BU128" i="8"/>
  <c r="BV128" i="8"/>
  <c r="BW128" i="8"/>
  <c r="BX128" i="8"/>
  <c r="BY128" i="8"/>
  <c r="BZ128" i="8"/>
  <c r="CA128" i="8"/>
  <c r="CB128" i="8"/>
  <c r="CC128" i="8"/>
  <c r="CD128" i="8"/>
  <c r="CE128" i="8"/>
  <c r="CF128" i="8"/>
  <c r="AB129" i="8"/>
  <c r="AC129" i="8"/>
  <c r="AD129" i="8"/>
  <c r="AE129" i="8"/>
  <c r="AF129" i="8"/>
  <c r="AG129" i="8"/>
  <c r="AH129" i="8"/>
  <c r="AI129" i="8"/>
  <c r="AJ129" i="8"/>
  <c r="AK129" i="8"/>
  <c r="AL129" i="8"/>
  <c r="AM129" i="8"/>
  <c r="AN129" i="8"/>
  <c r="AO129" i="8"/>
  <c r="AP129" i="8"/>
  <c r="AQ129" i="8"/>
  <c r="AR129" i="8"/>
  <c r="AS129" i="8"/>
  <c r="AT129" i="8"/>
  <c r="AU129" i="8"/>
  <c r="AV129" i="8"/>
  <c r="AW129" i="8"/>
  <c r="AX129" i="8"/>
  <c r="AY129" i="8"/>
  <c r="AZ129" i="8"/>
  <c r="BA129" i="8"/>
  <c r="BB129" i="8"/>
  <c r="BC129" i="8"/>
  <c r="BD129" i="8"/>
  <c r="BE129" i="8"/>
  <c r="BF129" i="8"/>
  <c r="BG129" i="8"/>
  <c r="BH129" i="8"/>
  <c r="BI129" i="8"/>
  <c r="BJ129" i="8"/>
  <c r="BK129" i="8"/>
  <c r="BL129" i="8"/>
  <c r="BM129" i="8"/>
  <c r="BN129" i="8"/>
  <c r="BO129" i="8"/>
  <c r="BP129" i="8"/>
  <c r="BQ129" i="8"/>
  <c r="BR129" i="8"/>
  <c r="BS129" i="8"/>
  <c r="BT129" i="8"/>
  <c r="BU129" i="8"/>
  <c r="BV129" i="8"/>
  <c r="BW129" i="8"/>
  <c r="BX129" i="8"/>
  <c r="BY129" i="8"/>
  <c r="BZ129" i="8"/>
  <c r="CA129" i="8"/>
  <c r="CB129" i="8"/>
  <c r="CC129" i="8"/>
  <c r="CD129" i="8"/>
  <c r="CE129" i="8"/>
  <c r="CF129" i="8"/>
  <c r="AB130" i="8"/>
  <c r="AC130" i="8"/>
  <c r="AD130" i="8"/>
  <c r="AE130" i="8"/>
  <c r="AF130" i="8"/>
  <c r="AG130" i="8"/>
  <c r="AH130" i="8"/>
  <c r="AI130" i="8"/>
  <c r="AJ130" i="8"/>
  <c r="AK130" i="8"/>
  <c r="AL130" i="8"/>
  <c r="AM130" i="8"/>
  <c r="AN130" i="8"/>
  <c r="AO130" i="8"/>
  <c r="AP130" i="8"/>
  <c r="AQ130" i="8"/>
  <c r="AR130" i="8"/>
  <c r="AS130" i="8"/>
  <c r="AT130" i="8"/>
  <c r="AU130" i="8"/>
  <c r="AV130" i="8"/>
  <c r="AW130" i="8"/>
  <c r="AX130" i="8"/>
  <c r="AY130" i="8"/>
  <c r="AZ130" i="8"/>
  <c r="BA130" i="8"/>
  <c r="BB130" i="8"/>
  <c r="BC130" i="8"/>
  <c r="BD130" i="8"/>
  <c r="BE130" i="8"/>
  <c r="BF130" i="8"/>
  <c r="BG130" i="8"/>
  <c r="BH130" i="8"/>
  <c r="BI130" i="8"/>
  <c r="BJ130" i="8"/>
  <c r="BK130" i="8"/>
  <c r="BL130" i="8"/>
  <c r="BM130" i="8"/>
  <c r="BN130" i="8"/>
  <c r="BO130" i="8"/>
  <c r="BP130" i="8"/>
  <c r="BQ130" i="8"/>
  <c r="BR130" i="8"/>
  <c r="BS130" i="8"/>
  <c r="BT130" i="8"/>
  <c r="BU130" i="8"/>
  <c r="BV130" i="8"/>
  <c r="BW130" i="8"/>
  <c r="BX130" i="8"/>
  <c r="BY130" i="8"/>
  <c r="BZ130" i="8"/>
  <c r="CA130" i="8"/>
  <c r="CB130" i="8"/>
  <c r="CC130" i="8"/>
  <c r="CD130" i="8"/>
  <c r="CE130" i="8"/>
  <c r="CF130" i="8"/>
  <c r="AB131" i="8"/>
  <c r="AC131" i="8"/>
  <c r="AD131" i="8"/>
  <c r="AE131" i="8"/>
  <c r="AF131" i="8"/>
  <c r="AG131" i="8"/>
  <c r="AH131" i="8"/>
  <c r="AI131" i="8"/>
  <c r="AJ131" i="8"/>
  <c r="AK131" i="8"/>
  <c r="AL131" i="8"/>
  <c r="AM131" i="8"/>
  <c r="AN131" i="8"/>
  <c r="AO131" i="8"/>
  <c r="AP131" i="8"/>
  <c r="AQ131" i="8"/>
  <c r="AR131" i="8"/>
  <c r="AS131" i="8"/>
  <c r="AT131" i="8"/>
  <c r="AU131" i="8"/>
  <c r="AV131" i="8"/>
  <c r="AW131" i="8"/>
  <c r="AX131" i="8"/>
  <c r="AY131" i="8"/>
  <c r="AZ131" i="8"/>
  <c r="BA131" i="8"/>
  <c r="BB131" i="8"/>
  <c r="BC131" i="8"/>
  <c r="BD131" i="8"/>
  <c r="BE131" i="8"/>
  <c r="BF131" i="8"/>
  <c r="BG131" i="8"/>
  <c r="BH131" i="8"/>
  <c r="BI131" i="8"/>
  <c r="BJ131" i="8"/>
  <c r="BK131" i="8"/>
  <c r="BL131" i="8"/>
  <c r="BM131" i="8"/>
  <c r="BN131" i="8"/>
  <c r="BO131" i="8"/>
  <c r="BP131" i="8"/>
  <c r="BQ131" i="8"/>
  <c r="BR131" i="8"/>
  <c r="BS131" i="8"/>
  <c r="BT131" i="8"/>
  <c r="BU131" i="8"/>
  <c r="BV131" i="8"/>
  <c r="BW131" i="8"/>
  <c r="BX131" i="8"/>
  <c r="BY131" i="8"/>
  <c r="BZ131" i="8"/>
  <c r="CA131" i="8"/>
  <c r="CB131" i="8"/>
  <c r="CC131" i="8"/>
  <c r="CD131" i="8"/>
  <c r="CE131" i="8"/>
  <c r="CF131" i="8"/>
  <c r="AB132" i="8"/>
  <c r="AC132" i="8"/>
  <c r="AD132" i="8"/>
  <c r="AE132" i="8"/>
  <c r="AF132" i="8"/>
  <c r="AG132" i="8"/>
  <c r="AH132" i="8"/>
  <c r="AI132" i="8"/>
  <c r="AJ132" i="8"/>
  <c r="AK132" i="8"/>
  <c r="AL132" i="8"/>
  <c r="AM132" i="8"/>
  <c r="AN132" i="8"/>
  <c r="AO132" i="8"/>
  <c r="AP132" i="8"/>
  <c r="AQ132" i="8"/>
  <c r="AR132" i="8"/>
  <c r="AS132" i="8"/>
  <c r="AT132" i="8"/>
  <c r="AU132" i="8"/>
  <c r="AV132" i="8"/>
  <c r="AW132" i="8"/>
  <c r="AX132" i="8"/>
  <c r="AY132" i="8"/>
  <c r="AZ132" i="8"/>
  <c r="BA132" i="8"/>
  <c r="BB132" i="8"/>
  <c r="BC132" i="8"/>
  <c r="BD132" i="8"/>
  <c r="BE132" i="8"/>
  <c r="BF132" i="8"/>
  <c r="BG132" i="8"/>
  <c r="BH132" i="8"/>
  <c r="BI132" i="8"/>
  <c r="BJ132" i="8"/>
  <c r="BK132" i="8"/>
  <c r="BL132" i="8"/>
  <c r="BM132" i="8"/>
  <c r="BN132" i="8"/>
  <c r="BO132" i="8"/>
  <c r="BP132" i="8"/>
  <c r="BQ132" i="8"/>
  <c r="BR132" i="8"/>
  <c r="BS132" i="8"/>
  <c r="BT132" i="8"/>
  <c r="BU132" i="8"/>
  <c r="BV132" i="8"/>
  <c r="BW132" i="8"/>
  <c r="BX132" i="8"/>
  <c r="BY132" i="8"/>
  <c r="BZ132" i="8"/>
  <c r="CA132" i="8"/>
  <c r="CB132" i="8"/>
  <c r="CC132" i="8"/>
  <c r="CD132" i="8"/>
  <c r="CE132" i="8"/>
  <c r="CF132" i="8"/>
  <c r="AB133" i="8"/>
  <c r="AC133" i="8"/>
  <c r="AD133" i="8"/>
  <c r="AE133" i="8"/>
  <c r="AF133" i="8"/>
  <c r="AG133" i="8"/>
  <c r="AH133" i="8"/>
  <c r="AI133" i="8"/>
  <c r="AJ133" i="8"/>
  <c r="AK133" i="8"/>
  <c r="AL133" i="8"/>
  <c r="AM133" i="8"/>
  <c r="AN133" i="8"/>
  <c r="AO133" i="8"/>
  <c r="AP133" i="8"/>
  <c r="AQ133" i="8"/>
  <c r="AR133" i="8"/>
  <c r="AS133" i="8"/>
  <c r="AT133" i="8"/>
  <c r="AU133" i="8"/>
  <c r="AV133" i="8"/>
  <c r="AW133" i="8"/>
  <c r="AX133" i="8"/>
  <c r="AY133" i="8"/>
  <c r="AZ133" i="8"/>
  <c r="BA133" i="8"/>
  <c r="BB133" i="8"/>
  <c r="BC133" i="8"/>
  <c r="BD133" i="8"/>
  <c r="BE133" i="8"/>
  <c r="BF133" i="8"/>
  <c r="BG133" i="8"/>
  <c r="BH133" i="8"/>
  <c r="BI133" i="8"/>
  <c r="BJ133" i="8"/>
  <c r="BK133" i="8"/>
  <c r="BL133" i="8"/>
  <c r="BM133" i="8"/>
  <c r="BN133" i="8"/>
  <c r="BO133" i="8"/>
  <c r="BP133" i="8"/>
  <c r="BQ133" i="8"/>
  <c r="BR133" i="8"/>
  <c r="BS133" i="8"/>
  <c r="BT133" i="8"/>
  <c r="BU133" i="8"/>
  <c r="BV133" i="8"/>
  <c r="BW133" i="8"/>
  <c r="BX133" i="8"/>
  <c r="BY133" i="8"/>
  <c r="BZ133" i="8"/>
  <c r="CA133" i="8"/>
  <c r="CB133" i="8"/>
  <c r="CC133" i="8"/>
  <c r="CD133" i="8"/>
  <c r="CE133" i="8"/>
  <c r="CF133" i="8"/>
  <c r="AB134" i="8"/>
  <c r="AC134" i="8"/>
  <c r="AD134" i="8"/>
  <c r="AE134" i="8"/>
  <c r="AF134" i="8"/>
  <c r="AG134" i="8"/>
  <c r="AH134" i="8"/>
  <c r="AI134" i="8"/>
  <c r="AJ134" i="8"/>
  <c r="AK134" i="8"/>
  <c r="AL134" i="8"/>
  <c r="AM134" i="8"/>
  <c r="AN134" i="8"/>
  <c r="AO134" i="8"/>
  <c r="AP134" i="8"/>
  <c r="AQ134" i="8"/>
  <c r="AR134" i="8"/>
  <c r="AS134" i="8"/>
  <c r="AT134" i="8"/>
  <c r="AU134" i="8"/>
  <c r="AV134" i="8"/>
  <c r="AW134" i="8"/>
  <c r="AX134" i="8"/>
  <c r="AY134" i="8"/>
  <c r="AZ134" i="8"/>
  <c r="BA134" i="8"/>
  <c r="BB134" i="8"/>
  <c r="BC134" i="8"/>
  <c r="BD134" i="8"/>
  <c r="BE134" i="8"/>
  <c r="BF134" i="8"/>
  <c r="BG134" i="8"/>
  <c r="BH134" i="8"/>
  <c r="BI134" i="8"/>
  <c r="BJ134" i="8"/>
  <c r="BK134" i="8"/>
  <c r="BL134" i="8"/>
  <c r="BM134" i="8"/>
  <c r="BN134" i="8"/>
  <c r="BO134" i="8"/>
  <c r="BP134" i="8"/>
  <c r="BQ134" i="8"/>
  <c r="BR134" i="8"/>
  <c r="BS134" i="8"/>
  <c r="BT134" i="8"/>
  <c r="BU134" i="8"/>
  <c r="BV134" i="8"/>
  <c r="BW134" i="8"/>
  <c r="BX134" i="8"/>
  <c r="BY134" i="8"/>
  <c r="BZ134" i="8"/>
  <c r="CA134" i="8"/>
  <c r="CB134" i="8"/>
  <c r="CC134" i="8"/>
  <c r="CD134" i="8"/>
  <c r="CE134" i="8"/>
  <c r="CF134" i="8"/>
  <c r="AB135" i="8"/>
  <c r="AC135" i="8"/>
  <c r="AD135" i="8"/>
  <c r="AE135" i="8"/>
  <c r="AF135" i="8"/>
  <c r="AG135" i="8"/>
  <c r="AH135" i="8"/>
  <c r="AI135" i="8"/>
  <c r="AJ135" i="8"/>
  <c r="AK135" i="8"/>
  <c r="AL135" i="8"/>
  <c r="AM135" i="8"/>
  <c r="AN135" i="8"/>
  <c r="AO135" i="8"/>
  <c r="AP135" i="8"/>
  <c r="AQ135" i="8"/>
  <c r="AR135" i="8"/>
  <c r="AS135" i="8"/>
  <c r="AT135" i="8"/>
  <c r="AU135" i="8"/>
  <c r="AV135" i="8"/>
  <c r="AW135" i="8"/>
  <c r="AX135" i="8"/>
  <c r="AY135" i="8"/>
  <c r="AZ135" i="8"/>
  <c r="BA135" i="8"/>
  <c r="BB135" i="8"/>
  <c r="BC135" i="8"/>
  <c r="BD135" i="8"/>
  <c r="BE135" i="8"/>
  <c r="BF135" i="8"/>
  <c r="BG135" i="8"/>
  <c r="BH135" i="8"/>
  <c r="BI135" i="8"/>
  <c r="BJ135" i="8"/>
  <c r="BK135" i="8"/>
  <c r="BL135" i="8"/>
  <c r="BM135" i="8"/>
  <c r="BN135" i="8"/>
  <c r="BO135" i="8"/>
  <c r="BP135" i="8"/>
  <c r="BQ135" i="8"/>
  <c r="BR135" i="8"/>
  <c r="BS135" i="8"/>
  <c r="BT135" i="8"/>
  <c r="BU135" i="8"/>
  <c r="BV135" i="8"/>
  <c r="BW135" i="8"/>
  <c r="BX135" i="8"/>
  <c r="BY135" i="8"/>
  <c r="BZ135" i="8"/>
  <c r="CA135" i="8"/>
  <c r="CB135" i="8"/>
  <c r="CC135" i="8"/>
  <c r="CD135" i="8"/>
  <c r="CE135" i="8"/>
  <c r="CF135" i="8"/>
  <c r="AB136" i="8"/>
  <c r="AC136" i="8"/>
  <c r="AD136" i="8"/>
  <c r="AE136" i="8"/>
  <c r="AF136" i="8"/>
  <c r="AG136" i="8"/>
  <c r="AH136" i="8"/>
  <c r="AI136" i="8"/>
  <c r="AJ136" i="8"/>
  <c r="AK136" i="8"/>
  <c r="AL136" i="8"/>
  <c r="AM136" i="8"/>
  <c r="AN136" i="8"/>
  <c r="AO136" i="8"/>
  <c r="AP136" i="8"/>
  <c r="AQ136" i="8"/>
  <c r="AR136" i="8"/>
  <c r="AS136" i="8"/>
  <c r="AT136" i="8"/>
  <c r="AU136" i="8"/>
  <c r="AV136" i="8"/>
  <c r="AW136" i="8"/>
  <c r="AX136" i="8"/>
  <c r="AY136" i="8"/>
  <c r="AZ136" i="8"/>
  <c r="BA136" i="8"/>
  <c r="BB136" i="8"/>
  <c r="BC136" i="8"/>
  <c r="BD136" i="8"/>
  <c r="BE136" i="8"/>
  <c r="BF136" i="8"/>
  <c r="BG136" i="8"/>
  <c r="BH136" i="8"/>
  <c r="BI136" i="8"/>
  <c r="BJ136" i="8"/>
  <c r="BK136" i="8"/>
  <c r="BL136" i="8"/>
  <c r="BM136" i="8"/>
  <c r="BN136" i="8"/>
  <c r="BO136" i="8"/>
  <c r="BP136" i="8"/>
  <c r="BQ136" i="8"/>
  <c r="BR136" i="8"/>
  <c r="BS136" i="8"/>
  <c r="BT136" i="8"/>
  <c r="BU136" i="8"/>
  <c r="BV136" i="8"/>
  <c r="BW136" i="8"/>
  <c r="BX136" i="8"/>
  <c r="BY136" i="8"/>
  <c r="BZ136" i="8"/>
  <c r="CA136" i="8"/>
  <c r="CB136" i="8"/>
  <c r="CC136" i="8"/>
  <c r="CD136" i="8"/>
  <c r="CE136" i="8"/>
  <c r="CF136" i="8"/>
  <c r="AB137" i="8"/>
  <c r="AC137" i="8"/>
  <c r="AD137" i="8"/>
  <c r="AE137" i="8"/>
  <c r="AF137" i="8"/>
  <c r="AG137" i="8"/>
  <c r="AH137" i="8"/>
  <c r="AI137" i="8"/>
  <c r="AJ137" i="8"/>
  <c r="AK137" i="8"/>
  <c r="AL137" i="8"/>
  <c r="AM137" i="8"/>
  <c r="AN137" i="8"/>
  <c r="AO137" i="8"/>
  <c r="AP137" i="8"/>
  <c r="AQ137" i="8"/>
  <c r="AR137" i="8"/>
  <c r="AS137" i="8"/>
  <c r="AT137" i="8"/>
  <c r="AU137" i="8"/>
  <c r="AV137" i="8"/>
  <c r="AW137" i="8"/>
  <c r="AX137" i="8"/>
  <c r="AY137" i="8"/>
  <c r="AZ137" i="8"/>
  <c r="BA137" i="8"/>
  <c r="BB137" i="8"/>
  <c r="BC137" i="8"/>
  <c r="BD137" i="8"/>
  <c r="BE137" i="8"/>
  <c r="BF137" i="8"/>
  <c r="BG137" i="8"/>
  <c r="BH137" i="8"/>
  <c r="BI137" i="8"/>
  <c r="BJ137" i="8"/>
  <c r="BK137" i="8"/>
  <c r="BL137" i="8"/>
  <c r="BM137" i="8"/>
  <c r="BN137" i="8"/>
  <c r="BO137" i="8"/>
  <c r="BP137" i="8"/>
  <c r="BQ137" i="8"/>
  <c r="BR137" i="8"/>
  <c r="BS137" i="8"/>
  <c r="BT137" i="8"/>
  <c r="BU137" i="8"/>
  <c r="BV137" i="8"/>
  <c r="BW137" i="8"/>
  <c r="BX137" i="8"/>
  <c r="BY137" i="8"/>
  <c r="BZ137" i="8"/>
  <c r="CA137" i="8"/>
  <c r="CB137" i="8"/>
  <c r="CC137" i="8"/>
  <c r="CD137" i="8"/>
  <c r="CE137" i="8"/>
  <c r="CF137" i="8"/>
  <c r="AB138" i="8"/>
  <c r="AC138" i="8"/>
  <c r="AD138" i="8"/>
  <c r="AE138" i="8"/>
  <c r="AF138" i="8"/>
  <c r="AG138" i="8"/>
  <c r="AH138" i="8"/>
  <c r="AI138" i="8"/>
  <c r="AJ138" i="8"/>
  <c r="AK138" i="8"/>
  <c r="AL138" i="8"/>
  <c r="AM138" i="8"/>
  <c r="AN138" i="8"/>
  <c r="AO138" i="8"/>
  <c r="AP138" i="8"/>
  <c r="AQ138" i="8"/>
  <c r="AR138" i="8"/>
  <c r="AS138" i="8"/>
  <c r="AT138" i="8"/>
  <c r="AU138" i="8"/>
  <c r="AV138" i="8"/>
  <c r="AW138" i="8"/>
  <c r="AX138" i="8"/>
  <c r="AY138" i="8"/>
  <c r="AZ138" i="8"/>
  <c r="BA138" i="8"/>
  <c r="BB138" i="8"/>
  <c r="BC138" i="8"/>
  <c r="BD138" i="8"/>
  <c r="BE138" i="8"/>
  <c r="BF138" i="8"/>
  <c r="BG138" i="8"/>
  <c r="BH138" i="8"/>
  <c r="BI138" i="8"/>
  <c r="BJ138" i="8"/>
  <c r="BK138" i="8"/>
  <c r="BL138" i="8"/>
  <c r="BM138" i="8"/>
  <c r="BN138" i="8"/>
  <c r="BO138" i="8"/>
  <c r="BP138" i="8"/>
  <c r="BQ138" i="8"/>
  <c r="BR138" i="8"/>
  <c r="BS138" i="8"/>
  <c r="BT138" i="8"/>
  <c r="BU138" i="8"/>
  <c r="BV138" i="8"/>
  <c r="BW138" i="8"/>
  <c r="BX138" i="8"/>
  <c r="BY138" i="8"/>
  <c r="BZ138" i="8"/>
  <c r="CA138" i="8"/>
  <c r="CB138" i="8"/>
  <c r="CC138" i="8"/>
  <c r="CD138" i="8"/>
  <c r="CE138" i="8"/>
  <c r="CF138" i="8"/>
  <c r="AB139" i="8"/>
  <c r="AC139" i="8"/>
  <c r="AD139" i="8"/>
  <c r="AE139" i="8"/>
  <c r="AF139" i="8"/>
  <c r="AG139" i="8"/>
  <c r="AH139" i="8"/>
  <c r="AI139" i="8"/>
  <c r="AJ139" i="8"/>
  <c r="AK139" i="8"/>
  <c r="AL139" i="8"/>
  <c r="AM139" i="8"/>
  <c r="AN139" i="8"/>
  <c r="AO139" i="8"/>
  <c r="AP139" i="8"/>
  <c r="AQ139" i="8"/>
  <c r="AR139" i="8"/>
  <c r="AS139" i="8"/>
  <c r="AT139" i="8"/>
  <c r="AU139" i="8"/>
  <c r="AV139" i="8"/>
  <c r="AW139" i="8"/>
  <c r="AX139" i="8"/>
  <c r="AY139" i="8"/>
  <c r="AZ139" i="8"/>
  <c r="BA139" i="8"/>
  <c r="BB139" i="8"/>
  <c r="BC139" i="8"/>
  <c r="BD139" i="8"/>
  <c r="BE139" i="8"/>
  <c r="BF139" i="8"/>
  <c r="BG139" i="8"/>
  <c r="BH139" i="8"/>
  <c r="BI139" i="8"/>
  <c r="BJ139" i="8"/>
  <c r="BK139" i="8"/>
  <c r="BL139" i="8"/>
  <c r="BM139" i="8"/>
  <c r="BN139" i="8"/>
  <c r="BO139" i="8"/>
  <c r="BP139" i="8"/>
  <c r="BQ139" i="8"/>
  <c r="BR139" i="8"/>
  <c r="BS139" i="8"/>
  <c r="BT139" i="8"/>
  <c r="BU139" i="8"/>
  <c r="BV139" i="8"/>
  <c r="BW139" i="8"/>
  <c r="BX139" i="8"/>
  <c r="BY139" i="8"/>
  <c r="BZ139" i="8"/>
  <c r="CA139" i="8"/>
  <c r="CB139" i="8"/>
  <c r="CC139" i="8"/>
  <c r="CD139" i="8"/>
  <c r="CE139" i="8"/>
  <c r="CF139" i="8"/>
  <c r="AB140" i="8"/>
  <c r="AC140" i="8"/>
  <c r="AD140" i="8"/>
  <c r="AE140" i="8"/>
  <c r="AF140" i="8"/>
  <c r="AG140" i="8"/>
  <c r="AH140" i="8"/>
  <c r="AI140" i="8"/>
  <c r="AJ140" i="8"/>
  <c r="AK140" i="8"/>
  <c r="AL140" i="8"/>
  <c r="AM140" i="8"/>
  <c r="AN140" i="8"/>
  <c r="AO140" i="8"/>
  <c r="AP140" i="8"/>
  <c r="AQ140" i="8"/>
  <c r="AR140" i="8"/>
  <c r="AS140" i="8"/>
  <c r="AT140" i="8"/>
  <c r="AU140" i="8"/>
  <c r="AV140" i="8"/>
  <c r="AW140" i="8"/>
  <c r="AX140" i="8"/>
  <c r="AY140" i="8"/>
  <c r="AZ140" i="8"/>
  <c r="BA140" i="8"/>
  <c r="BB140" i="8"/>
  <c r="BC140" i="8"/>
  <c r="BD140" i="8"/>
  <c r="BE140" i="8"/>
  <c r="BF140" i="8"/>
  <c r="BG140" i="8"/>
  <c r="BH140" i="8"/>
  <c r="BI140" i="8"/>
  <c r="BJ140" i="8"/>
  <c r="BK140" i="8"/>
  <c r="BL140" i="8"/>
  <c r="BM140" i="8"/>
  <c r="BN140" i="8"/>
  <c r="BO140" i="8"/>
  <c r="BP140" i="8"/>
  <c r="BQ140" i="8"/>
  <c r="BR140" i="8"/>
  <c r="BS140" i="8"/>
  <c r="BT140" i="8"/>
  <c r="BU140" i="8"/>
  <c r="BV140" i="8"/>
  <c r="BW140" i="8"/>
  <c r="BX140" i="8"/>
  <c r="BY140" i="8"/>
  <c r="BZ140" i="8"/>
  <c r="CA140" i="8"/>
  <c r="CB140" i="8"/>
  <c r="CC140" i="8"/>
  <c r="CD140" i="8"/>
  <c r="CE140" i="8"/>
  <c r="CF140" i="8"/>
  <c r="AB141" i="8"/>
  <c r="AC141" i="8"/>
  <c r="AD141" i="8"/>
  <c r="AE141" i="8"/>
  <c r="AF141" i="8"/>
  <c r="AG141" i="8"/>
  <c r="AH141" i="8"/>
  <c r="AI141" i="8"/>
  <c r="AJ141" i="8"/>
  <c r="AK141" i="8"/>
  <c r="AL141" i="8"/>
  <c r="AM141" i="8"/>
  <c r="AN141" i="8"/>
  <c r="AO141" i="8"/>
  <c r="AP141" i="8"/>
  <c r="AQ141" i="8"/>
  <c r="AR141" i="8"/>
  <c r="AS141" i="8"/>
  <c r="AT141" i="8"/>
  <c r="AU141" i="8"/>
  <c r="AV141" i="8"/>
  <c r="AW141" i="8"/>
  <c r="AX141" i="8"/>
  <c r="AY141" i="8"/>
  <c r="AZ141" i="8"/>
  <c r="BA141" i="8"/>
  <c r="BB141" i="8"/>
  <c r="BC141" i="8"/>
  <c r="BD141" i="8"/>
  <c r="BE141" i="8"/>
  <c r="BF141" i="8"/>
  <c r="BG141" i="8"/>
  <c r="BH141" i="8"/>
  <c r="BI141" i="8"/>
  <c r="BJ141" i="8"/>
  <c r="BK141" i="8"/>
  <c r="BL141" i="8"/>
  <c r="BM141" i="8"/>
  <c r="BN141" i="8"/>
  <c r="BO141" i="8"/>
  <c r="BP141" i="8"/>
  <c r="BQ141" i="8"/>
  <c r="BR141" i="8"/>
  <c r="BS141" i="8"/>
  <c r="BT141" i="8"/>
  <c r="BU141" i="8"/>
  <c r="BV141" i="8"/>
  <c r="BW141" i="8"/>
  <c r="BX141" i="8"/>
  <c r="BY141" i="8"/>
  <c r="BZ141" i="8"/>
  <c r="CA141" i="8"/>
  <c r="CB141" i="8"/>
  <c r="CC141" i="8"/>
  <c r="CD141" i="8"/>
  <c r="CE141" i="8"/>
  <c r="CF141" i="8"/>
  <c r="AB142" i="8"/>
  <c r="AC142" i="8"/>
  <c r="AD142" i="8"/>
  <c r="AE142" i="8"/>
  <c r="AF142" i="8"/>
  <c r="AG142" i="8"/>
  <c r="AH142" i="8"/>
  <c r="AI142" i="8"/>
  <c r="AJ142" i="8"/>
  <c r="AK142" i="8"/>
  <c r="AL142" i="8"/>
  <c r="AM142" i="8"/>
  <c r="AN142" i="8"/>
  <c r="AO142" i="8"/>
  <c r="AP142" i="8"/>
  <c r="AQ142" i="8"/>
  <c r="AR142" i="8"/>
  <c r="AS142" i="8"/>
  <c r="AT142" i="8"/>
  <c r="AU142" i="8"/>
  <c r="AV142" i="8"/>
  <c r="AW142" i="8"/>
  <c r="AX142" i="8"/>
  <c r="AY142" i="8"/>
  <c r="AZ142" i="8"/>
  <c r="BA142" i="8"/>
  <c r="BB142" i="8"/>
  <c r="BC142" i="8"/>
  <c r="BD142" i="8"/>
  <c r="BE142" i="8"/>
  <c r="BF142" i="8"/>
  <c r="BG142" i="8"/>
  <c r="BH142" i="8"/>
  <c r="BI142" i="8"/>
  <c r="BJ142" i="8"/>
  <c r="BK142" i="8"/>
  <c r="BL142" i="8"/>
  <c r="BM142" i="8"/>
  <c r="BN142" i="8"/>
  <c r="BO142" i="8"/>
  <c r="BP142" i="8"/>
  <c r="BQ142" i="8"/>
  <c r="BR142" i="8"/>
  <c r="BS142" i="8"/>
  <c r="BT142" i="8"/>
  <c r="BU142" i="8"/>
  <c r="BV142" i="8"/>
  <c r="BW142" i="8"/>
  <c r="BX142" i="8"/>
  <c r="BY142" i="8"/>
  <c r="BZ142" i="8"/>
  <c r="CA142" i="8"/>
  <c r="CB142" i="8"/>
  <c r="CC142" i="8"/>
  <c r="CD142" i="8"/>
  <c r="CE142" i="8"/>
  <c r="CF142" i="8"/>
  <c r="AB143" i="8"/>
  <c r="AC143" i="8"/>
  <c r="AD143" i="8"/>
  <c r="AE143" i="8"/>
  <c r="AF143" i="8"/>
  <c r="AG143" i="8"/>
  <c r="AH143" i="8"/>
  <c r="AI143" i="8"/>
  <c r="AJ143" i="8"/>
  <c r="AK143" i="8"/>
  <c r="AL143" i="8"/>
  <c r="AM143" i="8"/>
  <c r="AN143" i="8"/>
  <c r="AO143" i="8"/>
  <c r="AP143" i="8"/>
  <c r="AQ143" i="8"/>
  <c r="AR143" i="8"/>
  <c r="AS143" i="8"/>
  <c r="AT143" i="8"/>
  <c r="AU143" i="8"/>
  <c r="AV143" i="8"/>
  <c r="AW143" i="8"/>
  <c r="AX143" i="8"/>
  <c r="AY143" i="8"/>
  <c r="AZ143" i="8"/>
  <c r="BA143" i="8"/>
  <c r="BB143" i="8"/>
  <c r="BC143" i="8"/>
  <c r="BD143" i="8"/>
  <c r="BE143" i="8"/>
  <c r="BF143" i="8"/>
  <c r="BG143" i="8"/>
  <c r="BH143" i="8"/>
  <c r="BI143" i="8"/>
  <c r="BJ143" i="8"/>
  <c r="BK143" i="8"/>
  <c r="BL143" i="8"/>
  <c r="BM143" i="8"/>
  <c r="BN143" i="8"/>
  <c r="BO143" i="8"/>
  <c r="BP143" i="8"/>
  <c r="BQ143" i="8"/>
  <c r="BR143" i="8"/>
  <c r="BS143" i="8"/>
  <c r="BT143" i="8"/>
  <c r="BU143" i="8"/>
  <c r="BV143" i="8"/>
  <c r="BW143" i="8"/>
  <c r="BX143" i="8"/>
  <c r="BY143" i="8"/>
  <c r="BZ143" i="8"/>
  <c r="CA143" i="8"/>
  <c r="CB143" i="8"/>
  <c r="CC143" i="8"/>
  <c r="CD143" i="8"/>
  <c r="CE143" i="8"/>
  <c r="CF143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Q144" i="8"/>
  <c r="AR144" i="8"/>
  <c r="AS144" i="8"/>
  <c r="AT144" i="8"/>
  <c r="AU144" i="8"/>
  <c r="AV144" i="8"/>
  <c r="AW144" i="8"/>
  <c r="AX144" i="8"/>
  <c r="AY144" i="8"/>
  <c r="AZ144" i="8"/>
  <c r="BA144" i="8"/>
  <c r="BB144" i="8"/>
  <c r="BC144" i="8"/>
  <c r="BD144" i="8"/>
  <c r="BE144" i="8"/>
  <c r="BF144" i="8"/>
  <c r="BG144" i="8"/>
  <c r="BH144" i="8"/>
  <c r="BI144" i="8"/>
  <c r="BJ144" i="8"/>
  <c r="BK144" i="8"/>
  <c r="BL144" i="8"/>
  <c r="BM144" i="8"/>
  <c r="BN144" i="8"/>
  <c r="BO144" i="8"/>
  <c r="BP144" i="8"/>
  <c r="BQ144" i="8"/>
  <c r="BR144" i="8"/>
  <c r="BS144" i="8"/>
  <c r="BT144" i="8"/>
  <c r="BU144" i="8"/>
  <c r="BV144" i="8"/>
  <c r="BW144" i="8"/>
  <c r="BX144" i="8"/>
  <c r="BY144" i="8"/>
  <c r="BZ144" i="8"/>
  <c r="CA144" i="8"/>
  <c r="CB144" i="8"/>
  <c r="CC144" i="8"/>
  <c r="CD144" i="8"/>
  <c r="CE144" i="8"/>
  <c r="CF144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AX145" i="8"/>
  <c r="AY145" i="8"/>
  <c r="AZ145" i="8"/>
  <c r="BA145" i="8"/>
  <c r="BB145" i="8"/>
  <c r="BC145" i="8"/>
  <c r="BD145" i="8"/>
  <c r="BE145" i="8"/>
  <c r="BF145" i="8"/>
  <c r="BG145" i="8"/>
  <c r="BH145" i="8"/>
  <c r="BI145" i="8"/>
  <c r="BJ145" i="8"/>
  <c r="BK145" i="8"/>
  <c r="BL145" i="8"/>
  <c r="BM145" i="8"/>
  <c r="BN145" i="8"/>
  <c r="BO145" i="8"/>
  <c r="BP145" i="8"/>
  <c r="BQ145" i="8"/>
  <c r="BR145" i="8"/>
  <c r="BS145" i="8"/>
  <c r="BT145" i="8"/>
  <c r="BU145" i="8"/>
  <c r="BV145" i="8"/>
  <c r="BW145" i="8"/>
  <c r="BX145" i="8"/>
  <c r="BY145" i="8"/>
  <c r="BZ145" i="8"/>
  <c r="CA145" i="8"/>
  <c r="CB145" i="8"/>
  <c r="CC145" i="8"/>
  <c r="CD145" i="8"/>
  <c r="CE145" i="8"/>
  <c r="CF145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Y146" i="8"/>
  <c r="AZ146" i="8"/>
  <c r="BA146" i="8"/>
  <c r="BB146" i="8"/>
  <c r="BC146" i="8"/>
  <c r="BD146" i="8"/>
  <c r="BE146" i="8"/>
  <c r="BF146" i="8"/>
  <c r="BG146" i="8"/>
  <c r="BH146" i="8"/>
  <c r="BI146" i="8"/>
  <c r="BJ146" i="8"/>
  <c r="BK146" i="8"/>
  <c r="BL146" i="8"/>
  <c r="BM146" i="8"/>
  <c r="BN146" i="8"/>
  <c r="BO146" i="8"/>
  <c r="BP146" i="8"/>
  <c r="BQ146" i="8"/>
  <c r="BR146" i="8"/>
  <c r="BS146" i="8"/>
  <c r="BT146" i="8"/>
  <c r="BU146" i="8"/>
  <c r="BV146" i="8"/>
  <c r="BW146" i="8"/>
  <c r="BX146" i="8"/>
  <c r="BY146" i="8"/>
  <c r="BZ146" i="8"/>
  <c r="CA146" i="8"/>
  <c r="CB146" i="8"/>
  <c r="CC146" i="8"/>
  <c r="CD146" i="8"/>
  <c r="CE146" i="8"/>
  <c r="CF146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Y147" i="8"/>
  <c r="AZ147" i="8"/>
  <c r="BA147" i="8"/>
  <c r="BB147" i="8"/>
  <c r="BC147" i="8"/>
  <c r="BD147" i="8"/>
  <c r="BE147" i="8"/>
  <c r="BF147" i="8"/>
  <c r="BG147" i="8"/>
  <c r="BH147" i="8"/>
  <c r="BI147" i="8"/>
  <c r="BJ147" i="8"/>
  <c r="BK147" i="8"/>
  <c r="BL147" i="8"/>
  <c r="BM147" i="8"/>
  <c r="BN147" i="8"/>
  <c r="BO147" i="8"/>
  <c r="BP147" i="8"/>
  <c r="BQ147" i="8"/>
  <c r="BR147" i="8"/>
  <c r="BS147" i="8"/>
  <c r="BT147" i="8"/>
  <c r="BU147" i="8"/>
  <c r="BV147" i="8"/>
  <c r="BW147" i="8"/>
  <c r="BX147" i="8"/>
  <c r="BY147" i="8"/>
  <c r="BZ147" i="8"/>
  <c r="CA147" i="8"/>
  <c r="CB147" i="8"/>
  <c r="CC147" i="8"/>
  <c r="CD147" i="8"/>
  <c r="CE147" i="8"/>
  <c r="CF147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Q148" i="8"/>
  <c r="AR148" i="8"/>
  <c r="AS148" i="8"/>
  <c r="AT148" i="8"/>
  <c r="AU148" i="8"/>
  <c r="AV148" i="8"/>
  <c r="AW148" i="8"/>
  <c r="AX148" i="8"/>
  <c r="AY148" i="8"/>
  <c r="AZ148" i="8"/>
  <c r="BA148" i="8"/>
  <c r="BB148" i="8"/>
  <c r="BC148" i="8"/>
  <c r="BD148" i="8"/>
  <c r="BE148" i="8"/>
  <c r="BF148" i="8"/>
  <c r="BG148" i="8"/>
  <c r="BH148" i="8"/>
  <c r="BI148" i="8"/>
  <c r="BJ148" i="8"/>
  <c r="BK148" i="8"/>
  <c r="BL148" i="8"/>
  <c r="BM148" i="8"/>
  <c r="BN148" i="8"/>
  <c r="BO148" i="8"/>
  <c r="BP148" i="8"/>
  <c r="BQ148" i="8"/>
  <c r="BR148" i="8"/>
  <c r="BS148" i="8"/>
  <c r="BT148" i="8"/>
  <c r="BU148" i="8"/>
  <c r="BV148" i="8"/>
  <c r="BW148" i="8"/>
  <c r="BX148" i="8"/>
  <c r="BY148" i="8"/>
  <c r="BZ148" i="8"/>
  <c r="CA148" i="8"/>
  <c r="CB148" i="8"/>
  <c r="CC148" i="8"/>
  <c r="CD148" i="8"/>
  <c r="CE148" i="8"/>
  <c r="CF148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Q149" i="8"/>
  <c r="AR149" i="8"/>
  <c r="AS149" i="8"/>
  <c r="AT149" i="8"/>
  <c r="AU149" i="8"/>
  <c r="AV149" i="8"/>
  <c r="AW149" i="8"/>
  <c r="AX149" i="8"/>
  <c r="AY149" i="8"/>
  <c r="AZ149" i="8"/>
  <c r="BA149" i="8"/>
  <c r="BB149" i="8"/>
  <c r="BC149" i="8"/>
  <c r="BD149" i="8"/>
  <c r="BE149" i="8"/>
  <c r="BF149" i="8"/>
  <c r="BG149" i="8"/>
  <c r="BH149" i="8"/>
  <c r="BI149" i="8"/>
  <c r="BJ149" i="8"/>
  <c r="BK149" i="8"/>
  <c r="BL149" i="8"/>
  <c r="BM149" i="8"/>
  <c r="BN149" i="8"/>
  <c r="BO149" i="8"/>
  <c r="BP149" i="8"/>
  <c r="BQ149" i="8"/>
  <c r="BR149" i="8"/>
  <c r="BS149" i="8"/>
  <c r="BT149" i="8"/>
  <c r="BU149" i="8"/>
  <c r="BV149" i="8"/>
  <c r="BW149" i="8"/>
  <c r="BX149" i="8"/>
  <c r="BY149" i="8"/>
  <c r="BZ149" i="8"/>
  <c r="CA149" i="8"/>
  <c r="CB149" i="8"/>
  <c r="CC149" i="8"/>
  <c r="CD149" i="8"/>
  <c r="CE149" i="8"/>
  <c r="CF149" i="8"/>
  <c r="AB150" i="8"/>
  <c r="AC150" i="8"/>
  <c r="AD150" i="8"/>
  <c r="AE150" i="8"/>
  <c r="AF150" i="8"/>
  <c r="AG150" i="8"/>
  <c r="AH150" i="8"/>
  <c r="AI150" i="8"/>
  <c r="AJ150" i="8"/>
  <c r="AK150" i="8"/>
  <c r="AL150" i="8"/>
  <c r="AM150" i="8"/>
  <c r="AN150" i="8"/>
  <c r="AO150" i="8"/>
  <c r="AP150" i="8"/>
  <c r="AQ150" i="8"/>
  <c r="AR150" i="8"/>
  <c r="AS150" i="8"/>
  <c r="AT150" i="8"/>
  <c r="AU150" i="8"/>
  <c r="AV150" i="8"/>
  <c r="AW150" i="8"/>
  <c r="AX150" i="8"/>
  <c r="AY150" i="8"/>
  <c r="AZ150" i="8"/>
  <c r="BA150" i="8"/>
  <c r="BB150" i="8"/>
  <c r="BC150" i="8"/>
  <c r="BD150" i="8"/>
  <c r="BE150" i="8"/>
  <c r="BF150" i="8"/>
  <c r="BG150" i="8"/>
  <c r="BH150" i="8"/>
  <c r="BI150" i="8"/>
  <c r="BJ150" i="8"/>
  <c r="BK150" i="8"/>
  <c r="BL150" i="8"/>
  <c r="BM150" i="8"/>
  <c r="BN150" i="8"/>
  <c r="BO150" i="8"/>
  <c r="BP150" i="8"/>
  <c r="BQ150" i="8"/>
  <c r="BR150" i="8"/>
  <c r="BS150" i="8"/>
  <c r="BT150" i="8"/>
  <c r="BU150" i="8"/>
  <c r="BV150" i="8"/>
  <c r="BW150" i="8"/>
  <c r="BX150" i="8"/>
  <c r="BY150" i="8"/>
  <c r="BZ150" i="8"/>
  <c r="CA150" i="8"/>
  <c r="CB150" i="8"/>
  <c r="CC150" i="8"/>
  <c r="CD150" i="8"/>
  <c r="CE150" i="8"/>
  <c r="CF150" i="8"/>
  <c r="AB151" i="8"/>
  <c r="AC151" i="8"/>
  <c r="AD151" i="8"/>
  <c r="AE151" i="8"/>
  <c r="AF151" i="8"/>
  <c r="AG151" i="8"/>
  <c r="AH151" i="8"/>
  <c r="AI151" i="8"/>
  <c r="AJ151" i="8"/>
  <c r="AK151" i="8"/>
  <c r="AL151" i="8"/>
  <c r="AM151" i="8"/>
  <c r="AN151" i="8"/>
  <c r="AO151" i="8"/>
  <c r="AP151" i="8"/>
  <c r="AQ151" i="8"/>
  <c r="AR151" i="8"/>
  <c r="AS151" i="8"/>
  <c r="AT151" i="8"/>
  <c r="AU151" i="8"/>
  <c r="AV151" i="8"/>
  <c r="AW151" i="8"/>
  <c r="AX151" i="8"/>
  <c r="AY151" i="8"/>
  <c r="AZ151" i="8"/>
  <c r="BA151" i="8"/>
  <c r="BB151" i="8"/>
  <c r="BC151" i="8"/>
  <c r="BD151" i="8"/>
  <c r="BE151" i="8"/>
  <c r="BF151" i="8"/>
  <c r="BG151" i="8"/>
  <c r="BH151" i="8"/>
  <c r="BI151" i="8"/>
  <c r="BJ151" i="8"/>
  <c r="BK151" i="8"/>
  <c r="BL151" i="8"/>
  <c r="BM151" i="8"/>
  <c r="BN151" i="8"/>
  <c r="BO151" i="8"/>
  <c r="BP151" i="8"/>
  <c r="BQ151" i="8"/>
  <c r="BR151" i="8"/>
  <c r="BS151" i="8"/>
  <c r="BT151" i="8"/>
  <c r="BU151" i="8"/>
  <c r="BV151" i="8"/>
  <c r="BW151" i="8"/>
  <c r="BX151" i="8"/>
  <c r="BY151" i="8"/>
  <c r="BZ151" i="8"/>
  <c r="CA151" i="8"/>
  <c r="CB151" i="8"/>
  <c r="CC151" i="8"/>
  <c r="CD151" i="8"/>
  <c r="CE151" i="8"/>
  <c r="CF151" i="8"/>
  <c r="AB152" i="8"/>
  <c r="AC152" i="8"/>
  <c r="AD152" i="8"/>
  <c r="AE152" i="8"/>
  <c r="AF152" i="8"/>
  <c r="AG152" i="8"/>
  <c r="AH152" i="8"/>
  <c r="AI152" i="8"/>
  <c r="AJ152" i="8"/>
  <c r="AK152" i="8"/>
  <c r="AL152" i="8"/>
  <c r="AM152" i="8"/>
  <c r="AN152" i="8"/>
  <c r="AO152" i="8"/>
  <c r="AP152" i="8"/>
  <c r="AQ152" i="8"/>
  <c r="AR152" i="8"/>
  <c r="AS152" i="8"/>
  <c r="AT152" i="8"/>
  <c r="AU152" i="8"/>
  <c r="AV152" i="8"/>
  <c r="AW152" i="8"/>
  <c r="AX152" i="8"/>
  <c r="AY152" i="8"/>
  <c r="AZ152" i="8"/>
  <c r="BA152" i="8"/>
  <c r="BB152" i="8"/>
  <c r="BC152" i="8"/>
  <c r="BD152" i="8"/>
  <c r="BE152" i="8"/>
  <c r="BF152" i="8"/>
  <c r="BG152" i="8"/>
  <c r="BH152" i="8"/>
  <c r="BI152" i="8"/>
  <c r="BJ152" i="8"/>
  <c r="BK152" i="8"/>
  <c r="BL152" i="8"/>
  <c r="BM152" i="8"/>
  <c r="BN152" i="8"/>
  <c r="BO152" i="8"/>
  <c r="BP152" i="8"/>
  <c r="BQ152" i="8"/>
  <c r="BR152" i="8"/>
  <c r="BS152" i="8"/>
  <c r="BT152" i="8"/>
  <c r="BU152" i="8"/>
  <c r="BV152" i="8"/>
  <c r="BW152" i="8"/>
  <c r="BX152" i="8"/>
  <c r="BY152" i="8"/>
  <c r="BZ152" i="8"/>
  <c r="CA152" i="8"/>
  <c r="CB152" i="8"/>
  <c r="CC152" i="8"/>
  <c r="CD152" i="8"/>
  <c r="CE152" i="8"/>
  <c r="CF152" i="8"/>
  <c r="AB153" i="8"/>
  <c r="AC153" i="8"/>
  <c r="AD153" i="8"/>
  <c r="AE153" i="8"/>
  <c r="AF153" i="8"/>
  <c r="AG153" i="8"/>
  <c r="AH153" i="8"/>
  <c r="AI153" i="8"/>
  <c r="AJ153" i="8"/>
  <c r="AK153" i="8"/>
  <c r="AL153" i="8"/>
  <c r="AM153" i="8"/>
  <c r="AN153" i="8"/>
  <c r="AO153" i="8"/>
  <c r="AP153" i="8"/>
  <c r="AQ153" i="8"/>
  <c r="AR153" i="8"/>
  <c r="AS153" i="8"/>
  <c r="AT153" i="8"/>
  <c r="AU153" i="8"/>
  <c r="AV153" i="8"/>
  <c r="AW153" i="8"/>
  <c r="AX153" i="8"/>
  <c r="AY153" i="8"/>
  <c r="AZ153" i="8"/>
  <c r="BA153" i="8"/>
  <c r="BB153" i="8"/>
  <c r="BC153" i="8"/>
  <c r="BD153" i="8"/>
  <c r="BE153" i="8"/>
  <c r="BF153" i="8"/>
  <c r="BG153" i="8"/>
  <c r="BH153" i="8"/>
  <c r="BI153" i="8"/>
  <c r="BJ153" i="8"/>
  <c r="BK153" i="8"/>
  <c r="BL153" i="8"/>
  <c r="BM153" i="8"/>
  <c r="BN153" i="8"/>
  <c r="BO153" i="8"/>
  <c r="BP153" i="8"/>
  <c r="BQ153" i="8"/>
  <c r="BR153" i="8"/>
  <c r="BS153" i="8"/>
  <c r="BT153" i="8"/>
  <c r="BU153" i="8"/>
  <c r="BV153" i="8"/>
  <c r="BW153" i="8"/>
  <c r="BX153" i="8"/>
  <c r="BY153" i="8"/>
  <c r="BZ153" i="8"/>
  <c r="CA153" i="8"/>
  <c r="CB153" i="8"/>
  <c r="CC153" i="8"/>
  <c r="CD153" i="8"/>
  <c r="CE153" i="8"/>
  <c r="CF153" i="8"/>
  <c r="AB154" i="8"/>
  <c r="AC154" i="8"/>
  <c r="AD154" i="8"/>
  <c r="AE154" i="8"/>
  <c r="AF154" i="8"/>
  <c r="AG154" i="8"/>
  <c r="AH154" i="8"/>
  <c r="AI154" i="8"/>
  <c r="AJ154" i="8"/>
  <c r="AK154" i="8"/>
  <c r="AL154" i="8"/>
  <c r="AM154" i="8"/>
  <c r="AN154" i="8"/>
  <c r="AO154" i="8"/>
  <c r="AP154" i="8"/>
  <c r="AQ154" i="8"/>
  <c r="AR154" i="8"/>
  <c r="AS154" i="8"/>
  <c r="AT154" i="8"/>
  <c r="AU154" i="8"/>
  <c r="AV154" i="8"/>
  <c r="AW154" i="8"/>
  <c r="AX154" i="8"/>
  <c r="AY154" i="8"/>
  <c r="AZ154" i="8"/>
  <c r="BA154" i="8"/>
  <c r="BB154" i="8"/>
  <c r="BC154" i="8"/>
  <c r="BD154" i="8"/>
  <c r="BE154" i="8"/>
  <c r="BF154" i="8"/>
  <c r="BG154" i="8"/>
  <c r="BH154" i="8"/>
  <c r="BI154" i="8"/>
  <c r="BJ154" i="8"/>
  <c r="BK154" i="8"/>
  <c r="BL154" i="8"/>
  <c r="BM154" i="8"/>
  <c r="BN154" i="8"/>
  <c r="BO154" i="8"/>
  <c r="BP154" i="8"/>
  <c r="BQ154" i="8"/>
  <c r="BR154" i="8"/>
  <c r="BS154" i="8"/>
  <c r="BT154" i="8"/>
  <c r="BU154" i="8"/>
  <c r="BV154" i="8"/>
  <c r="BW154" i="8"/>
  <c r="BX154" i="8"/>
  <c r="BY154" i="8"/>
  <c r="BZ154" i="8"/>
  <c r="CA154" i="8"/>
  <c r="CB154" i="8"/>
  <c r="CC154" i="8"/>
  <c r="CD154" i="8"/>
  <c r="CE154" i="8"/>
  <c r="CF154" i="8"/>
  <c r="AB155" i="8"/>
  <c r="AC155" i="8"/>
  <c r="AD155" i="8"/>
  <c r="AE155" i="8"/>
  <c r="AF155" i="8"/>
  <c r="AG155" i="8"/>
  <c r="AH155" i="8"/>
  <c r="AI155" i="8"/>
  <c r="AJ155" i="8"/>
  <c r="AK155" i="8"/>
  <c r="AL155" i="8"/>
  <c r="AM155" i="8"/>
  <c r="AN155" i="8"/>
  <c r="AO155" i="8"/>
  <c r="AP155" i="8"/>
  <c r="AQ155" i="8"/>
  <c r="AR155" i="8"/>
  <c r="AS155" i="8"/>
  <c r="AT155" i="8"/>
  <c r="AU155" i="8"/>
  <c r="AV155" i="8"/>
  <c r="AW155" i="8"/>
  <c r="AX155" i="8"/>
  <c r="AY155" i="8"/>
  <c r="AZ155" i="8"/>
  <c r="BA155" i="8"/>
  <c r="BB155" i="8"/>
  <c r="BC155" i="8"/>
  <c r="BD155" i="8"/>
  <c r="BE155" i="8"/>
  <c r="BF155" i="8"/>
  <c r="BG155" i="8"/>
  <c r="BH155" i="8"/>
  <c r="BI155" i="8"/>
  <c r="BJ155" i="8"/>
  <c r="BK155" i="8"/>
  <c r="BL155" i="8"/>
  <c r="BM155" i="8"/>
  <c r="BN155" i="8"/>
  <c r="BO155" i="8"/>
  <c r="BP155" i="8"/>
  <c r="BQ155" i="8"/>
  <c r="BR155" i="8"/>
  <c r="BS155" i="8"/>
  <c r="BT155" i="8"/>
  <c r="BU155" i="8"/>
  <c r="BV155" i="8"/>
  <c r="BW155" i="8"/>
  <c r="BX155" i="8"/>
  <c r="BY155" i="8"/>
  <c r="BZ155" i="8"/>
  <c r="CA155" i="8"/>
  <c r="CB155" i="8"/>
  <c r="CC155" i="8"/>
  <c r="CD155" i="8"/>
  <c r="CE155" i="8"/>
  <c r="CF155" i="8"/>
  <c r="AB156" i="8"/>
  <c r="AC156" i="8"/>
  <c r="AD156" i="8"/>
  <c r="AE156" i="8"/>
  <c r="AF156" i="8"/>
  <c r="AG156" i="8"/>
  <c r="AH156" i="8"/>
  <c r="AI156" i="8"/>
  <c r="AJ156" i="8"/>
  <c r="AK156" i="8"/>
  <c r="AL156" i="8"/>
  <c r="AM156" i="8"/>
  <c r="AN156" i="8"/>
  <c r="AO156" i="8"/>
  <c r="AP156" i="8"/>
  <c r="AQ156" i="8"/>
  <c r="AR156" i="8"/>
  <c r="AS156" i="8"/>
  <c r="AT156" i="8"/>
  <c r="AU156" i="8"/>
  <c r="AV156" i="8"/>
  <c r="AW156" i="8"/>
  <c r="AX156" i="8"/>
  <c r="AY156" i="8"/>
  <c r="AZ156" i="8"/>
  <c r="BA156" i="8"/>
  <c r="BB156" i="8"/>
  <c r="BC156" i="8"/>
  <c r="BD156" i="8"/>
  <c r="BE156" i="8"/>
  <c r="BF156" i="8"/>
  <c r="BG156" i="8"/>
  <c r="BH156" i="8"/>
  <c r="BI156" i="8"/>
  <c r="BJ156" i="8"/>
  <c r="BK156" i="8"/>
  <c r="BL156" i="8"/>
  <c r="BM156" i="8"/>
  <c r="BN156" i="8"/>
  <c r="BO156" i="8"/>
  <c r="BP156" i="8"/>
  <c r="BQ156" i="8"/>
  <c r="BR156" i="8"/>
  <c r="BS156" i="8"/>
  <c r="BT156" i="8"/>
  <c r="BU156" i="8"/>
  <c r="BV156" i="8"/>
  <c r="BW156" i="8"/>
  <c r="BX156" i="8"/>
  <c r="BY156" i="8"/>
  <c r="BZ156" i="8"/>
  <c r="CA156" i="8"/>
  <c r="CB156" i="8"/>
  <c r="CC156" i="8"/>
  <c r="CD156" i="8"/>
  <c r="CE156" i="8"/>
  <c r="CF156" i="8"/>
  <c r="AB157" i="8"/>
  <c r="AC157" i="8"/>
  <c r="AD157" i="8"/>
  <c r="AE157" i="8"/>
  <c r="AF157" i="8"/>
  <c r="AG157" i="8"/>
  <c r="AH157" i="8"/>
  <c r="AI157" i="8"/>
  <c r="AJ157" i="8"/>
  <c r="AK157" i="8"/>
  <c r="AL157" i="8"/>
  <c r="AM157" i="8"/>
  <c r="AN157" i="8"/>
  <c r="AO157" i="8"/>
  <c r="AP157" i="8"/>
  <c r="AQ157" i="8"/>
  <c r="AR157" i="8"/>
  <c r="AS157" i="8"/>
  <c r="AT157" i="8"/>
  <c r="AU157" i="8"/>
  <c r="AV157" i="8"/>
  <c r="AW157" i="8"/>
  <c r="AX157" i="8"/>
  <c r="AY157" i="8"/>
  <c r="AZ157" i="8"/>
  <c r="BA157" i="8"/>
  <c r="BB157" i="8"/>
  <c r="BC157" i="8"/>
  <c r="BD157" i="8"/>
  <c r="BE157" i="8"/>
  <c r="BF157" i="8"/>
  <c r="BG157" i="8"/>
  <c r="BH157" i="8"/>
  <c r="BI157" i="8"/>
  <c r="BJ157" i="8"/>
  <c r="BK157" i="8"/>
  <c r="BL157" i="8"/>
  <c r="BM157" i="8"/>
  <c r="BN157" i="8"/>
  <c r="BO157" i="8"/>
  <c r="BP157" i="8"/>
  <c r="BQ157" i="8"/>
  <c r="BR157" i="8"/>
  <c r="BS157" i="8"/>
  <c r="BT157" i="8"/>
  <c r="BU157" i="8"/>
  <c r="BV157" i="8"/>
  <c r="BW157" i="8"/>
  <c r="BX157" i="8"/>
  <c r="BY157" i="8"/>
  <c r="BZ157" i="8"/>
  <c r="CA157" i="8"/>
  <c r="CB157" i="8"/>
  <c r="CC157" i="8"/>
  <c r="CD157" i="8"/>
  <c r="CE157" i="8"/>
  <c r="CF157" i="8"/>
  <c r="AB158" i="8"/>
  <c r="AC158" i="8"/>
  <c r="AD158" i="8"/>
  <c r="AE158" i="8"/>
  <c r="AF158" i="8"/>
  <c r="AG158" i="8"/>
  <c r="AH158" i="8"/>
  <c r="AI158" i="8"/>
  <c r="AJ158" i="8"/>
  <c r="AK158" i="8"/>
  <c r="AL158" i="8"/>
  <c r="AM158" i="8"/>
  <c r="AN158" i="8"/>
  <c r="AO158" i="8"/>
  <c r="AP158" i="8"/>
  <c r="AQ158" i="8"/>
  <c r="AR158" i="8"/>
  <c r="AS158" i="8"/>
  <c r="AT158" i="8"/>
  <c r="AU158" i="8"/>
  <c r="AV158" i="8"/>
  <c r="AW158" i="8"/>
  <c r="AX158" i="8"/>
  <c r="AY158" i="8"/>
  <c r="AZ158" i="8"/>
  <c r="BA158" i="8"/>
  <c r="BB158" i="8"/>
  <c r="BC158" i="8"/>
  <c r="BD158" i="8"/>
  <c r="BE158" i="8"/>
  <c r="BF158" i="8"/>
  <c r="BG158" i="8"/>
  <c r="BH158" i="8"/>
  <c r="BI158" i="8"/>
  <c r="BJ158" i="8"/>
  <c r="BK158" i="8"/>
  <c r="BL158" i="8"/>
  <c r="BM158" i="8"/>
  <c r="BN158" i="8"/>
  <c r="BO158" i="8"/>
  <c r="BP158" i="8"/>
  <c r="BQ158" i="8"/>
  <c r="BR158" i="8"/>
  <c r="BS158" i="8"/>
  <c r="BT158" i="8"/>
  <c r="BU158" i="8"/>
  <c r="BV158" i="8"/>
  <c r="BW158" i="8"/>
  <c r="BX158" i="8"/>
  <c r="BY158" i="8"/>
  <c r="BZ158" i="8"/>
  <c r="CA158" i="8"/>
  <c r="CB158" i="8"/>
  <c r="CC158" i="8"/>
  <c r="CD158" i="8"/>
  <c r="CE158" i="8"/>
  <c r="CF158" i="8"/>
  <c r="AB159" i="8"/>
  <c r="AC159" i="8"/>
  <c r="AD159" i="8"/>
  <c r="AE159" i="8"/>
  <c r="AF159" i="8"/>
  <c r="AG159" i="8"/>
  <c r="AH159" i="8"/>
  <c r="AI159" i="8"/>
  <c r="AJ159" i="8"/>
  <c r="AK159" i="8"/>
  <c r="AL159" i="8"/>
  <c r="AM159" i="8"/>
  <c r="AN159" i="8"/>
  <c r="AO159" i="8"/>
  <c r="AP159" i="8"/>
  <c r="AQ159" i="8"/>
  <c r="AR159" i="8"/>
  <c r="AS159" i="8"/>
  <c r="AT159" i="8"/>
  <c r="AU159" i="8"/>
  <c r="AV159" i="8"/>
  <c r="AW159" i="8"/>
  <c r="AX159" i="8"/>
  <c r="AY159" i="8"/>
  <c r="AZ159" i="8"/>
  <c r="BA159" i="8"/>
  <c r="BB159" i="8"/>
  <c r="BC159" i="8"/>
  <c r="BD159" i="8"/>
  <c r="BE159" i="8"/>
  <c r="BF159" i="8"/>
  <c r="BG159" i="8"/>
  <c r="BH159" i="8"/>
  <c r="BI159" i="8"/>
  <c r="BJ159" i="8"/>
  <c r="BK159" i="8"/>
  <c r="BL159" i="8"/>
  <c r="BM159" i="8"/>
  <c r="BN159" i="8"/>
  <c r="BO159" i="8"/>
  <c r="BP159" i="8"/>
  <c r="BQ159" i="8"/>
  <c r="BR159" i="8"/>
  <c r="BS159" i="8"/>
  <c r="BT159" i="8"/>
  <c r="BU159" i="8"/>
  <c r="BV159" i="8"/>
  <c r="BW159" i="8"/>
  <c r="BX159" i="8"/>
  <c r="BY159" i="8"/>
  <c r="BZ159" i="8"/>
  <c r="CA159" i="8"/>
  <c r="CB159" i="8"/>
  <c r="CC159" i="8"/>
  <c r="CD159" i="8"/>
  <c r="CE159" i="8"/>
  <c r="CF159" i="8"/>
  <c r="AB160" i="8"/>
  <c r="AC160" i="8"/>
  <c r="AD160" i="8"/>
  <c r="AE160" i="8"/>
  <c r="AF160" i="8"/>
  <c r="AG160" i="8"/>
  <c r="AH160" i="8"/>
  <c r="AI160" i="8"/>
  <c r="AJ160" i="8"/>
  <c r="AK160" i="8"/>
  <c r="AL160" i="8"/>
  <c r="AM160" i="8"/>
  <c r="AN160" i="8"/>
  <c r="AO160" i="8"/>
  <c r="AP160" i="8"/>
  <c r="AQ160" i="8"/>
  <c r="AR160" i="8"/>
  <c r="AS160" i="8"/>
  <c r="AT160" i="8"/>
  <c r="AU160" i="8"/>
  <c r="AV160" i="8"/>
  <c r="AW160" i="8"/>
  <c r="AX160" i="8"/>
  <c r="AY160" i="8"/>
  <c r="AZ160" i="8"/>
  <c r="BA160" i="8"/>
  <c r="BB160" i="8"/>
  <c r="BC160" i="8"/>
  <c r="BD160" i="8"/>
  <c r="BE160" i="8"/>
  <c r="BF160" i="8"/>
  <c r="BG160" i="8"/>
  <c r="BH160" i="8"/>
  <c r="BI160" i="8"/>
  <c r="BJ160" i="8"/>
  <c r="BK160" i="8"/>
  <c r="BL160" i="8"/>
  <c r="BM160" i="8"/>
  <c r="BN160" i="8"/>
  <c r="BO160" i="8"/>
  <c r="BP160" i="8"/>
  <c r="BQ160" i="8"/>
  <c r="BR160" i="8"/>
  <c r="BS160" i="8"/>
  <c r="BT160" i="8"/>
  <c r="BU160" i="8"/>
  <c r="BV160" i="8"/>
  <c r="BW160" i="8"/>
  <c r="BX160" i="8"/>
  <c r="BY160" i="8"/>
  <c r="BZ160" i="8"/>
  <c r="CA160" i="8"/>
  <c r="CB160" i="8"/>
  <c r="CC160" i="8"/>
  <c r="CD160" i="8"/>
  <c r="CE160" i="8"/>
  <c r="CF160" i="8"/>
  <c r="AB161" i="8"/>
  <c r="AC161" i="8"/>
  <c r="AD161" i="8"/>
  <c r="AE161" i="8"/>
  <c r="AF161" i="8"/>
  <c r="AG161" i="8"/>
  <c r="AH161" i="8"/>
  <c r="AI161" i="8"/>
  <c r="AJ161" i="8"/>
  <c r="AK161" i="8"/>
  <c r="AL161" i="8"/>
  <c r="AM161" i="8"/>
  <c r="AN161" i="8"/>
  <c r="AO161" i="8"/>
  <c r="AP161" i="8"/>
  <c r="AQ161" i="8"/>
  <c r="AR161" i="8"/>
  <c r="AS161" i="8"/>
  <c r="AT161" i="8"/>
  <c r="AU161" i="8"/>
  <c r="AV161" i="8"/>
  <c r="AW161" i="8"/>
  <c r="AX161" i="8"/>
  <c r="AY161" i="8"/>
  <c r="AZ161" i="8"/>
  <c r="BA161" i="8"/>
  <c r="BB161" i="8"/>
  <c r="BC161" i="8"/>
  <c r="BD161" i="8"/>
  <c r="BE161" i="8"/>
  <c r="BF161" i="8"/>
  <c r="BG161" i="8"/>
  <c r="BH161" i="8"/>
  <c r="BI161" i="8"/>
  <c r="BJ161" i="8"/>
  <c r="BK161" i="8"/>
  <c r="BL161" i="8"/>
  <c r="BM161" i="8"/>
  <c r="BN161" i="8"/>
  <c r="BO161" i="8"/>
  <c r="BP161" i="8"/>
  <c r="BQ161" i="8"/>
  <c r="BR161" i="8"/>
  <c r="BS161" i="8"/>
  <c r="BT161" i="8"/>
  <c r="BU161" i="8"/>
  <c r="BV161" i="8"/>
  <c r="BW161" i="8"/>
  <c r="BX161" i="8"/>
  <c r="BY161" i="8"/>
  <c r="BZ161" i="8"/>
  <c r="CA161" i="8"/>
  <c r="CB161" i="8"/>
  <c r="CC161" i="8"/>
  <c r="CD161" i="8"/>
  <c r="CE161" i="8"/>
  <c r="CF161" i="8"/>
  <c r="AB162" i="8"/>
  <c r="AC162" i="8"/>
  <c r="AD162" i="8"/>
  <c r="AE162" i="8"/>
  <c r="AF162" i="8"/>
  <c r="AG162" i="8"/>
  <c r="AH162" i="8"/>
  <c r="AI162" i="8"/>
  <c r="AJ162" i="8"/>
  <c r="AK162" i="8"/>
  <c r="AL162" i="8"/>
  <c r="AM162" i="8"/>
  <c r="AN162" i="8"/>
  <c r="AO162" i="8"/>
  <c r="AP162" i="8"/>
  <c r="AQ162" i="8"/>
  <c r="AR162" i="8"/>
  <c r="AS162" i="8"/>
  <c r="AT162" i="8"/>
  <c r="AU162" i="8"/>
  <c r="AV162" i="8"/>
  <c r="AW162" i="8"/>
  <c r="AX162" i="8"/>
  <c r="AY162" i="8"/>
  <c r="AZ162" i="8"/>
  <c r="BA162" i="8"/>
  <c r="BB162" i="8"/>
  <c r="BC162" i="8"/>
  <c r="BD162" i="8"/>
  <c r="BE162" i="8"/>
  <c r="BF162" i="8"/>
  <c r="BG162" i="8"/>
  <c r="BH162" i="8"/>
  <c r="BI162" i="8"/>
  <c r="BJ162" i="8"/>
  <c r="BK162" i="8"/>
  <c r="BL162" i="8"/>
  <c r="BM162" i="8"/>
  <c r="BN162" i="8"/>
  <c r="BO162" i="8"/>
  <c r="BP162" i="8"/>
  <c r="BQ162" i="8"/>
  <c r="BR162" i="8"/>
  <c r="BS162" i="8"/>
  <c r="BT162" i="8"/>
  <c r="BU162" i="8"/>
  <c r="BV162" i="8"/>
  <c r="BW162" i="8"/>
  <c r="BX162" i="8"/>
  <c r="BY162" i="8"/>
  <c r="BZ162" i="8"/>
  <c r="CA162" i="8"/>
  <c r="CB162" i="8"/>
  <c r="CC162" i="8"/>
  <c r="CD162" i="8"/>
  <c r="CE162" i="8"/>
  <c r="CF162" i="8"/>
  <c r="AB163" i="8"/>
  <c r="AC163" i="8"/>
  <c r="AD163" i="8"/>
  <c r="AE163" i="8"/>
  <c r="AF163" i="8"/>
  <c r="AG163" i="8"/>
  <c r="AH163" i="8"/>
  <c r="AI163" i="8"/>
  <c r="AJ163" i="8"/>
  <c r="AK163" i="8"/>
  <c r="AL163" i="8"/>
  <c r="AM163" i="8"/>
  <c r="AN163" i="8"/>
  <c r="AO163" i="8"/>
  <c r="AP163" i="8"/>
  <c r="AQ163" i="8"/>
  <c r="AR163" i="8"/>
  <c r="AS163" i="8"/>
  <c r="AT163" i="8"/>
  <c r="AU163" i="8"/>
  <c r="AV163" i="8"/>
  <c r="AW163" i="8"/>
  <c r="AX163" i="8"/>
  <c r="AY163" i="8"/>
  <c r="AZ163" i="8"/>
  <c r="BA163" i="8"/>
  <c r="BB163" i="8"/>
  <c r="BC163" i="8"/>
  <c r="BD163" i="8"/>
  <c r="BE163" i="8"/>
  <c r="BF163" i="8"/>
  <c r="BG163" i="8"/>
  <c r="BH163" i="8"/>
  <c r="BI163" i="8"/>
  <c r="BJ163" i="8"/>
  <c r="BK163" i="8"/>
  <c r="BL163" i="8"/>
  <c r="BM163" i="8"/>
  <c r="BN163" i="8"/>
  <c r="BO163" i="8"/>
  <c r="BP163" i="8"/>
  <c r="BQ163" i="8"/>
  <c r="BR163" i="8"/>
  <c r="BS163" i="8"/>
  <c r="BT163" i="8"/>
  <c r="BU163" i="8"/>
  <c r="BV163" i="8"/>
  <c r="BW163" i="8"/>
  <c r="BX163" i="8"/>
  <c r="BY163" i="8"/>
  <c r="BZ163" i="8"/>
  <c r="CA163" i="8"/>
  <c r="CB163" i="8"/>
  <c r="CC163" i="8"/>
  <c r="CD163" i="8"/>
  <c r="CE163" i="8"/>
  <c r="CF163" i="8"/>
  <c r="AB164" i="8"/>
  <c r="AC164" i="8"/>
  <c r="AD164" i="8"/>
  <c r="AE164" i="8"/>
  <c r="AF164" i="8"/>
  <c r="AG164" i="8"/>
  <c r="AH164" i="8"/>
  <c r="AI164" i="8"/>
  <c r="AJ164" i="8"/>
  <c r="AK164" i="8"/>
  <c r="AL164" i="8"/>
  <c r="AM164" i="8"/>
  <c r="AN164" i="8"/>
  <c r="AO164" i="8"/>
  <c r="AP164" i="8"/>
  <c r="AQ164" i="8"/>
  <c r="AR164" i="8"/>
  <c r="AS164" i="8"/>
  <c r="AT164" i="8"/>
  <c r="AU164" i="8"/>
  <c r="AV164" i="8"/>
  <c r="AW164" i="8"/>
  <c r="AX164" i="8"/>
  <c r="AY164" i="8"/>
  <c r="AZ164" i="8"/>
  <c r="BA164" i="8"/>
  <c r="BB164" i="8"/>
  <c r="BC164" i="8"/>
  <c r="BD164" i="8"/>
  <c r="BE164" i="8"/>
  <c r="BF164" i="8"/>
  <c r="BG164" i="8"/>
  <c r="BH164" i="8"/>
  <c r="BI164" i="8"/>
  <c r="BJ164" i="8"/>
  <c r="BK164" i="8"/>
  <c r="BL164" i="8"/>
  <c r="BM164" i="8"/>
  <c r="BN164" i="8"/>
  <c r="BO164" i="8"/>
  <c r="BP164" i="8"/>
  <c r="BQ164" i="8"/>
  <c r="BR164" i="8"/>
  <c r="BS164" i="8"/>
  <c r="BT164" i="8"/>
  <c r="BU164" i="8"/>
  <c r="BV164" i="8"/>
  <c r="BW164" i="8"/>
  <c r="BX164" i="8"/>
  <c r="BY164" i="8"/>
  <c r="BZ164" i="8"/>
  <c r="CA164" i="8"/>
  <c r="CB164" i="8"/>
  <c r="CC164" i="8"/>
  <c r="CD164" i="8"/>
  <c r="CE164" i="8"/>
  <c r="CF164" i="8"/>
  <c r="AB165" i="8"/>
  <c r="AC165" i="8"/>
  <c r="AD165" i="8"/>
  <c r="AE165" i="8"/>
  <c r="AF165" i="8"/>
  <c r="AG165" i="8"/>
  <c r="AH165" i="8"/>
  <c r="AI165" i="8"/>
  <c r="AJ165" i="8"/>
  <c r="AK165" i="8"/>
  <c r="AL165" i="8"/>
  <c r="AM165" i="8"/>
  <c r="AN165" i="8"/>
  <c r="AO165" i="8"/>
  <c r="AP165" i="8"/>
  <c r="AQ165" i="8"/>
  <c r="AR165" i="8"/>
  <c r="AS165" i="8"/>
  <c r="AT165" i="8"/>
  <c r="AU165" i="8"/>
  <c r="AV165" i="8"/>
  <c r="AW165" i="8"/>
  <c r="AX165" i="8"/>
  <c r="AY165" i="8"/>
  <c r="AZ165" i="8"/>
  <c r="BA165" i="8"/>
  <c r="BB165" i="8"/>
  <c r="BC165" i="8"/>
  <c r="BD165" i="8"/>
  <c r="BE165" i="8"/>
  <c r="BF165" i="8"/>
  <c r="BG165" i="8"/>
  <c r="BH165" i="8"/>
  <c r="BI165" i="8"/>
  <c r="BJ165" i="8"/>
  <c r="BK165" i="8"/>
  <c r="BL165" i="8"/>
  <c r="BM165" i="8"/>
  <c r="BN165" i="8"/>
  <c r="BO165" i="8"/>
  <c r="BP165" i="8"/>
  <c r="BQ165" i="8"/>
  <c r="BR165" i="8"/>
  <c r="BS165" i="8"/>
  <c r="BT165" i="8"/>
  <c r="BU165" i="8"/>
  <c r="BV165" i="8"/>
  <c r="BW165" i="8"/>
  <c r="BX165" i="8"/>
  <c r="BY165" i="8"/>
  <c r="BZ165" i="8"/>
  <c r="CA165" i="8"/>
  <c r="CB165" i="8"/>
  <c r="CC165" i="8"/>
  <c r="CD165" i="8"/>
  <c r="CE165" i="8"/>
  <c r="CF165" i="8"/>
  <c r="AB166" i="8"/>
  <c r="AC166" i="8"/>
  <c r="AD166" i="8"/>
  <c r="AE166" i="8"/>
  <c r="AF166" i="8"/>
  <c r="AG166" i="8"/>
  <c r="AH166" i="8"/>
  <c r="AI166" i="8"/>
  <c r="AJ166" i="8"/>
  <c r="AK166" i="8"/>
  <c r="AL166" i="8"/>
  <c r="AM166" i="8"/>
  <c r="AN166" i="8"/>
  <c r="AO166" i="8"/>
  <c r="AP166" i="8"/>
  <c r="AQ166" i="8"/>
  <c r="AR166" i="8"/>
  <c r="AS166" i="8"/>
  <c r="AT166" i="8"/>
  <c r="AU166" i="8"/>
  <c r="AV166" i="8"/>
  <c r="AW166" i="8"/>
  <c r="AX166" i="8"/>
  <c r="AY166" i="8"/>
  <c r="AZ166" i="8"/>
  <c r="BA166" i="8"/>
  <c r="BB166" i="8"/>
  <c r="BC166" i="8"/>
  <c r="BD166" i="8"/>
  <c r="BE166" i="8"/>
  <c r="BF166" i="8"/>
  <c r="BG166" i="8"/>
  <c r="BH166" i="8"/>
  <c r="BI166" i="8"/>
  <c r="BJ166" i="8"/>
  <c r="BK166" i="8"/>
  <c r="BL166" i="8"/>
  <c r="BM166" i="8"/>
  <c r="BN166" i="8"/>
  <c r="BO166" i="8"/>
  <c r="BP166" i="8"/>
  <c r="BQ166" i="8"/>
  <c r="BR166" i="8"/>
  <c r="BS166" i="8"/>
  <c r="BT166" i="8"/>
  <c r="BU166" i="8"/>
  <c r="BV166" i="8"/>
  <c r="BW166" i="8"/>
  <c r="BX166" i="8"/>
  <c r="BY166" i="8"/>
  <c r="BZ166" i="8"/>
  <c r="CA166" i="8"/>
  <c r="CB166" i="8"/>
  <c r="CC166" i="8"/>
  <c r="CD166" i="8"/>
  <c r="CE166" i="8"/>
  <c r="CF166" i="8"/>
  <c r="AB167" i="8"/>
  <c r="AC167" i="8"/>
  <c r="AD167" i="8"/>
  <c r="AE167" i="8"/>
  <c r="AF167" i="8"/>
  <c r="AG167" i="8"/>
  <c r="AH167" i="8"/>
  <c r="AI167" i="8"/>
  <c r="AJ167" i="8"/>
  <c r="AK167" i="8"/>
  <c r="AL167" i="8"/>
  <c r="AM167" i="8"/>
  <c r="AN167" i="8"/>
  <c r="AO167" i="8"/>
  <c r="AP167" i="8"/>
  <c r="AQ167" i="8"/>
  <c r="AR167" i="8"/>
  <c r="AS167" i="8"/>
  <c r="AT167" i="8"/>
  <c r="AU167" i="8"/>
  <c r="AV167" i="8"/>
  <c r="AW167" i="8"/>
  <c r="AX167" i="8"/>
  <c r="AY167" i="8"/>
  <c r="AZ167" i="8"/>
  <c r="BA167" i="8"/>
  <c r="BB167" i="8"/>
  <c r="BC167" i="8"/>
  <c r="BD167" i="8"/>
  <c r="BE167" i="8"/>
  <c r="BF167" i="8"/>
  <c r="BG167" i="8"/>
  <c r="BH167" i="8"/>
  <c r="BI167" i="8"/>
  <c r="BJ167" i="8"/>
  <c r="BK167" i="8"/>
  <c r="BL167" i="8"/>
  <c r="BM167" i="8"/>
  <c r="BN167" i="8"/>
  <c r="BO167" i="8"/>
  <c r="BP167" i="8"/>
  <c r="BQ167" i="8"/>
  <c r="BR167" i="8"/>
  <c r="BS167" i="8"/>
  <c r="BT167" i="8"/>
  <c r="BU167" i="8"/>
  <c r="BV167" i="8"/>
  <c r="BW167" i="8"/>
  <c r="BX167" i="8"/>
  <c r="BY167" i="8"/>
  <c r="BZ167" i="8"/>
  <c r="CA167" i="8"/>
  <c r="CB167" i="8"/>
  <c r="CC167" i="8"/>
  <c r="CD167" i="8"/>
  <c r="CE167" i="8"/>
  <c r="CF167" i="8"/>
  <c r="AB168" i="8"/>
  <c r="AC168" i="8"/>
  <c r="AD168" i="8"/>
  <c r="AE168" i="8"/>
  <c r="AF168" i="8"/>
  <c r="AG168" i="8"/>
  <c r="AH168" i="8"/>
  <c r="AI168" i="8"/>
  <c r="AJ168" i="8"/>
  <c r="AK168" i="8"/>
  <c r="AL168" i="8"/>
  <c r="AM168" i="8"/>
  <c r="AN168" i="8"/>
  <c r="AO168" i="8"/>
  <c r="AP168" i="8"/>
  <c r="AQ168" i="8"/>
  <c r="AR168" i="8"/>
  <c r="AS168" i="8"/>
  <c r="AT168" i="8"/>
  <c r="AU168" i="8"/>
  <c r="AV168" i="8"/>
  <c r="AW168" i="8"/>
  <c r="AX168" i="8"/>
  <c r="AY168" i="8"/>
  <c r="AZ168" i="8"/>
  <c r="BA168" i="8"/>
  <c r="BB168" i="8"/>
  <c r="BC168" i="8"/>
  <c r="BD168" i="8"/>
  <c r="BE168" i="8"/>
  <c r="BF168" i="8"/>
  <c r="BG168" i="8"/>
  <c r="BH168" i="8"/>
  <c r="BI168" i="8"/>
  <c r="BJ168" i="8"/>
  <c r="BK168" i="8"/>
  <c r="BL168" i="8"/>
  <c r="BM168" i="8"/>
  <c r="BN168" i="8"/>
  <c r="BO168" i="8"/>
  <c r="BP168" i="8"/>
  <c r="BQ168" i="8"/>
  <c r="BR168" i="8"/>
  <c r="BS168" i="8"/>
  <c r="BT168" i="8"/>
  <c r="BU168" i="8"/>
  <c r="BV168" i="8"/>
  <c r="BW168" i="8"/>
  <c r="BX168" i="8"/>
  <c r="BY168" i="8"/>
  <c r="BZ168" i="8"/>
  <c r="CA168" i="8"/>
  <c r="CB168" i="8"/>
  <c r="CC168" i="8"/>
  <c r="CD168" i="8"/>
  <c r="CE168" i="8"/>
  <c r="CF168" i="8"/>
  <c r="AB169" i="8"/>
  <c r="AC169" i="8"/>
  <c r="AD169" i="8"/>
  <c r="AE169" i="8"/>
  <c r="AF169" i="8"/>
  <c r="AG169" i="8"/>
  <c r="AH169" i="8"/>
  <c r="AI169" i="8"/>
  <c r="AJ169" i="8"/>
  <c r="AK169" i="8"/>
  <c r="AL169" i="8"/>
  <c r="AM169" i="8"/>
  <c r="AN169" i="8"/>
  <c r="AO169" i="8"/>
  <c r="AP169" i="8"/>
  <c r="AQ169" i="8"/>
  <c r="AR169" i="8"/>
  <c r="AS169" i="8"/>
  <c r="AT169" i="8"/>
  <c r="AU169" i="8"/>
  <c r="AV169" i="8"/>
  <c r="AW169" i="8"/>
  <c r="AX169" i="8"/>
  <c r="AY169" i="8"/>
  <c r="AZ169" i="8"/>
  <c r="BA169" i="8"/>
  <c r="BB169" i="8"/>
  <c r="BC169" i="8"/>
  <c r="BD169" i="8"/>
  <c r="BE169" i="8"/>
  <c r="BF169" i="8"/>
  <c r="BG169" i="8"/>
  <c r="BH169" i="8"/>
  <c r="BI169" i="8"/>
  <c r="BJ169" i="8"/>
  <c r="BK169" i="8"/>
  <c r="BL169" i="8"/>
  <c r="BM169" i="8"/>
  <c r="BN169" i="8"/>
  <c r="BO169" i="8"/>
  <c r="BP169" i="8"/>
  <c r="BQ169" i="8"/>
  <c r="BR169" i="8"/>
  <c r="BS169" i="8"/>
  <c r="BT169" i="8"/>
  <c r="BU169" i="8"/>
  <c r="BV169" i="8"/>
  <c r="BW169" i="8"/>
  <c r="BX169" i="8"/>
  <c r="BY169" i="8"/>
  <c r="BZ169" i="8"/>
  <c r="CA169" i="8"/>
  <c r="CB169" i="8"/>
  <c r="CC169" i="8"/>
  <c r="CD169" i="8"/>
  <c r="CE169" i="8"/>
  <c r="CF169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Q170" i="8"/>
  <c r="AR170" i="8"/>
  <c r="AS170" i="8"/>
  <c r="AT170" i="8"/>
  <c r="AU170" i="8"/>
  <c r="AV170" i="8"/>
  <c r="AW170" i="8"/>
  <c r="AX170" i="8"/>
  <c r="AY170" i="8"/>
  <c r="AZ170" i="8"/>
  <c r="BA170" i="8"/>
  <c r="BB170" i="8"/>
  <c r="BC170" i="8"/>
  <c r="BD170" i="8"/>
  <c r="BE170" i="8"/>
  <c r="BF170" i="8"/>
  <c r="BG170" i="8"/>
  <c r="BH170" i="8"/>
  <c r="BI170" i="8"/>
  <c r="BJ170" i="8"/>
  <c r="BK170" i="8"/>
  <c r="BL170" i="8"/>
  <c r="BM170" i="8"/>
  <c r="BN170" i="8"/>
  <c r="BO170" i="8"/>
  <c r="BP170" i="8"/>
  <c r="BQ170" i="8"/>
  <c r="BR170" i="8"/>
  <c r="BS170" i="8"/>
  <c r="BT170" i="8"/>
  <c r="BU170" i="8"/>
  <c r="BV170" i="8"/>
  <c r="BW170" i="8"/>
  <c r="BX170" i="8"/>
  <c r="BY170" i="8"/>
  <c r="BZ170" i="8"/>
  <c r="CA170" i="8"/>
  <c r="CB170" i="8"/>
  <c r="CC170" i="8"/>
  <c r="CD170" i="8"/>
  <c r="CE170" i="8"/>
  <c r="CF170" i="8"/>
  <c r="AB171" i="8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Q171" i="8"/>
  <c r="AR171" i="8"/>
  <c r="AS171" i="8"/>
  <c r="AT171" i="8"/>
  <c r="AU171" i="8"/>
  <c r="AV171" i="8"/>
  <c r="AW171" i="8"/>
  <c r="AX171" i="8"/>
  <c r="AY171" i="8"/>
  <c r="AZ171" i="8"/>
  <c r="BA171" i="8"/>
  <c r="BB171" i="8"/>
  <c r="BC171" i="8"/>
  <c r="BD171" i="8"/>
  <c r="BE171" i="8"/>
  <c r="BF171" i="8"/>
  <c r="BG171" i="8"/>
  <c r="BH171" i="8"/>
  <c r="BI171" i="8"/>
  <c r="BJ171" i="8"/>
  <c r="BK171" i="8"/>
  <c r="BL171" i="8"/>
  <c r="BM171" i="8"/>
  <c r="BN171" i="8"/>
  <c r="BO171" i="8"/>
  <c r="BP171" i="8"/>
  <c r="BQ171" i="8"/>
  <c r="BR171" i="8"/>
  <c r="BS171" i="8"/>
  <c r="BT171" i="8"/>
  <c r="BU171" i="8"/>
  <c r="BV171" i="8"/>
  <c r="BW171" i="8"/>
  <c r="BX171" i="8"/>
  <c r="BY171" i="8"/>
  <c r="BZ171" i="8"/>
  <c r="CA171" i="8"/>
  <c r="CB171" i="8"/>
  <c r="CC171" i="8"/>
  <c r="CD171" i="8"/>
  <c r="CE171" i="8"/>
  <c r="CF171" i="8"/>
  <c r="AB172" i="8"/>
  <c r="AC172" i="8"/>
  <c r="AD172" i="8"/>
  <c r="AE172" i="8"/>
  <c r="AF172" i="8"/>
  <c r="AG172" i="8"/>
  <c r="AH172" i="8"/>
  <c r="AI172" i="8"/>
  <c r="AJ172" i="8"/>
  <c r="AK172" i="8"/>
  <c r="AL172" i="8"/>
  <c r="AM172" i="8"/>
  <c r="AN172" i="8"/>
  <c r="AO172" i="8"/>
  <c r="AP172" i="8"/>
  <c r="AQ172" i="8"/>
  <c r="AR172" i="8"/>
  <c r="AS172" i="8"/>
  <c r="AT172" i="8"/>
  <c r="AU172" i="8"/>
  <c r="AV172" i="8"/>
  <c r="AW172" i="8"/>
  <c r="AX172" i="8"/>
  <c r="AY172" i="8"/>
  <c r="AZ172" i="8"/>
  <c r="BA172" i="8"/>
  <c r="BB172" i="8"/>
  <c r="BC172" i="8"/>
  <c r="BD172" i="8"/>
  <c r="BE172" i="8"/>
  <c r="BF172" i="8"/>
  <c r="BG172" i="8"/>
  <c r="BH172" i="8"/>
  <c r="BI172" i="8"/>
  <c r="BJ172" i="8"/>
  <c r="BK172" i="8"/>
  <c r="BL172" i="8"/>
  <c r="BM172" i="8"/>
  <c r="BN172" i="8"/>
  <c r="BO172" i="8"/>
  <c r="BP172" i="8"/>
  <c r="BQ172" i="8"/>
  <c r="BR172" i="8"/>
  <c r="BS172" i="8"/>
  <c r="BT172" i="8"/>
  <c r="BU172" i="8"/>
  <c r="BV172" i="8"/>
  <c r="BW172" i="8"/>
  <c r="BX172" i="8"/>
  <c r="BY172" i="8"/>
  <c r="BZ172" i="8"/>
  <c r="CA172" i="8"/>
  <c r="CB172" i="8"/>
  <c r="CC172" i="8"/>
  <c r="CD172" i="8"/>
  <c r="CE172" i="8"/>
  <c r="CF172" i="8"/>
  <c r="AB173" i="8"/>
  <c r="AC173" i="8"/>
  <c r="AD173" i="8"/>
  <c r="AE173" i="8"/>
  <c r="AF173" i="8"/>
  <c r="AG173" i="8"/>
  <c r="AH173" i="8"/>
  <c r="AI173" i="8"/>
  <c r="AJ173" i="8"/>
  <c r="AK173" i="8"/>
  <c r="AL173" i="8"/>
  <c r="AM173" i="8"/>
  <c r="AN173" i="8"/>
  <c r="AO173" i="8"/>
  <c r="AP173" i="8"/>
  <c r="AQ173" i="8"/>
  <c r="AR173" i="8"/>
  <c r="AS173" i="8"/>
  <c r="AT173" i="8"/>
  <c r="AU173" i="8"/>
  <c r="AV173" i="8"/>
  <c r="AW173" i="8"/>
  <c r="AX173" i="8"/>
  <c r="AY173" i="8"/>
  <c r="AZ173" i="8"/>
  <c r="BA173" i="8"/>
  <c r="BB173" i="8"/>
  <c r="BC173" i="8"/>
  <c r="BD173" i="8"/>
  <c r="BE173" i="8"/>
  <c r="BF173" i="8"/>
  <c r="BG173" i="8"/>
  <c r="BH173" i="8"/>
  <c r="BI173" i="8"/>
  <c r="BJ173" i="8"/>
  <c r="BK173" i="8"/>
  <c r="BL173" i="8"/>
  <c r="BM173" i="8"/>
  <c r="BN173" i="8"/>
  <c r="BO173" i="8"/>
  <c r="BP173" i="8"/>
  <c r="BQ173" i="8"/>
  <c r="BR173" i="8"/>
  <c r="BS173" i="8"/>
  <c r="BT173" i="8"/>
  <c r="BU173" i="8"/>
  <c r="BV173" i="8"/>
  <c r="BW173" i="8"/>
  <c r="BX173" i="8"/>
  <c r="BY173" i="8"/>
  <c r="BZ173" i="8"/>
  <c r="CA173" i="8"/>
  <c r="CB173" i="8"/>
  <c r="CC173" i="8"/>
  <c r="CD173" i="8"/>
  <c r="CE173" i="8"/>
  <c r="CF173" i="8"/>
  <c r="AB174" i="8"/>
  <c r="AC174" i="8"/>
  <c r="AD174" i="8"/>
  <c r="AE174" i="8"/>
  <c r="AF174" i="8"/>
  <c r="AG174" i="8"/>
  <c r="AH174" i="8"/>
  <c r="AI174" i="8"/>
  <c r="AJ174" i="8"/>
  <c r="AK174" i="8"/>
  <c r="AL174" i="8"/>
  <c r="AM174" i="8"/>
  <c r="AN174" i="8"/>
  <c r="AO174" i="8"/>
  <c r="AP174" i="8"/>
  <c r="AQ174" i="8"/>
  <c r="AR174" i="8"/>
  <c r="AS174" i="8"/>
  <c r="AT174" i="8"/>
  <c r="AU174" i="8"/>
  <c r="AV174" i="8"/>
  <c r="AW174" i="8"/>
  <c r="AX174" i="8"/>
  <c r="AY174" i="8"/>
  <c r="AZ174" i="8"/>
  <c r="BA174" i="8"/>
  <c r="BB174" i="8"/>
  <c r="BC174" i="8"/>
  <c r="BD174" i="8"/>
  <c r="BE174" i="8"/>
  <c r="BF174" i="8"/>
  <c r="BG174" i="8"/>
  <c r="BH174" i="8"/>
  <c r="BI174" i="8"/>
  <c r="BJ174" i="8"/>
  <c r="BK174" i="8"/>
  <c r="BL174" i="8"/>
  <c r="BM174" i="8"/>
  <c r="BN174" i="8"/>
  <c r="BO174" i="8"/>
  <c r="BP174" i="8"/>
  <c r="BQ174" i="8"/>
  <c r="BR174" i="8"/>
  <c r="BS174" i="8"/>
  <c r="BT174" i="8"/>
  <c r="BU174" i="8"/>
  <c r="BV174" i="8"/>
  <c r="BW174" i="8"/>
  <c r="BX174" i="8"/>
  <c r="BY174" i="8"/>
  <c r="BZ174" i="8"/>
  <c r="CA174" i="8"/>
  <c r="CB174" i="8"/>
  <c r="CC174" i="8"/>
  <c r="CD174" i="8"/>
  <c r="CE174" i="8"/>
  <c r="CF174" i="8"/>
  <c r="AB175" i="8"/>
  <c r="AC175" i="8"/>
  <c r="AD175" i="8"/>
  <c r="AE175" i="8"/>
  <c r="AF175" i="8"/>
  <c r="AG175" i="8"/>
  <c r="AH175" i="8"/>
  <c r="AI175" i="8"/>
  <c r="AJ175" i="8"/>
  <c r="AK175" i="8"/>
  <c r="AL175" i="8"/>
  <c r="AM175" i="8"/>
  <c r="AN175" i="8"/>
  <c r="AO175" i="8"/>
  <c r="AP175" i="8"/>
  <c r="AQ175" i="8"/>
  <c r="AR175" i="8"/>
  <c r="AS175" i="8"/>
  <c r="AT175" i="8"/>
  <c r="AU175" i="8"/>
  <c r="AV175" i="8"/>
  <c r="AW175" i="8"/>
  <c r="AX175" i="8"/>
  <c r="AY175" i="8"/>
  <c r="AZ175" i="8"/>
  <c r="BA175" i="8"/>
  <c r="BB175" i="8"/>
  <c r="BC175" i="8"/>
  <c r="BD175" i="8"/>
  <c r="BE175" i="8"/>
  <c r="BF175" i="8"/>
  <c r="BG175" i="8"/>
  <c r="BH175" i="8"/>
  <c r="BI175" i="8"/>
  <c r="BJ175" i="8"/>
  <c r="BK175" i="8"/>
  <c r="BL175" i="8"/>
  <c r="BM175" i="8"/>
  <c r="BN175" i="8"/>
  <c r="BO175" i="8"/>
  <c r="BP175" i="8"/>
  <c r="BQ175" i="8"/>
  <c r="BR175" i="8"/>
  <c r="BS175" i="8"/>
  <c r="BT175" i="8"/>
  <c r="BU175" i="8"/>
  <c r="BV175" i="8"/>
  <c r="BW175" i="8"/>
  <c r="BX175" i="8"/>
  <c r="BY175" i="8"/>
  <c r="BZ175" i="8"/>
  <c r="CA175" i="8"/>
  <c r="CB175" i="8"/>
  <c r="CC175" i="8"/>
  <c r="CD175" i="8"/>
  <c r="CE175" i="8"/>
  <c r="CF175" i="8"/>
  <c r="AB176" i="8"/>
  <c r="AC176" i="8"/>
  <c r="AD176" i="8"/>
  <c r="AE176" i="8"/>
  <c r="AF176" i="8"/>
  <c r="AG176" i="8"/>
  <c r="AH176" i="8"/>
  <c r="AI176" i="8"/>
  <c r="AJ176" i="8"/>
  <c r="AK176" i="8"/>
  <c r="AL176" i="8"/>
  <c r="AM176" i="8"/>
  <c r="AN176" i="8"/>
  <c r="AO176" i="8"/>
  <c r="AP176" i="8"/>
  <c r="AQ176" i="8"/>
  <c r="AR176" i="8"/>
  <c r="AS176" i="8"/>
  <c r="AT176" i="8"/>
  <c r="AU176" i="8"/>
  <c r="AV176" i="8"/>
  <c r="AW176" i="8"/>
  <c r="AX176" i="8"/>
  <c r="AY176" i="8"/>
  <c r="AZ176" i="8"/>
  <c r="BA176" i="8"/>
  <c r="BB176" i="8"/>
  <c r="BC176" i="8"/>
  <c r="BD176" i="8"/>
  <c r="BE176" i="8"/>
  <c r="BF176" i="8"/>
  <c r="BG176" i="8"/>
  <c r="BH176" i="8"/>
  <c r="BI176" i="8"/>
  <c r="BJ176" i="8"/>
  <c r="BK176" i="8"/>
  <c r="BL176" i="8"/>
  <c r="BM176" i="8"/>
  <c r="BN176" i="8"/>
  <c r="BO176" i="8"/>
  <c r="BP176" i="8"/>
  <c r="BQ176" i="8"/>
  <c r="BR176" i="8"/>
  <c r="BS176" i="8"/>
  <c r="BT176" i="8"/>
  <c r="BU176" i="8"/>
  <c r="BV176" i="8"/>
  <c r="BW176" i="8"/>
  <c r="BX176" i="8"/>
  <c r="BY176" i="8"/>
  <c r="BZ176" i="8"/>
  <c r="CA176" i="8"/>
  <c r="CB176" i="8"/>
  <c r="CC176" i="8"/>
  <c r="CD176" i="8"/>
  <c r="CE176" i="8"/>
  <c r="CF176" i="8"/>
  <c r="AB177" i="8"/>
  <c r="AC177" i="8"/>
  <c r="AD177" i="8"/>
  <c r="AE177" i="8"/>
  <c r="AF177" i="8"/>
  <c r="AG177" i="8"/>
  <c r="AH177" i="8"/>
  <c r="AI177" i="8"/>
  <c r="AJ177" i="8"/>
  <c r="AK177" i="8"/>
  <c r="AL177" i="8"/>
  <c r="AM177" i="8"/>
  <c r="AN177" i="8"/>
  <c r="AO177" i="8"/>
  <c r="AP177" i="8"/>
  <c r="AQ177" i="8"/>
  <c r="AR177" i="8"/>
  <c r="AS177" i="8"/>
  <c r="AT177" i="8"/>
  <c r="AU177" i="8"/>
  <c r="AV177" i="8"/>
  <c r="AW177" i="8"/>
  <c r="AX177" i="8"/>
  <c r="AY177" i="8"/>
  <c r="AZ177" i="8"/>
  <c r="BA177" i="8"/>
  <c r="BB177" i="8"/>
  <c r="BC177" i="8"/>
  <c r="BD177" i="8"/>
  <c r="BE177" i="8"/>
  <c r="BF177" i="8"/>
  <c r="BG177" i="8"/>
  <c r="BH177" i="8"/>
  <c r="BI177" i="8"/>
  <c r="BJ177" i="8"/>
  <c r="BK177" i="8"/>
  <c r="BL177" i="8"/>
  <c r="BM177" i="8"/>
  <c r="BN177" i="8"/>
  <c r="BO177" i="8"/>
  <c r="BP177" i="8"/>
  <c r="BQ177" i="8"/>
  <c r="BR177" i="8"/>
  <c r="BS177" i="8"/>
  <c r="BT177" i="8"/>
  <c r="BU177" i="8"/>
  <c r="BV177" i="8"/>
  <c r="BW177" i="8"/>
  <c r="BX177" i="8"/>
  <c r="BY177" i="8"/>
  <c r="BZ177" i="8"/>
  <c r="CA177" i="8"/>
  <c r="CB177" i="8"/>
  <c r="CC177" i="8"/>
  <c r="CD177" i="8"/>
  <c r="CE177" i="8"/>
  <c r="CF177" i="8"/>
  <c r="AB178" i="8"/>
  <c r="AC178" i="8"/>
  <c r="AD178" i="8"/>
  <c r="AE178" i="8"/>
  <c r="AF178" i="8"/>
  <c r="AG178" i="8"/>
  <c r="AH178" i="8"/>
  <c r="AI178" i="8"/>
  <c r="AJ178" i="8"/>
  <c r="AK178" i="8"/>
  <c r="AL178" i="8"/>
  <c r="AM178" i="8"/>
  <c r="AN178" i="8"/>
  <c r="AO178" i="8"/>
  <c r="AP178" i="8"/>
  <c r="AQ178" i="8"/>
  <c r="AR178" i="8"/>
  <c r="AS178" i="8"/>
  <c r="AT178" i="8"/>
  <c r="AU178" i="8"/>
  <c r="AV178" i="8"/>
  <c r="AW178" i="8"/>
  <c r="AX178" i="8"/>
  <c r="AY178" i="8"/>
  <c r="AZ178" i="8"/>
  <c r="BA178" i="8"/>
  <c r="BB178" i="8"/>
  <c r="BC178" i="8"/>
  <c r="BD178" i="8"/>
  <c r="BE178" i="8"/>
  <c r="BF178" i="8"/>
  <c r="BG178" i="8"/>
  <c r="BH178" i="8"/>
  <c r="BI178" i="8"/>
  <c r="BJ178" i="8"/>
  <c r="BK178" i="8"/>
  <c r="BL178" i="8"/>
  <c r="BM178" i="8"/>
  <c r="BN178" i="8"/>
  <c r="BO178" i="8"/>
  <c r="BP178" i="8"/>
  <c r="BQ178" i="8"/>
  <c r="BR178" i="8"/>
  <c r="BS178" i="8"/>
  <c r="BT178" i="8"/>
  <c r="BU178" i="8"/>
  <c r="BV178" i="8"/>
  <c r="BW178" i="8"/>
  <c r="BX178" i="8"/>
  <c r="BY178" i="8"/>
  <c r="BZ178" i="8"/>
  <c r="CA178" i="8"/>
  <c r="CB178" i="8"/>
  <c r="CC178" i="8"/>
  <c r="CD178" i="8"/>
  <c r="CE178" i="8"/>
  <c r="CF178" i="8"/>
  <c r="AB179" i="8"/>
  <c r="AC179" i="8"/>
  <c r="AD179" i="8"/>
  <c r="AE179" i="8"/>
  <c r="AF179" i="8"/>
  <c r="AG179" i="8"/>
  <c r="AH179" i="8"/>
  <c r="AI179" i="8"/>
  <c r="AJ179" i="8"/>
  <c r="AK179" i="8"/>
  <c r="AL179" i="8"/>
  <c r="AM179" i="8"/>
  <c r="AN179" i="8"/>
  <c r="AO179" i="8"/>
  <c r="AP179" i="8"/>
  <c r="AQ179" i="8"/>
  <c r="AR179" i="8"/>
  <c r="AS179" i="8"/>
  <c r="AT179" i="8"/>
  <c r="AU179" i="8"/>
  <c r="AV179" i="8"/>
  <c r="AW179" i="8"/>
  <c r="AX179" i="8"/>
  <c r="AY179" i="8"/>
  <c r="AZ179" i="8"/>
  <c r="BA179" i="8"/>
  <c r="BB179" i="8"/>
  <c r="BC179" i="8"/>
  <c r="BD179" i="8"/>
  <c r="BE179" i="8"/>
  <c r="BF179" i="8"/>
  <c r="BG179" i="8"/>
  <c r="BH179" i="8"/>
  <c r="BI179" i="8"/>
  <c r="BJ179" i="8"/>
  <c r="BK179" i="8"/>
  <c r="BL179" i="8"/>
  <c r="BM179" i="8"/>
  <c r="BN179" i="8"/>
  <c r="BO179" i="8"/>
  <c r="BP179" i="8"/>
  <c r="BQ179" i="8"/>
  <c r="BR179" i="8"/>
  <c r="BS179" i="8"/>
  <c r="BT179" i="8"/>
  <c r="BU179" i="8"/>
  <c r="BV179" i="8"/>
  <c r="BW179" i="8"/>
  <c r="BX179" i="8"/>
  <c r="BY179" i="8"/>
  <c r="BZ179" i="8"/>
  <c r="CA179" i="8"/>
  <c r="CB179" i="8"/>
  <c r="CC179" i="8"/>
  <c r="CD179" i="8"/>
  <c r="CE179" i="8"/>
  <c r="CF179" i="8"/>
  <c r="AB180" i="8"/>
  <c r="AC180" i="8"/>
  <c r="AD180" i="8"/>
  <c r="AE180" i="8"/>
  <c r="AF180" i="8"/>
  <c r="AG180" i="8"/>
  <c r="AH180" i="8"/>
  <c r="AI180" i="8"/>
  <c r="AJ180" i="8"/>
  <c r="AK180" i="8"/>
  <c r="AL180" i="8"/>
  <c r="AM180" i="8"/>
  <c r="AN180" i="8"/>
  <c r="AO180" i="8"/>
  <c r="AP180" i="8"/>
  <c r="AQ180" i="8"/>
  <c r="AR180" i="8"/>
  <c r="AS180" i="8"/>
  <c r="AT180" i="8"/>
  <c r="AU180" i="8"/>
  <c r="AV180" i="8"/>
  <c r="AW180" i="8"/>
  <c r="AX180" i="8"/>
  <c r="AY180" i="8"/>
  <c r="AZ180" i="8"/>
  <c r="BA180" i="8"/>
  <c r="BB180" i="8"/>
  <c r="BC180" i="8"/>
  <c r="BD180" i="8"/>
  <c r="BE180" i="8"/>
  <c r="BF180" i="8"/>
  <c r="BG180" i="8"/>
  <c r="BH180" i="8"/>
  <c r="BI180" i="8"/>
  <c r="BJ180" i="8"/>
  <c r="BK180" i="8"/>
  <c r="BL180" i="8"/>
  <c r="BM180" i="8"/>
  <c r="BN180" i="8"/>
  <c r="BO180" i="8"/>
  <c r="BP180" i="8"/>
  <c r="BQ180" i="8"/>
  <c r="BR180" i="8"/>
  <c r="BS180" i="8"/>
  <c r="BT180" i="8"/>
  <c r="BU180" i="8"/>
  <c r="BV180" i="8"/>
  <c r="BW180" i="8"/>
  <c r="BX180" i="8"/>
  <c r="BY180" i="8"/>
  <c r="BZ180" i="8"/>
  <c r="CA180" i="8"/>
  <c r="CB180" i="8"/>
  <c r="CC180" i="8"/>
  <c r="CD180" i="8"/>
  <c r="CE180" i="8"/>
  <c r="CF180" i="8"/>
  <c r="AB181" i="8"/>
  <c r="AC181" i="8"/>
  <c r="AD181" i="8"/>
  <c r="AE181" i="8"/>
  <c r="AF181" i="8"/>
  <c r="AG181" i="8"/>
  <c r="AH181" i="8"/>
  <c r="AI181" i="8"/>
  <c r="AJ181" i="8"/>
  <c r="AK181" i="8"/>
  <c r="AL181" i="8"/>
  <c r="AM181" i="8"/>
  <c r="AN181" i="8"/>
  <c r="AO181" i="8"/>
  <c r="AP181" i="8"/>
  <c r="AQ181" i="8"/>
  <c r="AR181" i="8"/>
  <c r="AS181" i="8"/>
  <c r="AT181" i="8"/>
  <c r="AU181" i="8"/>
  <c r="AV181" i="8"/>
  <c r="AW181" i="8"/>
  <c r="AX181" i="8"/>
  <c r="AY181" i="8"/>
  <c r="AZ181" i="8"/>
  <c r="BA181" i="8"/>
  <c r="BB181" i="8"/>
  <c r="BC181" i="8"/>
  <c r="BD181" i="8"/>
  <c r="BE181" i="8"/>
  <c r="BF181" i="8"/>
  <c r="BG181" i="8"/>
  <c r="BH181" i="8"/>
  <c r="BI181" i="8"/>
  <c r="BJ181" i="8"/>
  <c r="BK181" i="8"/>
  <c r="BL181" i="8"/>
  <c r="BM181" i="8"/>
  <c r="BN181" i="8"/>
  <c r="BO181" i="8"/>
  <c r="BP181" i="8"/>
  <c r="BQ181" i="8"/>
  <c r="BR181" i="8"/>
  <c r="BS181" i="8"/>
  <c r="BT181" i="8"/>
  <c r="BU181" i="8"/>
  <c r="BV181" i="8"/>
  <c r="BW181" i="8"/>
  <c r="BX181" i="8"/>
  <c r="BY181" i="8"/>
  <c r="BZ181" i="8"/>
  <c r="CA181" i="8"/>
  <c r="CB181" i="8"/>
  <c r="CC181" i="8"/>
  <c r="CD181" i="8"/>
  <c r="CE181" i="8"/>
  <c r="CF181" i="8"/>
  <c r="AB182" i="8"/>
  <c r="AC182" i="8"/>
  <c r="AD182" i="8"/>
  <c r="AE182" i="8"/>
  <c r="AF182" i="8"/>
  <c r="AG182" i="8"/>
  <c r="AH182" i="8"/>
  <c r="AI182" i="8"/>
  <c r="AJ182" i="8"/>
  <c r="AK182" i="8"/>
  <c r="AL182" i="8"/>
  <c r="AM182" i="8"/>
  <c r="AN182" i="8"/>
  <c r="AO182" i="8"/>
  <c r="AP182" i="8"/>
  <c r="AQ182" i="8"/>
  <c r="AR182" i="8"/>
  <c r="AS182" i="8"/>
  <c r="AT182" i="8"/>
  <c r="AU182" i="8"/>
  <c r="AV182" i="8"/>
  <c r="AW182" i="8"/>
  <c r="AX182" i="8"/>
  <c r="AY182" i="8"/>
  <c r="AZ182" i="8"/>
  <c r="BA182" i="8"/>
  <c r="BB182" i="8"/>
  <c r="BC182" i="8"/>
  <c r="BD182" i="8"/>
  <c r="BE182" i="8"/>
  <c r="BF182" i="8"/>
  <c r="BG182" i="8"/>
  <c r="BH182" i="8"/>
  <c r="BI182" i="8"/>
  <c r="BJ182" i="8"/>
  <c r="BK182" i="8"/>
  <c r="BL182" i="8"/>
  <c r="BM182" i="8"/>
  <c r="BN182" i="8"/>
  <c r="BO182" i="8"/>
  <c r="BP182" i="8"/>
  <c r="BQ182" i="8"/>
  <c r="BR182" i="8"/>
  <c r="BS182" i="8"/>
  <c r="BT182" i="8"/>
  <c r="BU182" i="8"/>
  <c r="BV182" i="8"/>
  <c r="BW182" i="8"/>
  <c r="BX182" i="8"/>
  <c r="BY182" i="8"/>
  <c r="BZ182" i="8"/>
  <c r="CA182" i="8"/>
  <c r="CB182" i="8"/>
  <c r="CC182" i="8"/>
  <c r="CD182" i="8"/>
  <c r="CE182" i="8"/>
  <c r="CF182" i="8"/>
  <c r="AB183" i="8"/>
  <c r="AC183" i="8"/>
  <c r="AD183" i="8"/>
  <c r="AE183" i="8"/>
  <c r="AF183" i="8"/>
  <c r="AG183" i="8"/>
  <c r="AH183" i="8"/>
  <c r="AI183" i="8"/>
  <c r="AJ183" i="8"/>
  <c r="AK183" i="8"/>
  <c r="AL183" i="8"/>
  <c r="AM183" i="8"/>
  <c r="AN183" i="8"/>
  <c r="AO183" i="8"/>
  <c r="AP183" i="8"/>
  <c r="AQ183" i="8"/>
  <c r="AR183" i="8"/>
  <c r="AS183" i="8"/>
  <c r="AT183" i="8"/>
  <c r="AU183" i="8"/>
  <c r="AV183" i="8"/>
  <c r="AW183" i="8"/>
  <c r="AX183" i="8"/>
  <c r="AY183" i="8"/>
  <c r="AZ183" i="8"/>
  <c r="BA183" i="8"/>
  <c r="BB183" i="8"/>
  <c r="BC183" i="8"/>
  <c r="BD183" i="8"/>
  <c r="BE183" i="8"/>
  <c r="BF183" i="8"/>
  <c r="BG183" i="8"/>
  <c r="BH183" i="8"/>
  <c r="BI183" i="8"/>
  <c r="BJ183" i="8"/>
  <c r="BK183" i="8"/>
  <c r="BL183" i="8"/>
  <c r="BM183" i="8"/>
  <c r="BN183" i="8"/>
  <c r="BO183" i="8"/>
  <c r="BP183" i="8"/>
  <c r="BQ183" i="8"/>
  <c r="BR183" i="8"/>
  <c r="BS183" i="8"/>
  <c r="BT183" i="8"/>
  <c r="BU183" i="8"/>
  <c r="BV183" i="8"/>
  <c r="BW183" i="8"/>
  <c r="BX183" i="8"/>
  <c r="BY183" i="8"/>
  <c r="BZ183" i="8"/>
  <c r="CA183" i="8"/>
  <c r="CB183" i="8"/>
  <c r="CC183" i="8"/>
  <c r="CD183" i="8"/>
  <c r="CE183" i="8"/>
  <c r="CF183" i="8"/>
  <c r="AB184" i="8"/>
  <c r="AC184" i="8"/>
  <c r="AD184" i="8"/>
  <c r="AE184" i="8"/>
  <c r="AF184" i="8"/>
  <c r="AG184" i="8"/>
  <c r="AH184" i="8"/>
  <c r="AI184" i="8"/>
  <c r="AJ184" i="8"/>
  <c r="AK184" i="8"/>
  <c r="AL184" i="8"/>
  <c r="AM184" i="8"/>
  <c r="AN184" i="8"/>
  <c r="AO184" i="8"/>
  <c r="AP184" i="8"/>
  <c r="AQ184" i="8"/>
  <c r="AR184" i="8"/>
  <c r="AS184" i="8"/>
  <c r="AT184" i="8"/>
  <c r="AU184" i="8"/>
  <c r="AV184" i="8"/>
  <c r="AW184" i="8"/>
  <c r="AX184" i="8"/>
  <c r="AY184" i="8"/>
  <c r="AZ184" i="8"/>
  <c r="BA184" i="8"/>
  <c r="BB184" i="8"/>
  <c r="BC184" i="8"/>
  <c r="BD184" i="8"/>
  <c r="BE184" i="8"/>
  <c r="BF184" i="8"/>
  <c r="BG184" i="8"/>
  <c r="BH184" i="8"/>
  <c r="BI184" i="8"/>
  <c r="BJ184" i="8"/>
  <c r="BK184" i="8"/>
  <c r="BL184" i="8"/>
  <c r="BM184" i="8"/>
  <c r="BN184" i="8"/>
  <c r="BO184" i="8"/>
  <c r="BP184" i="8"/>
  <c r="BQ184" i="8"/>
  <c r="BR184" i="8"/>
  <c r="BS184" i="8"/>
  <c r="BT184" i="8"/>
  <c r="BU184" i="8"/>
  <c r="BV184" i="8"/>
  <c r="BW184" i="8"/>
  <c r="BX184" i="8"/>
  <c r="BY184" i="8"/>
  <c r="BZ184" i="8"/>
  <c r="CA184" i="8"/>
  <c r="CB184" i="8"/>
  <c r="CC184" i="8"/>
  <c r="CD184" i="8"/>
  <c r="CE184" i="8"/>
  <c r="CF184" i="8"/>
  <c r="AB185" i="8"/>
  <c r="AC185" i="8"/>
  <c r="AD185" i="8"/>
  <c r="AE185" i="8"/>
  <c r="AF185" i="8"/>
  <c r="AG185" i="8"/>
  <c r="AH185" i="8"/>
  <c r="AI185" i="8"/>
  <c r="AJ185" i="8"/>
  <c r="AK185" i="8"/>
  <c r="AL185" i="8"/>
  <c r="AM185" i="8"/>
  <c r="AN185" i="8"/>
  <c r="AO185" i="8"/>
  <c r="AP185" i="8"/>
  <c r="AQ185" i="8"/>
  <c r="AR185" i="8"/>
  <c r="AS185" i="8"/>
  <c r="AT185" i="8"/>
  <c r="AU185" i="8"/>
  <c r="AV185" i="8"/>
  <c r="AW185" i="8"/>
  <c r="AX185" i="8"/>
  <c r="AY185" i="8"/>
  <c r="AZ185" i="8"/>
  <c r="BA185" i="8"/>
  <c r="BB185" i="8"/>
  <c r="BC185" i="8"/>
  <c r="BD185" i="8"/>
  <c r="BE185" i="8"/>
  <c r="BF185" i="8"/>
  <c r="BG185" i="8"/>
  <c r="BH185" i="8"/>
  <c r="BI185" i="8"/>
  <c r="BJ185" i="8"/>
  <c r="BK185" i="8"/>
  <c r="BL185" i="8"/>
  <c r="BM185" i="8"/>
  <c r="BN185" i="8"/>
  <c r="BO185" i="8"/>
  <c r="BP185" i="8"/>
  <c r="BQ185" i="8"/>
  <c r="BR185" i="8"/>
  <c r="BS185" i="8"/>
  <c r="BT185" i="8"/>
  <c r="BU185" i="8"/>
  <c r="BV185" i="8"/>
  <c r="BW185" i="8"/>
  <c r="BX185" i="8"/>
  <c r="BY185" i="8"/>
  <c r="BZ185" i="8"/>
  <c r="CA185" i="8"/>
  <c r="CB185" i="8"/>
  <c r="CC185" i="8"/>
  <c r="CD185" i="8"/>
  <c r="CE185" i="8"/>
  <c r="CF185" i="8"/>
  <c r="AB186" i="8"/>
  <c r="AC186" i="8"/>
  <c r="AD186" i="8"/>
  <c r="AE186" i="8"/>
  <c r="AF186" i="8"/>
  <c r="AG186" i="8"/>
  <c r="AH186" i="8"/>
  <c r="AI186" i="8"/>
  <c r="AJ186" i="8"/>
  <c r="AK186" i="8"/>
  <c r="AL186" i="8"/>
  <c r="AM186" i="8"/>
  <c r="AN186" i="8"/>
  <c r="AO186" i="8"/>
  <c r="AP186" i="8"/>
  <c r="AQ186" i="8"/>
  <c r="AR186" i="8"/>
  <c r="AS186" i="8"/>
  <c r="AT186" i="8"/>
  <c r="AU186" i="8"/>
  <c r="AV186" i="8"/>
  <c r="AW186" i="8"/>
  <c r="AX186" i="8"/>
  <c r="AY186" i="8"/>
  <c r="AZ186" i="8"/>
  <c r="BA186" i="8"/>
  <c r="BB186" i="8"/>
  <c r="BC186" i="8"/>
  <c r="BD186" i="8"/>
  <c r="BE186" i="8"/>
  <c r="BF186" i="8"/>
  <c r="BG186" i="8"/>
  <c r="BH186" i="8"/>
  <c r="BI186" i="8"/>
  <c r="BJ186" i="8"/>
  <c r="BK186" i="8"/>
  <c r="BL186" i="8"/>
  <c r="BM186" i="8"/>
  <c r="BN186" i="8"/>
  <c r="BO186" i="8"/>
  <c r="BP186" i="8"/>
  <c r="BQ186" i="8"/>
  <c r="BR186" i="8"/>
  <c r="BS186" i="8"/>
  <c r="BT186" i="8"/>
  <c r="BU186" i="8"/>
  <c r="BV186" i="8"/>
  <c r="BW186" i="8"/>
  <c r="BX186" i="8"/>
  <c r="BY186" i="8"/>
  <c r="BZ186" i="8"/>
  <c r="CA186" i="8"/>
  <c r="CB186" i="8"/>
  <c r="CC186" i="8"/>
  <c r="CD186" i="8"/>
  <c r="CE186" i="8"/>
  <c r="CF186" i="8"/>
  <c r="AB187" i="8"/>
  <c r="AC187" i="8"/>
  <c r="AD187" i="8"/>
  <c r="AE187" i="8"/>
  <c r="AF187" i="8"/>
  <c r="AG187" i="8"/>
  <c r="AH187" i="8"/>
  <c r="AI187" i="8"/>
  <c r="AJ187" i="8"/>
  <c r="AK187" i="8"/>
  <c r="AL187" i="8"/>
  <c r="AM187" i="8"/>
  <c r="AN187" i="8"/>
  <c r="AO187" i="8"/>
  <c r="AP187" i="8"/>
  <c r="AQ187" i="8"/>
  <c r="AR187" i="8"/>
  <c r="AS187" i="8"/>
  <c r="AT187" i="8"/>
  <c r="AU187" i="8"/>
  <c r="AV187" i="8"/>
  <c r="AW187" i="8"/>
  <c r="AX187" i="8"/>
  <c r="AY187" i="8"/>
  <c r="AZ187" i="8"/>
  <c r="BA187" i="8"/>
  <c r="BB187" i="8"/>
  <c r="BC187" i="8"/>
  <c r="BD187" i="8"/>
  <c r="BE187" i="8"/>
  <c r="BF187" i="8"/>
  <c r="BG187" i="8"/>
  <c r="BH187" i="8"/>
  <c r="BI187" i="8"/>
  <c r="BJ187" i="8"/>
  <c r="BK187" i="8"/>
  <c r="BL187" i="8"/>
  <c r="BM187" i="8"/>
  <c r="BN187" i="8"/>
  <c r="BO187" i="8"/>
  <c r="BP187" i="8"/>
  <c r="BQ187" i="8"/>
  <c r="BR187" i="8"/>
  <c r="BS187" i="8"/>
  <c r="BT187" i="8"/>
  <c r="BU187" i="8"/>
  <c r="BV187" i="8"/>
  <c r="BW187" i="8"/>
  <c r="BX187" i="8"/>
  <c r="BY187" i="8"/>
  <c r="BZ187" i="8"/>
  <c r="CA187" i="8"/>
  <c r="CB187" i="8"/>
  <c r="CC187" i="8"/>
  <c r="CD187" i="8"/>
  <c r="CE187" i="8"/>
  <c r="CF187" i="8"/>
  <c r="AB188" i="8"/>
  <c r="AC188" i="8"/>
  <c r="AD188" i="8"/>
  <c r="AE188" i="8"/>
  <c r="AF188" i="8"/>
  <c r="AG188" i="8"/>
  <c r="AH188" i="8"/>
  <c r="AI188" i="8"/>
  <c r="AJ188" i="8"/>
  <c r="AK188" i="8"/>
  <c r="AL188" i="8"/>
  <c r="AM188" i="8"/>
  <c r="AN188" i="8"/>
  <c r="AO188" i="8"/>
  <c r="AP188" i="8"/>
  <c r="AQ188" i="8"/>
  <c r="AR188" i="8"/>
  <c r="AS188" i="8"/>
  <c r="AT188" i="8"/>
  <c r="AU188" i="8"/>
  <c r="AV188" i="8"/>
  <c r="AW188" i="8"/>
  <c r="AX188" i="8"/>
  <c r="AY188" i="8"/>
  <c r="AZ188" i="8"/>
  <c r="BA188" i="8"/>
  <c r="BB188" i="8"/>
  <c r="BC188" i="8"/>
  <c r="BD188" i="8"/>
  <c r="BE188" i="8"/>
  <c r="BF188" i="8"/>
  <c r="BG188" i="8"/>
  <c r="BH188" i="8"/>
  <c r="BI188" i="8"/>
  <c r="BJ188" i="8"/>
  <c r="BK188" i="8"/>
  <c r="BL188" i="8"/>
  <c r="BM188" i="8"/>
  <c r="BN188" i="8"/>
  <c r="BO188" i="8"/>
  <c r="BP188" i="8"/>
  <c r="BQ188" i="8"/>
  <c r="BR188" i="8"/>
  <c r="BS188" i="8"/>
  <c r="BT188" i="8"/>
  <c r="BU188" i="8"/>
  <c r="BV188" i="8"/>
  <c r="BW188" i="8"/>
  <c r="BX188" i="8"/>
  <c r="BY188" i="8"/>
  <c r="BZ188" i="8"/>
  <c r="CA188" i="8"/>
  <c r="CB188" i="8"/>
  <c r="CC188" i="8"/>
  <c r="CD188" i="8"/>
  <c r="CE188" i="8"/>
  <c r="CF188" i="8"/>
  <c r="AB189" i="8"/>
  <c r="AC189" i="8"/>
  <c r="AD189" i="8"/>
  <c r="AE189" i="8"/>
  <c r="AF189" i="8"/>
  <c r="AG189" i="8"/>
  <c r="AH189" i="8"/>
  <c r="AI189" i="8"/>
  <c r="AJ189" i="8"/>
  <c r="AK189" i="8"/>
  <c r="AL189" i="8"/>
  <c r="AM189" i="8"/>
  <c r="AN189" i="8"/>
  <c r="AO189" i="8"/>
  <c r="AP189" i="8"/>
  <c r="AQ189" i="8"/>
  <c r="AR189" i="8"/>
  <c r="AS189" i="8"/>
  <c r="AT189" i="8"/>
  <c r="AU189" i="8"/>
  <c r="AV189" i="8"/>
  <c r="AW189" i="8"/>
  <c r="AX189" i="8"/>
  <c r="AY189" i="8"/>
  <c r="AZ189" i="8"/>
  <c r="BA189" i="8"/>
  <c r="BB189" i="8"/>
  <c r="BC189" i="8"/>
  <c r="BD189" i="8"/>
  <c r="BE189" i="8"/>
  <c r="BF189" i="8"/>
  <c r="BG189" i="8"/>
  <c r="BH189" i="8"/>
  <c r="BI189" i="8"/>
  <c r="BJ189" i="8"/>
  <c r="BK189" i="8"/>
  <c r="BL189" i="8"/>
  <c r="BM189" i="8"/>
  <c r="BN189" i="8"/>
  <c r="BO189" i="8"/>
  <c r="BP189" i="8"/>
  <c r="BQ189" i="8"/>
  <c r="BR189" i="8"/>
  <c r="BS189" i="8"/>
  <c r="BT189" i="8"/>
  <c r="BU189" i="8"/>
  <c r="BV189" i="8"/>
  <c r="BW189" i="8"/>
  <c r="BX189" i="8"/>
  <c r="BY189" i="8"/>
  <c r="BZ189" i="8"/>
  <c r="CA189" i="8"/>
  <c r="CB189" i="8"/>
  <c r="CC189" i="8"/>
  <c r="CD189" i="8"/>
  <c r="CE189" i="8"/>
  <c r="CF189" i="8"/>
  <c r="AB190" i="8"/>
  <c r="AC190" i="8"/>
  <c r="AD190" i="8"/>
  <c r="AE190" i="8"/>
  <c r="AF190" i="8"/>
  <c r="AG190" i="8"/>
  <c r="AH190" i="8"/>
  <c r="AI190" i="8"/>
  <c r="AJ190" i="8"/>
  <c r="AK190" i="8"/>
  <c r="AL190" i="8"/>
  <c r="AM190" i="8"/>
  <c r="AN190" i="8"/>
  <c r="AO190" i="8"/>
  <c r="AP190" i="8"/>
  <c r="AQ190" i="8"/>
  <c r="AR190" i="8"/>
  <c r="AS190" i="8"/>
  <c r="AT190" i="8"/>
  <c r="AU190" i="8"/>
  <c r="AV190" i="8"/>
  <c r="AW190" i="8"/>
  <c r="AX190" i="8"/>
  <c r="AY190" i="8"/>
  <c r="AZ190" i="8"/>
  <c r="BA190" i="8"/>
  <c r="BB190" i="8"/>
  <c r="BC190" i="8"/>
  <c r="BD190" i="8"/>
  <c r="BE190" i="8"/>
  <c r="BF190" i="8"/>
  <c r="BG190" i="8"/>
  <c r="BH190" i="8"/>
  <c r="BI190" i="8"/>
  <c r="BJ190" i="8"/>
  <c r="BK190" i="8"/>
  <c r="BL190" i="8"/>
  <c r="BM190" i="8"/>
  <c r="BN190" i="8"/>
  <c r="BO190" i="8"/>
  <c r="BP190" i="8"/>
  <c r="BQ190" i="8"/>
  <c r="BR190" i="8"/>
  <c r="BS190" i="8"/>
  <c r="BT190" i="8"/>
  <c r="BU190" i="8"/>
  <c r="BV190" i="8"/>
  <c r="BW190" i="8"/>
  <c r="BX190" i="8"/>
  <c r="BY190" i="8"/>
  <c r="BZ190" i="8"/>
  <c r="CA190" i="8"/>
  <c r="CB190" i="8"/>
  <c r="CC190" i="8"/>
  <c r="CD190" i="8"/>
  <c r="CE190" i="8"/>
  <c r="CF190" i="8"/>
  <c r="AB191" i="8"/>
  <c r="AC191" i="8"/>
  <c r="AD191" i="8"/>
  <c r="AE191" i="8"/>
  <c r="AF191" i="8"/>
  <c r="AG191" i="8"/>
  <c r="AH191" i="8"/>
  <c r="AI191" i="8"/>
  <c r="AJ191" i="8"/>
  <c r="AK191" i="8"/>
  <c r="AL191" i="8"/>
  <c r="AM191" i="8"/>
  <c r="AN191" i="8"/>
  <c r="AO191" i="8"/>
  <c r="AP191" i="8"/>
  <c r="AQ191" i="8"/>
  <c r="AR191" i="8"/>
  <c r="AS191" i="8"/>
  <c r="AT191" i="8"/>
  <c r="AU191" i="8"/>
  <c r="AV191" i="8"/>
  <c r="AW191" i="8"/>
  <c r="AX191" i="8"/>
  <c r="AY191" i="8"/>
  <c r="AZ191" i="8"/>
  <c r="BA191" i="8"/>
  <c r="BB191" i="8"/>
  <c r="BC191" i="8"/>
  <c r="BD191" i="8"/>
  <c r="BE191" i="8"/>
  <c r="BF191" i="8"/>
  <c r="BG191" i="8"/>
  <c r="BH191" i="8"/>
  <c r="BI191" i="8"/>
  <c r="BJ191" i="8"/>
  <c r="BK191" i="8"/>
  <c r="BL191" i="8"/>
  <c r="BM191" i="8"/>
  <c r="BN191" i="8"/>
  <c r="BO191" i="8"/>
  <c r="BP191" i="8"/>
  <c r="BQ191" i="8"/>
  <c r="BR191" i="8"/>
  <c r="BS191" i="8"/>
  <c r="BT191" i="8"/>
  <c r="BU191" i="8"/>
  <c r="BV191" i="8"/>
  <c r="BW191" i="8"/>
  <c r="BX191" i="8"/>
  <c r="BY191" i="8"/>
  <c r="BZ191" i="8"/>
  <c r="CA191" i="8"/>
  <c r="CB191" i="8"/>
  <c r="CC191" i="8"/>
  <c r="CD191" i="8"/>
  <c r="CE191" i="8"/>
  <c r="CF191" i="8"/>
  <c r="AB192" i="8"/>
  <c r="AC192" i="8"/>
  <c r="AD192" i="8"/>
  <c r="AE192" i="8"/>
  <c r="AF192" i="8"/>
  <c r="AG192" i="8"/>
  <c r="AH192" i="8"/>
  <c r="AI192" i="8"/>
  <c r="AJ192" i="8"/>
  <c r="AK192" i="8"/>
  <c r="AL192" i="8"/>
  <c r="AM192" i="8"/>
  <c r="AN192" i="8"/>
  <c r="AO192" i="8"/>
  <c r="AP192" i="8"/>
  <c r="AQ192" i="8"/>
  <c r="AR192" i="8"/>
  <c r="AS192" i="8"/>
  <c r="AT192" i="8"/>
  <c r="AU192" i="8"/>
  <c r="AV192" i="8"/>
  <c r="AW192" i="8"/>
  <c r="AX192" i="8"/>
  <c r="AY192" i="8"/>
  <c r="AZ192" i="8"/>
  <c r="BA192" i="8"/>
  <c r="BB192" i="8"/>
  <c r="BC192" i="8"/>
  <c r="BD192" i="8"/>
  <c r="BE192" i="8"/>
  <c r="BF192" i="8"/>
  <c r="BG192" i="8"/>
  <c r="BH192" i="8"/>
  <c r="BI192" i="8"/>
  <c r="BJ192" i="8"/>
  <c r="BK192" i="8"/>
  <c r="BL192" i="8"/>
  <c r="BM192" i="8"/>
  <c r="BN192" i="8"/>
  <c r="BO192" i="8"/>
  <c r="BP192" i="8"/>
  <c r="BQ192" i="8"/>
  <c r="BR192" i="8"/>
  <c r="BS192" i="8"/>
  <c r="BT192" i="8"/>
  <c r="BU192" i="8"/>
  <c r="BV192" i="8"/>
  <c r="BW192" i="8"/>
  <c r="BX192" i="8"/>
  <c r="BY192" i="8"/>
  <c r="BZ192" i="8"/>
  <c r="CA192" i="8"/>
  <c r="CB192" i="8"/>
  <c r="CC192" i="8"/>
  <c r="CD192" i="8"/>
  <c r="CE192" i="8"/>
  <c r="CF192" i="8"/>
  <c r="AB193" i="8"/>
  <c r="AC193" i="8"/>
  <c r="AD193" i="8"/>
  <c r="AE193" i="8"/>
  <c r="AF193" i="8"/>
  <c r="AG193" i="8"/>
  <c r="AH193" i="8"/>
  <c r="AI193" i="8"/>
  <c r="AJ193" i="8"/>
  <c r="AK193" i="8"/>
  <c r="AL193" i="8"/>
  <c r="AM193" i="8"/>
  <c r="AN193" i="8"/>
  <c r="AO193" i="8"/>
  <c r="AP193" i="8"/>
  <c r="AQ193" i="8"/>
  <c r="AR193" i="8"/>
  <c r="AS193" i="8"/>
  <c r="AT193" i="8"/>
  <c r="AU193" i="8"/>
  <c r="AV193" i="8"/>
  <c r="AW193" i="8"/>
  <c r="AX193" i="8"/>
  <c r="AY193" i="8"/>
  <c r="AZ193" i="8"/>
  <c r="BA193" i="8"/>
  <c r="BB193" i="8"/>
  <c r="BC193" i="8"/>
  <c r="BD193" i="8"/>
  <c r="BE193" i="8"/>
  <c r="BF193" i="8"/>
  <c r="BG193" i="8"/>
  <c r="BH193" i="8"/>
  <c r="BI193" i="8"/>
  <c r="BJ193" i="8"/>
  <c r="BK193" i="8"/>
  <c r="BL193" i="8"/>
  <c r="BM193" i="8"/>
  <c r="BN193" i="8"/>
  <c r="BO193" i="8"/>
  <c r="BP193" i="8"/>
  <c r="BQ193" i="8"/>
  <c r="BR193" i="8"/>
  <c r="BS193" i="8"/>
  <c r="BT193" i="8"/>
  <c r="BU193" i="8"/>
  <c r="BV193" i="8"/>
  <c r="BW193" i="8"/>
  <c r="BX193" i="8"/>
  <c r="BY193" i="8"/>
  <c r="BZ193" i="8"/>
  <c r="CA193" i="8"/>
  <c r="CB193" i="8"/>
  <c r="CC193" i="8"/>
  <c r="CD193" i="8"/>
  <c r="CE193" i="8"/>
  <c r="CF193" i="8"/>
  <c r="AB194" i="8"/>
  <c r="AC194" i="8"/>
  <c r="AD194" i="8"/>
  <c r="AE194" i="8"/>
  <c r="AF194" i="8"/>
  <c r="AG194" i="8"/>
  <c r="AH194" i="8"/>
  <c r="AI194" i="8"/>
  <c r="AJ194" i="8"/>
  <c r="AK194" i="8"/>
  <c r="AL194" i="8"/>
  <c r="AM194" i="8"/>
  <c r="AN194" i="8"/>
  <c r="AO194" i="8"/>
  <c r="AP194" i="8"/>
  <c r="AQ194" i="8"/>
  <c r="AR194" i="8"/>
  <c r="AS194" i="8"/>
  <c r="AT194" i="8"/>
  <c r="AU194" i="8"/>
  <c r="AV194" i="8"/>
  <c r="AW194" i="8"/>
  <c r="AX194" i="8"/>
  <c r="AY194" i="8"/>
  <c r="AZ194" i="8"/>
  <c r="BA194" i="8"/>
  <c r="BB194" i="8"/>
  <c r="BC194" i="8"/>
  <c r="BD194" i="8"/>
  <c r="BE194" i="8"/>
  <c r="BF194" i="8"/>
  <c r="BG194" i="8"/>
  <c r="BH194" i="8"/>
  <c r="BI194" i="8"/>
  <c r="BJ194" i="8"/>
  <c r="BK194" i="8"/>
  <c r="BL194" i="8"/>
  <c r="BM194" i="8"/>
  <c r="BN194" i="8"/>
  <c r="BO194" i="8"/>
  <c r="BP194" i="8"/>
  <c r="BQ194" i="8"/>
  <c r="BR194" i="8"/>
  <c r="BS194" i="8"/>
  <c r="BT194" i="8"/>
  <c r="BU194" i="8"/>
  <c r="BV194" i="8"/>
  <c r="BW194" i="8"/>
  <c r="BX194" i="8"/>
  <c r="BY194" i="8"/>
  <c r="BZ194" i="8"/>
  <c r="CA194" i="8"/>
  <c r="CB194" i="8"/>
  <c r="CC194" i="8"/>
  <c r="CD194" i="8"/>
  <c r="CE194" i="8"/>
  <c r="CF194" i="8"/>
  <c r="AB195" i="8"/>
  <c r="AC195" i="8"/>
  <c r="AD195" i="8"/>
  <c r="AE195" i="8"/>
  <c r="AF195" i="8"/>
  <c r="AG195" i="8"/>
  <c r="AH195" i="8"/>
  <c r="AI195" i="8"/>
  <c r="AJ195" i="8"/>
  <c r="AK195" i="8"/>
  <c r="AL195" i="8"/>
  <c r="AM195" i="8"/>
  <c r="AN195" i="8"/>
  <c r="AO195" i="8"/>
  <c r="AP195" i="8"/>
  <c r="AQ195" i="8"/>
  <c r="AR195" i="8"/>
  <c r="AS195" i="8"/>
  <c r="AT195" i="8"/>
  <c r="AU195" i="8"/>
  <c r="AV195" i="8"/>
  <c r="AW195" i="8"/>
  <c r="AX195" i="8"/>
  <c r="AY195" i="8"/>
  <c r="AZ195" i="8"/>
  <c r="BA195" i="8"/>
  <c r="BB195" i="8"/>
  <c r="BC195" i="8"/>
  <c r="BD195" i="8"/>
  <c r="BE195" i="8"/>
  <c r="BF195" i="8"/>
  <c r="BG195" i="8"/>
  <c r="BH195" i="8"/>
  <c r="BI195" i="8"/>
  <c r="BJ195" i="8"/>
  <c r="BK195" i="8"/>
  <c r="BL195" i="8"/>
  <c r="BM195" i="8"/>
  <c r="BN195" i="8"/>
  <c r="BO195" i="8"/>
  <c r="BP195" i="8"/>
  <c r="BQ195" i="8"/>
  <c r="BR195" i="8"/>
  <c r="BS195" i="8"/>
  <c r="BT195" i="8"/>
  <c r="BU195" i="8"/>
  <c r="BV195" i="8"/>
  <c r="BW195" i="8"/>
  <c r="BX195" i="8"/>
  <c r="BY195" i="8"/>
  <c r="BZ195" i="8"/>
  <c r="CA195" i="8"/>
  <c r="CB195" i="8"/>
  <c r="CC195" i="8"/>
  <c r="CD195" i="8"/>
  <c r="CE195" i="8"/>
  <c r="CF195" i="8"/>
  <c r="AB196" i="8"/>
  <c r="AC196" i="8"/>
  <c r="AD196" i="8"/>
  <c r="AE196" i="8"/>
  <c r="AF196" i="8"/>
  <c r="AG196" i="8"/>
  <c r="AH196" i="8"/>
  <c r="AI196" i="8"/>
  <c r="AJ196" i="8"/>
  <c r="AK196" i="8"/>
  <c r="AL196" i="8"/>
  <c r="AM196" i="8"/>
  <c r="AN196" i="8"/>
  <c r="AO196" i="8"/>
  <c r="AP196" i="8"/>
  <c r="AQ196" i="8"/>
  <c r="AR196" i="8"/>
  <c r="AS196" i="8"/>
  <c r="AT196" i="8"/>
  <c r="AU196" i="8"/>
  <c r="AV196" i="8"/>
  <c r="AW196" i="8"/>
  <c r="AX196" i="8"/>
  <c r="AY196" i="8"/>
  <c r="AZ196" i="8"/>
  <c r="BA196" i="8"/>
  <c r="BB196" i="8"/>
  <c r="BC196" i="8"/>
  <c r="BD196" i="8"/>
  <c r="BE196" i="8"/>
  <c r="BF196" i="8"/>
  <c r="BG196" i="8"/>
  <c r="BH196" i="8"/>
  <c r="BI196" i="8"/>
  <c r="BJ196" i="8"/>
  <c r="BK196" i="8"/>
  <c r="BL196" i="8"/>
  <c r="BM196" i="8"/>
  <c r="BN196" i="8"/>
  <c r="BO196" i="8"/>
  <c r="BP196" i="8"/>
  <c r="BQ196" i="8"/>
  <c r="BR196" i="8"/>
  <c r="BS196" i="8"/>
  <c r="BT196" i="8"/>
  <c r="BU196" i="8"/>
  <c r="BV196" i="8"/>
  <c r="BW196" i="8"/>
  <c r="BX196" i="8"/>
  <c r="BY196" i="8"/>
  <c r="BZ196" i="8"/>
  <c r="CA196" i="8"/>
  <c r="CB196" i="8"/>
  <c r="CC196" i="8"/>
  <c r="CD196" i="8"/>
  <c r="CE196" i="8"/>
  <c r="CF196" i="8"/>
  <c r="AB197" i="8"/>
  <c r="AC197" i="8"/>
  <c r="AD197" i="8"/>
  <c r="AE197" i="8"/>
  <c r="AF197" i="8"/>
  <c r="AG197" i="8"/>
  <c r="AH197" i="8"/>
  <c r="AI197" i="8"/>
  <c r="AJ197" i="8"/>
  <c r="AK197" i="8"/>
  <c r="AL197" i="8"/>
  <c r="AM197" i="8"/>
  <c r="AN197" i="8"/>
  <c r="AO197" i="8"/>
  <c r="AP197" i="8"/>
  <c r="AQ197" i="8"/>
  <c r="AR197" i="8"/>
  <c r="AS197" i="8"/>
  <c r="AT197" i="8"/>
  <c r="AU197" i="8"/>
  <c r="AV197" i="8"/>
  <c r="AW197" i="8"/>
  <c r="AX197" i="8"/>
  <c r="AY197" i="8"/>
  <c r="AZ197" i="8"/>
  <c r="BA197" i="8"/>
  <c r="BB197" i="8"/>
  <c r="BC197" i="8"/>
  <c r="BD197" i="8"/>
  <c r="BE197" i="8"/>
  <c r="BF197" i="8"/>
  <c r="BG197" i="8"/>
  <c r="BH197" i="8"/>
  <c r="BI197" i="8"/>
  <c r="BJ197" i="8"/>
  <c r="BK197" i="8"/>
  <c r="BL197" i="8"/>
  <c r="BM197" i="8"/>
  <c r="BN197" i="8"/>
  <c r="BO197" i="8"/>
  <c r="BP197" i="8"/>
  <c r="BQ197" i="8"/>
  <c r="BR197" i="8"/>
  <c r="BS197" i="8"/>
  <c r="BT197" i="8"/>
  <c r="BU197" i="8"/>
  <c r="BV197" i="8"/>
  <c r="BW197" i="8"/>
  <c r="BX197" i="8"/>
  <c r="BY197" i="8"/>
  <c r="BZ197" i="8"/>
  <c r="CA197" i="8"/>
  <c r="CB197" i="8"/>
  <c r="CC197" i="8"/>
  <c r="CD197" i="8"/>
  <c r="CE197" i="8"/>
  <c r="CF197" i="8"/>
  <c r="AB198" i="8"/>
  <c r="AC198" i="8"/>
  <c r="AD198" i="8"/>
  <c r="AE198" i="8"/>
  <c r="AF198" i="8"/>
  <c r="AG198" i="8"/>
  <c r="AH198" i="8"/>
  <c r="AI198" i="8"/>
  <c r="AJ198" i="8"/>
  <c r="AK198" i="8"/>
  <c r="AL198" i="8"/>
  <c r="AM198" i="8"/>
  <c r="AN198" i="8"/>
  <c r="AO198" i="8"/>
  <c r="AP198" i="8"/>
  <c r="AQ198" i="8"/>
  <c r="AR198" i="8"/>
  <c r="AS198" i="8"/>
  <c r="AT198" i="8"/>
  <c r="AU198" i="8"/>
  <c r="AV198" i="8"/>
  <c r="AW198" i="8"/>
  <c r="AX198" i="8"/>
  <c r="AY198" i="8"/>
  <c r="AZ198" i="8"/>
  <c r="BA198" i="8"/>
  <c r="BB198" i="8"/>
  <c r="BC198" i="8"/>
  <c r="BD198" i="8"/>
  <c r="BE198" i="8"/>
  <c r="BF198" i="8"/>
  <c r="BG198" i="8"/>
  <c r="BH198" i="8"/>
  <c r="BI198" i="8"/>
  <c r="BJ198" i="8"/>
  <c r="BK198" i="8"/>
  <c r="BL198" i="8"/>
  <c r="BM198" i="8"/>
  <c r="BN198" i="8"/>
  <c r="BO198" i="8"/>
  <c r="BP198" i="8"/>
  <c r="BQ198" i="8"/>
  <c r="BR198" i="8"/>
  <c r="BS198" i="8"/>
  <c r="BT198" i="8"/>
  <c r="BU198" i="8"/>
  <c r="BV198" i="8"/>
  <c r="BW198" i="8"/>
  <c r="BX198" i="8"/>
  <c r="BY198" i="8"/>
  <c r="BZ198" i="8"/>
  <c r="CA198" i="8"/>
  <c r="CB198" i="8"/>
  <c r="CC198" i="8"/>
  <c r="CD198" i="8"/>
  <c r="CE198" i="8"/>
  <c r="CF198" i="8"/>
  <c r="AB199" i="8"/>
  <c r="AC199" i="8"/>
  <c r="AD199" i="8"/>
  <c r="AE199" i="8"/>
  <c r="AF199" i="8"/>
  <c r="AG199" i="8"/>
  <c r="AH199" i="8"/>
  <c r="AI199" i="8"/>
  <c r="AJ199" i="8"/>
  <c r="AK199" i="8"/>
  <c r="AL199" i="8"/>
  <c r="AM199" i="8"/>
  <c r="AN199" i="8"/>
  <c r="AO199" i="8"/>
  <c r="AP199" i="8"/>
  <c r="AQ199" i="8"/>
  <c r="AR199" i="8"/>
  <c r="AS199" i="8"/>
  <c r="AT199" i="8"/>
  <c r="AU199" i="8"/>
  <c r="AV199" i="8"/>
  <c r="AW199" i="8"/>
  <c r="AX199" i="8"/>
  <c r="AY199" i="8"/>
  <c r="AZ199" i="8"/>
  <c r="BA199" i="8"/>
  <c r="BB199" i="8"/>
  <c r="BC199" i="8"/>
  <c r="BD199" i="8"/>
  <c r="BE199" i="8"/>
  <c r="BF199" i="8"/>
  <c r="BG199" i="8"/>
  <c r="BH199" i="8"/>
  <c r="BI199" i="8"/>
  <c r="BJ199" i="8"/>
  <c r="BK199" i="8"/>
  <c r="BL199" i="8"/>
  <c r="BM199" i="8"/>
  <c r="BN199" i="8"/>
  <c r="BO199" i="8"/>
  <c r="BP199" i="8"/>
  <c r="BQ199" i="8"/>
  <c r="BR199" i="8"/>
  <c r="BS199" i="8"/>
  <c r="BT199" i="8"/>
  <c r="BU199" i="8"/>
  <c r="BV199" i="8"/>
  <c r="BW199" i="8"/>
  <c r="BX199" i="8"/>
  <c r="BY199" i="8"/>
  <c r="BZ199" i="8"/>
  <c r="CA199" i="8"/>
  <c r="CB199" i="8"/>
  <c r="CC199" i="8"/>
  <c r="CD199" i="8"/>
  <c r="CE199" i="8"/>
  <c r="CF199" i="8"/>
  <c r="AB200" i="8"/>
  <c r="AC200" i="8"/>
  <c r="AD200" i="8"/>
  <c r="AE200" i="8"/>
  <c r="AF200" i="8"/>
  <c r="AG200" i="8"/>
  <c r="AH200" i="8"/>
  <c r="AI200" i="8"/>
  <c r="AJ200" i="8"/>
  <c r="AK200" i="8"/>
  <c r="AL200" i="8"/>
  <c r="AM200" i="8"/>
  <c r="AN200" i="8"/>
  <c r="AO200" i="8"/>
  <c r="AP200" i="8"/>
  <c r="AQ200" i="8"/>
  <c r="AR200" i="8"/>
  <c r="AS200" i="8"/>
  <c r="AT200" i="8"/>
  <c r="AU200" i="8"/>
  <c r="AV200" i="8"/>
  <c r="AW200" i="8"/>
  <c r="AX200" i="8"/>
  <c r="AY200" i="8"/>
  <c r="AZ200" i="8"/>
  <c r="BA200" i="8"/>
  <c r="BB200" i="8"/>
  <c r="BC200" i="8"/>
  <c r="BD200" i="8"/>
  <c r="BE200" i="8"/>
  <c r="BF200" i="8"/>
  <c r="BG200" i="8"/>
  <c r="BH200" i="8"/>
  <c r="BI200" i="8"/>
  <c r="BJ200" i="8"/>
  <c r="BK200" i="8"/>
  <c r="BL200" i="8"/>
  <c r="BM200" i="8"/>
  <c r="BN200" i="8"/>
  <c r="BO200" i="8"/>
  <c r="BP200" i="8"/>
  <c r="BQ200" i="8"/>
  <c r="BR200" i="8"/>
  <c r="BS200" i="8"/>
  <c r="BT200" i="8"/>
  <c r="BU200" i="8"/>
  <c r="BV200" i="8"/>
  <c r="BW200" i="8"/>
  <c r="BX200" i="8"/>
  <c r="BY200" i="8"/>
  <c r="BZ200" i="8"/>
  <c r="CA200" i="8"/>
  <c r="CB200" i="8"/>
  <c r="CC200" i="8"/>
  <c r="CD200" i="8"/>
  <c r="CE200" i="8"/>
  <c r="CF200" i="8"/>
  <c r="AB201" i="8"/>
  <c r="AC201" i="8"/>
  <c r="AD201" i="8"/>
  <c r="AE201" i="8"/>
  <c r="AF201" i="8"/>
  <c r="AG201" i="8"/>
  <c r="AH201" i="8"/>
  <c r="AI201" i="8"/>
  <c r="AJ201" i="8"/>
  <c r="AK201" i="8"/>
  <c r="AL201" i="8"/>
  <c r="AM201" i="8"/>
  <c r="AN201" i="8"/>
  <c r="AO201" i="8"/>
  <c r="AP201" i="8"/>
  <c r="AQ201" i="8"/>
  <c r="AR201" i="8"/>
  <c r="AS201" i="8"/>
  <c r="AT201" i="8"/>
  <c r="AU201" i="8"/>
  <c r="AV201" i="8"/>
  <c r="AW201" i="8"/>
  <c r="AX201" i="8"/>
  <c r="AY201" i="8"/>
  <c r="AZ201" i="8"/>
  <c r="BA201" i="8"/>
  <c r="BB201" i="8"/>
  <c r="BC201" i="8"/>
  <c r="BD201" i="8"/>
  <c r="BE201" i="8"/>
  <c r="BF201" i="8"/>
  <c r="BG201" i="8"/>
  <c r="BH201" i="8"/>
  <c r="BI201" i="8"/>
  <c r="BJ201" i="8"/>
  <c r="BK201" i="8"/>
  <c r="BL201" i="8"/>
  <c r="BM201" i="8"/>
  <c r="BN201" i="8"/>
  <c r="BO201" i="8"/>
  <c r="BP201" i="8"/>
  <c r="BQ201" i="8"/>
  <c r="BR201" i="8"/>
  <c r="BS201" i="8"/>
  <c r="BT201" i="8"/>
  <c r="BU201" i="8"/>
  <c r="BV201" i="8"/>
  <c r="BW201" i="8"/>
  <c r="BX201" i="8"/>
  <c r="BY201" i="8"/>
  <c r="BZ201" i="8"/>
  <c r="CA201" i="8"/>
  <c r="CB201" i="8"/>
  <c r="CC201" i="8"/>
  <c r="CD201" i="8"/>
  <c r="CE201" i="8"/>
  <c r="CF201" i="8"/>
  <c r="AB202" i="8"/>
  <c r="AC202" i="8"/>
  <c r="AD202" i="8"/>
  <c r="AE202" i="8"/>
  <c r="AF202" i="8"/>
  <c r="AG202" i="8"/>
  <c r="AH202" i="8"/>
  <c r="AI202" i="8"/>
  <c r="AJ202" i="8"/>
  <c r="AK202" i="8"/>
  <c r="AL202" i="8"/>
  <c r="AM202" i="8"/>
  <c r="AN202" i="8"/>
  <c r="AO202" i="8"/>
  <c r="AP202" i="8"/>
  <c r="AQ202" i="8"/>
  <c r="AR202" i="8"/>
  <c r="AS202" i="8"/>
  <c r="AT202" i="8"/>
  <c r="AU202" i="8"/>
  <c r="AV202" i="8"/>
  <c r="AW202" i="8"/>
  <c r="AX202" i="8"/>
  <c r="AY202" i="8"/>
  <c r="AZ202" i="8"/>
  <c r="BA202" i="8"/>
  <c r="BB202" i="8"/>
  <c r="BC202" i="8"/>
  <c r="BD202" i="8"/>
  <c r="BE202" i="8"/>
  <c r="BF202" i="8"/>
  <c r="BG202" i="8"/>
  <c r="BH202" i="8"/>
  <c r="BI202" i="8"/>
  <c r="BJ202" i="8"/>
  <c r="BK202" i="8"/>
  <c r="BL202" i="8"/>
  <c r="BM202" i="8"/>
  <c r="BN202" i="8"/>
  <c r="BO202" i="8"/>
  <c r="BP202" i="8"/>
  <c r="BQ202" i="8"/>
  <c r="BR202" i="8"/>
  <c r="BS202" i="8"/>
  <c r="BT202" i="8"/>
  <c r="BU202" i="8"/>
  <c r="BV202" i="8"/>
  <c r="BW202" i="8"/>
  <c r="BX202" i="8"/>
  <c r="BY202" i="8"/>
  <c r="BZ202" i="8"/>
  <c r="CA202" i="8"/>
  <c r="CB202" i="8"/>
  <c r="CC202" i="8"/>
  <c r="CD202" i="8"/>
  <c r="CE202" i="8"/>
  <c r="CF202" i="8"/>
  <c r="AB203" i="8"/>
  <c r="AC203" i="8"/>
  <c r="AD203" i="8"/>
  <c r="AE203" i="8"/>
  <c r="AF203" i="8"/>
  <c r="AG203" i="8"/>
  <c r="AH203" i="8"/>
  <c r="AI203" i="8"/>
  <c r="AJ203" i="8"/>
  <c r="AK203" i="8"/>
  <c r="AL203" i="8"/>
  <c r="AM203" i="8"/>
  <c r="AN203" i="8"/>
  <c r="AO203" i="8"/>
  <c r="AP203" i="8"/>
  <c r="AQ203" i="8"/>
  <c r="AR203" i="8"/>
  <c r="AS203" i="8"/>
  <c r="AT203" i="8"/>
  <c r="AU203" i="8"/>
  <c r="AV203" i="8"/>
  <c r="AW203" i="8"/>
  <c r="AX203" i="8"/>
  <c r="AY203" i="8"/>
  <c r="AZ203" i="8"/>
  <c r="BA203" i="8"/>
  <c r="BB203" i="8"/>
  <c r="BC203" i="8"/>
  <c r="BD203" i="8"/>
  <c r="BE203" i="8"/>
  <c r="BF203" i="8"/>
  <c r="BG203" i="8"/>
  <c r="BH203" i="8"/>
  <c r="BI203" i="8"/>
  <c r="BJ203" i="8"/>
  <c r="BK203" i="8"/>
  <c r="BL203" i="8"/>
  <c r="BM203" i="8"/>
  <c r="BN203" i="8"/>
  <c r="BO203" i="8"/>
  <c r="BP203" i="8"/>
  <c r="BQ203" i="8"/>
  <c r="BR203" i="8"/>
  <c r="BS203" i="8"/>
  <c r="BT203" i="8"/>
  <c r="BU203" i="8"/>
  <c r="BV203" i="8"/>
  <c r="BW203" i="8"/>
  <c r="BX203" i="8"/>
  <c r="BY203" i="8"/>
  <c r="BZ203" i="8"/>
  <c r="CA203" i="8"/>
  <c r="CB203" i="8"/>
  <c r="CC203" i="8"/>
  <c r="CD203" i="8"/>
  <c r="CE203" i="8"/>
  <c r="CF203" i="8"/>
  <c r="AB204" i="8"/>
  <c r="AC204" i="8"/>
  <c r="AD204" i="8"/>
  <c r="AE204" i="8"/>
  <c r="AF204" i="8"/>
  <c r="AG204" i="8"/>
  <c r="AH204" i="8"/>
  <c r="AI204" i="8"/>
  <c r="AJ204" i="8"/>
  <c r="AK204" i="8"/>
  <c r="AL204" i="8"/>
  <c r="AM204" i="8"/>
  <c r="AN204" i="8"/>
  <c r="AO204" i="8"/>
  <c r="AP204" i="8"/>
  <c r="AQ204" i="8"/>
  <c r="AR204" i="8"/>
  <c r="AS204" i="8"/>
  <c r="AT204" i="8"/>
  <c r="AU204" i="8"/>
  <c r="AV204" i="8"/>
  <c r="AW204" i="8"/>
  <c r="AX204" i="8"/>
  <c r="AY204" i="8"/>
  <c r="AZ204" i="8"/>
  <c r="BA204" i="8"/>
  <c r="BB204" i="8"/>
  <c r="BC204" i="8"/>
  <c r="BD204" i="8"/>
  <c r="BE204" i="8"/>
  <c r="BF204" i="8"/>
  <c r="BG204" i="8"/>
  <c r="BH204" i="8"/>
  <c r="BI204" i="8"/>
  <c r="BJ204" i="8"/>
  <c r="BK204" i="8"/>
  <c r="BL204" i="8"/>
  <c r="BM204" i="8"/>
  <c r="BN204" i="8"/>
  <c r="BO204" i="8"/>
  <c r="BP204" i="8"/>
  <c r="BQ204" i="8"/>
  <c r="BR204" i="8"/>
  <c r="BS204" i="8"/>
  <c r="BT204" i="8"/>
  <c r="BU204" i="8"/>
  <c r="BV204" i="8"/>
  <c r="BW204" i="8"/>
  <c r="BX204" i="8"/>
  <c r="BY204" i="8"/>
  <c r="BZ204" i="8"/>
  <c r="CA204" i="8"/>
  <c r="CB204" i="8"/>
  <c r="CC204" i="8"/>
  <c r="CD204" i="8"/>
  <c r="CE204" i="8"/>
  <c r="CF204" i="8"/>
  <c r="AB205" i="8"/>
  <c r="AC205" i="8"/>
  <c r="AD205" i="8"/>
  <c r="AE205" i="8"/>
  <c r="AF205" i="8"/>
  <c r="AG205" i="8"/>
  <c r="AH205" i="8"/>
  <c r="AI205" i="8"/>
  <c r="AJ205" i="8"/>
  <c r="AK205" i="8"/>
  <c r="AL205" i="8"/>
  <c r="AM205" i="8"/>
  <c r="AN205" i="8"/>
  <c r="AO205" i="8"/>
  <c r="AP205" i="8"/>
  <c r="AQ205" i="8"/>
  <c r="AR205" i="8"/>
  <c r="AS205" i="8"/>
  <c r="AT205" i="8"/>
  <c r="AU205" i="8"/>
  <c r="AV205" i="8"/>
  <c r="AW205" i="8"/>
  <c r="AX205" i="8"/>
  <c r="AY205" i="8"/>
  <c r="AZ205" i="8"/>
  <c r="BA205" i="8"/>
  <c r="BB205" i="8"/>
  <c r="BC205" i="8"/>
  <c r="BD205" i="8"/>
  <c r="BE205" i="8"/>
  <c r="BF205" i="8"/>
  <c r="BG205" i="8"/>
  <c r="BH205" i="8"/>
  <c r="BI205" i="8"/>
  <c r="BJ205" i="8"/>
  <c r="BK205" i="8"/>
  <c r="BL205" i="8"/>
  <c r="BM205" i="8"/>
  <c r="BN205" i="8"/>
  <c r="BO205" i="8"/>
  <c r="BP205" i="8"/>
  <c r="BQ205" i="8"/>
  <c r="BR205" i="8"/>
  <c r="BS205" i="8"/>
  <c r="BT205" i="8"/>
  <c r="BU205" i="8"/>
  <c r="BV205" i="8"/>
  <c r="BW205" i="8"/>
  <c r="BX205" i="8"/>
  <c r="BY205" i="8"/>
  <c r="BZ205" i="8"/>
  <c r="CA205" i="8"/>
  <c r="CB205" i="8"/>
  <c r="CC205" i="8"/>
  <c r="CD205" i="8"/>
  <c r="CE205" i="8"/>
  <c r="CF205" i="8"/>
  <c r="AB206" i="8"/>
  <c r="AC206" i="8"/>
  <c r="AD206" i="8"/>
  <c r="AE206" i="8"/>
  <c r="AF206" i="8"/>
  <c r="AG206" i="8"/>
  <c r="AH206" i="8"/>
  <c r="AI206" i="8"/>
  <c r="AJ206" i="8"/>
  <c r="AK206" i="8"/>
  <c r="AL206" i="8"/>
  <c r="AM206" i="8"/>
  <c r="AN206" i="8"/>
  <c r="AO206" i="8"/>
  <c r="AP206" i="8"/>
  <c r="AQ206" i="8"/>
  <c r="AR206" i="8"/>
  <c r="AS206" i="8"/>
  <c r="AT206" i="8"/>
  <c r="AU206" i="8"/>
  <c r="AV206" i="8"/>
  <c r="AW206" i="8"/>
  <c r="AX206" i="8"/>
  <c r="AY206" i="8"/>
  <c r="AZ206" i="8"/>
  <c r="BA206" i="8"/>
  <c r="BB206" i="8"/>
  <c r="BC206" i="8"/>
  <c r="BD206" i="8"/>
  <c r="BE206" i="8"/>
  <c r="BF206" i="8"/>
  <c r="BG206" i="8"/>
  <c r="BH206" i="8"/>
  <c r="BI206" i="8"/>
  <c r="BJ206" i="8"/>
  <c r="BK206" i="8"/>
  <c r="BL206" i="8"/>
  <c r="BM206" i="8"/>
  <c r="BN206" i="8"/>
  <c r="BO206" i="8"/>
  <c r="BP206" i="8"/>
  <c r="BQ206" i="8"/>
  <c r="BR206" i="8"/>
  <c r="BS206" i="8"/>
  <c r="BT206" i="8"/>
  <c r="BU206" i="8"/>
  <c r="BV206" i="8"/>
  <c r="BW206" i="8"/>
  <c r="BX206" i="8"/>
  <c r="BY206" i="8"/>
  <c r="BZ206" i="8"/>
  <c r="CA206" i="8"/>
  <c r="CB206" i="8"/>
  <c r="CC206" i="8"/>
  <c r="CD206" i="8"/>
  <c r="CE206" i="8"/>
  <c r="CF206" i="8"/>
  <c r="AB207" i="8"/>
  <c r="AC207" i="8"/>
  <c r="AD207" i="8"/>
  <c r="AE207" i="8"/>
  <c r="AF207" i="8"/>
  <c r="AG207" i="8"/>
  <c r="AH207" i="8"/>
  <c r="AI207" i="8"/>
  <c r="AJ207" i="8"/>
  <c r="AK207" i="8"/>
  <c r="AL207" i="8"/>
  <c r="AM207" i="8"/>
  <c r="AN207" i="8"/>
  <c r="AO207" i="8"/>
  <c r="AP207" i="8"/>
  <c r="AQ207" i="8"/>
  <c r="AR207" i="8"/>
  <c r="AS207" i="8"/>
  <c r="AT207" i="8"/>
  <c r="AU207" i="8"/>
  <c r="AV207" i="8"/>
  <c r="AW207" i="8"/>
  <c r="AX207" i="8"/>
  <c r="AY207" i="8"/>
  <c r="AZ207" i="8"/>
  <c r="BA207" i="8"/>
  <c r="BB207" i="8"/>
  <c r="BC207" i="8"/>
  <c r="BD207" i="8"/>
  <c r="BE207" i="8"/>
  <c r="BF207" i="8"/>
  <c r="BG207" i="8"/>
  <c r="BH207" i="8"/>
  <c r="BI207" i="8"/>
  <c r="BJ207" i="8"/>
  <c r="BK207" i="8"/>
  <c r="BL207" i="8"/>
  <c r="BM207" i="8"/>
  <c r="BN207" i="8"/>
  <c r="BO207" i="8"/>
  <c r="BP207" i="8"/>
  <c r="BQ207" i="8"/>
  <c r="BR207" i="8"/>
  <c r="BS207" i="8"/>
  <c r="BT207" i="8"/>
  <c r="BU207" i="8"/>
  <c r="BV207" i="8"/>
  <c r="BW207" i="8"/>
  <c r="BX207" i="8"/>
  <c r="BY207" i="8"/>
  <c r="BZ207" i="8"/>
  <c r="CA207" i="8"/>
  <c r="CB207" i="8"/>
  <c r="CC207" i="8"/>
  <c r="CD207" i="8"/>
  <c r="CE207" i="8"/>
  <c r="CF207" i="8"/>
  <c r="AB208" i="8"/>
  <c r="AC208" i="8"/>
  <c r="AD208" i="8"/>
  <c r="AE208" i="8"/>
  <c r="AF208" i="8"/>
  <c r="AG208" i="8"/>
  <c r="AH208" i="8"/>
  <c r="AI208" i="8"/>
  <c r="AJ208" i="8"/>
  <c r="AK208" i="8"/>
  <c r="AL208" i="8"/>
  <c r="AM208" i="8"/>
  <c r="AN208" i="8"/>
  <c r="AO208" i="8"/>
  <c r="AP208" i="8"/>
  <c r="AQ208" i="8"/>
  <c r="AR208" i="8"/>
  <c r="AS208" i="8"/>
  <c r="AT208" i="8"/>
  <c r="AU208" i="8"/>
  <c r="AV208" i="8"/>
  <c r="AW208" i="8"/>
  <c r="AX208" i="8"/>
  <c r="AY208" i="8"/>
  <c r="AZ208" i="8"/>
  <c r="BA208" i="8"/>
  <c r="BB208" i="8"/>
  <c r="BC208" i="8"/>
  <c r="BD208" i="8"/>
  <c r="BE208" i="8"/>
  <c r="BF208" i="8"/>
  <c r="BG208" i="8"/>
  <c r="BH208" i="8"/>
  <c r="BI208" i="8"/>
  <c r="BJ208" i="8"/>
  <c r="BK208" i="8"/>
  <c r="BL208" i="8"/>
  <c r="BM208" i="8"/>
  <c r="BN208" i="8"/>
  <c r="BO208" i="8"/>
  <c r="BP208" i="8"/>
  <c r="BQ208" i="8"/>
  <c r="BR208" i="8"/>
  <c r="BS208" i="8"/>
  <c r="BT208" i="8"/>
  <c r="BU208" i="8"/>
  <c r="BV208" i="8"/>
  <c r="BW208" i="8"/>
  <c r="BX208" i="8"/>
  <c r="BY208" i="8"/>
  <c r="BZ208" i="8"/>
  <c r="CA208" i="8"/>
  <c r="CB208" i="8"/>
  <c r="CC208" i="8"/>
  <c r="CD208" i="8"/>
  <c r="CE208" i="8"/>
  <c r="CF208" i="8"/>
  <c r="AB209" i="8"/>
  <c r="AC209" i="8"/>
  <c r="AD209" i="8"/>
  <c r="AE209" i="8"/>
  <c r="AF209" i="8"/>
  <c r="AG209" i="8"/>
  <c r="AH209" i="8"/>
  <c r="AI209" i="8"/>
  <c r="AJ209" i="8"/>
  <c r="AK209" i="8"/>
  <c r="AL209" i="8"/>
  <c r="AM209" i="8"/>
  <c r="AN209" i="8"/>
  <c r="AO209" i="8"/>
  <c r="AP209" i="8"/>
  <c r="AQ209" i="8"/>
  <c r="AR209" i="8"/>
  <c r="AS209" i="8"/>
  <c r="AT209" i="8"/>
  <c r="AU209" i="8"/>
  <c r="AV209" i="8"/>
  <c r="AW209" i="8"/>
  <c r="AX209" i="8"/>
  <c r="AY209" i="8"/>
  <c r="AZ209" i="8"/>
  <c r="BA209" i="8"/>
  <c r="BB209" i="8"/>
  <c r="BC209" i="8"/>
  <c r="BD209" i="8"/>
  <c r="BE209" i="8"/>
  <c r="BF209" i="8"/>
  <c r="BG209" i="8"/>
  <c r="BH209" i="8"/>
  <c r="BI209" i="8"/>
  <c r="BJ209" i="8"/>
  <c r="BK209" i="8"/>
  <c r="BL209" i="8"/>
  <c r="BM209" i="8"/>
  <c r="BN209" i="8"/>
  <c r="BO209" i="8"/>
  <c r="BP209" i="8"/>
  <c r="BQ209" i="8"/>
  <c r="BR209" i="8"/>
  <c r="BS209" i="8"/>
  <c r="BT209" i="8"/>
  <c r="BU209" i="8"/>
  <c r="BV209" i="8"/>
  <c r="BW209" i="8"/>
  <c r="BX209" i="8"/>
  <c r="BY209" i="8"/>
  <c r="BZ209" i="8"/>
  <c r="CA209" i="8"/>
  <c r="CB209" i="8"/>
  <c r="CC209" i="8"/>
  <c r="CD209" i="8"/>
  <c r="CE209" i="8"/>
  <c r="CF209" i="8"/>
  <c r="AB210" i="8"/>
  <c r="AC210" i="8"/>
  <c r="AD210" i="8"/>
  <c r="AE210" i="8"/>
  <c r="AF210" i="8"/>
  <c r="AG210" i="8"/>
  <c r="AH210" i="8"/>
  <c r="AI210" i="8"/>
  <c r="AJ210" i="8"/>
  <c r="AK210" i="8"/>
  <c r="AL210" i="8"/>
  <c r="AM210" i="8"/>
  <c r="AN210" i="8"/>
  <c r="AO210" i="8"/>
  <c r="AP210" i="8"/>
  <c r="AQ210" i="8"/>
  <c r="AR210" i="8"/>
  <c r="AS210" i="8"/>
  <c r="AT210" i="8"/>
  <c r="AU210" i="8"/>
  <c r="AV210" i="8"/>
  <c r="AW210" i="8"/>
  <c r="AX210" i="8"/>
  <c r="AY210" i="8"/>
  <c r="AZ210" i="8"/>
  <c r="BA210" i="8"/>
  <c r="BB210" i="8"/>
  <c r="BC210" i="8"/>
  <c r="BD210" i="8"/>
  <c r="BE210" i="8"/>
  <c r="BF210" i="8"/>
  <c r="BG210" i="8"/>
  <c r="BH210" i="8"/>
  <c r="BI210" i="8"/>
  <c r="BJ210" i="8"/>
  <c r="BK210" i="8"/>
  <c r="BL210" i="8"/>
  <c r="BM210" i="8"/>
  <c r="BN210" i="8"/>
  <c r="BO210" i="8"/>
  <c r="BP210" i="8"/>
  <c r="BQ210" i="8"/>
  <c r="BR210" i="8"/>
  <c r="BS210" i="8"/>
  <c r="BT210" i="8"/>
  <c r="BU210" i="8"/>
  <c r="BV210" i="8"/>
  <c r="BW210" i="8"/>
  <c r="BX210" i="8"/>
  <c r="BY210" i="8"/>
  <c r="BZ210" i="8"/>
  <c r="CA210" i="8"/>
  <c r="CB210" i="8"/>
  <c r="CC210" i="8"/>
  <c r="CD210" i="8"/>
  <c r="CE210" i="8"/>
  <c r="CF210" i="8"/>
  <c r="AB211" i="8"/>
  <c r="AC211" i="8"/>
  <c r="AD211" i="8"/>
  <c r="AE211" i="8"/>
  <c r="AF211" i="8"/>
  <c r="AG211" i="8"/>
  <c r="AH211" i="8"/>
  <c r="AI211" i="8"/>
  <c r="AJ211" i="8"/>
  <c r="AK211" i="8"/>
  <c r="AL211" i="8"/>
  <c r="AM211" i="8"/>
  <c r="AN211" i="8"/>
  <c r="AO211" i="8"/>
  <c r="AP211" i="8"/>
  <c r="AQ211" i="8"/>
  <c r="AR211" i="8"/>
  <c r="AS211" i="8"/>
  <c r="AT211" i="8"/>
  <c r="AU211" i="8"/>
  <c r="AV211" i="8"/>
  <c r="AW211" i="8"/>
  <c r="AX211" i="8"/>
  <c r="AY211" i="8"/>
  <c r="AZ211" i="8"/>
  <c r="BA211" i="8"/>
  <c r="BB211" i="8"/>
  <c r="BC211" i="8"/>
  <c r="BD211" i="8"/>
  <c r="BE211" i="8"/>
  <c r="BF211" i="8"/>
  <c r="BG211" i="8"/>
  <c r="BH211" i="8"/>
  <c r="BI211" i="8"/>
  <c r="BJ211" i="8"/>
  <c r="BK211" i="8"/>
  <c r="BL211" i="8"/>
  <c r="BM211" i="8"/>
  <c r="BN211" i="8"/>
  <c r="BO211" i="8"/>
  <c r="BP211" i="8"/>
  <c r="BQ211" i="8"/>
  <c r="BR211" i="8"/>
  <c r="BS211" i="8"/>
  <c r="BT211" i="8"/>
  <c r="BU211" i="8"/>
  <c r="BV211" i="8"/>
  <c r="BW211" i="8"/>
  <c r="BX211" i="8"/>
  <c r="BY211" i="8"/>
  <c r="BZ211" i="8"/>
  <c r="CA211" i="8"/>
  <c r="CB211" i="8"/>
  <c r="CC211" i="8"/>
  <c r="CD211" i="8"/>
  <c r="CE211" i="8"/>
  <c r="CF211" i="8"/>
  <c r="AB212" i="8"/>
  <c r="AC212" i="8"/>
  <c r="AD212" i="8"/>
  <c r="AE212" i="8"/>
  <c r="AF212" i="8"/>
  <c r="AG212" i="8"/>
  <c r="AH212" i="8"/>
  <c r="AI212" i="8"/>
  <c r="AJ212" i="8"/>
  <c r="AK212" i="8"/>
  <c r="AL212" i="8"/>
  <c r="AM212" i="8"/>
  <c r="AN212" i="8"/>
  <c r="AO212" i="8"/>
  <c r="AP212" i="8"/>
  <c r="AQ212" i="8"/>
  <c r="AR212" i="8"/>
  <c r="AS212" i="8"/>
  <c r="AT212" i="8"/>
  <c r="AU212" i="8"/>
  <c r="AV212" i="8"/>
  <c r="AW212" i="8"/>
  <c r="AX212" i="8"/>
  <c r="AY212" i="8"/>
  <c r="AZ212" i="8"/>
  <c r="BA212" i="8"/>
  <c r="BB212" i="8"/>
  <c r="BC212" i="8"/>
  <c r="BD212" i="8"/>
  <c r="BE212" i="8"/>
  <c r="BF212" i="8"/>
  <c r="BG212" i="8"/>
  <c r="BH212" i="8"/>
  <c r="BI212" i="8"/>
  <c r="BJ212" i="8"/>
  <c r="BK212" i="8"/>
  <c r="BL212" i="8"/>
  <c r="BM212" i="8"/>
  <c r="BN212" i="8"/>
  <c r="BO212" i="8"/>
  <c r="BP212" i="8"/>
  <c r="BQ212" i="8"/>
  <c r="BR212" i="8"/>
  <c r="BS212" i="8"/>
  <c r="BT212" i="8"/>
  <c r="BU212" i="8"/>
  <c r="BV212" i="8"/>
  <c r="BW212" i="8"/>
  <c r="BX212" i="8"/>
  <c r="BY212" i="8"/>
  <c r="BZ212" i="8"/>
  <c r="CA212" i="8"/>
  <c r="CB212" i="8"/>
  <c r="CC212" i="8"/>
  <c r="CD212" i="8"/>
  <c r="CE212" i="8"/>
  <c r="CF212" i="8"/>
  <c r="AB213" i="8"/>
  <c r="AC213" i="8"/>
  <c r="AD213" i="8"/>
  <c r="AE213" i="8"/>
  <c r="AF213" i="8"/>
  <c r="AG213" i="8"/>
  <c r="AH213" i="8"/>
  <c r="AI213" i="8"/>
  <c r="AJ213" i="8"/>
  <c r="AK213" i="8"/>
  <c r="AL213" i="8"/>
  <c r="AM213" i="8"/>
  <c r="AN213" i="8"/>
  <c r="AO213" i="8"/>
  <c r="AP213" i="8"/>
  <c r="AQ213" i="8"/>
  <c r="AR213" i="8"/>
  <c r="AS213" i="8"/>
  <c r="AT213" i="8"/>
  <c r="AU213" i="8"/>
  <c r="AV213" i="8"/>
  <c r="AW213" i="8"/>
  <c r="AX213" i="8"/>
  <c r="AY213" i="8"/>
  <c r="AZ213" i="8"/>
  <c r="BA213" i="8"/>
  <c r="BB213" i="8"/>
  <c r="BC213" i="8"/>
  <c r="BD213" i="8"/>
  <c r="BE213" i="8"/>
  <c r="BF213" i="8"/>
  <c r="BG213" i="8"/>
  <c r="BH213" i="8"/>
  <c r="BI213" i="8"/>
  <c r="BJ213" i="8"/>
  <c r="BK213" i="8"/>
  <c r="BL213" i="8"/>
  <c r="BM213" i="8"/>
  <c r="BN213" i="8"/>
  <c r="BO213" i="8"/>
  <c r="BP213" i="8"/>
  <c r="BQ213" i="8"/>
  <c r="BR213" i="8"/>
  <c r="BS213" i="8"/>
  <c r="BT213" i="8"/>
  <c r="BU213" i="8"/>
  <c r="BV213" i="8"/>
  <c r="BW213" i="8"/>
  <c r="BX213" i="8"/>
  <c r="BY213" i="8"/>
  <c r="BZ213" i="8"/>
  <c r="CA213" i="8"/>
  <c r="CB213" i="8"/>
  <c r="CC213" i="8"/>
  <c r="CD213" i="8"/>
  <c r="CE213" i="8"/>
  <c r="CF213" i="8"/>
  <c r="AB214" i="8"/>
  <c r="AC214" i="8"/>
  <c r="AD214" i="8"/>
  <c r="AE214" i="8"/>
  <c r="AF214" i="8"/>
  <c r="AG214" i="8"/>
  <c r="AH214" i="8"/>
  <c r="AI214" i="8"/>
  <c r="AJ214" i="8"/>
  <c r="AK214" i="8"/>
  <c r="AL214" i="8"/>
  <c r="AM214" i="8"/>
  <c r="AN214" i="8"/>
  <c r="AO214" i="8"/>
  <c r="AP214" i="8"/>
  <c r="AQ214" i="8"/>
  <c r="AR214" i="8"/>
  <c r="AS214" i="8"/>
  <c r="AT214" i="8"/>
  <c r="AU214" i="8"/>
  <c r="AV214" i="8"/>
  <c r="AW214" i="8"/>
  <c r="AX214" i="8"/>
  <c r="AY214" i="8"/>
  <c r="AZ214" i="8"/>
  <c r="BA214" i="8"/>
  <c r="BB214" i="8"/>
  <c r="BC214" i="8"/>
  <c r="BD214" i="8"/>
  <c r="BE214" i="8"/>
  <c r="BF214" i="8"/>
  <c r="BG214" i="8"/>
  <c r="BH214" i="8"/>
  <c r="BI214" i="8"/>
  <c r="BJ214" i="8"/>
  <c r="BK214" i="8"/>
  <c r="BL214" i="8"/>
  <c r="BM214" i="8"/>
  <c r="BN214" i="8"/>
  <c r="BO214" i="8"/>
  <c r="BP214" i="8"/>
  <c r="BQ214" i="8"/>
  <c r="BR214" i="8"/>
  <c r="BS214" i="8"/>
  <c r="BT214" i="8"/>
  <c r="BU214" i="8"/>
  <c r="BV214" i="8"/>
  <c r="BW214" i="8"/>
  <c r="BX214" i="8"/>
  <c r="BY214" i="8"/>
  <c r="BZ214" i="8"/>
  <c r="CA214" i="8"/>
  <c r="CB214" i="8"/>
  <c r="CC214" i="8"/>
  <c r="CD214" i="8"/>
  <c r="CE214" i="8"/>
  <c r="CF214" i="8"/>
  <c r="AB215" i="8"/>
  <c r="AC215" i="8"/>
  <c r="AD215" i="8"/>
  <c r="AE215" i="8"/>
  <c r="AF215" i="8"/>
  <c r="AG215" i="8"/>
  <c r="AH215" i="8"/>
  <c r="AI215" i="8"/>
  <c r="AJ215" i="8"/>
  <c r="AK215" i="8"/>
  <c r="AL215" i="8"/>
  <c r="AM215" i="8"/>
  <c r="AN215" i="8"/>
  <c r="AO215" i="8"/>
  <c r="AP215" i="8"/>
  <c r="AQ215" i="8"/>
  <c r="AR215" i="8"/>
  <c r="AS215" i="8"/>
  <c r="AT215" i="8"/>
  <c r="AU215" i="8"/>
  <c r="AV215" i="8"/>
  <c r="AW215" i="8"/>
  <c r="AX215" i="8"/>
  <c r="AY215" i="8"/>
  <c r="AZ215" i="8"/>
  <c r="BA215" i="8"/>
  <c r="BB215" i="8"/>
  <c r="BC215" i="8"/>
  <c r="BD215" i="8"/>
  <c r="BE215" i="8"/>
  <c r="BF215" i="8"/>
  <c r="BG215" i="8"/>
  <c r="BH215" i="8"/>
  <c r="BI215" i="8"/>
  <c r="BJ215" i="8"/>
  <c r="BK215" i="8"/>
  <c r="BL215" i="8"/>
  <c r="BM215" i="8"/>
  <c r="BN215" i="8"/>
  <c r="BO215" i="8"/>
  <c r="BP215" i="8"/>
  <c r="BQ215" i="8"/>
  <c r="BR215" i="8"/>
  <c r="BS215" i="8"/>
  <c r="BT215" i="8"/>
  <c r="BU215" i="8"/>
  <c r="BV215" i="8"/>
  <c r="BW215" i="8"/>
  <c r="BX215" i="8"/>
  <c r="BY215" i="8"/>
  <c r="BZ215" i="8"/>
  <c r="CA215" i="8"/>
  <c r="CB215" i="8"/>
  <c r="CC215" i="8"/>
  <c r="CD215" i="8"/>
  <c r="CE215" i="8"/>
  <c r="CF215" i="8"/>
  <c r="AB216" i="8"/>
  <c r="AC216" i="8"/>
  <c r="AD216" i="8"/>
  <c r="AE216" i="8"/>
  <c r="AF216" i="8"/>
  <c r="AG216" i="8"/>
  <c r="AH216" i="8"/>
  <c r="AI216" i="8"/>
  <c r="AJ216" i="8"/>
  <c r="AK216" i="8"/>
  <c r="AL216" i="8"/>
  <c r="AM216" i="8"/>
  <c r="AN216" i="8"/>
  <c r="AO216" i="8"/>
  <c r="AP216" i="8"/>
  <c r="AQ216" i="8"/>
  <c r="AR216" i="8"/>
  <c r="AS216" i="8"/>
  <c r="AT216" i="8"/>
  <c r="AU216" i="8"/>
  <c r="AV216" i="8"/>
  <c r="AW216" i="8"/>
  <c r="AX216" i="8"/>
  <c r="AY216" i="8"/>
  <c r="AZ216" i="8"/>
  <c r="BA216" i="8"/>
  <c r="BB216" i="8"/>
  <c r="BC216" i="8"/>
  <c r="BD216" i="8"/>
  <c r="BE216" i="8"/>
  <c r="BF216" i="8"/>
  <c r="BG216" i="8"/>
  <c r="BH216" i="8"/>
  <c r="BI216" i="8"/>
  <c r="BJ216" i="8"/>
  <c r="BK216" i="8"/>
  <c r="BL216" i="8"/>
  <c r="BM216" i="8"/>
  <c r="BN216" i="8"/>
  <c r="BO216" i="8"/>
  <c r="BP216" i="8"/>
  <c r="BQ216" i="8"/>
  <c r="BR216" i="8"/>
  <c r="BS216" i="8"/>
  <c r="BT216" i="8"/>
  <c r="BU216" i="8"/>
  <c r="BV216" i="8"/>
  <c r="BW216" i="8"/>
  <c r="BX216" i="8"/>
  <c r="BY216" i="8"/>
  <c r="BZ216" i="8"/>
  <c r="CA216" i="8"/>
  <c r="CB216" i="8"/>
  <c r="CC216" i="8"/>
  <c r="CD216" i="8"/>
  <c r="CE216" i="8"/>
  <c r="CF216" i="8"/>
  <c r="AB217" i="8"/>
  <c r="AC217" i="8"/>
  <c r="AD217" i="8"/>
  <c r="AE217" i="8"/>
  <c r="AF217" i="8"/>
  <c r="AG217" i="8"/>
  <c r="AH217" i="8"/>
  <c r="AI217" i="8"/>
  <c r="AJ217" i="8"/>
  <c r="AK217" i="8"/>
  <c r="AL217" i="8"/>
  <c r="AM217" i="8"/>
  <c r="AN217" i="8"/>
  <c r="AO217" i="8"/>
  <c r="AP217" i="8"/>
  <c r="AQ217" i="8"/>
  <c r="AR217" i="8"/>
  <c r="AS217" i="8"/>
  <c r="AT217" i="8"/>
  <c r="AU217" i="8"/>
  <c r="AV217" i="8"/>
  <c r="AW217" i="8"/>
  <c r="AX217" i="8"/>
  <c r="AY217" i="8"/>
  <c r="AZ217" i="8"/>
  <c r="BA217" i="8"/>
  <c r="BB217" i="8"/>
  <c r="BC217" i="8"/>
  <c r="BD217" i="8"/>
  <c r="BE217" i="8"/>
  <c r="BF217" i="8"/>
  <c r="BG217" i="8"/>
  <c r="BH217" i="8"/>
  <c r="BI217" i="8"/>
  <c r="BJ217" i="8"/>
  <c r="BK217" i="8"/>
  <c r="BL217" i="8"/>
  <c r="BM217" i="8"/>
  <c r="BN217" i="8"/>
  <c r="BO217" i="8"/>
  <c r="BP217" i="8"/>
  <c r="BQ217" i="8"/>
  <c r="BR217" i="8"/>
  <c r="BS217" i="8"/>
  <c r="BT217" i="8"/>
  <c r="BU217" i="8"/>
  <c r="BV217" i="8"/>
  <c r="BW217" i="8"/>
  <c r="BX217" i="8"/>
  <c r="BY217" i="8"/>
  <c r="BZ217" i="8"/>
  <c r="CA217" i="8"/>
  <c r="CB217" i="8"/>
  <c r="CC217" i="8"/>
  <c r="CD217" i="8"/>
  <c r="CE217" i="8"/>
  <c r="CF217" i="8"/>
  <c r="AB218" i="8"/>
  <c r="AC218" i="8"/>
  <c r="AD218" i="8"/>
  <c r="AE218" i="8"/>
  <c r="AF218" i="8"/>
  <c r="AG218" i="8"/>
  <c r="AH218" i="8"/>
  <c r="AI218" i="8"/>
  <c r="AJ218" i="8"/>
  <c r="AK218" i="8"/>
  <c r="AL218" i="8"/>
  <c r="AM218" i="8"/>
  <c r="AN218" i="8"/>
  <c r="AO218" i="8"/>
  <c r="AP218" i="8"/>
  <c r="AQ218" i="8"/>
  <c r="AR218" i="8"/>
  <c r="AS218" i="8"/>
  <c r="AT218" i="8"/>
  <c r="AU218" i="8"/>
  <c r="AV218" i="8"/>
  <c r="AW218" i="8"/>
  <c r="AX218" i="8"/>
  <c r="AY218" i="8"/>
  <c r="AZ218" i="8"/>
  <c r="BA218" i="8"/>
  <c r="BB218" i="8"/>
  <c r="BC218" i="8"/>
  <c r="BD218" i="8"/>
  <c r="BE218" i="8"/>
  <c r="BF218" i="8"/>
  <c r="BG218" i="8"/>
  <c r="BH218" i="8"/>
  <c r="BI218" i="8"/>
  <c r="BJ218" i="8"/>
  <c r="BK218" i="8"/>
  <c r="BL218" i="8"/>
  <c r="BM218" i="8"/>
  <c r="BN218" i="8"/>
  <c r="BO218" i="8"/>
  <c r="BP218" i="8"/>
  <c r="BQ218" i="8"/>
  <c r="BR218" i="8"/>
  <c r="BS218" i="8"/>
  <c r="BT218" i="8"/>
  <c r="BU218" i="8"/>
  <c r="BV218" i="8"/>
  <c r="BW218" i="8"/>
  <c r="BX218" i="8"/>
  <c r="BY218" i="8"/>
  <c r="BZ218" i="8"/>
  <c r="CA218" i="8"/>
  <c r="CB218" i="8"/>
  <c r="CC218" i="8"/>
  <c r="CD218" i="8"/>
  <c r="CE218" i="8"/>
  <c r="CF218" i="8"/>
  <c r="AB219" i="8"/>
  <c r="AC219" i="8"/>
  <c r="AD219" i="8"/>
  <c r="AE219" i="8"/>
  <c r="AF219" i="8"/>
  <c r="AG219" i="8"/>
  <c r="AH219" i="8"/>
  <c r="AI219" i="8"/>
  <c r="AJ219" i="8"/>
  <c r="AK219" i="8"/>
  <c r="AL219" i="8"/>
  <c r="AM219" i="8"/>
  <c r="AN219" i="8"/>
  <c r="AO219" i="8"/>
  <c r="AP219" i="8"/>
  <c r="AQ219" i="8"/>
  <c r="AR219" i="8"/>
  <c r="AS219" i="8"/>
  <c r="AT219" i="8"/>
  <c r="AU219" i="8"/>
  <c r="AV219" i="8"/>
  <c r="AW219" i="8"/>
  <c r="AX219" i="8"/>
  <c r="AY219" i="8"/>
  <c r="AZ219" i="8"/>
  <c r="BA219" i="8"/>
  <c r="BB219" i="8"/>
  <c r="BC219" i="8"/>
  <c r="BD219" i="8"/>
  <c r="BE219" i="8"/>
  <c r="BF219" i="8"/>
  <c r="BG219" i="8"/>
  <c r="BH219" i="8"/>
  <c r="BI219" i="8"/>
  <c r="BJ219" i="8"/>
  <c r="BK219" i="8"/>
  <c r="BL219" i="8"/>
  <c r="BM219" i="8"/>
  <c r="BN219" i="8"/>
  <c r="BO219" i="8"/>
  <c r="BP219" i="8"/>
  <c r="BQ219" i="8"/>
  <c r="BR219" i="8"/>
  <c r="BS219" i="8"/>
  <c r="BT219" i="8"/>
  <c r="BU219" i="8"/>
  <c r="BV219" i="8"/>
  <c r="BW219" i="8"/>
  <c r="BX219" i="8"/>
  <c r="BY219" i="8"/>
  <c r="BZ219" i="8"/>
  <c r="CA219" i="8"/>
  <c r="CB219" i="8"/>
  <c r="CC219" i="8"/>
  <c r="CD219" i="8"/>
  <c r="CE219" i="8"/>
  <c r="CF219" i="8"/>
  <c r="AB220" i="8"/>
  <c r="AC220" i="8"/>
  <c r="AD220" i="8"/>
  <c r="AE220" i="8"/>
  <c r="AF220" i="8"/>
  <c r="AG220" i="8"/>
  <c r="AH220" i="8"/>
  <c r="AI220" i="8"/>
  <c r="AJ220" i="8"/>
  <c r="AK220" i="8"/>
  <c r="AL220" i="8"/>
  <c r="AM220" i="8"/>
  <c r="AN220" i="8"/>
  <c r="AO220" i="8"/>
  <c r="AP220" i="8"/>
  <c r="AQ220" i="8"/>
  <c r="AR220" i="8"/>
  <c r="AS220" i="8"/>
  <c r="AT220" i="8"/>
  <c r="AU220" i="8"/>
  <c r="AV220" i="8"/>
  <c r="AW220" i="8"/>
  <c r="AX220" i="8"/>
  <c r="AY220" i="8"/>
  <c r="AZ220" i="8"/>
  <c r="BA220" i="8"/>
  <c r="BB220" i="8"/>
  <c r="BC220" i="8"/>
  <c r="BD220" i="8"/>
  <c r="BE220" i="8"/>
  <c r="BF220" i="8"/>
  <c r="BG220" i="8"/>
  <c r="BH220" i="8"/>
  <c r="BI220" i="8"/>
  <c r="BJ220" i="8"/>
  <c r="BK220" i="8"/>
  <c r="BL220" i="8"/>
  <c r="BM220" i="8"/>
  <c r="BN220" i="8"/>
  <c r="BO220" i="8"/>
  <c r="BP220" i="8"/>
  <c r="BQ220" i="8"/>
  <c r="BR220" i="8"/>
  <c r="BS220" i="8"/>
  <c r="BT220" i="8"/>
  <c r="BU220" i="8"/>
  <c r="BV220" i="8"/>
  <c r="BW220" i="8"/>
  <c r="BX220" i="8"/>
  <c r="BY220" i="8"/>
  <c r="BZ220" i="8"/>
  <c r="CA220" i="8"/>
  <c r="CB220" i="8"/>
  <c r="CC220" i="8"/>
  <c r="CD220" i="8"/>
  <c r="CE220" i="8"/>
  <c r="CF220" i="8"/>
  <c r="AB221" i="8"/>
  <c r="AC221" i="8"/>
  <c r="AD221" i="8"/>
  <c r="AE221" i="8"/>
  <c r="AF221" i="8"/>
  <c r="AG221" i="8"/>
  <c r="AH221" i="8"/>
  <c r="AI221" i="8"/>
  <c r="AJ221" i="8"/>
  <c r="AK221" i="8"/>
  <c r="AL221" i="8"/>
  <c r="AM221" i="8"/>
  <c r="AN221" i="8"/>
  <c r="AO221" i="8"/>
  <c r="AP221" i="8"/>
  <c r="AQ221" i="8"/>
  <c r="AR221" i="8"/>
  <c r="AS221" i="8"/>
  <c r="AT221" i="8"/>
  <c r="AU221" i="8"/>
  <c r="AV221" i="8"/>
  <c r="AW221" i="8"/>
  <c r="AX221" i="8"/>
  <c r="AY221" i="8"/>
  <c r="AZ221" i="8"/>
  <c r="BA221" i="8"/>
  <c r="BB221" i="8"/>
  <c r="BC221" i="8"/>
  <c r="BD221" i="8"/>
  <c r="BE221" i="8"/>
  <c r="BF221" i="8"/>
  <c r="BG221" i="8"/>
  <c r="BH221" i="8"/>
  <c r="BI221" i="8"/>
  <c r="BJ221" i="8"/>
  <c r="BK221" i="8"/>
  <c r="BL221" i="8"/>
  <c r="BM221" i="8"/>
  <c r="BN221" i="8"/>
  <c r="BO221" i="8"/>
  <c r="BP221" i="8"/>
  <c r="BQ221" i="8"/>
  <c r="BR221" i="8"/>
  <c r="BS221" i="8"/>
  <c r="BT221" i="8"/>
  <c r="BU221" i="8"/>
  <c r="BV221" i="8"/>
  <c r="BW221" i="8"/>
  <c r="BX221" i="8"/>
  <c r="BY221" i="8"/>
  <c r="BZ221" i="8"/>
  <c r="CA221" i="8"/>
  <c r="CB221" i="8"/>
  <c r="CC221" i="8"/>
  <c r="CD221" i="8"/>
  <c r="CE221" i="8"/>
  <c r="CF221" i="8"/>
  <c r="AB222" i="8"/>
  <c r="AC222" i="8"/>
  <c r="AD222" i="8"/>
  <c r="AE222" i="8"/>
  <c r="AF222" i="8"/>
  <c r="AG222" i="8"/>
  <c r="AH222" i="8"/>
  <c r="AI222" i="8"/>
  <c r="AJ222" i="8"/>
  <c r="AK222" i="8"/>
  <c r="AL222" i="8"/>
  <c r="AM222" i="8"/>
  <c r="AN222" i="8"/>
  <c r="AO222" i="8"/>
  <c r="AP222" i="8"/>
  <c r="AQ222" i="8"/>
  <c r="AR222" i="8"/>
  <c r="AS222" i="8"/>
  <c r="AT222" i="8"/>
  <c r="AU222" i="8"/>
  <c r="AV222" i="8"/>
  <c r="AW222" i="8"/>
  <c r="AX222" i="8"/>
  <c r="AY222" i="8"/>
  <c r="AZ222" i="8"/>
  <c r="BA222" i="8"/>
  <c r="BB222" i="8"/>
  <c r="BC222" i="8"/>
  <c r="BD222" i="8"/>
  <c r="BE222" i="8"/>
  <c r="BF222" i="8"/>
  <c r="BG222" i="8"/>
  <c r="BH222" i="8"/>
  <c r="BI222" i="8"/>
  <c r="BJ222" i="8"/>
  <c r="BK222" i="8"/>
  <c r="BL222" i="8"/>
  <c r="BM222" i="8"/>
  <c r="BN222" i="8"/>
  <c r="BO222" i="8"/>
  <c r="BP222" i="8"/>
  <c r="BQ222" i="8"/>
  <c r="BR222" i="8"/>
  <c r="BS222" i="8"/>
  <c r="BT222" i="8"/>
  <c r="BU222" i="8"/>
  <c r="BV222" i="8"/>
  <c r="BW222" i="8"/>
  <c r="BX222" i="8"/>
  <c r="BY222" i="8"/>
  <c r="BZ222" i="8"/>
  <c r="CA222" i="8"/>
  <c r="CB222" i="8"/>
  <c r="CC222" i="8"/>
  <c r="CD222" i="8"/>
  <c r="CE222" i="8"/>
  <c r="CF222" i="8"/>
  <c r="AB223" i="8"/>
  <c r="AC223" i="8"/>
  <c r="AD223" i="8"/>
  <c r="AE223" i="8"/>
  <c r="AF223" i="8"/>
  <c r="AG223" i="8"/>
  <c r="AH223" i="8"/>
  <c r="AI223" i="8"/>
  <c r="AJ223" i="8"/>
  <c r="AK223" i="8"/>
  <c r="AL223" i="8"/>
  <c r="AM223" i="8"/>
  <c r="AN223" i="8"/>
  <c r="AO223" i="8"/>
  <c r="AP223" i="8"/>
  <c r="AQ223" i="8"/>
  <c r="AR223" i="8"/>
  <c r="AS223" i="8"/>
  <c r="AT223" i="8"/>
  <c r="AU223" i="8"/>
  <c r="AV223" i="8"/>
  <c r="AW223" i="8"/>
  <c r="AX223" i="8"/>
  <c r="AY223" i="8"/>
  <c r="AZ223" i="8"/>
  <c r="BA223" i="8"/>
  <c r="BB223" i="8"/>
  <c r="BC223" i="8"/>
  <c r="BD223" i="8"/>
  <c r="BE223" i="8"/>
  <c r="BF223" i="8"/>
  <c r="BG223" i="8"/>
  <c r="BH223" i="8"/>
  <c r="BI223" i="8"/>
  <c r="BJ223" i="8"/>
  <c r="BK223" i="8"/>
  <c r="BL223" i="8"/>
  <c r="BM223" i="8"/>
  <c r="BN223" i="8"/>
  <c r="BO223" i="8"/>
  <c r="BP223" i="8"/>
  <c r="BQ223" i="8"/>
  <c r="BR223" i="8"/>
  <c r="BS223" i="8"/>
  <c r="BT223" i="8"/>
  <c r="BU223" i="8"/>
  <c r="BV223" i="8"/>
  <c r="BW223" i="8"/>
  <c r="BX223" i="8"/>
  <c r="BY223" i="8"/>
  <c r="BZ223" i="8"/>
  <c r="CA223" i="8"/>
  <c r="CB223" i="8"/>
  <c r="CC223" i="8"/>
  <c r="CD223" i="8"/>
  <c r="CE223" i="8"/>
  <c r="CF223" i="8"/>
  <c r="AB224" i="8"/>
  <c r="AC224" i="8"/>
  <c r="AD224" i="8"/>
  <c r="AE224" i="8"/>
  <c r="AF224" i="8"/>
  <c r="AG224" i="8"/>
  <c r="AH224" i="8"/>
  <c r="AI224" i="8"/>
  <c r="AJ224" i="8"/>
  <c r="AK224" i="8"/>
  <c r="AL224" i="8"/>
  <c r="AM224" i="8"/>
  <c r="AN224" i="8"/>
  <c r="AO224" i="8"/>
  <c r="AP224" i="8"/>
  <c r="AQ224" i="8"/>
  <c r="AR224" i="8"/>
  <c r="AS224" i="8"/>
  <c r="AT224" i="8"/>
  <c r="AU224" i="8"/>
  <c r="AV224" i="8"/>
  <c r="AW224" i="8"/>
  <c r="AX224" i="8"/>
  <c r="AY224" i="8"/>
  <c r="AZ224" i="8"/>
  <c r="BA224" i="8"/>
  <c r="BB224" i="8"/>
  <c r="BC224" i="8"/>
  <c r="BD224" i="8"/>
  <c r="BE224" i="8"/>
  <c r="BF224" i="8"/>
  <c r="BG224" i="8"/>
  <c r="BH224" i="8"/>
  <c r="BI224" i="8"/>
  <c r="BJ224" i="8"/>
  <c r="BK224" i="8"/>
  <c r="BL224" i="8"/>
  <c r="BM224" i="8"/>
  <c r="BN224" i="8"/>
  <c r="BO224" i="8"/>
  <c r="BP224" i="8"/>
  <c r="BQ224" i="8"/>
  <c r="BR224" i="8"/>
  <c r="BS224" i="8"/>
  <c r="BT224" i="8"/>
  <c r="BU224" i="8"/>
  <c r="BV224" i="8"/>
  <c r="BW224" i="8"/>
  <c r="BX224" i="8"/>
  <c r="BY224" i="8"/>
  <c r="BZ224" i="8"/>
  <c r="CA224" i="8"/>
  <c r="CB224" i="8"/>
  <c r="CC224" i="8"/>
  <c r="CD224" i="8"/>
  <c r="CE224" i="8"/>
  <c r="CF224" i="8"/>
  <c r="AB225" i="8"/>
  <c r="AC225" i="8"/>
  <c r="AD225" i="8"/>
  <c r="AE225" i="8"/>
  <c r="AF225" i="8"/>
  <c r="AG225" i="8"/>
  <c r="AH225" i="8"/>
  <c r="AI225" i="8"/>
  <c r="AJ225" i="8"/>
  <c r="AK225" i="8"/>
  <c r="AL225" i="8"/>
  <c r="AM225" i="8"/>
  <c r="AN225" i="8"/>
  <c r="AO225" i="8"/>
  <c r="AP225" i="8"/>
  <c r="AQ225" i="8"/>
  <c r="AR225" i="8"/>
  <c r="AS225" i="8"/>
  <c r="AT225" i="8"/>
  <c r="AU225" i="8"/>
  <c r="AV225" i="8"/>
  <c r="AW225" i="8"/>
  <c r="AX225" i="8"/>
  <c r="AY225" i="8"/>
  <c r="AZ225" i="8"/>
  <c r="BA225" i="8"/>
  <c r="BB225" i="8"/>
  <c r="BC225" i="8"/>
  <c r="BD225" i="8"/>
  <c r="BE225" i="8"/>
  <c r="BF225" i="8"/>
  <c r="BG225" i="8"/>
  <c r="BH225" i="8"/>
  <c r="BI225" i="8"/>
  <c r="BJ225" i="8"/>
  <c r="BK225" i="8"/>
  <c r="BL225" i="8"/>
  <c r="BM225" i="8"/>
  <c r="BN225" i="8"/>
  <c r="BO225" i="8"/>
  <c r="BP225" i="8"/>
  <c r="BQ225" i="8"/>
  <c r="BR225" i="8"/>
  <c r="BS225" i="8"/>
  <c r="BT225" i="8"/>
  <c r="BU225" i="8"/>
  <c r="BV225" i="8"/>
  <c r="BW225" i="8"/>
  <c r="BX225" i="8"/>
  <c r="BY225" i="8"/>
  <c r="BZ225" i="8"/>
  <c r="CA225" i="8"/>
  <c r="CB225" i="8"/>
  <c r="CC225" i="8"/>
  <c r="CD225" i="8"/>
  <c r="CE225" i="8"/>
  <c r="CF225" i="8"/>
  <c r="AB226" i="8"/>
  <c r="AC226" i="8"/>
  <c r="AD226" i="8"/>
  <c r="AE226" i="8"/>
  <c r="AF226" i="8"/>
  <c r="AG226" i="8"/>
  <c r="AH226" i="8"/>
  <c r="AI226" i="8"/>
  <c r="AJ226" i="8"/>
  <c r="AK226" i="8"/>
  <c r="AL226" i="8"/>
  <c r="AM226" i="8"/>
  <c r="AN226" i="8"/>
  <c r="AO226" i="8"/>
  <c r="AP226" i="8"/>
  <c r="AQ226" i="8"/>
  <c r="AR226" i="8"/>
  <c r="AS226" i="8"/>
  <c r="AT226" i="8"/>
  <c r="AU226" i="8"/>
  <c r="AV226" i="8"/>
  <c r="AW226" i="8"/>
  <c r="AX226" i="8"/>
  <c r="AY226" i="8"/>
  <c r="AZ226" i="8"/>
  <c r="BA226" i="8"/>
  <c r="BB226" i="8"/>
  <c r="BC226" i="8"/>
  <c r="BD226" i="8"/>
  <c r="BE226" i="8"/>
  <c r="BF226" i="8"/>
  <c r="BG226" i="8"/>
  <c r="BH226" i="8"/>
  <c r="BI226" i="8"/>
  <c r="BJ226" i="8"/>
  <c r="BK226" i="8"/>
  <c r="BL226" i="8"/>
  <c r="BM226" i="8"/>
  <c r="BN226" i="8"/>
  <c r="BO226" i="8"/>
  <c r="BP226" i="8"/>
  <c r="BQ226" i="8"/>
  <c r="BR226" i="8"/>
  <c r="BS226" i="8"/>
  <c r="BT226" i="8"/>
  <c r="BU226" i="8"/>
  <c r="BV226" i="8"/>
  <c r="BW226" i="8"/>
  <c r="BX226" i="8"/>
  <c r="BY226" i="8"/>
  <c r="BZ226" i="8"/>
  <c r="CA226" i="8"/>
  <c r="CB226" i="8"/>
  <c r="CC226" i="8"/>
  <c r="CD226" i="8"/>
  <c r="CE226" i="8"/>
  <c r="CF226" i="8"/>
  <c r="AB227" i="8"/>
  <c r="AC227" i="8"/>
  <c r="AD227" i="8"/>
  <c r="AE227" i="8"/>
  <c r="AF227" i="8"/>
  <c r="AG227" i="8"/>
  <c r="AH227" i="8"/>
  <c r="AI227" i="8"/>
  <c r="AJ227" i="8"/>
  <c r="AK227" i="8"/>
  <c r="AL227" i="8"/>
  <c r="AM227" i="8"/>
  <c r="AN227" i="8"/>
  <c r="AO227" i="8"/>
  <c r="AP227" i="8"/>
  <c r="AQ227" i="8"/>
  <c r="AR227" i="8"/>
  <c r="AS227" i="8"/>
  <c r="AT227" i="8"/>
  <c r="AU227" i="8"/>
  <c r="AV227" i="8"/>
  <c r="AW227" i="8"/>
  <c r="AX227" i="8"/>
  <c r="AY227" i="8"/>
  <c r="AZ227" i="8"/>
  <c r="BA227" i="8"/>
  <c r="BB227" i="8"/>
  <c r="BC227" i="8"/>
  <c r="BD227" i="8"/>
  <c r="BE227" i="8"/>
  <c r="BF227" i="8"/>
  <c r="BG227" i="8"/>
  <c r="BH227" i="8"/>
  <c r="BI227" i="8"/>
  <c r="BJ227" i="8"/>
  <c r="BK227" i="8"/>
  <c r="BL227" i="8"/>
  <c r="BM227" i="8"/>
  <c r="BN227" i="8"/>
  <c r="BO227" i="8"/>
  <c r="BP227" i="8"/>
  <c r="BQ227" i="8"/>
  <c r="BR227" i="8"/>
  <c r="BS227" i="8"/>
  <c r="BT227" i="8"/>
  <c r="BU227" i="8"/>
  <c r="BV227" i="8"/>
  <c r="BW227" i="8"/>
  <c r="BX227" i="8"/>
  <c r="BY227" i="8"/>
  <c r="BZ227" i="8"/>
  <c r="CA227" i="8"/>
  <c r="CB227" i="8"/>
  <c r="CC227" i="8"/>
  <c r="CD227" i="8"/>
  <c r="CE227" i="8"/>
  <c r="CF227" i="8"/>
  <c r="AB228" i="8"/>
  <c r="AC228" i="8"/>
  <c r="AD228" i="8"/>
  <c r="AE228" i="8"/>
  <c r="AF228" i="8"/>
  <c r="AG228" i="8"/>
  <c r="AH228" i="8"/>
  <c r="AI228" i="8"/>
  <c r="AJ228" i="8"/>
  <c r="AK228" i="8"/>
  <c r="AL228" i="8"/>
  <c r="AM228" i="8"/>
  <c r="AN228" i="8"/>
  <c r="AO228" i="8"/>
  <c r="AP228" i="8"/>
  <c r="AQ228" i="8"/>
  <c r="AR228" i="8"/>
  <c r="AS228" i="8"/>
  <c r="AT228" i="8"/>
  <c r="AU228" i="8"/>
  <c r="AV228" i="8"/>
  <c r="AW228" i="8"/>
  <c r="AX228" i="8"/>
  <c r="AY228" i="8"/>
  <c r="AZ228" i="8"/>
  <c r="BA228" i="8"/>
  <c r="BB228" i="8"/>
  <c r="BC228" i="8"/>
  <c r="BD228" i="8"/>
  <c r="BE228" i="8"/>
  <c r="BF228" i="8"/>
  <c r="BG228" i="8"/>
  <c r="BH228" i="8"/>
  <c r="BI228" i="8"/>
  <c r="BJ228" i="8"/>
  <c r="BK228" i="8"/>
  <c r="BL228" i="8"/>
  <c r="BM228" i="8"/>
  <c r="BN228" i="8"/>
  <c r="BO228" i="8"/>
  <c r="BP228" i="8"/>
  <c r="BQ228" i="8"/>
  <c r="BR228" i="8"/>
  <c r="BS228" i="8"/>
  <c r="BT228" i="8"/>
  <c r="BU228" i="8"/>
  <c r="BV228" i="8"/>
  <c r="BW228" i="8"/>
  <c r="BX228" i="8"/>
  <c r="BY228" i="8"/>
  <c r="BZ228" i="8"/>
  <c r="CA228" i="8"/>
  <c r="CB228" i="8"/>
  <c r="CC228" i="8"/>
  <c r="CD228" i="8"/>
  <c r="CE228" i="8"/>
  <c r="CF228" i="8"/>
  <c r="AB229" i="8"/>
  <c r="AC229" i="8"/>
  <c r="AD229" i="8"/>
  <c r="AE229" i="8"/>
  <c r="AF229" i="8"/>
  <c r="AG229" i="8"/>
  <c r="AH229" i="8"/>
  <c r="AI229" i="8"/>
  <c r="AJ229" i="8"/>
  <c r="AK229" i="8"/>
  <c r="AL229" i="8"/>
  <c r="AM229" i="8"/>
  <c r="AN229" i="8"/>
  <c r="AO229" i="8"/>
  <c r="AP229" i="8"/>
  <c r="AQ229" i="8"/>
  <c r="AR229" i="8"/>
  <c r="AS229" i="8"/>
  <c r="AT229" i="8"/>
  <c r="AU229" i="8"/>
  <c r="AV229" i="8"/>
  <c r="AW229" i="8"/>
  <c r="AX229" i="8"/>
  <c r="AY229" i="8"/>
  <c r="AZ229" i="8"/>
  <c r="BA229" i="8"/>
  <c r="BB229" i="8"/>
  <c r="BC229" i="8"/>
  <c r="BD229" i="8"/>
  <c r="BE229" i="8"/>
  <c r="BF229" i="8"/>
  <c r="BG229" i="8"/>
  <c r="BH229" i="8"/>
  <c r="BI229" i="8"/>
  <c r="BJ229" i="8"/>
  <c r="BK229" i="8"/>
  <c r="BL229" i="8"/>
  <c r="BM229" i="8"/>
  <c r="BN229" i="8"/>
  <c r="BO229" i="8"/>
  <c r="BP229" i="8"/>
  <c r="BQ229" i="8"/>
  <c r="BR229" i="8"/>
  <c r="BS229" i="8"/>
  <c r="BT229" i="8"/>
  <c r="BU229" i="8"/>
  <c r="BV229" i="8"/>
  <c r="BW229" i="8"/>
  <c r="BX229" i="8"/>
  <c r="BY229" i="8"/>
  <c r="BZ229" i="8"/>
  <c r="CA229" i="8"/>
  <c r="CB229" i="8"/>
  <c r="CC229" i="8"/>
  <c r="CD229" i="8"/>
  <c r="CE229" i="8"/>
  <c r="CF229" i="8"/>
  <c r="AB230" i="8"/>
  <c r="AC230" i="8"/>
  <c r="AD230" i="8"/>
  <c r="AE230" i="8"/>
  <c r="AF230" i="8"/>
  <c r="AG230" i="8"/>
  <c r="AH230" i="8"/>
  <c r="AI230" i="8"/>
  <c r="AJ230" i="8"/>
  <c r="AK230" i="8"/>
  <c r="AL230" i="8"/>
  <c r="AM230" i="8"/>
  <c r="AN230" i="8"/>
  <c r="AO230" i="8"/>
  <c r="AP230" i="8"/>
  <c r="AQ230" i="8"/>
  <c r="AR230" i="8"/>
  <c r="AS230" i="8"/>
  <c r="AT230" i="8"/>
  <c r="AU230" i="8"/>
  <c r="AV230" i="8"/>
  <c r="AW230" i="8"/>
  <c r="AX230" i="8"/>
  <c r="AY230" i="8"/>
  <c r="AZ230" i="8"/>
  <c r="BA230" i="8"/>
  <c r="BB230" i="8"/>
  <c r="BC230" i="8"/>
  <c r="BD230" i="8"/>
  <c r="BE230" i="8"/>
  <c r="BF230" i="8"/>
  <c r="BG230" i="8"/>
  <c r="BH230" i="8"/>
  <c r="BI230" i="8"/>
  <c r="BJ230" i="8"/>
  <c r="BK230" i="8"/>
  <c r="BL230" i="8"/>
  <c r="BM230" i="8"/>
  <c r="BN230" i="8"/>
  <c r="BO230" i="8"/>
  <c r="BP230" i="8"/>
  <c r="BQ230" i="8"/>
  <c r="BR230" i="8"/>
  <c r="BS230" i="8"/>
  <c r="BT230" i="8"/>
  <c r="BU230" i="8"/>
  <c r="BV230" i="8"/>
  <c r="BW230" i="8"/>
  <c r="BX230" i="8"/>
  <c r="BY230" i="8"/>
  <c r="BZ230" i="8"/>
  <c r="CA230" i="8"/>
  <c r="CB230" i="8"/>
  <c r="CC230" i="8"/>
  <c r="CD230" i="8"/>
  <c r="CE230" i="8"/>
  <c r="CF230" i="8"/>
  <c r="AB231" i="8"/>
  <c r="AC231" i="8"/>
  <c r="AD231" i="8"/>
  <c r="AE231" i="8"/>
  <c r="AF231" i="8"/>
  <c r="AG231" i="8"/>
  <c r="AH231" i="8"/>
  <c r="AI231" i="8"/>
  <c r="AJ231" i="8"/>
  <c r="AK231" i="8"/>
  <c r="AL231" i="8"/>
  <c r="AM231" i="8"/>
  <c r="AN231" i="8"/>
  <c r="AO231" i="8"/>
  <c r="AP231" i="8"/>
  <c r="AQ231" i="8"/>
  <c r="AR231" i="8"/>
  <c r="AS231" i="8"/>
  <c r="AT231" i="8"/>
  <c r="AU231" i="8"/>
  <c r="AV231" i="8"/>
  <c r="AW231" i="8"/>
  <c r="AX231" i="8"/>
  <c r="AY231" i="8"/>
  <c r="AZ231" i="8"/>
  <c r="BA231" i="8"/>
  <c r="BB231" i="8"/>
  <c r="BC231" i="8"/>
  <c r="BD231" i="8"/>
  <c r="BE231" i="8"/>
  <c r="BF231" i="8"/>
  <c r="BG231" i="8"/>
  <c r="BH231" i="8"/>
  <c r="BI231" i="8"/>
  <c r="BJ231" i="8"/>
  <c r="BK231" i="8"/>
  <c r="BL231" i="8"/>
  <c r="BM231" i="8"/>
  <c r="BN231" i="8"/>
  <c r="BO231" i="8"/>
  <c r="BP231" i="8"/>
  <c r="BQ231" i="8"/>
  <c r="BR231" i="8"/>
  <c r="BS231" i="8"/>
  <c r="BT231" i="8"/>
  <c r="BU231" i="8"/>
  <c r="BV231" i="8"/>
  <c r="BW231" i="8"/>
  <c r="BX231" i="8"/>
  <c r="BY231" i="8"/>
  <c r="BZ231" i="8"/>
  <c r="CA231" i="8"/>
  <c r="CB231" i="8"/>
  <c r="CC231" i="8"/>
  <c r="CD231" i="8"/>
  <c r="CE231" i="8"/>
  <c r="CF231" i="8"/>
  <c r="AB232" i="8"/>
  <c r="AC232" i="8"/>
  <c r="AD232" i="8"/>
  <c r="AE232" i="8"/>
  <c r="AF232" i="8"/>
  <c r="AG232" i="8"/>
  <c r="AH232" i="8"/>
  <c r="AI232" i="8"/>
  <c r="AJ232" i="8"/>
  <c r="AK232" i="8"/>
  <c r="AL232" i="8"/>
  <c r="AM232" i="8"/>
  <c r="AN232" i="8"/>
  <c r="AO232" i="8"/>
  <c r="AP232" i="8"/>
  <c r="AQ232" i="8"/>
  <c r="AR232" i="8"/>
  <c r="AS232" i="8"/>
  <c r="AT232" i="8"/>
  <c r="AU232" i="8"/>
  <c r="AV232" i="8"/>
  <c r="AW232" i="8"/>
  <c r="AX232" i="8"/>
  <c r="AY232" i="8"/>
  <c r="AZ232" i="8"/>
  <c r="BA232" i="8"/>
  <c r="BB232" i="8"/>
  <c r="BC232" i="8"/>
  <c r="BD232" i="8"/>
  <c r="BE232" i="8"/>
  <c r="BF232" i="8"/>
  <c r="BG232" i="8"/>
  <c r="BH232" i="8"/>
  <c r="BI232" i="8"/>
  <c r="BJ232" i="8"/>
  <c r="BK232" i="8"/>
  <c r="BL232" i="8"/>
  <c r="BM232" i="8"/>
  <c r="BN232" i="8"/>
  <c r="BO232" i="8"/>
  <c r="BP232" i="8"/>
  <c r="BQ232" i="8"/>
  <c r="BR232" i="8"/>
  <c r="BS232" i="8"/>
  <c r="BT232" i="8"/>
  <c r="BU232" i="8"/>
  <c r="BV232" i="8"/>
  <c r="BW232" i="8"/>
  <c r="BX232" i="8"/>
  <c r="BY232" i="8"/>
  <c r="BZ232" i="8"/>
  <c r="CA232" i="8"/>
  <c r="CB232" i="8"/>
  <c r="CC232" i="8"/>
  <c r="CD232" i="8"/>
  <c r="CE232" i="8"/>
  <c r="CF232" i="8"/>
  <c r="AB233" i="8"/>
  <c r="AC233" i="8"/>
  <c r="AD233" i="8"/>
  <c r="AE233" i="8"/>
  <c r="AF233" i="8"/>
  <c r="AG233" i="8"/>
  <c r="AH233" i="8"/>
  <c r="AI233" i="8"/>
  <c r="AJ233" i="8"/>
  <c r="AK233" i="8"/>
  <c r="AL233" i="8"/>
  <c r="AM233" i="8"/>
  <c r="AN233" i="8"/>
  <c r="AO233" i="8"/>
  <c r="AP233" i="8"/>
  <c r="AQ233" i="8"/>
  <c r="AR233" i="8"/>
  <c r="AS233" i="8"/>
  <c r="AT233" i="8"/>
  <c r="AU233" i="8"/>
  <c r="AV233" i="8"/>
  <c r="AW233" i="8"/>
  <c r="AX233" i="8"/>
  <c r="AY233" i="8"/>
  <c r="AZ233" i="8"/>
  <c r="BA233" i="8"/>
  <c r="BB233" i="8"/>
  <c r="BC233" i="8"/>
  <c r="BD233" i="8"/>
  <c r="BE233" i="8"/>
  <c r="BF233" i="8"/>
  <c r="BG233" i="8"/>
  <c r="BH233" i="8"/>
  <c r="BI233" i="8"/>
  <c r="BJ233" i="8"/>
  <c r="BK233" i="8"/>
  <c r="BL233" i="8"/>
  <c r="BM233" i="8"/>
  <c r="BN233" i="8"/>
  <c r="BO233" i="8"/>
  <c r="BP233" i="8"/>
  <c r="BQ233" i="8"/>
  <c r="BR233" i="8"/>
  <c r="BS233" i="8"/>
  <c r="BT233" i="8"/>
  <c r="BU233" i="8"/>
  <c r="BV233" i="8"/>
  <c r="BW233" i="8"/>
  <c r="BX233" i="8"/>
  <c r="BY233" i="8"/>
  <c r="BZ233" i="8"/>
  <c r="CA233" i="8"/>
  <c r="CB233" i="8"/>
  <c r="CC233" i="8"/>
  <c r="CD233" i="8"/>
  <c r="CE233" i="8"/>
  <c r="CF233" i="8"/>
  <c r="AB234" i="8"/>
  <c r="AC234" i="8"/>
  <c r="AD234" i="8"/>
  <c r="AE234" i="8"/>
  <c r="AF234" i="8"/>
  <c r="AG234" i="8"/>
  <c r="AH234" i="8"/>
  <c r="AI234" i="8"/>
  <c r="AJ234" i="8"/>
  <c r="AK234" i="8"/>
  <c r="AL234" i="8"/>
  <c r="AM234" i="8"/>
  <c r="AN234" i="8"/>
  <c r="AO234" i="8"/>
  <c r="AP234" i="8"/>
  <c r="AQ234" i="8"/>
  <c r="AR234" i="8"/>
  <c r="AS234" i="8"/>
  <c r="AT234" i="8"/>
  <c r="AU234" i="8"/>
  <c r="AV234" i="8"/>
  <c r="AW234" i="8"/>
  <c r="AX234" i="8"/>
  <c r="AY234" i="8"/>
  <c r="AZ234" i="8"/>
  <c r="BA234" i="8"/>
  <c r="BB234" i="8"/>
  <c r="BC234" i="8"/>
  <c r="BD234" i="8"/>
  <c r="BE234" i="8"/>
  <c r="BF234" i="8"/>
  <c r="BG234" i="8"/>
  <c r="BH234" i="8"/>
  <c r="BI234" i="8"/>
  <c r="BJ234" i="8"/>
  <c r="BK234" i="8"/>
  <c r="BL234" i="8"/>
  <c r="BM234" i="8"/>
  <c r="BN234" i="8"/>
  <c r="BO234" i="8"/>
  <c r="BP234" i="8"/>
  <c r="BQ234" i="8"/>
  <c r="BR234" i="8"/>
  <c r="BS234" i="8"/>
  <c r="BT234" i="8"/>
  <c r="BU234" i="8"/>
  <c r="BV234" i="8"/>
  <c r="BW234" i="8"/>
  <c r="BX234" i="8"/>
  <c r="BY234" i="8"/>
  <c r="BZ234" i="8"/>
  <c r="CA234" i="8"/>
  <c r="CB234" i="8"/>
  <c r="CC234" i="8"/>
  <c r="CD234" i="8"/>
  <c r="CE234" i="8"/>
  <c r="CF234" i="8"/>
  <c r="AB235" i="8"/>
  <c r="AC235" i="8"/>
  <c r="AD235" i="8"/>
  <c r="AE235" i="8"/>
  <c r="AF235" i="8"/>
  <c r="AG235" i="8"/>
  <c r="AH235" i="8"/>
  <c r="AI235" i="8"/>
  <c r="AJ235" i="8"/>
  <c r="AK235" i="8"/>
  <c r="AL235" i="8"/>
  <c r="AM235" i="8"/>
  <c r="AN235" i="8"/>
  <c r="AO235" i="8"/>
  <c r="AP235" i="8"/>
  <c r="AQ235" i="8"/>
  <c r="AR235" i="8"/>
  <c r="AS235" i="8"/>
  <c r="AT235" i="8"/>
  <c r="AU235" i="8"/>
  <c r="AV235" i="8"/>
  <c r="AW235" i="8"/>
  <c r="AX235" i="8"/>
  <c r="AY235" i="8"/>
  <c r="AZ235" i="8"/>
  <c r="BA235" i="8"/>
  <c r="BB235" i="8"/>
  <c r="BC235" i="8"/>
  <c r="BD235" i="8"/>
  <c r="BE235" i="8"/>
  <c r="BF235" i="8"/>
  <c r="BG235" i="8"/>
  <c r="BH235" i="8"/>
  <c r="BI235" i="8"/>
  <c r="BJ235" i="8"/>
  <c r="BK235" i="8"/>
  <c r="BL235" i="8"/>
  <c r="BM235" i="8"/>
  <c r="BN235" i="8"/>
  <c r="BO235" i="8"/>
  <c r="BP235" i="8"/>
  <c r="BQ235" i="8"/>
  <c r="BR235" i="8"/>
  <c r="BS235" i="8"/>
  <c r="BT235" i="8"/>
  <c r="BU235" i="8"/>
  <c r="BV235" i="8"/>
  <c r="BW235" i="8"/>
  <c r="BX235" i="8"/>
  <c r="BY235" i="8"/>
  <c r="BZ235" i="8"/>
  <c r="CA235" i="8"/>
  <c r="CB235" i="8"/>
  <c r="CC235" i="8"/>
  <c r="CD235" i="8"/>
  <c r="CE235" i="8"/>
  <c r="CF235" i="8"/>
  <c r="AB236" i="8"/>
  <c r="AC236" i="8"/>
  <c r="AD236" i="8"/>
  <c r="AE236" i="8"/>
  <c r="AF236" i="8"/>
  <c r="AG236" i="8"/>
  <c r="AH236" i="8"/>
  <c r="AI236" i="8"/>
  <c r="AJ236" i="8"/>
  <c r="AK236" i="8"/>
  <c r="AL236" i="8"/>
  <c r="AM236" i="8"/>
  <c r="AN236" i="8"/>
  <c r="AO236" i="8"/>
  <c r="AP236" i="8"/>
  <c r="AQ236" i="8"/>
  <c r="AR236" i="8"/>
  <c r="AS236" i="8"/>
  <c r="AT236" i="8"/>
  <c r="AU236" i="8"/>
  <c r="AV236" i="8"/>
  <c r="AW236" i="8"/>
  <c r="AX236" i="8"/>
  <c r="AY236" i="8"/>
  <c r="AZ236" i="8"/>
  <c r="BA236" i="8"/>
  <c r="BB236" i="8"/>
  <c r="BC236" i="8"/>
  <c r="BD236" i="8"/>
  <c r="BE236" i="8"/>
  <c r="BF236" i="8"/>
  <c r="BG236" i="8"/>
  <c r="BH236" i="8"/>
  <c r="BI236" i="8"/>
  <c r="BJ236" i="8"/>
  <c r="BK236" i="8"/>
  <c r="BL236" i="8"/>
  <c r="BM236" i="8"/>
  <c r="BN236" i="8"/>
  <c r="BO236" i="8"/>
  <c r="BP236" i="8"/>
  <c r="BQ236" i="8"/>
  <c r="BR236" i="8"/>
  <c r="BS236" i="8"/>
  <c r="BT236" i="8"/>
  <c r="BU236" i="8"/>
  <c r="BV236" i="8"/>
  <c r="BW236" i="8"/>
  <c r="BX236" i="8"/>
  <c r="BY236" i="8"/>
  <c r="BZ236" i="8"/>
  <c r="CA236" i="8"/>
  <c r="CB236" i="8"/>
  <c r="CC236" i="8"/>
  <c r="CD236" i="8"/>
  <c r="CE236" i="8"/>
  <c r="CF236" i="8"/>
  <c r="AB237" i="8"/>
  <c r="AC237" i="8"/>
  <c r="AD237" i="8"/>
  <c r="AE237" i="8"/>
  <c r="AF237" i="8"/>
  <c r="AG237" i="8"/>
  <c r="AH237" i="8"/>
  <c r="AI237" i="8"/>
  <c r="AJ237" i="8"/>
  <c r="AK237" i="8"/>
  <c r="AL237" i="8"/>
  <c r="AM237" i="8"/>
  <c r="AN237" i="8"/>
  <c r="AO237" i="8"/>
  <c r="AP237" i="8"/>
  <c r="AQ237" i="8"/>
  <c r="AR237" i="8"/>
  <c r="AS237" i="8"/>
  <c r="AT237" i="8"/>
  <c r="AU237" i="8"/>
  <c r="AV237" i="8"/>
  <c r="AW237" i="8"/>
  <c r="AX237" i="8"/>
  <c r="AY237" i="8"/>
  <c r="AZ237" i="8"/>
  <c r="BA237" i="8"/>
  <c r="BB237" i="8"/>
  <c r="BC237" i="8"/>
  <c r="BD237" i="8"/>
  <c r="BE237" i="8"/>
  <c r="BF237" i="8"/>
  <c r="BG237" i="8"/>
  <c r="BH237" i="8"/>
  <c r="BI237" i="8"/>
  <c r="BJ237" i="8"/>
  <c r="BK237" i="8"/>
  <c r="BL237" i="8"/>
  <c r="BM237" i="8"/>
  <c r="BN237" i="8"/>
  <c r="BO237" i="8"/>
  <c r="BP237" i="8"/>
  <c r="BQ237" i="8"/>
  <c r="BR237" i="8"/>
  <c r="BS237" i="8"/>
  <c r="BT237" i="8"/>
  <c r="BU237" i="8"/>
  <c r="BV237" i="8"/>
  <c r="BW237" i="8"/>
  <c r="BX237" i="8"/>
  <c r="BY237" i="8"/>
  <c r="BZ237" i="8"/>
  <c r="CA237" i="8"/>
  <c r="CB237" i="8"/>
  <c r="CC237" i="8"/>
  <c r="CD237" i="8"/>
  <c r="CE237" i="8"/>
  <c r="CF237" i="8"/>
  <c r="AB238" i="8"/>
  <c r="AC238" i="8"/>
  <c r="AD238" i="8"/>
  <c r="AE238" i="8"/>
  <c r="AF238" i="8"/>
  <c r="AG238" i="8"/>
  <c r="AH238" i="8"/>
  <c r="AI238" i="8"/>
  <c r="AJ238" i="8"/>
  <c r="AK238" i="8"/>
  <c r="AL238" i="8"/>
  <c r="AM238" i="8"/>
  <c r="AN238" i="8"/>
  <c r="AO238" i="8"/>
  <c r="AP238" i="8"/>
  <c r="AQ238" i="8"/>
  <c r="AR238" i="8"/>
  <c r="AS238" i="8"/>
  <c r="AT238" i="8"/>
  <c r="AU238" i="8"/>
  <c r="AV238" i="8"/>
  <c r="AW238" i="8"/>
  <c r="AX238" i="8"/>
  <c r="AY238" i="8"/>
  <c r="AZ238" i="8"/>
  <c r="BA238" i="8"/>
  <c r="BB238" i="8"/>
  <c r="BC238" i="8"/>
  <c r="BD238" i="8"/>
  <c r="BE238" i="8"/>
  <c r="BF238" i="8"/>
  <c r="BG238" i="8"/>
  <c r="BH238" i="8"/>
  <c r="BI238" i="8"/>
  <c r="BJ238" i="8"/>
  <c r="BK238" i="8"/>
  <c r="BL238" i="8"/>
  <c r="BM238" i="8"/>
  <c r="BN238" i="8"/>
  <c r="BO238" i="8"/>
  <c r="BP238" i="8"/>
  <c r="BQ238" i="8"/>
  <c r="BR238" i="8"/>
  <c r="BS238" i="8"/>
  <c r="BT238" i="8"/>
  <c r="BU238" i="8"/>
  <c r="BV238" i="8"/>
  <c r="BW238" i="8"/>
  <c r="BX238" i="8"/>
  <c r="BY238" i="8"/>
  <c r="BZ238" i="8"/>
  <c r="CA238" i="8"/>
  <c r="CB238" i="8"/>
  <c r="CC238" i="8"/>
  <c r="CD238" i="8"/>
  <c r="CE238" i="8"/>
  <c r="CF238" i="8"/>
  <c r="AB239" i="8"/>
  <c r="AC239" i="8"/>
  <c r="AD239" i="8"/>
  <c r="AE239" i="8"/>
  <c r="AF239" i="8"/>
  <c r="AG239" i="8"/>
  <c r="AH239" i="8"/>
  <c r="AI239" i="8"/>
  <c r="AJ239" i="8"/>
  <c r="AK239" i="8"/>
  <c r="AL239" i="8"/>
  <c r="AM239" i="8"/>
  <c r="AN239" i="8"/>
  <c r="AO239" i="8"/>
  <c r="AP239" i="8"/>
  <c r="AQ239" i="8"/>
  <c r="AR239" i="8"/>
  <c r="AS239" i="8"/>
  <c r="AT239" i="8"/>
  <c r="AU239" i="8"/>
  <c r="AV239" i="8"/>
  <c r="AW239" i="8"/>
  <c r="AX239" i="8"/>
  <c r="AY239" i="8"/>
  <c r="AZ239" i="8"/>
  <c r="BA239" i="8"/>
  <c r="BB239" i="8"/>
  <c r="BC239" i="8"/>
  <c r="BD239" i="8"/>
  <c r="BE239" i="8"/>
  <c r="BF239" i="8"/>
  <c r="BG239" i="8"/>
  <c r="BH239" i="8"/>
  <c r="BI239" i="8"/>
  <c r="BJ239" i="8"/>
  <c r="BK239" i="8"/>
  <c r="BL239" i="8"/>
  <c r="BM239" i="8"/>
  <c r="BN239" i="8"/>
  <c r="BO239" i="8"/>
  <c r="BP239" i="8"/>
  <c r="BQ239" i="8"/>
  <c r="BR239" i="8"/>
  <c r="BS239" i="8"/>
  <c r="BT239" i="8"/>
  <c r="BU239" i="8"/>
  <c r="BV239" i="8"/>
  <c r="BW239" i="8"/>
  <c r="BX239" i="8"/>
  <c r="BY239" i="8"/>
  <c r="BZ239" i="8"/>
  <c r="CA239" i="8"/>
  <c r="CB239" i="8"/>
  <c r="CC239" i="8"/>
  <c r="CD239" i="8"/>
  <c r="CE239" i="8"/>
  <c r="CF239" i="8"/>
  <c r="AB240" i="8"/>
  <c r="AC240" i="8"/>
  <c r="AD240" i="8"/>
  <c r="AE240" i="8"/>
  <c r="AF240" i="8"/>
  <c r="AG240" i="8"/>
  <c r="AH240" i="8"/>
  <c r="AI240" i="8"/>
  <c r="AJ240" i="8"/>
  <c r="AK240" i="8"/>
  <c r="AL240" i="8"/>
  <c r="AM240" i="8"/>
  <c r="AN240" i="8"/>
  <c r="AO240" i="8"/>
  <c r="AP240" i="8"/>
  <c r="AQ240" i="8"/>
  <c r="AR240" i="8"/>
  <c r="AS240" i="8"/>
  <c r="AT240" i="8"/>
  <c r="AU240" i="8"/>
  <c r="AV240" i="8"/>
  <c r="AW240" i="8"/>
  <c r="AX240" i="8"/>
  <c r="AY240" i="8"/>
  <c r="AZ240" i="8"/>
  <c r="BA240" i="8"/>
  <c r="BB240" i="8"/>
  <c r="BC240" i="8"/>
  <c r="BD240" i="8"/>
  <c r="BE240" i="8"/>
  <c r="BF240" i="8"/>
  <c r="BG240" i="8"/>
  <c r="BH240" i="8"/>
  <c r="BI240" i="8"/>
  <c r="BJ240" i="8"/>
  <c r="BK240" i="8"/>
  <c r="BL240" i="8"/>
  <c r="BM240" i="8"/>
  <c r="BN240" i="8"/>
  <c r="BO240" i="8"/>
  <c r="BP240" i="8"/>
  <c r="BQ240" i="8"/>
  <c r="BR240" i="8"/>
  <c r="BS240" i="8"/>
  <c r="BT240" i="8"/>
  <c r="BU240" i="8"/>
  <c r="BV240" i="8"/>
  <c r="BW240" i="8"/>
  <c r="BX240" i="8"/>
  <c r="BY240" i="8"/>
  <c r="BZ240" i="8"/>
  <c r="CA240" i="8"/>
  <c r="CB240" i="8"/>
  <c r="CC240" i="8"/>
  <c r="CD240" i="8"/>
  <c r="CE240" i="8"/>
  <c r="CF240" i="8"/>
  <c r="AB241" i="8"/>
  <c r="AC241" i="8"/>
  <c r="AD241" i="8"/>
  <c r="AE241" i="8"/>
  <c r="AF241" i="8"/>
  <c r="AG241" i="8"/>
  <c r="AH241" i="8"/>
  <c r="AI241" i="8"/>
  <c r="AJ241" i="8"/>
  <c r="AK241" i="8"/>
  <c r="AL241" i="8"/>
  <c r="AM241" i="8"/>
  <c r="AN241" i="8"/>
  <c r="AO241" i="8"/>
  <c r="AP241" i="8"/>
  <c r="AQ241" i="8"/>
  <c r="AR241" i="8"/>
  <c r="AS241" i="8"/>
  <c r="AT241" i="8"/>
  <c r="AU241" i="8"/>
  <c r="AV241" i="8"/>
  <c r="AW241" i="8"/>
  <c r="AX241" i="8"/>
  <c r="AY241" i="8"/>
  <c r="AZ241" i="8"/>
  <c r="BA241" i="8"/>
  <c r="BB241" i="8"/>
  <c r="BC241" i="8"/>
  <c r="BD241" i="8"/>
  <c r="BE241" i="8"/>
  <c r="BF241" i="8"/>
  <c r="BG241" i="8"/>
  <c r="BH241" i="8"/>
  <c r="BI241" i="8"/>
  <c r="BJ241" i="8"/>
  <c r="BK241" i="8"/>
  <c r="BL241" i="8"/>
  <c r="BM241" i="8"/>
  <c r="BN241" i="8"/>
  <c r="BO241" i="8"/>
  <c r="BP241" i="8"/>
  <c r="BQ241" i="8"/>
  <c r="BR241" i="8"/>
  <c r="BS241" i="8"/>
  <c r="BT241" i="8"/>
  <c r="BU241" i="8"/>
  <c r="BV241" i="8"/>
  <c r="BW241" i="8"/>
  <c r="BX241" i="8"/>
  <c r="BY241" i="8"/>
  <c r="BZ241" i="8"/>
  <c r="CA241" i="8"/>
  <c r="CB241" i="8"/>
  <c r="CC241" i="8"/>
  <c r="CD241" i="8"/>
  <c r="CE241" i="8"/>
  <c r="CF241" i="8"/>
  <c r="AB242" i="8"/>
  <c r="AC242" i="8"/>
  <c r="AD242" i="8"/>
  <c r="AE242" i="8"/>
  <c r="AF242" i="8"/>
  <c r="AG242" i="8"/>
  <c r="AH242" i="8"/>
  <c r="AI242" i="8"/>
  <c r="AJ242" i="8"/>
  <c r="AK242" i="8"/>
  <c r="AL242" i="8"/>
  <c r="AM242" i="8"/>
  <c r="AN242" i="8"/>
  <c r="AO242" i="8"/>
  <c r="AP242" i="8"/>
  <c r="AQ242" i="8"/>
  <c r="AR242" i="8"/>
  <c r="AS242" i="8"/>
  <c r="AT242" i="8"/>
  <c r="AU242" i="8"/>
  <c r="AV242" i="8"/>
  <c r="AW242" i="8"/>
  <c r="AX242" i="8"/>
  <c r="AY242" i="8"/>
  <c r="AZ242" i="8"/>
  <c r="BA242" i="8"/>
  <c r="BB242" i="8"/>
  <c r="BC242" i="8"/>
  <c r="BD242" i="8"/>
  <c r="BE242" i="8"/>
  <c r="BF242" i="8"/>
  <c r="BG242" i="8"/>
  <c r="BH242" i="8"/>
  <c r="BI242" i="8"/>
  <c r="BJ242" i="8"/>
  <c r="BK242" i="8"/>
  <c r="BL242" i="8"/>
  <c r="BM242" i="8"/>
  <c r="BN242" i="8"/>
  <c r="BO242" i="8"/>
  <c r="BP242" i="8"/>
  <c r="BQ242" i="8"/>
  <c r="BR242" i="8"/>
  <c r="BS242" i="8"/>
  <c r="BT242" i="8"/>
  <c r="BU242" i="8"/>
  <c r="BV242" i="8"/>
  <c r="BW242" i="8"/>
  <c r="BX242" i="8"/>
  <c r="BY242" i="8"/>
  <c r="BZ242" i="8"/>
  <c r="CA242" i="8"/>
  <c r="CB242" i="8"/>
  <c r="CC242" i="8"/>
  <c r="CD242" i="8"/>
  <c r="CE242" i="8"/>
  <c r="CF242" i="8"/>
  <c r="AB243" i="8"/>
  <c r="AC243" i="8"/>
  <c r="AD243" i="8"/>
  <c r="AE243" i="8"/>
  <c r="AF243" i="8"/>
  <c r="AG243" i="8"/>
  <c r="AH243" i="8"/>
  <c r="AI243" i="8"/>
  <c r="AJ243" i="8"/>
  <c r="AK243" i="8"/>
  <c r="AL243" i="8"/>
  <c r="AM243" i="8"/>
  <c r="AN243" i="8"/>
  <c r="AO243" i="8"/>
  <c r="AP243" i="8"/>
  <c r="AQ243" i="8"/>
  <c r="AR243" i="8"/>
  <c r="AS243" i="8"/>
  <c r="AT243" i="8"/>
  <c r="AU243" i="8"/>
  <c r="AV243" i="8"/>
  <c r="AW243" i="8"/>
  <c r="AX243" i="8"/>
  <c r="AY243" i="8"/>
  <c r="AZ243" i="8"/>
  <c r="BA243" i="8"/>
  <c r="BB243" i="8"/>
  <c r="BC243" i="8"/>
  <c r="BD243" i="8"/>
  <c r="BE243" i="8"/>
  <c r="BF243" i="8"/>
  <c r="BG243" i="8"/>
  <c r="BH243" i="8"/>
  <c r="BI243" i="8"/>
  <c r="BJ243" i="8"/>
  <c r="BK243" i="8"/>
  <c r="BL243" i="8"/>
  <c r="BM243" i="8"/>
  <c r="BN243" i="8"/>
  <c r="BO243" i="8"/>
  <c r="BP243" i="8"/>
  <c r="BQ243" i="8"/>
  <c r="BR243" i="8"/>
  <c r="BS243" i="8"/>
  <c r="BT243" i="8"/>
  <c r="BU243" i="8"/>
  <c r="BV243" i="8"/>
  <c r="BW243" i="8"/>
  <c r="BX243" i="8"/>
  <c r="BY243" i="8"/>
  <c r="BZ243" i="8"/>
  <c r="CA243" i="8"/>
  <c r="CB243" i="8"/>
  <c r="CC243" i="8"/>
  <c r="CD243" i="8"/>
  <c r="CE243" i="8"/>
  <c r="CF243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H83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Z84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Z85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H87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Y88" i="8"/>
  <c r="Z88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Z89" i="8"/>
  <c r="H90" i="8"/>
  <c r="I90" i="8"/>
  <c r="J90" i="8"/>
  <c r="K90" i="8"/>
  <c r="L90" i="8"/>
  <c r="M90" i="8"/>
  <c r="N90" i="8"/>
  <c r="O90" i="8"/>
  <c r="P90" i="8"/>
  <c r="Q90" i="8"/>
  <c r="R90" i="8"/>
  <c r="S90" i="8"/>
  <c r="T90" i="8"/>
  <c r="U90" i="8"/>
  <c r="V90" i="8"/>
  <c r="W90" i="8"/>
  <c r="X90" i="8"/>
  <c r="Y90" i="8"/>
  <c r="Z90" i="8"/>
  <c r="H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H92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H93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H94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H95" i="8"/>
  <c r="I95" i="8"/>
  <c r="J95" i="8"/>
  <c r="K95" i="8"/>
  <c r="L95" i="8"/>
  <c r="M95" i="8"/>
  <c r="N95" i="8"/>
  <c r="O95" i="8"/>
  <c r="P95" i="8"/>
  <c r="Q95" i="8"/>
  <c r="R95" i="8"/>
  <c r="S95" i="8"/>
  <c r="T95" i="8"/>
  <c r="U95" i="8"/>
  <c r="V95" i="8"/>
  <c r="W95" i="8"/>
  <c r="X95" i="8"/>
  <c r="Y95" i="8"/>
  <c r="Z95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H97" i="8"/>
  <c r="I97" i="8"/>
  <c r="J97" i="8"/>
  <c r="K97" i="8"/>
  <c r="L97" i="8"/>
  <c r="M97" i="8"/>
  <c r="N97" i="8"/>
  <c r="O97" i="8"/>
  <c r="P97" i="8"/>
  <c r="Q97" i="8"/>
  <c r="R97" i="8"/>
  <c r="S97" i="8"/>
  <c r="T97" i="8"/>
  <c r="U97" i="8"/>
  <c r="V97" i="8"/>
  <c r="W97" i="8"/>
  <c r="X97" i="8"/>
  <c r="Y97" i="8"/>
  <c r="Z97" i="8"/>
  <c r="H98" i="8"/>
  <c r="I98" i="8"/>
  <c r="J98" i="8"/>
  <c r="K98" i="8"/>
  <c r="L98" i="8"/>
  <c r="M98" i="8"/>
  <c r="N98" i="8"/>
  <c r="O98" i="8"/>
  <c r="P98" i="8"/>
  <c r="Q98" i="8"/>
  <c r="R98" i="8"/>
  <c r="S98" i="8"/>
  <c r="T98" i="8"/>
  <c r="U98" i="8"/>
  <c r="V98" i="8"/>
  <c r="W98" i="8"/>
  <c r="X98" i="8"/>
  <c r="Y98" i="8"/>
  <c r="Z98" i="8"/>
  <c r="H99" i="8"/>
  <c r="I99" i="8"/>
  <c r="J99" i="8"/>
  <c r="K99" i="8"/>
  <c r="L99" i="8"/>
  <c r="M99" i="8"/>
  <c r="N99" i="8"/>
  <c r="O99" i="8"/>
  <c r="P99" i="8"/>
  <c r="Q99" i="8"/>
  <c r="R99" i="8"/>
  <c r="S99" i="8"/>
  <c r="T99" i="8"/>
  <c r="U99" i="8"/>
  <c r="V99" i="8"/>
  <c r="W99" i="8"/>
  <c r="X99" i="8"/>
  <c r="Y99" i="8"/>
  <c r="Z99" i="8"/>
  <c r="H100" i="8"/>
  <c r="I100" i="8"/>
  <c r="J100" i="8"/>
  <c r="K100" i="8"/>
  <c r="L100" i="8"/>
  <c r="M100" i="8"/>
  <c r="N100" i="8"/>
  <c r="O100" i="8"/>
  <c r="P100" i="8"/>
  <c r="Q100" i="8"/>
  <c r="R100" i="8"/>
  <c r="S100" i="8"/>
  <c r="T100" i="8"/>
  <c r="U100" i="8"/>
  <c r="V100" i="8"/>
  <c r="W100" i="8"/>
  <c r="X100" i="8"/>
  <c r="Y100" i="8"/>
  <c r="Z100" i="8"/>
  <c r="H101" i="8"/>
  <c r="I101" i="8"/>
  <c r="J101" i="8"/>
  <c r="K101" i="8"/>
  <c r="L101" i="8"/>
  <c r="M101" i="8"/>
  <c r="N101" i="8"/>
  <c r="O101" i="8"/>
  <c r="P101" i="8"/>
  <c r="Q101" i="8"/>
  <c r="R101" i="8"/>
  <c r="S101" i="8"/>
  <c r="T101" i="8"/>
  <c r="U101" i="8"/>
  <c r="V101" i="8"/>
  <c r="W101" i="8"/>
  <c r="X101" i="8"/>
  <c r="Y101" i="8"/>
  <c r="Z101" i="8"/>
  <c r="H102" i="8"/>
  <c r="I102" i="8"/>
  <c r="J102" i="8"/>
  <c r="K102" i="8"/>
  <c r="L102" i="8"/>
  <c r="M102" i="8"/>
  <c r="N102" i="8"/>
  <c r="O102" i="8"/>
  <c r="P102" i="8"/>
  <c r="Q102" i="8"/>
  <c r="R102" i="8"/>
  <c r="S102" i="8"/>
  <c r="T102" i="8"/>
  <c r="U102" i="8"/>
  <c r="V102" i="8"/>
  <c r="W102" i="8"/>
  <c r="X102" i="8"/>
  <c r="Y102" i="8"/>
  <c r="Z102" i="8"/>
  <c r="H103" i="8"/>
  <c r="I103" i="8"/>
  <c r="J103" i="8"/>
  <c r="K103" i="8"/>
  <c r="L103" i="8"/>
  <c r="M103" i="8"/>
  <c r="N103" i="8"/>
  <c r="O103" i="8"/>
  <c r="P103" i="8"/>
  <c r="Q103" i="8"/>
  <c r="R103" i="8"/>
  <c r="S103" i="8"/>
  <c r="T103" i="8"/>
  <c r="U103" i="8"/>
  <c r="V103" i="8"/>
  <c r="W103" i="8"/>
  <c r="X103" i="8"/>
  <c r="Y103" i="8"/>
  <c r="Z103" i="8"/>
  <c r="H104" i="8"/>
  <c r="I104" i="8"/>
  <c r="J104" i="8"/>
  <c r="K104" i="8"/>
  <c r="L104" i="8"/>
  <c r="M104" i="8"/>
  <c r="N104" i="8"/>
  <c r="O104" i="8"/>
  <c r="P104" i="8"/>
  <c r="Q104" i="8"/>
  <c r="R104" i="8"/>
  <c r="S104" i="8"/>
  <c r="T104" i="8"/>
  <c r="U104" i="8"/>
  <c r="V104" i="8"/>
  <c r="W104" i="8"/>
  <c r="X104" i="8"/>
  <c r="Y104" i="8"/>
  <c r="Z104" i="8"/>
  <c r="H105" i="8"/>
  <c r="I105" i="8"/>
  <c r="J105" i="8"/>
  <c r="K105" i="8"/>
  <c r="L105" i="8"/>
  <c r="M105" i="8"/>
  <c r="N105" i="8"/>
  <c r="O105" i="8"/>
  <c r="P105" i="8"/>
  <c r="Q105" i="8"/>
  <c r="R105" i="8"/>
  <c r="S105" i="8"/>
  <c r="T105" i="8"/>
  <c r="U105" i="8"/>
  <c r="V105" i="8"/>
  <c r="W105" i="8"/>
  <c r="X105" i="8"/>
  <c r="Y105" i="8"/>
  <c r="Z105" i="8"/>
  <c r="H106" i="8"/>
  <c r="I106" i="8"/>
  <c r="J106" i="8"/>
  <c r="K106" i="8"/>
  <c r="L106" i="8"/>
  <c r="M106" i="8"/>
  <c r="N106" i="8"/>
  <c r="O106" i="8"/>
  <c r="P106" i="8"/>
  <c r="Q106" i="8"/>
  <c r="R106" i="8"/>
  <c r="S106" i="8"/>
  <c r="T106" i="8"/>
  <c r="U106" i="8"/>
  <c r="V106" i="8"/>
  <c r="W106" i="8"/>
  <c r="X106" i="8"/>
  <c r="Y106" i="8"/>
  <c r="Z106" i="8"/>
  <c r="H107" i="8"/>
  <c r="I107" i="8"/>
  <c r="J107" i="8"/>
  <c r="K107" i="8"/>
  <c r="L107" i="8"/>
  <c r="M107" i="8"/>
  <c r="N107" i="8"/>
  <c r="O107" i="8"/>
  <c r="P107" i="8"/>
  <c r="Q107" i="8"/>
  <c r="R107" i="8"/>
  <c r="S107" i="8"/>
  <c r="T107" i="8"/>
  <c r="U107" i="8"/>
  <c r="V107" i="8"/>
  <c r="W107" i="8"/>
  <c r="X107" i="8"/>
  <c r="Y107" i="8"/>
  <c r="Z107" i="8"/>
  <c r="H108" i="8"/>
  <c r="I108" i="8"/>
  <c r="J108" i="8"/>
  <c r="K108" i="8"/>
  <c r="L108" i="8"/>
  <c r="M108" i="8"/>
  <c r="N108" i="8"/>
  <c r="O108" i="8"/>
  <c r="P108" i="8"/>
  <c r="Q108" i="8"/>
  <c r="R108" i="8"/>
  <c r="S108" i="8"/>
  <c r="T108" i="8"/>
  <c r="U108" i="8"/>
  <c r="V108" i="8"/>
  <c r="W108" i="8"/>
  <c r="X108" i="8"/>
  <c r="Y108" i="8"/>
  <c r="Z108" i="8"/>
  <c r="H109" i="8"/>
  <c r="I109" i="8"/>
  <c r="J109" i="8"/>
  <c r="K109" i="8"/>
  <c r="L109" i="8"/>
  <c r="M109" i="8"/>
  <c r="N109" i="8"/>
  <c r="O109" i="8"/>
  <c r="P109" i="8"/>
  <c r="Q109" i="8"/>
  <c r="R109" i="8"/>
  <c r="S109" i="8"/>
  <c r="T109" i="8"/>
  <c r="U109" i="8"/>
  <c r="V109" i="8"/>
  <c r="W109" i="8"/>
  <c r="X109" i="8"/>
  <c r="Y109" i="8"/>
  <c r="Z109" i="8"/>
  <c r="H110" i="8"/>
  <c r="I110" i="8"/>
  <c r="J110" i="8"/>
  <c r="K110" i="8"/>
  <c r="L110" i="8"/>
  <c r="M110" i="8"/>
  <c r="N110" i="8"/>
  <c r="O110" i="8"/>
  <c r="P110" i="8"/>
  <c r="Q110" i="8"/>
  <c r="R110" i="8"/>
  <c r="S110" i="8"/>
  <c r="T110" i="8"/>
  <c r="U110" i="8"/>
  <c r="V110" i="8"/>
  <c r="W110" i="8"/>
  <c r="X110" i="8"/>
  <c r="Y110" i="8"/>
  <c r="Z110" i="8"/>
  <c r="H111" i="8"/>
  <c r="I111" i="8"/>
  <c r="J111" i="8"/>
  <c r="K111" i="8"/>
  <c r="L111" i="8"/>
  <c r="M111" i="8"/>
  <c r="N111" i="8"/>
  <c r="O111" i="8"/>
  <c r="P111" i="8"/>
  <c r="Q111" i="8"/>
  <c r="R111" i="8"/>
  <c r="S111" i="8"/>
  <c r="T111" i="8"/>
  <c r="U111" i="8"/>
  <c r="V111" i="8"/>
  <c r="W111" i="8"/>
  <c r="X111" i="8"/>
  <c r="Y111" i="8"/>
  <c r="Z111" i="8"/>
  <c r="H112" i="8"/>
  <c r="I112" i="8"/>
  <c r="J112" i="8"/>
  <c r="K112" i="8"/>
  <c r="L112" i="8"/>
  <c r="M112" i="8"/>
  <c r="N112" i="8"/>
  <c r="O112" i="8"/>
  <c r="P112" i="8"/>
  <c r="Q112" i="8"/>
  <c r="R112" i="8"/>
  <c r="S112" i="8"/>
  <c r="T112" i="8"/>
  <c r="U112" i="8"/>
  <c r="V112" i="8"/>
  <c r="W112" i="8"/>
  <c r="X112" i="8"/>
  <c r="Y112" i="8"/>
  <c r="Z112" i="8"/>
  <c r="H113" i="8"/>
  <c r="I113" i="8"/>
  <c r="J113" i="8"/>
  <c r="K113" i="8"/>
  <c r="L113" i="8"/>
  <c r="M113" i="8"/>
  <c r="N113" i="8"/>
  <c r="O113" i="8"/>
  <c r="P113" i="8"/>
  <c r="Q113" i="8"/>
  <c r="R113" i="8"/>
  <c r="S113" i="8"/>
  <c r="T113" i="8"/>
  <c r="U113" i="8"/>
  <c r="V113" i="8"/>
  <c r="W113" i="8"/>
  <c r="X113" i="8"/>
  <c r="Y113" i="8"/>
  <c r="Z113" i="8"/>
  <c r="H114" i="8"/>
  <c r="I114" i="8"/>
  <c r="J114" i="8"/>
  <c r="K114" i="8"/>
  <c r="L114" i="8"/>
  <c r="M114" i="8"/>
  <c r="N114" i="8"/>
  <c r="O114" i="8"/>
  <c r="P114" i="8"/>
  <c r="Q114" i="8"/>
  <c r="R114" i="8"/>
  <c r="S114" i="8"/>
  <c r="T114" i="8"/>
  <c r="U114" i="8"/>
  <c r="V114" i="8"/>
  <c r="W114" i="8"/>
  <c r="X114" i="8"/>
  <c r="Y114" i="8"/>
  <c r="Z114" i="8"/>
  <c r="H115" i="8"/>
  <c r="I115" i="8"/>
  <c r="J115" i="8"/>
  <c r="K115" i="8"/>
  <c r="L115" i="8"/>
  <c r="M115" i="8"/>
  <c r="N115" i="8"/>
  <c r="O115" i="8"/>
  <c r="P115" i="8"/>
  <c r="Q115" i="8"/>
  <c r="R115" i="8"/>
  <c r="S115" i="8"/>
  <c r="T115" i="8"/>
  <c r="U115" i="8"/>
  <c r="V115" i="8"/>
  <c r="W115" i="8"/>
  <c r="X115" i="8"/>
  <c r="Y115" i="8"/>
  <c r="Z115" i="8"/>
  <c r="H116" i="8"/>
  <c r="I116" i="8"/>
  <c r="J116" i="8"/>
  <c r="K116" i="8"/>
  <c r="L116" i="8"/>
  <c r="M116" i="8"/>
  <c r="N116" i="8"/>
  <c r="O116" i="8"/>
  <c r="P116" i="8"/>
  <c r="Q116" i="8"/>
  <c r="R116" i="8"/>
  <c r="S116" i="8"/>
  <c r="T116" i="8"/>
  <c r="U116" i="8"/>
  <c r="V116" i="8"/>
  <c r="W116" i="8"/>
  <c r="X116" i="8"/>
  <c r="Y116" i="8"/>
  <c r="Z116" i="8"/>
  <c r="H117" i="8"/>
  <c r="I117" i="8"/>
  <c r="J117" i="8"/>
  <c r="K117" i="8"/>
  <c r="L117" i="8"/>
  <c r="M117" i="8"/>
  <c r="N117" i="8"/>
  <c r="O117" i="8"/>
  <c r="P117" i="8"/>
  <c r="Q117" i="8"/>
  <c r="R117" i="8"/>
  <c r="S117" i="8"/>
  <c r="T117" i="8"/>
  <c r="U117" i="8"/>
  <c r="V117" i="8"/>
  <c r="W117" i="8"/>
  <c r="X117" i="8"/>
  <c r="Y117" i="8"/>
  <c r="Z117" i="8"/>
  <c r="H118" i="8"/>
  <c r="I118" i="8"/>
  <c r="J118" i="8"/>
  <c r="K118" i="8"/>
  <c r="L118" i="8"/>
  <c r="M118" i="8"/>
  <c r="N118" i="8"/>
  <c r="O118" i="8"/>
  <c r="P118" i="8"/>
  <c r="Q118" i="8"/>
  <c r="R118" i="8"/>
  <c r="S118" i="8"/>
  <c r="T118" i="8"/>
  <c r="U118" i="8"/>
  <c r="V118" i="8"/>
  <c r="W118" i="8"/>
  <c r="X118" i="8"/>
  <c r="Y118" i="8"/>
  <c r="Z118" i="8"/>
  <c r="H119" i="8"/>
  <c r="I119" i="8"/>
  <c r="J119" i="8"/>
  <c r="K119" i="8"/>
  <c r="L119" i="8"/>
  <c r="M119" i="8"/>
  <c r="N119" i="8"/>
  <c r="O119" i="8"/>
  <c r="P119" i="8"/>
  <c r="Q119" i="8"/>
  <c r="R119" i="8"/>
  <c r="S119" i="8"/>
  <c r="T119" i="8"/>
  <c r="U119" i="8"/>
  <c r="V119" i="8"/>
  <c r="W119" i="8"/>
  <c r="X119" i="8"/>
  <c r="Y119" i="8"/>
  <c r="Z119" i="8"/>
  <c r="H120" i="8"/>
  <c r="I120" i="8"/>
  <c r="J120" i="8"/>
  <c r="K120" i="8"/>
  <c r="L120" i="8"/>
  <c r="M120" i="8"/>
  <c r="N120" i="8"/>
  <c r="O120" i="8"/>
  <c r="P120" i="8"/>
  <c r="Q120" i="8"/>
  <c r="R120" i="8"/>
  <c r="S120" i="8"/>
  <c r="T120" i="8"/>
  <c r="U120" i="8"/>
  <c r="V120" i="8"/>
  <c r="W120" i="8"/>
  <c r="X120" i="8"/>
  <c r="Y120" i="8"/>
  <c r="Z120" i="8"/>
  <c r="H121" i="8"/>
  <c r="I121" i="8"/>
  <c r="J121" i="8"/>
  <c r="K121" i="8"/>
  <c r="L121" i="8"/>
  <c r="M121" i="8"/>
  <c r="N121" i="8"/>
  <c r="O121" i="8"/>
  <c r="P121" i="8"/>
  <c r="Q121" i="8"/>
  <c r="R121" i="8"/>
  <c r="S121" i="8"/>
  <c r="T121" i="8"/>
  <c r="U121" i="8"/>
  <c r="V121" i="8"/>
  <c r="W121" i="8"/>
  <c r="X121" i="8"/>
  <c r="Y121" i="8"/>
  <c r="Z121" i="8"/>
  <c r="H122" i="8"/>
  <c r="I122" i="8"/>
  <c r="J122" i="8"/>
  <c r="K122" i="8"/>
  <c r="L122" i="8"/>
  <c r="M122" i="8"/>
  <c r="N122" i="8"/>
  <c r="O122" i="8"/>
  <c r="P122" i="8"/>
  <c r="Q122" i="8"/>
  <c r="R122" i="8"/>
  <c r="S122" i="8"/>
  <c r="T122" i="8"/>
  <c r="U122" i="8"/>
  <c r="V122" i="8"/>
  <c r="W122" i="8"/>
  <c r="X122" i="8"/>
  <c r="Y122" i="8"/>
  <c r="Z122" i="8"/>
  <c r="H123" i="8"/>
  <c r="I123" i="8"/>
  <c r="J123" i="8"/>
  <c r="K123" i="8"/>
  <c r="L123" i="8"/>
  <c r="M123" i="8"/>
  <c r="N123" i="8"/>
  <c r="O123" i="8"/>
  <c r="P123" i="8"/>
  <c r="Q123" i="8"/>
  <c r="R123" i="8"/>
  <c r="S123" i="8"/>
  <c r="T123" i="8"/>
  <c r="U123" i="8"/>
  <c r="V123" i="8"/>
  <c r="W123" i="8"/>
  <c r="X123" i="8"/>
  <c r="Y123" i="8"/>
  <c r="Z123" i="8"/>
  <c r="H124" i="8"/>
  <c r="I124" i="8"/>
  <c r="J124" i="8"/>
  <c r="K124" i="8"/>
  <c r="L124" i="8"/>
  <c r="M124" i="8"/>
  <c r="N124" i="8"/>
  <c r="O124" i="8"/>
  <c r="P124" i="8"/>
  <c r="Q124" i="8"/>
  <c r="R124" i="8"/>
  <c r="S124" i="8"/>
  <c r="T124" i="8"/>
  <c r="U124" i="8"/>
  <c r="V124" i="8"/>
  <c r="W124" i="8"/>
  <c r="X124" i="8"/>
  <c r="Y124" i="8"/>
  <c r="Z124" i="8"/>
  <c r="H125" i="8"/>
  <c r="I125" i="8"/>
  <c r="J125" i="8"/>
  <c r="K125" i="8"/>
  <c r="L125" i="8"/>
  <c r="M125" i="8"/>
  <c r="N125" i="8"/>
  <c r="O125" i="8"/>
  <c r="P125" i="8"/>
  <c r="Q125" i="8"/>
  <c r="R125" i="8"/>
  <c r="S125" i="8"/>
  <c r="T125" i="8"/>
  <c r="U125" i="8"/>
  <c r="V125" i="8"/>
  <c r="W125" i="8"/>
  <c r="X125" i="8"/>
  <c r="Y125" i="8"/>
  <c r="Z125" i="8"/>
  <c r="H126" i="8"/>
  <c r="I126" i="8"/>
  <c r="J126" i="8"/>
  <c r="K126" i="8"/>
  <c r="L126" i="8"/>
  <c r="M126" i="8"/>
  <c r="N126" i="8"/>
  <c r="O126" i="8"/>
  <c r="P126" i="8"/>
  <c r="Q126" i="8"/>
  <c r="R126" i="8"/>
  <c r="S126" i="8"/>
  <c r="T126" i="8"/>
  <c r="U126" i="8"/>
  <c r="V126" i="8"/>
  <c r="W126" i="8"/>
  <c r="X126" i="8"/>
  <c r="Y126" i="8"/>
  <c r="Z126" i="8"/>
  <c r="H127" i="8"/>
  <c r="I127" i="8"/>
  <c r="J127" i="8"/>
  <c r="K127" i="8"/>
  <c r="L127" i="8"/>
  <c r="M127" i="8"/>
  <c r="N127" i="8"/>
  <c r="O127" i="8"/>
  <c r="P127" i="8"/>
  <c r="Q127" i="8"/>
  <c r="R127" i="8"/>
  <c r="S127" i="8"/>
  <c r="T127" i="8"/>
  <c r="U127" i="8"/>
  <c r="V127" i="8"/>
  <c r="W127" i="8"/>
  <c r="X127" i="8"/>
  <c r="Y127" i="8"/>
  <c r="Z127" i="8"/>
  <c r="H128" i="8"/>
  <c r="I128" i="8"/>
  <c r="J128" i="8"/>
  <c r="K128" i="8"/>
  <c r="L128" i="8"/>
  <c r="M128" i="8"/>
  <c r="N128" i="8"/>
  <c r="O128" i="8"/>
  <c r="P128" i="8"/>
  <c r="Q128" i="8"/>
  <c r="R128" i="8"/>
  <c r="S128" i="8"/>
  <c r="T128" i="8"/>
  <c r="U128" i="8"/>
  <c r="V128" i="8"/>
  <c r="W128" i="8"/>
  <c r="X128" i="8"/>
  <c r="Y128" i="8"/>
  <c r="Z128" i="8"/>
  <c r="H129" i="8"/>
  <c r="I129" i="8"/>
  <c r="J129" i="8"/>
  <c r="K129" i="8"/>
  <c r="L129" i="8"/>
  <c r="M129" i="8"/>
  <c r="N129" i="8"/>
  <c r="O129" i="8"/>
  <c r="P129" i="8"/>
  <c r="Q129" i="8"/>
  <c r="R129" i="8"/>
  <c r="S129" i="8"/>
  <c r="T129" i="8"/>
  <c r="U129" i="8"/>
  <c r="V129" i="8"/>
  <c r="W129" i="8"/>
  <c r="X129" i="8"/>
  <c r="Y129" i="8"/>
  <c r="Z129" i="8"/>
  <c r="H130" i="8"/>
  <c r="I130" i="8"/>
  <c r="J130" i="8"/>
  <c r="K130" i="8"/>
  <c r="L130" i="8"/>
  <c r="M130" i="8"/>
  <c r="N130" i="8"/>
  <c r="O130" i="8"/>
  <c r="P130" i="8"/>
  <c r="Q130" i="8"/>
  <c r="R130" i="8"/>
  <c r="S130" i="8"/>
  <c r="T130" i="8"/>
  <c r="U130" i="8"/>
  <c r="V130" i="8"/>
  <c r="W130" i="8"/>
  <c r="X130" i="8"/>
  <c r="Y130" i="8"/>
  <c r="Z130" i="8"/>
  <c r="H131" i="8"/>
  <c r="I131" i="8"/>
  <c r="J131" i="8"/>
  <c r="K131" i="8"/>
  <c r="L131" i="8"/>
  <c r="M131" i="8"/>
  <c r="N131" i="8"/>
  <c r="O131" i="8"/>
  <c r="P131" i="8"/>
  <c r="Q131" i="8"/>
  <c r="R131" i="8"/>
  <c r="S131" i="8"/>
  <c r="T131" i="8"/>
  <c r="U131" i="8"/>
  <c r="V131" i="8"/>
  <c r="W131" i="8"/>
  <c r="X131" i="8"/>
  <c r="Y131" i="8"/>
  <c r="Z131" i="8"/>
  <c r="H132" i="8"/>
  <c r="I132" i="8"/>
  <c r="J132" i="8"/>
  <c r="K132" i="8"/>
  <c r="L132" i="8"/>
  <c r="M132" i="8"/>
  <c r="N132" i="8"/>
  <c r="O132" i="8"/>
  <c r="P132" i="8"/>
  <c r="Q132" i="8"/>
  <c r="R132" i="8"/>
  <c r="S132" i="8"/>
  <c r="T132" i="8"/>
  <c r="U132" i="8"/>
  <c r="V132" i="8"/>
  <c r="W132" i="8"/>
  <c r="X132" i="8"/>
  <c r="Y132" i="8"/>
  <c r="Z132" i="8"/>
  <c r="H133" i="8"/>
  <c r="I133" i="8"/>
  <c r="J133" i="8"/>
  <c r="K133" i="8"/>
  <c r="L133" i="8"/>
  <c r="M133" i="8"/>
  <c r="N133" i="8"/>
  <c r="O133" i="8"/>
  <c r="P133" i="8"/>
  <c r="Q133" i="8"/>
  <c r="R133" i="8"/>
  <c r="S133" i="8"/>
  <c r="T133" i="8"/>
  <c r="U133" i="8"/>
  <c r="V133" i="8"/>
  <c r="W133" i="8"/>
  <c r="X133" i="8"/>
  <c r="Y133" i="8"/>
  <c r="Z133" i="8"/>
  <c r="H134" i="8"/>
  <c r="I134" i="8"/>
  <c r="J134" i="8"/>
  <c r="K134" i="8"/>
  <c r="L134" i="8"/>
  <c r="M134" i="8"/>
  <c r="N134" i="8"/>
  <c r="O134" i="8"/>
  <c r="P134" i="8"/>
  <c r="Q134" i="8"/>
  <c r="R134" i="8"/>
  <c r="S134" i="8"/>
  <c r="T134" i="8"/>
  <c r="U134" i="8"/>
  <c r="V134" i="8"/>
  <c r="W134" i="8"/>
  <c r="X134" i="8"/>
  <c r="Y134" i="8"/>
  <c r="Z134" i="8"/>
  <c r="H135" i="8"/>
  <c r="I135" i="8"/>
  <c r="J135" i="8"/>
  <c r="K135" i="8"/>
  <c r="L135" i="8"/>
  <c r="M135" i="8"/>
  <c r="N135" i="8"/>
  <c r="O135" i="8"/>
  <c r="P135" i="8"/>
  <c r="Q135" i="8"/>
  <c r="R135" i="8"/>
  <c r="S135" i="8"/>
  <c r="T135" i="8"/>
  <c r="U135" i="8"/>
  <c r="V135" i="8"/>
  <c r="W135" i="8"/>
  <c r="X135" i="8"/>
  <c r="Y135" i="8"/>
  <c r="Z135" i="8"/>
  <c r="H136" i="8"/>
  <c r="I136" i="8"/>
  <c r="J136" i="8"/>
  <c r="K136" i="8"/>
  <c r="L136" i="8"/>
  <c r="M136" i="8"/>
  <c r="N136" i="8"/>
  <c r="O136" i="8"/>
  <c r="P136" i="8"/>
  <c r="Q136" i="8"/>
  <c r="R136" i="8"/>
  <c r="S136" i="8"/>
  <c r="T136" i="8"/>
  <c r="U136" i="8"/>
  <c r="V136" i="8"/>
  <c r="W136" i="8"/>
  <c r="X136" i="8"/>
  <c r="Y136" i="8"/>
  <c r="Z136" i="8"/>
  <c r="H137" i="8"/>
  <c r="I137" i="8"/>
  <c r="J137" i="8"/>
  <c r="K137" i="8"/>
  <c r="L137" i="8"/>
  <c r="M137" i="8"/>
  <c r="N137" i="8"/>
  <c r="O137" i="8"/>
  <c r="P137" i="8"/>
  <c r="Q137" i="8"/>
  <c r="R137" i="8"/>
  <c r="S137" i="8"/>
  <c r="T137" i="8"/>
  <c r="U137" i="8"/>
  <c r="V137" i="8"/>
  <c r="W137" i="8"/>
  <c r="X137" i="8"/>
  <c r="Y137" i="8"/>
  <c r="Z137" i="8"/>
  <c r="H138" i="8"/>
  <c r="I138" i="8"/>
  <c r="J138" i="8"/>
  <c r="K138" i="8"/>
  <c r="L138" i="8"/>
  <c r="M138" i="8"/>
  <c r="N138" i="8"/>
  <c r="O138" i="8"/>
  <c r="P138" i="8"/>
  <c r="Q138" i="8"/>
  <c r="R138" i="8"/>
  <c r="S138" i="8"/>
  <c r="T138" i="8"/>
  <c r="U138" i="8"/>
  <c r="V138" i="8"/>
  <c r="W138" i="8"/>
  <c r="X138" i="8"/>
  <c r="Y138" i="8"/>
  <c r="Z138" i="8"/>
  <c r="H139" i="8"/>
  <c r="I139" i="8"/>
  <c r="J139" i="8"/>
  <c r="K139" i="8"/>
  <c r="L139" i="8"/>
  <c r="M139" i="8"/>
  <c r="N139" i="8"/>
  <c r="O139" i="8"/>
  <c r="P139" i="8"/>
  <c r="Q139" i="8"/>
  <c r="R139" i="8"/>
  <c r="S139" i="8"/>
  <c r="T139" i="8"/>
  <c r="U139" i="8"/>
  <c r="V139" i="8"/>
  <c r="W139" i="8"/>
  <c r="X139" i="8"/>
  <c r="Y139" i="8"/>
  <c r="Z139" i="8"/>
  <c r="H140" i="8"/>
  <c r="I140" i="8"/>
  <c r="J140" i="8"/>
  <c r="K140" i="8"/>
  <c r="L140" i="8"/>
  <c r="M140" i="8"/>
  <c r="N140" i="8"/>
  <c r="O140" i="8"/>
  <c r="P140" i="8"/>
  <c r="Q140" i="8"/>
  <c r="R140" i="8"/>
  <c r="S140" i="8"/>
  <c r="T140" i="8"/>
  <c r="U140" i="8"/>
  <c r="V140" i="8"/>
  <c r="W140" i="8"/>
  <c r="X140" i="8"/>
  <c r="Y140" i="8"/>
  <c r="Z140" i="8"/>
  <c r="H141" i="8"/>
  <c r="I141" i="8"/>
  <c r="J141" i="8"/>
  <c r="K141" i="8"/>
  <c r="L141" i="8"/>
  <c r="M141" i="8"/>
  <c r="N141" i="8"/>
  <c r="O141" i="8"/>
  <c r="P141" i="8"/>
  <c r="Q141" i="8"/>
  <c r="R141" i="8"/>
  <c r="S141" i="8"/>
  <c r="T141" i="8"/>
  <c r="U141" i="8"/>
  <c r="V141" i="8"/>
  <c r="W141" i="8"/>
  <c r="X141" i="8"/>
  <c r="Y141" i="8"/>
  <c r="Z141" i="8"/>
  <c r="H142" i="8"/>
  <c r="I142" i="8"/>
  <c r="J142" i="8"/>
  <c r="K142" i="8"/>
  <c r="L142" i="8"/>
  <c r="M142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Z142" i="8"/>
  <c r="H143" i="8"/>
  <c r="I143" i="8"/>
  <c r="J143" i="8"/>
  <c r="K143" i="8"/>
  <c r="L143" i="8"/>
  <c r="M143" i="8"/>
  <c r="N143" i="8"/>
  <c r="O143" i="8"/>
  <c r="P143" i="8"/>
  <c r="Q143" i="8"/>
  <c r="R143" i="8"/>
  <c r="S143" i="8"/>
  <c r="T143" i="8"/>
  <c r="U143" i="8"/>
  <c r="V143" i="8"/>
  <c r="W143" i="8"/>
  <c r="X143" i="8"/>
  <c r="Y143" i="8"/>
  <c r="Z143" i="8"/>
  <c r="H144" i="8"/>
  <c r="I144" i="8"/>
  <c r="J144" i="8"/>
  <c r="K144" i="8"/>
  <c r="L144" i="8"/>
  <c r="M144" i="8"/>
  <c r="N144" i="8"/>
  <c r="O144" i="8"/>
  <c r="P144" i="8"/>
  <c r="Q144" i="8"/>
  <c r="R144" i="8"/>
  <c r="S144" i="8"/>
  <c r="T144" i="8"/>
  <c r="U144" i="8"/>
  <c r="V144" i="8"/>
  <c r="W144" i="8"/>
  <c r="X144" i="8"/>
  <c r="Y144" i="8"/>
  <c r="Z144" i="8"/>
  <c r="H145" i="8"/>
  <c r="I145" i="8"/>
  <c r="J145" i="8"/>
  <c r="K145" i="8"/>
  <c r="L145" i="8"/>
  <c r="M145" i="8"/>
  <c r="N145" i="8"/>
  <c r="O145" i="8"/>
  <c r="P145" i="8"/>
  <c r="Q145" i="8"/>
  <c r="R145" i="8"/>
  <c r="S145" i="8"/>
  <c r="T145" i="8"/>
  <c r="U145" i="8"/>
  <c r="V145" i="8"/>
  <c r="W145" i="8"/>
  <c r="X145" i="8"/>
  <c r="Y145" i="8"/>
  <c r="Z145" i="8"/>
  <c r="H146" i="8"/>
  <c r="I146" i="8"/>
  <c r="J146" i="8"/>
  <c r="K146" i="8"/>
  <c r="L146" i="8"/>
  <c r="M146" i="8"/>
  <c r="N146" i="8"/>
  <c r="O146" i="8"/>
  <c r="P146" i="8"/>
  <c r="Q146" i="8"/>
  <c r="R146" i="8"/>
  <c r="S146" i="8"/>
  <c r="T146" i="8"/>
  <c r="U146" i="8"/>
  <c r="V146" i="8"/>
  <c r="W146" i="8"/>
  <c r="X146" i="8"/>
  <c r="Y146" i="8"/>
  <c r="Z146" i="8"/>
  <c r="H147" i="8"/>
  <c r="I147" i="8"/>
  <c r="J147" i="8"/>
  <c r="K147" i="8"/>
  <c r="L147" i="8"/>
  <c r="M147" i="8"/>
  <c r="N147" i="8"/>
  <c r="O147" i="8"/>
  <c r="P147" i="8"/>
  <c r="Q147" i="8"/>
  <c r="R147" i="8"/>
  <c r="S147" i="8"/>
  <c r="T147" i="8"/>
  <c r="U147" i="8"/>
  <c r="V147" i="8"/>
  <c r="W147" i="8"/>
  <c r="X147" i="8"/>
  <c r="Y147" i="8"/>
  <c r="Z147" i="8"/>
  <c r="H148" i="8"/>
  <c r="I148" i="8"/>
  <c r="J148" i="8"/>
  <c r="K148" i="8"/>
  <c r="L148" i="8"/>
  <c r="M148" i="8"/>
  <c r="N148" i="8"/>
  <c r="O148" i="8"/>
  <c r="P148" i="8"/>
  <c r="Q148" i="8"/>
  <c r="R148" i="8"/>
  <c r="S148" i="8"/>
  <c r="T148" i="8"/>
  <c r="U148" i="8"/>
  <c r="V148" i="8"/>
  <c r="W148" i="8"/>
  <c r="X148" i="8"/>
  <c r="Y148" i="8"/>
  <c r="Z148" i="8"/>
  <c r="H149" i="8"/>
  <c r="I149" i="8"/>
  <c r="J149" i="8"/>
  <c r="K149" i="8"/>
  <c r="L149" i="8"/>
  <c r="M149" i="8"/>
  <c r="N149" i="8"/>
  <c r="O149" i="8"/>
  <c r="P149" i="8"/>
  <c r="Q149" i="8"/>
  <c r="R149" i="8"/>
  <c r="S149" i="8"/>
  <c r="T149" i="8"/>
  <c r="U149" i="8"/>
  <c r="V149" i="8"/>
  <c r="W149" i="8"/>
  <c r="X149" i="8"/>
  <c r="Y149" i="8"/>
  <c r="Z149" i="8"/>
  <c r="H150" i="8"/>
  <c r="I150" i="8"/>
  <c r="J150" i="8"/>
  <c r="K150" i="8"/>
  <c r="L150" i="8"/>
  <c r="M150" i="8"/>
  <c r="N150" i="8"/>
  <c r="O150" i="8"/>
  <c r="P150" i="8"/>
  <c r="Q150" i="8"/>
  <c r="R150" i="8"/>
  <c r="S150" i="8"/>
  <c r="T150" i="8"/>
  <c r="U150" i="8"/>
  <c r="V150" i="8"/>
  <c r="W150" i="8"/>
  <c r="X150" i="8"/>
  <c r="Y150" i="8"/>
  <c r="Z150" i="8"/>
  <c r="H151" i="8"/>
  <c r="I151" i="8"/>
  <c r="J151" i="8"/>
  <c r="K151" i="8"/>
  <c r="L151" i="8"/>
  <c r="M151" i="8"/>
  <c r="N151" i="8"/>
  <c r="O151" i="8"/>
  <c r="P151" i="8"/>
  <c r="Q151" i="8"/>
  <c r="R151" i="8"/>
  <c r="S151" i="8"/>
  <c r="T151" i="8"/>
  <c r="U151" i="8"/>
  <c r="V151" i="8"/>
  <c r="W151" i="8"/>
  <c r="X151" i="8"/>
  <c r="Y151" i="8"/>
  <c r="Z151" i="8"/>
  <c r="H152" i="8"/>
  <c r="I152" i="8"/>
  <c r="J152" i="8"/>
  <c r="K152" i="8"/>
  <c r="L152" i="8"/>
  <c r="M152" i="8"/>
  <c r="N152" i="8"/>
  <c r="O152" i="8"/>
  <c r="P152" i="8"/>
  <c r="Q152" i="8"/>
  <c r="R152" i="8"/>
  <c r="S152" i="8"/>
  <c r="T152" i="8"/>
  <c r="U152" i="8"/>
  <c r="V152" i="8"/>
  <c r="W152" i="8"/>
  <c r="X152" i="8"/>
  <c r="Y152" i="8"/>
  <c r="Z152" i="8"/>
  <c r="H153" i="8"/>
  <c r="I153" i="8"/>
  <c r="J153" i="8"/>
  <c r="K153" i="8"/>
  <c r="L153" i="8"/>
  <c r="M153" i="8"/>
  <c r="N153" i="8"/>
  <c r="O153" i="8"/>
  <c r="P153" i="8"/>
  <c r="Q153" i="8"/>
  <c r="R153" i="8"/>
  <c r="S153" i="8"/>
  <c r="T153" i="8"/>
  <c r="U153" i="8"/>
  <c r="V153" i="8"/>
  <c r="W153" i="8"/>
  <c r="X153" i="8"/>
  <c r="Y153" i="8"/>
  <c r="Z153" i="8"/>
  <c r="H154" i="8"/>
  <c r="I154" i="8"/>
  <c r="J154" i="8"/>
  <c r="K154" i="8"/>
  <c r="L154" i="8"/>
  <c r="M154" i="8"/>
  <c r="N154" i="8"/>
  <c r="O154" i="8"/>
  <c r="P154" i="8"/>
  <c r="Q154" i="8"/>
  <c r="R154" i="8"/>
  <c r="S154" i="8"/>
  <c r="T154" i="8"/>
  <c r="U154" i="8"/>
  <c r="V154" i="8"/>
  <c r="W154" i="8"/>
  <c r="X154" i="8"/>
  <c r="Y154" i="8"/>
  <c r="Z154" i="8"/>
  <c r="H155" i="8"/>
  <c r="I155" i="8"/>
  <c r="J155" i="8"/>
  <c r="K155" i="8"/>
  <c r="L155" i="8"/>
  <c r="M155" i="8"/>
  <c r="N155" i="8"/>
  <c r="O155" i="8"/>
  <c r="P155" i="8"/>
  <c r="Q155" i="8"/>
  <c r="R155" i="8"/>
  <c r="S155" i="8"/>
  <c r="T155" i="8"/>
  <c r="U155" i="8"/>
  <c r="V155" i="8"/>
  <c r="W155" i="8"/>
  <c r="X155" i="8"/>
  <c r="Y155" i="8"/>
  <c r="Z155" i="8"/>
  <c r="H156" i="8"/>
  <c r="I156" i="8"/>
  <c r="J156" i="8"/>
  <c r="K156" i="8"/>
  <c r="L156" i="8"/>
  <c r="M156" i="8"/>
  <c r="N156" i="8"/>
  <c r="O156" i="8"/>
  <c r="P156" i="8"/>
  <c r="Q156" i="8"/>
  <c r="R156" i="8"/>
  <c r="S156" i="8"/>
  <c r="T156" i="8"/>
  <c r="U156" i="8"/>
  <c r="V156" i="8"/>
  <c r="W156" i="8"/>
  <c r="X156" i="8"/>
  <c r="Y156" i="8"/>
  <c r="Z156" i="8"/>
  <c r="H157" i="8"/>
  <c r="I157" i="8"/>
  <c r="J157" i="8"/>
  <c r="K157" i="8"/>
  <c r="L157" i="8"/>
  <c r="M157" i="8"/>
  <c r="N157" i="8"/>
  <c r="O157" i="8"/>
  <c r="P157" i="8"/>
  <c r="Q157" i="8"/>
  <c r="R157" i="8"/>
  <c r="S157" i="8"/>
  <c r="T157" i="8"/>
  <c r="U157" i="8"/>
  <c r="V157" i="8"/>
  <c r="W157" i="8"/>
  <c r="X157" i="8"/>
  <c r="Y157" i="8"/>
  <c r="Z157" i="8"/>
  <c r="H158" i="8"/>
  <c r="I158" i="8"/>
  <c r="J158" i="8"/>
  <c r="K158" i="8"/>
  <c r="L158" i="8"/>
  <c r="M158" i="8"/>
  <c r="N158" i="8"/>
  <c r="O158" i="8"/>
  <c r="P158" i="8"/>
  <c r="Q158" i="8"/>
  <c r="R158" i="8"/>
  <c r="S158" i="8"/>
  <c r="T158" i="8"/>
  <c r="U158" i="8"/>
  <c r="V158" i="8"/>
  <c r="W158" i="8"/>
  <c r="X158" i="8"/>
  <c r="Y158" i="8"/>
  <c r="Z158" i="8"/>
  <c r="H159" i="8"/>
  <c r="I159" i="8"/>
  <c r="J159" i="8"/>
  <c r="K159" i="8"/>
  <c r="L159" i="8"/>
  <c r="M159" i="8"/>
  <c r="N159" i="8"/>
  <c r="O159" i="8"/>
  <c r="P159" i="8"/>
  <c r="Q159" i="8"/>
  <c r="R159" i="8"/>
  <c r="S159" i="8"/>
  <c r="T159" i="8"/>
  <c r="U159" i="8"/>
  <c r="V159" i="8"/>
  <c r="W159" i="8"/>
  <c r="X159" i="8"/>
  <c r="Y159" i="8"/>
  <c r="Z159" i="8"/>
  <c r="H160" i="8"/>
  <c r="I160" i="8"/>
  <c r="J160" i="8"/>
  <c r="K160" i="8"/>
  <c r="L160" i="8"/>
  <c r="M160" i="8"/>
  <c r="N160" i="8"/>
  <c r="O160" i="8"/>
  <c r="P160" i="8"/>
  <c r="Q160" i="8"/>
  <c r="R160" i="8"/>
  <c r="S160" i="8"/>
  <c r="T160" i="8"/>
  <c r="U160" i="8"/>
  <c r="V160" i="8"/>
  <c r="W160" i="8"/>
  <c r="X160" i="8"/>
  <c r="Y160" i="8"/>
  <c r="Z160" i="8"/>
  <c r="H161" i="8"/>
  <c r="I161" i="8"/>
  <c r="J161" i="8"/>
  <c r="K161" i="8"/>
  <c r="L161" i="8"/>
  <c r="M161" i="8"/>
  <c r="N161" i="8"/>
  <c r="O161" i="8"/>
  <c r="P161" i="8"/>
  <c r="Q161" i="8"/>
  <c r="R161" i="8"/>
  <c r="S161" i="8"/>
  <c r="T161" i="8"/>
  <c r="U161" i="8"/>
  <c r="V161" i="8"/>
  <c r="W161" i="8"/>
  <c r="X161" i="8"/>
  <c r="Y161" i="8"/>
  <c r="Z161" i="8"/>
  <c r="H162" i="8"/>
  <c r="I162" i="8"/>
  <c r="J162" i="8"/>
  <c r="K162" i="8"/>
  <c r="L162" i="8"/>
  <c r="M162" i="8"/>
  <c r="N162" i="8"/>
  <c r="O162" i="8"/>
  <c r="P162" i="8"/>
  <c r="Q162" i="8"/>
  <c r="R162" i="8"/>
  <c r="S162" i="8"/>
  <c r="T162" i="8"/>
  <c r="U162" i="8"/>
  <c r="V162" i="8"/>
  <c r="W162" i="8"/>
  <c r="X162" i="8"/>
  <c r="Y162" i="8"/>
  <c r="Z162" i="8"/>
  <c r="H163" i="8"/>
  <c r="I163" i="8"/>
  <c r="J163" i="8"/>
  <c r="K163" i="8"/>
  <c r="L163" i="8"/>
  <c r="M163" i="8"/>
  <c r="N163" i="8"/>
  <c r="O163" i="8"/>
  <c r="P163" i="8"/>
  <c r="Q163" i="8"/>
  <c r="R163" i="8"/>
  <c r="S163" i="8"/>
  <c r="T163" i="8"/>
  <c r="U163" i="8"/>
  <c r="V163" i="8"/>
  <c r="W163" i="8"/>
  <c r="X163" i="8"/>
  <c r="Y163" i="8"/>
  <c r="Z163" i="8"/>
  <c r="H164" i="8"/>
  <c r="I164" i="8"/>
  <c r="J164" i="8"/>
  <c r="K164" i="8"/>
  <c r="L164" i="8"/>
  <c r="M164" i="8"/>
  <c r="N164" i="8"/>
  <c r="O164" i="8"/>
  <c r="P164" i="8"/>
  <c r="Q164" i="8"/>
  <c r="R164" i="8"/>
  <c r="S164" i="8"/>
  <c r="T164" i="8"/>
  <c r="U164" i="8"/>
  <c r="V164" i="8"/>
  <c r="W164" i="8"/>
  <c r="X164" i="8"/>
  <c r="Y164" i="8"/>
  <c r="Z164" i="8"/>
  <c r="H165" i="8"/>
  <c r="I165" i="8"/>
  <c r="J165" i="8"/>
  <c r="K165" i="8"/>
  <c r="L165" i="8"/>
  <c r="M165" i="8"/>
  <c r="N165" i="8"/>
  <c r="O165" i="8"/>
  <c r="P165" i="8"/>
  <c r="Q165" i="8"/>
  <c r="R165" i="8"/>
  <c r="S165" i="8"/>
  <c r="T165" i="8"/>
  <c r="U165" i="8"/>
  <c r="V165" i="8"/>
  <c r="W165" i="8"/>
  <c r="X165" i="8"/>
  <c r="Y165" i="8"/>
  <c r="Z165" i="8"/>
  <c r="H166" i="8"/>
  <c r="I166" i="8"/>
  <c r="J166" i="8"/>
  <c r="K166" i="8"/>
  <c r="L166" i="8"/>
  <c r="M166" i="8"/>
  <c r="N166" i="8"/>
  <c r="O166" i="8"/>
  <c r="P166" i="8"/>
  <c r="Q166" i="8"/>
  <c r="R166" i="8"/>
  <c r="S166" i="8"/>
  <c r="T166" i="8"/>
  <c r="U166" i="8"/>
  <c r="V166" i="8"/>
  <c r="W166" i="8"/>
  <c r="X166" i="8"/>
  <c r="Y166" i="8"/>
  <c r="Z166" i="8"/>
  <c r="H167" i="8"/>
  <c r="I167" i="8"/>
  <c r="J167" i="8"/>
  <c r="K167" i="8"/>
  <c r="L167" i="8"/>
  <c r="M167" i="8"/>
  <c r="N167" i="8"/>
  <c r="O167" i="8"/>
  <c r="P167" i="8"/>
  <c r="Q167" i="8"/>
  <c r="R167" i="8"/>
  <c r="S167" i="8"/>
  <c r="T167" i="8"/>
  <c r="U167" i="8"/>
  <c r="V167" i="8"/>
  <c r="W167" i="8"/>
  <c r="X167" i="8"/>
  <c r="Y167" i="8"/>
  <c r="Z167" i="8"/>
  <c r="H168" i="8"/>
  <c r="I168" i="8"/>
  <c r="J168" i="8"/>
  <c r="K168" i="8"/>
  <c r="L168" i="8"/>
  <c r="M168" i="8"/>
  <c r="N168" i="8"/>
  <c r="O168" i="8"/>
  <c r="P168" i="8"/>
  <c r="Q168" i="8"/>
  <c r="R168" i="8"/>
  <c r="S168" i="8"/>
  <c r="T168" i="8"/>
  <c r="U168" i="8"/>
  <c r="V168" i="8"/>
  <c r="W168" i="8"/>
  <c r="X168" i="8"/>
  <c r="Y168" i="8"/>
  <c r="Z168" i="8"/>
  <c r="H169" i="8"/>
  <c r="I169" i="8"/>
  <c r="J169" i="8"/>
  <c r="K169" i="8"/>
  <c r="L169" i="8"/>
  <c r="M169" i="8"/>
  <c r="N169" i="8"/>
  <c r="O169" i="8"/>
  <c r="P169" i="8"/>
  <c r="Q169" i="8"/>
  <c r="R169" i="8"/>
  <c r="S169" i="8"/>
  <c r="T169" i="8"/>
  <c r="U169" i="8"/>
  <c r="V169" i="8"/>
  <c r="W169" i="8"/>
  <c r="X169" i="8"/>
  <c r="Y169" i="8"/>
  <c r="Z169" i="8"/>
  <c r="H170" i="8"/>
  <c r="I170" i="8"/>
  <c r="J170" i="8"/>
  <c r="K170" i="8"/>
  <c r="L170" i="8"/>
  <c r="M170" i="8"/>
  <c r="N170" i="8"/>
  <c r="O170" i="8"/>
  <c r="P170" i="8"/>
  <c r="Q170" i="8"/>
  <c r="R170" i="8"/>
  <c r="S170" i="8"/>
  <c r="T170" i="8"/>
  <c r="U170" i="8"/>
  <c r="V170" i="8"/>
  <c r="W170" i="8"/>
  <c r="X170" i="8"/>
  <c r="Y170" i="8"/>
  <c r="Z170" i="8"/>
  <c r="H171" i="8"/>
  <c r="I171" i="8"/>
  <c r="J171" i="8"/>
  <c r="K171" i="8"/>
  <c r="L171" i="8"/>
  <c r="M171" i="8"/>
  <c r="N171" i="8"/>
  <c r="O171" i="8"/>
  <c r="P171" i="8"/>
  <c r="Q171" i="8"/>
  <c r="R171" i="8"/>
  <c r="S171" i="8"/>
  <c r="T171" i="8"/>
  <c r="U171" i="8"/>
  <c r="V171" i="8"/>
  <c r="W171" i="8"/>
  <c r="X171" i="8"/>
  <c r="Y171" i="8"/>
  <c r="Z171" i="8"/>
  <c r="H172" i="8"/>
  <c r="I172" i="8"/>
  <c r="J172" i="8"/>
  <c r="K172" i="8"/>
  <c r="L172" i="8"/>
  <c r="M172" i="8"/>
  <c r="N172" i="8"/>
  <c r="O172" i="8"/>
  <c r="P172" i="8"/>
  <c r="Q172" i="8"/>
  <c r="R172" i="8"/>
  <c r="S172" i="8"/>
  <c r="T172" i="8"/>
  <c r="U172" i="8"/>
  <c r="V172" i="8"/>
  <c r="W172" i="8"/>
  <c r="X172" i="8"/>
  <c r="Y172" i="8"/>
  <c r="Z172" i="8"/>
  <c r="H173" i="8"/>
  <c r="I173" i="8"/>
  <c r="J173" i="8"/>
  <c r="K173" i="8"/>
  <c r="L173" i="8"/>
  <c r="M173" i="8"/>
  <c r="N173" i="8"/>
  <c r="O173" i="8"/>
  <c r="P173" i="8"/>
  <c r="Q173" i="8"/>
  <c r="R173" i="8"/>
  <c r="S173" i="8"/>
  <c r="T173" i="8"/>
  <c r="U173" i="8"/>
  <c r="V173" i="8"/>
  <c r="W173" i="8"/>
  <c r="X173" i="8"/>
  <c r="Y173" i="8"/>
  <c r="Z173" i="8"/>
  <c r="H174" i="8"/>
  <c r="I174" i="8"/>
  <c r="J174" i="8"/>
  <c r="K174" i="8"/>
  <c r="L174" i="8"/>
  <c r="M174" i="8"/>
  <c r="N174" i="8"/>
  <c r="O174" i="8"/>
  <c r="P174" i="8"/>
  <c r="Q174" i="8"/>
  <c r="R174" i="8"/>
  <c r="S174" i="8"/>
  <c r="T174" i="8"/>
  <c r="U174" i="8"/>
  <c r="V174" i="8"/>
  <c r="W174" i="8"/>
  <c r="X174" i="8"/>
  <c r="Y174" i="8"/>
  <c r="Z174" i="8"/>
  <c r="H175" i="8"/>
  <c r="I175" i="8"/>
  <c r="J175" i="8"/>
  <c r="K175" i="8"/>
  <c r="L175" i="8"/>
  <c r="M175" i="8"/>
  <c r="N175" i="8"/>
  <c r="O175" i="8"/>
  <c r="P175" i="8"/>
  <c r="Q175" i="8"/>
  <c r="R175" i="8"/>
  <c r="S175" i="8"/>
  <c r="T175" i="8"/>
  <c r="U175" i="8"/>
  <c r="V175" i="8"/>
  <c r="W175" i="8"/>
  <c r="X175" i="8"/>
  <c r="Y175" i="8"/>
  <c r="Z175" i="8"/>
  <c r="H176" i="8"/>
  <c r="I176" i="8"/>
  <c r="J176" i="8"/>
  <c r="K176" i="8"/>
  <c r="L176" i="8"/>
  <c r="M176" i="8"/>
  <c r="N176" i="8"/>
  <c r="O176" i="8"/>
  <c r="P176" i="8"/>
  <c r="Q176" i="8"/>
  <c r="R176" i="8"/>
  <c r="S176" i="8"/>
  <c r="T176" i="8"/>
  <c r="U176" i="8"/>
  <c r="V176" i="8"/>
  <c r="W176" i="8"/>
  <c r="X176" i="8"/>
  <c r="Y176" i="8"/>
  <c r="Z176" i="8"/>
  <c r="H177" i="8"/>
  <c r="I177" i="8"/>
  <c r="J177" i="8"/>
  <c r="K177" i="8"/>
  <c r="L177" i="8"/>
  <c r="M177" i="8"/>
  <c r="N177" i="8"/>
  <c r="O177" i="8"/>
  <c r="P177" i="8"/>
  <c r="Q177" i="8"/>
  <c r="R177" i="8"/>
  <c r="S177" i="8"/>
  <c r="T177" i="8"/>
  <c r="U177" i="8"/>
  <c r="V177" i="8"/>
  <c r="W177" i="8"/>
  <c r="X177" i="8"/>
  <c r="Y177" i="8"/>
  <c r="Z177" i="8"/>
  <c r="H178" i="8"/>
  <c r="I178" i="8"/>
  <c r="J178" i="8"/>
  <c r="K178" i="8"/>
  <c r="L178" i="8"/>
  <c r="M178" i="8"/>
  <c r="N178" i="8"/>
  <c r="O178" i="8"/>
  <c r="P178" i="8"/>
  <c r="Q178" i="8"/>
  <c r="R178" i="8"/>
  <c r="S178" i="8"/>
  <c r="T178" i="8"/>
  <c r="U178" i="8"/>
  <c r="V178" i="8"/>
  <c r="W178" i="8"/>
  <c r="X178" i="8"/>
  <c r="Y178" i="8"/>
  <c r="Z178" i="8"/>
  <c r="H179" i="8"/>
  <c r="I179" i="8"/>
  <c r="J179" i="8"/>
  <c r="K179" i="8"/>
  <c r="L179" i="8"/>
  <c r="M179" i="8"/>
  <c r="N179" i="8"/>
  <c r="O179" i="8"/>
  <c r="P179" i="8"/>
  <c r="Q179" i="8"/>
  <c r="R179" i="8"/>
  <c r="S179" i="8"/>
  <c r="T179" i="8"/>
  <c r="U179" i="8"/>
  <c r="V179" i="8"/>
  <c r="W179" i="8"/>
  <c r="X179" i="8"/>
  <c r="Y179" i="8"/>
  <c r="Z179" i="8"/>
  <c r="H180" i="8"/>
  <c r="I180" i="8"/>
  <c r="J180" i="8"/>
  <c r="K180" i="8"/>
  <c r="L180" i="8"/>
  <c r="M180" i="8"/>
  <c r="N180" i="8"/>
  <c r="O180" i="8"/>
  <c r="P180" i="8"/>
  <c r="Q180" i="8"/>
  <c r="R180" i="8"/>
  <c r="S180" i="8"/>
  <c r="T180" i="8"/>
  <c r="U180" i="8"/>
  <c r="V180" i="8"/>
  <c r="W180" i="8"/>
  <c r="X180" i="8"/>
  <c r="Y180" i="8"/>
  <c r="Z180" i="8"/>
  <c r="H181" i="8"/>
  <c r="I181" i="8"/>
  <c r="J181" i="8"/>
  <c r="K181" i="8"/>
  <c r="L181" i="8"/>
  <c r="M181" i="8"/>
  <c r="N181" i="8"/>
  <c r="O181" i="8"/>
  <c r="P181" i="8"/>
  <c r="Q181" i="8"/>
  <c r="R181" i="8"/>
  <c r="S181" i="8"/>
  <c r="T181" i="8"/>
  <c r="U181" i="8"/>
  <c r="V181" i="8"/>
  <c r="W181" i="8"/>
  <c r="X181" i="8"/>
  <c r="Y181" i="8"/>
  <c r="Z181" i="8"/>
  <c r="H182" i="8"/>
  <c r="I182" i="8"/>
  <c r="J182" i="8"/>
  <c r="K182" i="8"/>
  <c r="L182" i="8"/>
  <c r="M182" i="8"/>
  <c r="N182" i="8"/>
  <c r="O182" i="8"/>
  <c r="P182" i="8"/>
  <c r="Q182" i="8"/>
  <c r="R182" i="8"/>
  <c r="S182" i="8"/>
  <c r="T182" i="8"/>
  <c r="U182" i="8"/>
  <c r="V182" i="8"/>
  <c r="W182" i="8"/>
  <c r="X182" i="8"/>
  <c r="Y182" i="8"/>
  <c r="Z182" i="8"/>
  <c r="H183" i="8"/>
  <c r="I183" i="8"/>
  <c r="J183" i="8"/>
  <c r="K183" i="8"/>
  <c r="L183" i="8"/>
  <c r="M183" i="8"/>
  <c r="N183" i="8"/>
  <c r="O183" i="8"/>
  <c r="P183" i="8"/>
  <c r="Q183" i="8"/>
  <c r="R183" i="8"/>
  <c r="S183" i="8"/>
  <c r="T183" i="8"/>
  <c r="U183" i="8"/>
  <c r="V183" i="8"/>
  <c r="W183" i="8"/>
  <c r="X183" i="8"/>
  <c r="Y183" i="8"/>
  <c r="Z183" i="8"/>
  <c r="H184" i="8"/>
  <c r="I184" i="8"/>
  <c r="J184" i="8"/>
  <c r="K184" i="8"/>
  <c r="L184" i="8"/>
  <c r="M184" i="8"/>
  <c r="N184" i="8"/>
  <c r="O184" i="8"/>
  <c r="P184" i="8"/>
  <c r="Q184" i="8"/>
  <c r="R184" i="8"/>
  <c r="S184" i="8"/>
  <c r="T184" i="8"/>
  <c r="U184" i="8"/>
  <c r="V184" i="8"/>
  <c r="W184" i="8"/>
  <c r="X184" i="8"/>
  <c r="Y184" i="8"/>
  <c r="Z184" i="8"/>
  <c r="H185" i="8"/>
  <c r="I185" i="8"/>
  <c r="J185" i="8"/>
  <c r="K185" i="8"/>
  <c r="L185" i="8"/>
  <c r="M185" i="8"/>
  <c r="N185" i="8"/>
  <c r="O185" i="8"/>
  <c r="P185" i="8"/>
  <c r="Q185" i="8"/>
  <c r="R185" i="8"/>
  <c r="S185" i="8"/>
  <c r="T185" i="8"/>
  <c r="U185" i="8"/>
  <c r="V185" i="8"/>
  <c r="W185" i="8"/>
  <c r="X185" i="8"/>
  <c r="Y185" i="8"/>
  <c r="Z185" i="8"/>
  <c r="H186" i="8"/>
  <c r="I186" i="8"/>
  <c r="J186" i="8"/>
  <c r="K186" i="8"/>
  <c r="L186" i="8"/>
  <c r="M186" i="8"/>
  <c r="N186" i="8"/>
  <c r="O186" i="8"/>
  <c r="P186" i="8"/>
  <c r="Q186" i="8"/>
  <c r="R186" i="8"/>
  <c r="S186" i="8"/>
  <c r="T186" i="8"/>
  <c r="U186" i="8"/>
  <c r="V186" i="8"/>
  <c r="W186" i="8"/>
  <c r="X186" i="8"/>
  <c r="Y186" i="8"/>
  <c r="Z186" i="8"/>
  <c r="H187" i="8"/>
  <c r="I187" i="8"/>
  <c r="J187" i="8"/>
  <c r="K187" i="8"/>
  <c r="L187" i="8"/>
  <c r="M187" i="8"/>
  <c r="N187" i="8"/>
  <c r="O187" i="8"/>
  <c r="P187" i="8"/>
  <c r="Q187" i="8"/>
  <c r="R187" i="8"/>
  <c r="S187" i="8"/>
  <c r="T187" i="8"/>
  <c r="U187" i="8"/>
  <c r="V187" i="8"/>
  <c r="W187" i="8"/>
  <c r="X187" i="8"/>
  <c r="Y187" i="8"/>
  <c r="Z187" i="8"/>
  <c r="H188" i="8"/>
  <c r="I188" i="8"/>
  <c r="J188" i="8"/>
  <c r="K188" i="8"/>
  <c r="L188" i="8"/>
  <c r="M188" i="8"/>
  <c r="N188" i="8"/>
  <c r="O188" i="8"/>
  <c r="P188" i="8"/>
  <c r="Q188" i="8"/>
  <c r="R188" i="8"/>
  <c r="S188" i="8"/>
  <c r="T188" i="8"/>
  <c r="U188" i="8"/>
  <c r="V188" i="8"/>
  <c r="W188" i="8"/>
  <c r="X188" i="8"/>
  <c r="Y188" i="8"/>
  <c r="Z188" i="8"/>
  <c r="H189" i="8"/>
  <c r="I189" i="8"/>
  <c r="J189" i="8"/>
  <c r="K189" i="8"/>
  <c r="L189" i="8"/>
  <c r="M189" i="8"/>
  <c r="N189" i="8"/>
  <c r="O189" i="8"/>
  <c r="P189" i="8"/>
  <c r="Q189" i="8"/>
  <c r="R189" i="8"/>
  <c r="S189" i="8"/>
  <c r="T189" i="8"/>
  <c r="U189" i="8"/>
  <c r="V189" i="8"/>
  <c r="W189" i="8"/>
  <c r="X189" i="8"/>
  <c r="Y189" i="8"/>
  <c r="Z189" i="8"/>
  <c r="H190" i="8"/>
  <c r="I190" i="8"/>
  <c r="J190" i="8"/>
  <c r="K190" i="8"/>
  <c r="L190" i="8"/>
  <c r="M190" i="8"/>
  <c r="N190" i="8"/>
  <c r="O190" i="8"/>
  <c r="P190" i="8"/>
  <c r="Q190" i="8"/>
  <c r="R190" i="8"/>
  <c r="S190" i="8"/>
  <c r="T190" i="8"/>
  <c r="U190" i="8"/>
  <c r="V190" i="8"/>
  <c r="W190" i="8"/>
  <c r="X190" i="8"/>
  <c r="Y190" i="8"/>
  <c r="Z190" i="8"/>
  <c r="H191" i="8"/>
  <c r="I191" i="8"/>
  <c r="J191" i="8"/>
  <c r="K191" i="8"/>
  <c r="L191" i="8"/>
  <c r="M191" i="8"/>
  <c r="N191" i="8"/>
  <c r="O191" i="8"/>
  <c r="P191" i="8"/>
  <c r="Q191" i="8"/>
  <c r="R191" i="8"/>
  <c r="S191" i="8"/>
  <c r="T191" i="8"/>
  <c r="U191" i="8"/>
  <c r="V191" i="8"/>
  <c r="W191" i="8"/>
  <c r="X191" i="8"/>
  <c r="Y191" i="8"/>
  <c r="Z191" i="8"/>
  <c r="H192" i="8"/>
  <c r="I192" i="8"/>
  <c r="J192" i="8"/>
  <c r="K192" i="8"/>
  <c r="L192" i="8"/>
  <c r="M192" i="8"/>
  <c r="N192" i="8"/>
  <c r="O192" i="8"/>
  <c r="P192" i="8"/>
  <c r="Q192" i="8"/>
  <c r="R192" i="8"/>
  <c r="S192" i="8"/>
  <c r="T192" i="8"/>
  <c r="U192" i="8"/>
  <c r="V192" i="8"/>
  <c r="W192" i="8"/>
  <c r="X192" i="8"/>
  <c r="Y192" i="8"/>
  <c r="Z192" i="8"/>
  <c r="H193" i="8"/>
  <c r="I193" i="8"/>
  <c r="J193" i="8"/>
  <c r="K193" i="8"/>
  <c r="L193" i="8"/>
  <c r="M193" i="8"/>
  <c r="N193" i="8"/>
  <c r="O193" i="8"/>
  <c r="P193" i="8"/>
  <c r="Q193" i="8"/>
  <c r="R193" i="8"/>
  <c r="S193" i="8"/>
  <c r="T193" i="8"/>
  <c r="U193" i="8"/>
  <c r="V193" i="8"/>
  <c r="W193" i="8"/>
  <c r="X193" i="8"/>
  <c r="Y193" i="8"/>
  <c r="Z193" i="8"/>
  <c r="H194" i="8"/>
  <c r="I194" i="8"/>
  <c r="J194" i="8"/>
  <c r="K194" i="8"/>
  <c r="L194" i="8"/>
  <c r="M194" i="8"/>
  <c r="N194" i="8"/>
  <c r="O194" i="8"/>
  <c r="P194" i="8"/>
  <c r="Q194" i="8"/>
  <c r="R194" i="8"/>
  <c r="S194" i="8"/>
  <c r="T194" i="8"/>
  <c r="U194" i="8"/>
  <c r="V194" i="8"/>
  <c r="W194" i="8"/>
  <c r="X194" i="8"/>
  <c r="Y194" i="8"/>
  <c r="Z194" i="8"/>
  <c r="H195" i="8"/>
  <c r="I195" i="8"/>
  <c r="J195" i="8"/>
  <c r="K195" i="8"/>
  <c r="L195" i="8"/>
  <c r="M195" i="8"/>
  <c r="N195" i="8"/>
  <c r="O195" i="8"/>
  <c r="P195" i="8"/>
  <c r="Q195" i="8"/>
  <c r="R195" i="8"/>
  <c r="S195" i="8"/>
  <c r="T195" i="8"/>
  <c r="U195" i="8"/>
  <c r="V195" i="8"/>
  <c r="W195" i="8"/>
  <c r="X195" i="8"/>
  <c r="Y195" i="8"/>
  <c r="Z195" i="8"/>
  <c r="H196" i="8"/>
  <c r="I196" i="8"/>
  <c r="J196" i="8"/>
  <c r="K196" i="8"/>
  <c r="L196" i="8"/>
  <c r="M196" i="8"/>
  <c r="N196" i="8"/>
  <c r="O196" i="8"/>
  <c r="P196" i="8"/>
  <c r="Q196" i="8"/>
  <c r="R196" i="8"/>
  <c r="S196" i="8"/>
  <c r="T196" i="8"/>
  <c r="U196" i="8"/>
  <c r="V196" i="8"/>
  <c r="W196" i="8"/>
  <c r="X196" i="8"/>
  <c r="Y196" i="8"/>
  <c r="Z196" i="8"/>
  <c r="H197" i="8"/>
  <c r="I197" i="8"/>
  <c r="J197" i="8"/>
  <c r="K197" i="8"/>
  <c r="L197" i="8"/>
  <c r="M197" i="8"/>
  <c r="N197" i="8"/>
  <c r="O197" i="8"/>
  <c r="P197" i="8"/>
  <c r="Q197" i="8"/>
  <c r="R197" i="8"/>
  <c r="S197" i="8"/>
  <c r="T197" i="8"/>
  <c r="U197" i="8"/>
  <c r="V197" i="8"/>
  <c r="W197" i="8"/>
  <c r="X197" i="8"/>
  <c r="Y197" i="8"/>
  <c r="Z197" i="8"/>
  <c r="H198" i="8"/>
  <c r="I198" i="8"/>
  <c r="J198" i="8"/>
  <c r="K198" i="8"/>
  <c r="L198" i="8"/>
  <c r="M198" i="8"/>
  <c r="N198" i="8"/>
  <c r="O198" i="8"/>
  <c r="P198" i="8"/>
  <c r="Q198" i="8"/>
  <c r="R198" i="8"/>
  <c r="S198" i="8"/>
  <c r="T198" i="8"/>
  <c r="U198" i="8"/>
  <c r="V198" i="8"/>
  <c r="W198" i="8"/>
  <c r="X198" i="8"/>
  <c r="Y198" i="8"/>
  <c r="Z198" i="8"/>
  <c r="H199" i="8"/>
  <c r="I199" i="8"/>
  <c r="J199" i="8"/>
  <c r="K199" i="8"/>
  <c r="L199" i="8"/>
  <c r="M199" i="8"/>
  <c r="N199" i="8"/>
  <c r="O199" i="8"/>
  <c r="P199" i="8"/>
  <c r="Q199" i="8"/>
  <c r="R199" i="8"/>
  <c r="S199" i="8"/>
  <c r="T199" i="8"/>
  <c r="U199" i="8"/>
  <c r="V199" i="8"/>
  <c r="W199" i="8"/>
  <c r="X199" i="8"/>
  <c r="Y199" i="8"/>
  <c r="Z199" i="8"/>
  <c r="H200" i="8"/>
  <c r="I200" i="8"/>
  <c r="J200" i="8"/>
  <c r="K200" i="8"/>
  <c r="L200" i="8"/>
  <c r="M200" i="8"/>
  <c r="N200" i="8"/>
  <c r="O200" i="8"/>
  <c r="P200" i="8"/>
  <c r="Q200" i="8"/>
  <c r="R200" i="8"/>
  <c r="S200" i="8"/>
  <c r="T200" i="8"/>
  <c r="U200" i="8"/>
  <c r="V200" i="8"/>
  <c r="W200" i="8"/>
  <c r="X200" i="8"/>
  <c r="Y200" i="8"/>
  <c r="Z200" i="8"/>
  <c r="H201" i="8"/>
  <c r="I201" i="8"/>
  <c r="J201" i="8"/>
  <c r="K201" i="8"/>
  <c r="L201" i="8"/>
  <c r="M201" i="8"/>
  <c r="N201" i="8"/>
  <c r="O201" i="8"/>
  <c r="P201" i="8"/>
  <c r="Q201" i="8"/>
  <c r="R201" i="8"/>
  <c r="S201" i="8"/>
  <c r="T201" i="8"/>
  <c r="U201" i="8"/>
  <c r="V201" i="8"/>
  <c r="W201" i="8"/>
  <c r="X201" i="8"/>
  <c r="Y201" i="8"/>
  <c r="Z201" i="8"/>
  <c r="H202" i="8"/>
  <c r="I202" i="8"/>
  <c r="J202" i="8"/>
  <c r="K202" i="8"/>
  <c r="L202" i="8"/>
  <c r="M202" i="8"/>
  <c r="N202" i="8"/>
  <c r="O202" i="8"/>
  <c r="P202" i="8"/>
  <c r="Q202" i="8"/>
  <c r="R202" i="8"/>
  <c r="S202" i="8"/>
  <c r="T202" i="8"/>
  <c r="U202" i="8"/>
  <c r="V202" i="8"/>
  <c r="W202" i="8"/>
  <c r="X202" i="8"/>
  <c r="Y202" i="8"/>
  <c r="Z202" i="8"/>
  <c r="H203" i="8"/>
  <c r="I203" i="8"/>
  <c r="J203" i="8"/>
  <c r="K203" i="8"/>
  <c r="L203" i="8"/>
  <c r="M203" i="8"/>
  <c r="N203" i="8"/>
  <c r="O203" i="8"/>
  <c r="P203" i="8"/>
  <c r="Q203" i="8"/>
  <c r="R203" i="8"/>
  <c r="S203" i="8"/>
  <c r="T203" i="8"/>
  <c r="U203" i="8"/>
  <c r="V203" i="8"/>
  <c r="W203" i="8"/>
  <c r="X203" i="8"/>
  <c r="Y203" i="8"/>
  <c r="Z203" i="8"/>
  <c r="H204" i="8"/>
  <c r="I204" i="8"/>
  <c r="J204" i="8"/>
  <c r="K204" i="8"/>
  <c r="L204" i="8"/>
  <c r="M204" i="8"/>
  <c r="N204" i="8"/>
  <c r="O204" i="8"/>
  <c r="P204" i="8"/>
  <c r="Q204" i="8"/>
  <c r="R204" i="8"/>
  <c r="S204" i="8"/>
  <c r="T204" i="8"/>
  <c r="U204" i="8"/>
  <c r="V204" i="8"/>
  <c r="W204" i="8"/>
  <c r="X204" i="8"/>
  <c r="Y204" i="8"/>
  <c r="Z204" i="8"/>
  <c r="H205" i="8"/>
  <c r="I205" i="8"/>
  <c r="J205" i="8"/>
  <c r="K205" i="8"/>
  <c r="L205" i="8"/>
  <c r="M205" i="8"/>
  <c r="N205" i="8"/>
  <c r="O205" i="8"/>
  <c r="P205" i="8"/>
  <c r="Q205" i="8"/>
  <c r="R205" i="8"/>
  <c r="S205" i="8"/>
  <c r="T205" i="8"/>
  <c r="U205" i="8"/>
  <c r="V205" i="8"/>
  <c r="W205" i="8"/>
  <c r="X205" i="8"/>
  <c r="Y205" i="8"/>
  <c r="Z205" i="8"/>
  <c r="H206" i="8"/>
  <c r="I206" i="8"/>
  <c r="J206" i="8"/>
  <c r="K206" i="8"/>
  <c r="L206" i="8"/>
  <c r="M206" i="8"/>
  <c r="N206" i="8"/>
  <c r="O206" i="8"/>
  <c r="P206" i="8"/>
  <c r="Q206" i="8"/>
  <c r="R206" i="8"/>
  <c r="S206" i="8"/>
  <c r="T206" i="8"/>
  <c r="U206" i="8"/>
  <c r="V206" i="8"/>
  <c r="W206" i="8"/>
  <c r="X206" i="8"/>
  <c r="Y206" i="8"/>
  <c r="Z206" i="8"/>
  <c r="H207" i="8"/>
  <c r="I207" i="8"/>
  <c r="J207" i="8"/>
  <c r="K207" i="8"/>
  <c r="L207" i="8"/>
  <c r="M207" i="8"/>
  <c r="N207" i="8"/>
  <c r="O207" i="8"/>
  <c r="P207" i="8"/>
  <c r="Q207" i="8"/>
  <c r="R207" i="8"/>
  <c r="S207" i="8"/>
  <c r="T207" i="8"/>
  <c r="U207" i="8"/>
  <c r="V207" i="8"/>
  <c r="W207" i="8"/>
  <c r="X207" i="8"/>
  <c r="Y207" i="8"/>
  <c r="Z207" i="8"/>
  <c r="H208" i="8"/>
  <c r="I208" i="8"/>
  <c r="J208" i="8"/>
  <c r="K208" i="8"/>
  <c r="L208" i="8"/>
  <c r="M208" i="8"/>
  <c r="N208" i="8"/>
  <c r="O208" i="8"/>
  <c r="P208" i="8"/>
  <c r="Q208" i="8"/>
  <c r="R208" i="8"/>
  <c r="S208" i="8"/>
  <c r="T208" i="8"/>
  <c r="U208" i="8"/>
  <c r="V208" i="8"/>
  <c r="W208" i="8"/>
  <c r="X208" i="8"/>
  <c r="Y208" i="8"/>
  <c r="Z208" i="8"/>
  <c r="H209" i="8"/>
  <c r="I209" i="8"/>
  <c r="J209" i="8"/>
  <c r="K209" i="8"/>
  <c r="L209" i="8"/>
  <c r="M209" i="8"/>
  <c r="N209" i="8"/>
  <c r="O209" i="8"/>
  <c r="P209" i="8"/>
  <c r="Q209" i="8"/>
  <c r="R209" i="8"/>
  <c r="S209" i="8"/>
  <c r="T209" i="8"/>
  <c r="U209" i="8"/>
  <c r="V209" i="8"/>
  <c r="W209" i="8"/>
  <c r="X209" i="8"/>
  <c r="Y209" i="8"/>
  <c r="Z209" i="8"/>
  <c r="H210" i="8"/>
  <c r="I210" i="8"/>
  <c r="J210" i="8"/>
  <c r="K210" i="8"/>
  <c r="L210" i="8"/>
  <c r="M210" i="8"/>
  <c r="N210" i="8"/>
  <c r="O210" i="8"/>
  <c r="P210" i="8"/>
  <c r="Q210" i="8"/>
  <c r="R210" i="8"/>
  <c r="S210" i="8"/>
  <c r="T210" i="8"/>
  <c r="U210" i="8"/>
  <c r="V210" i="8"/>
  <c r="W210" i="8"/>
  <c r="X210" i="8"/>
  <c r="Y210" i="8"/>
  <c r="Z210" i="8"/>
  <c r="H211" i="8"/>
  <c r="I211" i="8"/>
  <c r="J211" i="8"/>
  <c r="K211" i="8"/>
  <c r="L211" i="8"/>
  <c r="M211" i="8"/>
  <c r="N211" i="8"/>
  <c r="O211" i="8"/>
  <c r="P211" i="8"/>
  <c r="Q211" i="8"/>
  <c r="R211" i="8"/>
  <c r="S211" i="8"/>
  <c r="T211" i="8"/>
  <c r="U211" i="8"/>
  <c r="V211" i="8"/>
  <c r="W211" i="8"/>
  <c r="X211" i="8"/>
  <c r="Y211" i="8"/>
  <c r="Z211" i="8"/>
  <c r="H212" i="8"/>
  <c r="I212" i="8"/>
  <c r="J212" i="8"/>
  <c r="K212" i="8"/>
  <c r="L212" i="8"/>
  <c r="M212" i="8"/>
  <c r="N212" i="8"/>
  <c r="O212" i="8"/>
  <c r="P212" i="8"/>
  <c r="Q212" i="8"/>
  <c r="R212" i="8"/>
  <c r="S212" i="8"/>
  <c r="T212" i="8"/>
  <c r="U212" i="8"/>
  <c r="V212" i="8"/>
  <c r="W212" i="8"/>
  <c r="X212" i="8"/>
  <c r="Y212" i="8"/>
  <c r="Z212" i="8"/>
  <c r="H213" i="8"/>
  <c r="I213" i="8"/>
  <c r="J213" i="8"/>
  <c r="K213" i="8"/>
  <c r="L213" i="8"/>
  <c r="M213" i="8"/>
  <c r="N213" i="8"/>
  <c r="O213" i="8"/>
  <c r="P213" i="8"/>
  <c r="Q213" i="8"/>
  <c r="R213" i="8"/>
  <c r="S213" i="8"/>
  <c r="T213" i="8"/>
  <c r="U213" i="8"/>
  <c r="V213" i="8"/>
  <c r="W213" i="8"/>
  <c r="X213" i="8"/>
  <c r="Y213" i="8"/>
  <c r="Z213" i="8"/>
  <c r="H214" i="8"/>
  <c r="I214" i="8"/>
  <c r="J214" i="8"/>
  <c r="K214" i="8"/>
  <c r="L214" i="8"/>
  <c r="M214" i="8"/>
  <c r="N214" i="8"/>
  <c r="O214" i="8"/>
  <c r="P214" i="8"/>
  <c r="Q214" i="8"/>
  <c r="R214" i="8"/>
  <c r="S214" i="8"/>
  <c r="T214" i="8"/>
  <c r="U214" i="8"/>
  <c r="V214" i="8"/>
  <c r="W214" i="8"/>
  <c r="X214" i="8"/>
  <c r="Y214" i="8"/>
  <c r="Z214" i="8"/>
  <c r="H215" i="8"/>
  <c r="I215" i="8"/>
  <c r="J215" i="8"/>
  <c r="K215" i="8"/>
  <c r="L215" i="8"/>
  <c r="M215" i="8"/>
  <c r="N215" i="8"/>
  <c r="O215" i="8"/>
  <c r="P215" i="8"/>
  <c r="Q215" i="8"/>
  <c r="R215" i="8"/>
  <c r="S215" i="8"/>
  <c r="T215" i="8"/>
  <c r="U215" i="8"/>
  <c r="V215" i="8"/>
  <c r="W215" i="8"/>
  <c r="X215" i="8"/>
  <c r="Y215" i="8"/>
  <c r="Z215" i="8"/>
  <c r="H216" i="8"/>
  <c r="I216" i="8"/>
  <c r="J216" i="8"/>
  <c r="K216" i="8"/>
  <c r="L216" i="8"/>
  <c r="M216" i="8"/>
  <c r="N216" i="8"/>
  <c r="O216" i="8"/>
  <c r="P216" i="8"/>
  <c r="Q216" i="8"/>
  <c r="R216" i="8"/>
  <c r="S216" i="8"/>
  <c r="T216" i="8"/>
  <c r="U216" i="8"/>
  <c r="V216" i="8"/>
  <c r="W216" i="8"/>
  <c r="X216" i="8"/>
  <c r="Y216" i="8"/>
  <c r="Z216" i="8"/>
  <c r="H217" i="8"/>
  <c r="I217" i="8"/>
  <c r="J217" i="8"/>
  <c r="K217" i="8"/>
  <c r="L217" i="8"/>
  <c r="M217" i="8"/>
  <c r="N217" i="8"/>
  <c r="O217" i="8"/>
  <c r="P217" i="8"/>
  <c r="Q217" i="8"/>
  <c r="R217" i="8"/>
  <c r="S217" i="8"/>
  <c r="T217" i="8"/>
  <c r="U217" i="8"/>
  <c r="V217" i="8"/>
  <c r="W217" i="8"/>
  <c r="X217" i="8"/>
  <c r="Y217" i="8"/>
  <c r="Z217" i="8"/>
  <c r="H218" i="8"/>
  <c r="I218" i="8"/>
  <c r="J218" i="8"/>
  <c r="K218" i="8"/>
  <c r="L218" i="8"/>
  <c r="M218" i="8"/>
  <c r="N218" i="8"/>
  <c r="O218" i="8"/>
  <c r="P218" i="8"/>
  <c r="Q218" i="8"/>
  <c r="R218" i="8"/>
  <c r="S218" i="8"/>
  <c r="T218" i="8"/>
  <c r="U218" i="8"/>
  <c r="V218" i="8"/>
  <c r="W218" i="8"/>
  <c r="X218" i="8"/>
  <c r="Y218" i="8"/>
  <c r="Z218" i="8"/>
  <c r="H219" i="8"/>
  <c r="I219" i="8"/>
  <c r="J219" i="8"/>
  <c r="K219" i="8"/>
  <c r="L219" i="8"/>
  <c r="M219" i="8"/>
  <c r="N219" i="8"/>
  <c r="O219" i="8"/>
  <c r="P219" i="8"/>
  <c r="Q219" i="8"/>
  <c r="R219" i="8"/>
  <c r="S219" i="8"/>
  <c r="T219" i="8"/>
  <c r="U219" i="8"/>
  <c r="V219" i="8"/>
  <c r="W219" i="8"/>
  <c r="X219" i="8"/>
  <c r="Y219" i="8"/>
  <c r="Z219" i="8"/>
  <c r="H220" i="8"/>
  <c r="I220" i="8"/>
  <c r="J220" i="8"/>
  <c r="K220" i="8"/>
  <c r="L220" i="8"/>
  <c r="M220" i="8"/>
  <c r="N220" i="8"/>
  <c r="O220" i="8"/>
  <c r="P220" i="8"/>
  <c r="Q220" i="8"/>
  <c r="R220" i="8"/>
  <c r="S220" i="8"/>
  <c r="T220" i="8"/>
  <c r="U220" i="8"/>
  <c r="V220" i="8"/>
  <c r="W220" i="8"/>
  <c r="X220" i="8"/>
  <c r="Y220" i="8"/>
  <c r="Z220" i="8"/>
  <c r="H221" i="8"/>
  <c r="I221" i="8"/>
  <c r="J221" i="8"/>
  <c r="K221" i="8"/>
  <c r="L221" i="8"/>
  <c r="M221" i="8"/>
  <c r="N221" i="8"/>
  <c r="O221" i="8"/>
  <c r="P221" i="8"/>
  <c r="Q221" i="8"/>
  <c r="R221" i="8"/>
  <c r="S221" i="8"/>
  <c r="T221" i="8"/>
  <c r="U221" i="8"/>
  <c r="V221" i="8"/>
  <c r="W221" i="8"/>
  <c r="X221" i="8"/>
  <c r="Y221" i="8"/>
  <c r="Z221" i="8"/>
  <c r="H222" i="8"/>
  <c r="I222" i="8"/>
  <c r="J222" i="8"/>
  <c r="K222" i="8"/>
  <c r="L222" i="8"/>
  <c r="M222" i="8"/>
  <c r="N222" i="8"/>
  <c r="O222" i="8"/>
  <c r="P222" i="8"/>
  <c r="Q222" i="8"/>
  <c r="R222" i="8"/>
  <c r="S222" i="8"/>
  <c r="T222" i="8"/>
  <c r="U222" i="8"/>
  <c r="V222" i="8"/>
  <c r="W222" i="8"/>
  <c r="X222" i="8"/>
  <c r="Y222" i="8"/>
  <c r="Z222" i="8"/>
  <c r="H223" i="8"/>
  <c r="I223" i="8"/>
  <c r="J223" i="8"/>
  <c r="K223" i="8"/>
  <c r="L223" i="8"/>
  <c r="M223" i="8"/>
  <c r="N223" i="8"/>
  <c r="O223" i="8"/>
  <c r="P223" i="8"/>
  <c r="Q223" i="8"/>
  <c r="R223" i="8"/>
  <c r="S223" i="8"/>
  <c r="T223" i="8"/>
  <c r="U223" i="8"/>
  <c r="V223" i="8"/>
  <c r="W223" i="8"/>
  <c r="X223" i="8"/>
  <c r="Y223" i="8"/>
  <c r="Z223" i="8"/>
  <c r="H224" i="8"/>
  <c r="I224" i="8"/>
  <c r="J224" i="8"/>
  <c r="K224" i="8"/>
  <c r="L224" i="8"/>
  <c r="M224" i="8"/>
  <c r="N224" i="8"/>
  <c r="O224" i="8"/>
  <c r="P224" i="8"/>
  <c r="Q224" i="8"/>
  <c r="R224" i="8"/>
  <c r="S224" i="8"/>
  <c r="T224" i="8"/>
  <c r="U224" i="8"/>
  <c r="V224" i="8"/>
  <c r="W224" i="8"/>
  <c r="X224" i="8"/>
  <c r="Y224" i="8"/>
  <c r="Z224" i="8"/>
  <c r="H225" i="8"/>
  <c r="I225" i="8"/>
  <c r="J225" i="8"/>
  <c r="K225" i="8"/>
  <c r="L225" i="8"/>
  <c r="M225" i="8"/>
  <c r="N225" i="8"/>
  <c r="O225" i="8"/>
  <c r="P225" i="8"/>
  <c r="Q225" i="8"/>
  <c r="R225" i="8"/>
  <c r="S225" i="8"/>
  <c r="T225" i="8"/>
  <c r="U225" i="8"/>
  <c r="V225" i="8"/>
  <c r="W225" i="8"/>
  <c r="X225" i="8"/>
  <c r="Y225" i="8"/>
  <c r="Z225" i="8"/>
  <c r="H226" i="8"/>
  <c r="I226" i="8"/>
  <c r="J226" i="8"/>
  <c r="K226" i="8"/>
  <c r="L226" i="8"/>
  <c r="M226" i="8"/>
  <c r="N226" i="8"/>
  <c r="O226" i="8"/>
  <c r="P226" i="8"/>
  <c r="Q226" i="8"/>
  <c r="R226" i="8"/>
  <c r="S226" i="8"/>
  <c r="T226" i="8"/>
  <c r="U226" i="8"/>
  <c r="V226" i="8"/>
  <c r="W226" i="8"/>
  <c r="X226" i="8"/>
  <c r="Y226" i="8"/>
  <c r="Z226" i="8"/>
  <c r="H227" i="8"/>
  <c r="I227" i="8"/>
  <c r="J227" i="8"/>
  <c r="K227" i="8"/>
  <c r="L227" i="8"/>
  <c r="M227" i="8"/>
  <c r="N227" i="8"/>
  <c r="O227" i="8"/>
  <c r="P227" i="8"/>
  <c r="Q227" i="8"/>
  <c r="R227" i="8"/>
  <c r="S227" i="8"/>
  <c r="T227" i="8"/>
  <c r="U227" i="8"/>
  <c r="V227" i="8"/>
  <c r="W227" i="8"/>
  <c r="X227" i="8"/>
  <c r="Y227" i="8"/>
  <c r="Z227" i="8"/>
  <c r="H228" i="8"/>
  <c r="I228" i="8"/>
  <c r="J228" i="8"/>
  <c r="K228" i="8"/>
  <c r="L228" i="8"/>
  <c r="M228" i="8"/>
  <c r="N228" i="8"/>
  <c r="O228" i="8"/>
  <c r="P228" i="8"/>
  <c r="Q228" i="8"/>
  <c r="R228" i="8"/>
  <c r="S228" i="8"/>
  <c r="T228" i="8"/>
  <c r="U228" i="8"/>
  <c r="V228" i="8"/>
  <c r="W228" i="8"/>
  <c r="X228" i="8"/>
  <c r="Y228" i="8"/>
  <c r="Z228" i="8"/>
  <c r="H229" i="8"/>
  <c r="I229" i="8"/>
  <c r="J229" i="8"/>
  <c r="K229" i="8"/>
  <c r="L229" i="8"/>
  <c r="M229" i="8"/>
  <c r="N229" i="8"/>
  <c r="O229" i="8"/>
  <c r="P229" i="8"/>
  <c r="Q229" i="8"/>
  <c r="R229" i="8"/>
  <c r="S229" i="8"/>
  <c r="T229" i="8"/>
  <c r="U229" i="8"/>
  <c r="V229" i="8"/>
  <c r="W229" i="8"/>
  <c r="X229" i="8"/>
  <c r="Y229" i="8"/>
  <c r="Z229" i="8"/>
  <c r="H230" i="8"/>
  <c r="I230" i="8"/>
  <c r="J230" i="8"/>
  <c r="K230" i="8"/>
  <c r="L230" i="8"/>
  <c r="M230" i="8"/>
  <c r="N230" i="8"/>
  <c r="O230" i="8"/>
  <c r="P230" i="8"/>
  <c r="Q230" i="8"/>
  <c r="R230" i="8"/>
  <c r="S230" i="8"/>
  <c r="T230" i="8"/>
  <c r="U230" i="8"/>
  <c r="V230" i="8"/>
  <c r="W230" i="8"/>
  <c r="X230" i="8"/>
  <c r="Y230" i="8"/>
  <c r="Z230" i="8"/>
  <c r="H231" i="8"/>
  <c r="I231" i="8"/>
  <c r="J231" i="8"/>
  <c r="K231" i="8"/>
  <c r="L231" i="8"/>
  <c r="M231" i="8"/>
  <c r="N231" i="8"/>
  <c r="O231" i="8"/>
  <c r="P231" i="8"/>
  <c r="Q231" i="8"/>
  <c r="R231" i="8"/>
  <c r="S231" i="8"/>
  <c r="T231" i="8"/>
  <c r="U231" i="8"/>
  <c r="V231" i="8"/>
  <c r="W231" i="8"/>
  <c r="X231" i="8"/>
  <c r="Y231" i="8"/>
  <c r="Z231" i="8"/>
  <c r="H232" i="8"/>
  <c r="I232" i="8"/>
  <c r="J232" i="8"/>
  <c r="K232" i="8"/>
  <c r="L232" i="8"/>
  <c r="M232" i="8"/>
  <c r="N232" i="8"/>
  <c r="O232" i="8"/>
  <c r="P232" i="8"/>
  <c r="Q232" i="8"/>
  <c r="R232" i="8"/>
  <c r="S232" i="8"/>
  <c r="T232" i="8"/>
  <c r="U232" i="8"/>
  <c r="V232" i="8"/>
  <c r="W232" i="8"/>
  <c r="X232" i="8"/>
  <c r="Y232" i="8"/>
  <c r="Z232" i="8"/>
  <c r="H233" i="8"/>
  <c r="I233" i="8"/>
  <c r="J233" i="8"/>
  <c r="K233" i="8"/>
  <c r="L233" i="8"/>
  <c r="M233" i="8"/>
  <c r="N233" i="8"/>
  <c r="O233" i="8"/>
  <c r="P233" i="8"/>
  <c r="Q233" i="8"/>
  <c r="R233" i="8"/>
  <c r="S233" i="8"/>
  <c r="T233" i="8"/>
  <c r="U233" i="8"/>
  <c r="V233" i="8"/>
  <c r="W233" i="8"/>
  <c r="X233" i="8"/>
  <c r="Y233" i="8"/>
  <c r="Z233" i="8"/>
  <c r="H234" i="8"/>
  <c r="I234" i="8"/>
  <c r="J234" i="8"/>
  <c r="K234" i="8"/>
  <c r="L234" i="8"/>
  <c r="M234" i="8"/>
  <c r="N234" i="8"/>
  <c r="O234" i="8"/>
  <c r="P234" i="8"/>
  <c r="Q234" i="8"/>
  <c r="R234" i="8"/>
  <c r="S234" i="8"/>
  <c r="T234" i="8"/>
  <c r="U234" i="8"/>
  <c r="V234" i="8"/>
  <c r="W234" i="8"/>
  <c r="X234" i="8"/>
  <c r="Y234" i="8"/>
  <c r="Z234" i="8"/>
  <c r="H235" i="8"/>
  <c r="I235" i="8"/>
  <c r="J235" i="8"/>
  <c r="K235" i="8"/>
  <c r="L235" i="8"/>
  <c r="M235" i="8"/>
  <c r="N235" i="8"/>
  <c r="O235" i="8"/>
  <c r="P235" i="8"/>
  <c r="Q235" i="8"/>
  <c r="R235" i="8"/>
  <c r="S235" i="8"/>
  <c r="T235" i="8"/>
  <c r="U235" i="8"/>
  <c r="V235" i="8"/>
  <c r="W235" i="8"/>
  <c r="X235" i="8"/>
  <c r="Y235" i="8"/>
  <c r="Z235" i="8"/>
  <c r="H236" i="8"/>
  <c r="I236" i="8"/>
  <c r="J236" i="8"/>
  <c r="K236" i="8"/>
  <c r="L236" i="8"/>
  <c r="M236" i="8"/>
  <c r="N236" i="8"/>
  <c r="O236" i="8"/>
  <c r="P236" i="8"/>
  <c r="Q236" i="8"/>
  <c r="R236" i="8"/>
  <c r="S236" i="8"/>
  <c r="T236" i="8"/>
  <c r="U236" i="8"/>
  <c r="V236" i="8"/>
  <c r="W236" i="8"/>
  <c r="X236" i="8"/>
  <c r="Y236" i="8"/>
  <c r="Z236" i="8"/>
  <c r="H237" i="8"/>
  <c r="I237" i="8"/>
  <c r="J237" i="8"/>
  <c r="K237" i="8"/>
  <c r="L237" i="8"/>
  <c r="M237" i="8"/>
  <c r="N237" i="8"/>
  <c r="O237" i="8"/>
  <c r="P237" i="8"/>
  <c r="Q237" i="8"/>
  <c r="R237" i="8"/>
  <c r="S237" i="8"/>
  <c r="T237" i="8"/>
  <c r="U237" i="8"/>
  <c r="V237" i="8"/>
  <c r="W237" i="8"/>
  <c r="X237" i="8"/>
  <c r="Y237" i="8"/>
  <c r="Z237" i="8"/>
  <c r="H238" i="8"/>
  <c r="I238" i="8"/>
  <c r="J238" i="8"/>
  <c r="K238" i="8"/>
  <c r="L238" i="8"/>
  <c r="M238" i="8"/>
  <c r="N238" i="8"/>
  <c r="O238" i="8"/>
  <c r="P238" i="8"/>
  <c r="Q238" i="8"/>
  <c r="R238" i="8"/>
  <c r="S238" i="8"/>
  <c r="T238" i="8"/>
  <c r="U238" i="8"/>
  <c r="V238" i="8"/>
  <c r="W238" i="8"/>
  <c r="X238" i="8"/>
  <c r="Y238" i="8"/>
  <c r="Z238" i="8"/>
  <c r="H239" i="8"/>
  <c r="I239" i="8"/>
  <c r="J239" i="8"/>
  <c r="K239" i="8"/>
  <c r="L239" i="8"/>
  <c r="M239" i="8"/>
  <c r="N239" i="8"/>
  <c r="O239" i="8"/>
  <c r="P239" i="8"/>
  <c r="Q239" i="8"/>
  <c r="R239" i="8"/>
  <c r="S239" i="8"/>
  <c r="T239" i="8"/>
  <c r="U239" i="8"/>
  <c r="V239" i="8"/>
  <c r="W239" i="8"/>
  <c r="X239" i="8"/>
  <c r="Y239" i="8"/>
  <c r="Z239" i="8"/>
  <c r="H240" i="8"/>
  <c r="I240" i="8"/>
  <c r="J240" i="8"/>
  <c r="K240" i="8"/>
  <c r="L240" i="8"/>
  <c r="M240" i="8"/>
  <c r="N240" i="8"/>
  <c r="O240" i="8"/>
  <c r="P240" i="8"/>
  <c r="Q240" i="8"/>
  <c r="R240" i="8"/>
  <c r="S240" i="8"/>
  <c r="T240" i="8"/>
  <c r="U240" i="8"/>
  <c r="V240" i="8"/>
  <c r="W240" i="8"/>
  <c r="X240" i="8"/>
  <c r="Y240" i="8"/>
  <c r="Z240" i="8"/>
  <c r="H241" i="8"/>
  <c r="I241" i="8"/>
  <c r="J241" i="8"/>
  <c r="K241" i="8"/>
  <c r="L241" i="8"/>
  <c r="M241" i="8"/>
  <c r="N241" i="8"/>
  <c r="O241" i="8"/>
  <c r="P241" i="8"/>
  <c r="Q241" i="8"/>
  <c r="R241" i="8"/>
  <c r="S241" i="8"/>
  <c r="T241" i="8"/>
  <c r="U241" i="8"/>
  <c r="V241" i="8"/>
  <c r="W241" i="8"/>
  <c r="X241" i="8"/>
  <c r="Y241" i="8"/>
  <c r="Z241" i="8"/>
  <c r="H242" i="8"/>
  <c r="I242" i="8"/>
  <c r="J242" i="8"/>
  <c r="K242" i="8"/>
  <c r="L242" i="8"/>
  <c r="M242" i="8"/>
  <c r="N242" i="8"/>
  <c r="O242" i="8"/>
  <c r="P242" i="8"/>
  <c r="Q242" i="8"/>
  <c r="R242" i="8"/>
  <c r="S242" i="8"/>
  <c r="T242" i="8"/>
  <c r="U242" i="8"/>
  <c r="V242" i="8"/>
  <c r="W242" i="8"/>
  <c r="X242" i="8"/>
  <c r="Y242" i="8"/>
  <c r="Z242" i="8"/>
  <c r="H243" i="8"/>
  <c r="I243" i="8"/>
  <c r="J243" i="8"/>
  <c r="K243" i="8"/>
  <c r="L243" i="8"/>
  <c r="M243" i="8"/>
  <c r="N243" i="8"/>
  <c r="O243" i="8"/>
  <c r="P243" i="8"/>
  <c r="Q243" i="8"/>
  <c r="R243" i="8"/>
  <c r="S243" i="8"/>
  <c r="T243" i="8"/>
  <c r="U243" i="8"/>
  <c r="V243" i="8"/>
  <c r="W243" i="8"/>
  <c r="X243" i="8"/>
  <c r="Y243" i="8"/>
  <c r="Z243" i="8"/>
  <c r="G240" i="8"/>
  <c r="G241" i="8"/>
  <c r="G242" i="8"/>
  <c r="G24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G49" i="3"/>
  <c r="K5" i="2"/>
  <c r="N7" i="2"/>
  <c r="S8" i="2"/>
  <c r="M8" i="2"/>
  <c r="M11" i="2"/>
  <c r="AS12" i="2"/>
  <c r="S12" i="2"/>
  <c r="AS13" i="2"/>
  <c r="K13" i="2"/>
  <c r="K17" i="2"/>
  <c r="S18" i="2"/>
  <c r="AS19" i="2"/>
  <c r="S19" i="2"/>
  <c r="AS22" i="2"/>
  <c r="AS16" i="2"/>
  <c r="K3" i="2"/>
  <c r="AS4" i="2"/>
  <c r="AS5" i="2"/>
  <c r="AS6" i="2"/>
  <c r="AS7" i="2"/>
  <c r="AS9" i="2"/>
  <c r="AS11" i="2"/>
  <c r="AS35" i="2"/>
  <c r="AS36" i="2"/>
  <c r="T3" i="1"/>
  <c r="U42" i="2"/>
  <c r="R87" i="2"/>
  <c r="R85" i="2"/>
  <c r="Q87" i="2"/>
  <c r="Q85" i="2"/>
  <c r="Q69" i="2"/>
  <c r="Q51" i="2"/>
  <c r="Q53" i="2"/>
  <c r="Q55" i="2"/>
  <c r="Q57" i="2"/>
  <c r="Q59" i="2"/>
  <c r="Q61" i="2"/>
  <c r="Q63" i="2"/>
  <c r="Q65" i="2"/>
  <c r="Q67" i="2"/>
  <c r="Q71" i="2"/>
  <c r="Q73" i="2"/>
  <c r="Q75" i="2"/>
  <c r="Q77" i="2"/>
  <c r="Q79" i="2"/>
  <c r="Q81" i="2"/>
  <c r="Q83" i="2"/>
  <c r="Q49" i="2"/>
  <c r="AR39" i="2"/>
  <c r="AR42" i="2"/>
  <c r="AM16" i="2"/>
  <c r="AM8" i="2"/>
  <c r="BD20" i="2"/>
  <c r="A304" i="1"/>
  <c r="A305" i="1"/>
  <c r="A306" i="1"/>
  <c r="A307" i="1"/>
  <c r="A308" i="1"/>
  <c r="A309" i="1"/>
  <c r="X30" i="6"/>
  <c r="A310" i="1"/>
  <c r="A30" i="2"/>
  <c r="A311" i="1"/>
  <c r="X37" i="7"/>
  <c r="A312" i="1"/>
  <c r="X39" i="7"/>
  <c r="A313" i="1"/>
  <c r="A314" i="1"/>
  <c r="X43" i="7"/>
  <c r="A315" i="1"/>
  <c r="X54" i="7"/>
  <c r="A316" i="1"/>
  <c r="X56" i="7"/>
  <c r="A317" i="1"/>
  <c r="X58" i="7"/>
  <c r="A318" i="1"/>
  <c r="X60" i="7"/>
  <c r="A319" i="1"/>
  <c r="A320" i="1"/>
  <c r="A321" i="1"/>
  <c r="A99" i="3"/>
  <c r="A322" i="1"/>
  <c r="A100" i="3"/>
  <c r="A303" i="1"/>
  <c r="DC4" i="2"/>
  <c r="DC5" i="2"/>
  <c r="DC6" i="2"/>
  <c r="DC7" i="2"/>
  <c r="DC8" i="2"/>
  <c r="DC9" i="2"/>
  <c r="DC10" i="2"/>
  <c r="DC11" i="2"/>
  <c r="DC12" i="2"/>
  <c r="DC13" i="2"/>
  <c r="DC14" i="2"/>
  <c r="CZ4" i="2"/>
  <c r="CZ5" i="2"/>
  <c r="CZ6" i="2"/>
  <c r="CZ7" i="2"/>
  <c r="CZ8" i="2"/>
  <c r="CZ9" i="2"/>
  <c r="CZ10" i="2"/>
  <c r="CZ11" i="2"/>
  <c r="CZ12" i="2"/>
  <c r="CZ13" i="2"/>
  <c r="CZ14" i="2"/>
  <c r="CT4" i="2"/>
  <c r="CT5" i="2"/>
  <c r="CT6" i="2"/>
  <c r="CT7" i="2"/>
  <c r="CT8" i="2"/>
  <c r="CT9" i="2"/>
  <c r="CT10" i="2"/>
  <c r="CT11" i="2"/>
  <c r="CT12" i="2"/>
  <c r="CT13" i="2"/>
  <c r="CT14" i="2"/>
  <c r="CQ4" i="2"/>
  <c r="CQ5" i="2"/>
  <c r="CQ6" i="2"/>
  <c r="CQ7" i="2"/>
  <c r="CQ8" i="2"/>
  <c r="CQ9" i="2"/>
  <c r="CQ10" i="2"/>
  <c r="CQ11" i="2"/>
  <c r="CQ12" i="2"/>
  <c r="CQ13" i="2"/>
  <c r="CQ14" i="2"/>
  <c r="CN4" i="2"/>
  <c r="CN5" i="2"/>
  <c r="CN6" i="2"/>
  <c r="CN7" i="2"/>
  <c r="CN8" i="2"/>
  <c r="CN9" i="2"/>
  <c r="CO9" i="2"/>
  <c r="CN10" i="2"/>
  <c r="CN11" i="2"/>
  <c r="CN12" i="2"/>
  <c r="CN13" i="2"/>
  <c r="CN14" i="2"/>
  <c r="CW4" i="2"/>
  <c r="CW5" i="2"/>
  <c r="CW6" i="2"/>
  <c r="CW7" i="2"/>
  <c r="CW8" i="2"/>
  <c r="CW9" i="2"/>
  <c r="CW10" i="2"/>
  <c r="CW11" i="2"/>
  <c r="CW12" i="2"/>
  <c r="CW13" i="2"/>
  <c r="CW14" i="2"/>
  <c r="DC3" i="2"/>
  <c r="CZ3" i="2"/>
  <c r="CW3" i="2"/>
  <c r="CT3" i="2"/>
  <c r="CQ3" i="2"/>
  <c r="CN3" i="2"/>
  <c r="Z3" i="2"/>
  <c r="Z5" i="2"/>
  <c r="Z7" i="2"/>
  <c r="Z16" i="2"/>
  <c r="Z18" i="2"/>
  <c r="Z19" i="2"/>
  <c r="AM18" i="2"/>
  <c r="Y18" i="2"/>
  <c r="B18" i="2"/>
  <c r="AM17" i="2"/>
  <c r="AM20" i="2"/>
  <c r="Y20" i="2"/>
  <c r="B20" i="2"/>
  <c r="AM19" i="2"/>
  <c r="B19" i="2"/>
  <c r="AM15" i="2"/>
  <c r="B15" i="2"/>
  <c r="AM10" i="2"/>
  <c r="Y10" i="2"/>
  <c r="B10" i="2"/>
  <c r="BG9" i="2"/>
  <c r="BD9" i="2"/>
  <c r="AM5" i="2"/>
  <c r="B5" i="2"/>
  <c r="R4" i="2"/>
  <c r="R6" i="2"/>
  <c r="Z6" i="2"/>
  <c r="R7" i="2"/>
  <c r="R8" i="2"/>
  <c r="Z8" i="2"/>
  <c r="Z10" i="2"/>
  <c r="Y11" i="2"/>
  <c r="Y12" i="2"/>
  <c r="Z12" i="2"/>
  <c r="Y13" i="2"/>
  <c r="Z13" i="2"/>
  <c r="Y14" i="2"/>
  <c r="Z15" i="2"/>
  <c r="R16" i="2"/>
  <c r="O16" i="2"/>
  <c r="R17" i="2"/>
  <c r="M20" i="2"/>
  <c r="O20" i="2"/>
  <c r="Y21" i="2"/>
  <c r="Y22" i="2"/>
  <c r="Z22" i="2"/>
  <c r="P22" i="2"/>
  <c r="Y3" i="2"/>
  <c r="Z21" i="2"/>
  <c r="R14" i="2"/>
  <c r="AM22" i="2"/>
  <c r="B22" i="2"/>
  <c r="AM21" i="2"/>
  <c r="B21" i="2"/>
  <c r="Z20" i="2"/>
  <c r="Z17" i="2"/>
  <c r="B17" i="2"/>
  <c r="B16" i="2"/>
  <c r="BG14" i="2"/>
  <c r="BD14" i="2"/>
  <c r="AM14" i="2"/>
  <c r="Z14" i="2"/>
  <c r="B14" i="2"/>
  <c r="BG13" i="2"/>
  <c r="BD13" i="2"/>
  <c r="AM13" i="2"/>
  <c r="B13" i="2"/>
  <c r="BG12" i="2"/>
  <c r="BD12" i="2"/>
  <c r="AM12" i="2"/>
  <c r="B12" i="2"/>
  <c r="BG11" i="2"/>
  <c r="BD11" i="2"/>
  <c r="AM11" i="2"/>
  <c r="Z11" i="2"/>
  <c r="B11" i="2"/>
  <c r="BG10" i="2"/>
  <c r="BD10" i="2"/>
  <c r="AM9" i="2"/>
  <c r="B9" i="2"/>
  <c r="BG8" i="2"/>
  <c r="BD8" i="2"/>
  <c r="B8" i="2"/>
  <c r="BG7" i="2"/>
  <c r="BD7" i="2"/>
  <c r="AM7" i="2"/>
  <c r="B7" i="2"/>
  <c r="BG6" i="2"/>
  <c r="BD6" i="2"/>
  <c r="AM6" i="2"/>
  <c r="B6" i="2"/>
  <c r="BG5" i="2"/>
  <c r="BD5" i="2"/>
  <c r="BG4" i="2"/>
  <c r="BD4" i="2"/>
  <c r="AM4" i="2"/>
  <c r="B4" i="2"/>
  <c r="BG3" i="2"/>
  <c r="BD3" i="2"/>
  <c r="AM3" i="2"/>
  <c r="B3" i="2"/>
  <c r="S3" i="1"/>
  <c r="R21" i="2"/>
  <c r="R13" i="2"/>
  <c r="Y16" i="2"/>
  <c r="R12" i="2"/>
  <c r="Y17" i="2"/>
  <c r="BG22" i="2"/>
  <c r="BG16" i="2"/>
  <c r="BG18" i="2"/>
  <c r="BG15" i="2"/>
  <c r="BG17" i="2"/>
  <c r="BG21" i="2"/>
  <c r="BD18" i="2"/>
  <c r="BG19" i="2"/>
  <c r="BD19" i="2"/>
  <c r="BG20" i="2"/>
  <c r="BD17" i="2"/>
  <c r="BD21" i="2"/>
  <c r="BD15" i="2"/>
  <c r="BD16" i="2"/>
  <c r="BD22" i="2"/>
  <c r="DC22" i="2"/>
  <c r="CW22" i="2"/>
  <c r="CZ22" i="2"/>
  <c r="CN22" i="2"/>
  <c r="CQ22" i="2"/>
  <c r="CT22" i="2"/>
  <c r="CQ21" i="2"/>
  <c r="CN21" i="2"/>
  <c r="CO21" i="2"/>
  <c r="CT21" i="2"/>
  <c r="DC21" i="2"/>
  <c r="CW21" i="2"/>
  <c r="CZ21" i="2"/>
  <c r="CZ20" i="2"/>
  <c r="CW20" i="2"/>
  <c r="CN20" i="2"/>
  <c r="CQ20" i="2"/>
  <c r="CT20" i="2"/>
  <c r="DC20" i="2"/>
  <c r="DC19" i="2"/>
  <c r="CZ19" i="2"/>
  <c r="CQ19" i="2"/>
  <c r="CW19" i="2"/>
  <c r="CN19" i="2"/>
  <c r="CT19" i="2"/>
  <c r="DC18" i="2"/>
  <c r="CW18" i="2"/>
  <c r="CZ18" i="2"/>
  <c r="CN18" i="2"/>
  <c r="CO18" i="2"/>
  <c r="CQ18" i="2"/>
  <c r="CT18" i="2"/>
  <c r="CQ17" i="2"/>
  <c r="CN17" i="2"/>
  <c r="CO17" i="2"/>
  <c r="CT17" i="2"/>
  <c r="DC17" i="2"/>
  <c r="CW17" i="2"/>
  <c r="CZ17" i="2"/>
  <c r="CZ16" i="2"/>
  <c r="CW16" i="2"/>
  <c r="CN16" i="2"/>
  <c r="CQ16" i="2"/>
  <c r="CT16" i="2"/>
  <c r="DC16" i="2"/>
  <c r="CQ15" i="2"/>
  <c r="CN15" i="2"/>
  <c r="CW15" i="2"/>
  <c r="CT15" i="2"/>
  <c r="DC15" i="2"/>
  <c r="CZ15" i="2"/>
  <c r="R10" i="2"/>
  <c r="Z9" i="2"/>
  <c r="Y7" i="2"/>
  <c r="Y6" i="2"/>
  <c r="Y8" i="2"/>
  <c r="X25" i="7"/>
  <c r="AR43" i="2"/>
  <c r="X86" i="6"/>
  <c r="X27" i="7"/>
  <c r="A41" i="2"/>
  <c r="I84" i="2"/>
  <c r="P37" i="3"/>
  <c r="X6" i="6"/>
  <c r="P35" i="3"/>
  <c r="A88" i="3"/>
  <c r="X10" i="7"/>
  <c r="R22" i="2"/>
  <c r="P39" i="3"/>
  <c r="A90" i="3"/>
  <c r="Y19" i="2"/>
  <c r="R19" i="2"/>
  <c r="R11" i="2"/>
  <c r="R18" i="2"/>
  <c r="R9" i="2"/>
  <c r="Y9" i="2"/>
  <c r="X90" i="6"/>
  <c r="P41" i="3"/>
  <c r="X4" i="6"/>
  <c r="A81" i="3"/>
  <c r="X32" i="6"/>
  <c r="X4" i="7"/>
  <c r="P66" i="3"/>
  <c r="X28" i="6"/>
  <c r="A97" i="3"/>
  <c r="P4" i="3"/>
  <c r="M5" i="2"/>
  <c r="A32" i="2"/>
  <c r="I66" i="2"/>
  <c r="S4" i="2"/>
  <c r="AR41" i="2"/>
  <c r="AJ17" i="2"/>
  <c r="K10" i="2"/>
  <c r="S13" i="2"/>
  <c r="L13" i="2"/>
  <c r="P8" i="2"/>
  <c r="N6" i="2"/>
  <c r="N5" i="2"/>
  <c r="S15" i="2"/>
  <c r="S11" i="2"/>
  <c r="N20" i="2"/>
  <c r="N17" i="2"/>
  <c r="R20" i="2"/>
  <c r="P52" i="3"/>
  <c r="X66" i="6"/>
  <c r="A36" i="2"/>
  <c r="I74" i="2"/>
  <c r="A94" i="3"/>
  <c r="X88" i="6"/>
  <c r="P68" i="3"/>
  <c r="A98" i="3"/>
  <c r="X73" i="7"/>
  <c r="A93" i="3"/>
  <c r="X77" i="7"/>
  <c r="P72" i="3"/>
  <c r="A38" i="2"/>
  <c r="I78" i="2"/>
  <c r="P70" i="3"/>
  <c r="P20" i="2"/>
  <c r="S3" i="2"/>
  <c r="N8" i="2"/>
  <c r="O14" i="2"/>
  <c r="O5" i="2"/>
  <c r="S5" i="2"/>
  <c r="S22" i="2"/>
  <c r="M22" i="2"/>
  <c r="N19" i="2"/>
  <c r="K12" i="2"/>
  <c r="L12" i="2"/>
  <c r="M21" i="2"/>
  <c r="CA8" i="2"/>
  <c r="O8" i="2"/>
  <c r="S7" i="2"/>
  <c r="L4" i="2"/>
  <c r="M16" i="2"/>
  <c r="S14" i="2"/>
  <c r="A24" i="2"/>
  <c r="I50" i="2"/>
  <c r="P6" i="3"/>
  <c r="AS21" i="2"/>
  <c r="AS18" i="2"/>
  <c r="R3" i="2"/>
  <c r="A26" i="2"/>
  <c r="I54" i="2"/>
  <c r="K19" i="2"/>
  <c r="S21" i="2"/>
  <c r="K14" i="2"/>
  <c r="L22" i="2"/>
  <c r="N15" i="2"/>
  <c r="K11" i="2"/>
  <c r="L21" i="2"/>
  <c r="K15" i="2"/>
  <c r="L9" i="2"/>
  <c r="N14" i="2"/>
  <c r="K21" i="2"/>
  <c r="K22" i="2"/>
  <c r="S17" i="2"/>
  <c r="K18" i="2"/>
  <c r="AS17" i="2"/>
  <c r="AS3" i="2"/>
  <c r="M17" i="2"/>
  <c r="L17" i="2"/>
  <c r="K16" i="2"/>
  <c r="S16" i="2"/>
  <c r="L16" i="2"/>
  <c r="K20" i="2"/>
  <c r="L20" i="2"/>
  <c r="S20" i="2"/>
  <c r="P12" i="2"/>
  <c r="N11" i="2"/>
  <c r="O11" i="2"/>
  <c r="M18" i="2"/>
  <c r="O17" i="2"/>
  <c r="AS8" i="2"/>
  <c r="O15" i="2"/>
  <c r="AS10" i="2"/>
  <c r="O13" i="2"/>
  <c r="CI22" i="2"/>
  <c r="A33" i="2"/>
  <c r="X41" i="7"/>
  <c r="AC17" i="2"/>
  <c r="CA19" i="2"/>
  <c r="AV8" i="2"/>
  <c r="CR18" i="2"/>
  <c r="CO5" i="2"/>
  <c r="CX13" i="2"/>
  <c r="AJ19" i="2"/>
  <c r="AJ21" i="2"/>
  <c r="CX15" i="2"/>
  <c r="AC20" i="2"/>
  <c r="CX22" i="2"/>
  <c r="N16" i="2"/>
  <c r="AC16" i="2"/>
  <c r="X92" i="6"/>
  <c r="P54" i="3"/>
  <c r="X75" i="7"/>
  <c r="X10" i="6"/>
  <c r="A91" i="3"/>
  <c r="A37" i="2"/>
  <c r="I77" i="2"/>
  <c r="A42" i="2"/>
  <c r="A92" i="3"/>
  <c r="X70" i="6"/>
  <c r="X68" i="6"/>
  <c r="X50" i="6"/>
  <c r="A29" i="2"/>
  <c r="I60" i="2"/>
  <c r="X8" i="6"/>
  <c r="P26" i="3"/>
  <c r="A23" i="2"/>
  <c r="A39" i="2"/>
  <c r="A31" i="2"/>
  <c r="A27" i="2"/>
  <c r="I56" i="2"/>
  <c r="A40" i="2"/>
  <c r="I83" i="2"/>
  <c r="X48" i="6"/>
  <c r="P22" i="3"/>
  <c r="X6" i="7"/>
  <c r="CO13" i="2"/>
  <c r="I67" i="2"/>
  <c r="AB16" i="2"/>
  <c r="AH3" i="2"/>
  <c r="I85" i="2"/>
  <c r="CO16" i="2"/>
  <c r="AH12" i="2"/>
  <c r="CO22" i="2"/>
  <c r="L11" i="2"/>
  <c r="O12" i="2"/>
  <c r="CO7" i="2"/>
  <c r="CA22" i="2"/>
  <c r="AH16" i="2"/>
  <c r="DD16" i="2"/>
  <c r="L18" i="2"/>
  <c r="AA18" i="2"/>
  <c r="AE22" i="2"/>
  <c r="CO12" i="2"/>
  <c r="CO8" i="2"/>
  <c r="CO4" i="2"/>
  <c r="CO3" i="2"/>
  <c r="AC15" i="2"/>
  <c r="AH17" i="2"/>
  <c r="CU3" i="2"/>
  <c r="CX3" i="2"/>
  <c r="AS20" i="2"/>
  <c r="CO20" i="2"/>
  <c r="AA22" i="2"/>
  <c r="P17" i="2"/>
  <c r="DD15" i="2"/>
  <c r="DD14" i="2"/>
  <c r="CR20" i="2"/>
  <c r="N13" i="2"/>
  <c r="AC13" i="2"/>
  <c r="CR11" i="2"/>
  <c r="AH13" i="2"/>
  <c r="CO19" i="2"/>
  <c r="DD19" i="2"/>
  <c r="P10" i="2"/>
  <c r="M9" i="2"/>
  <c r="P9" i="2"/>
  <c r="CO10" i="2"/>
  <c r="CO14" i="2"/>
  <c r="AS14" i="2"/>
  <c r="CU19" i="2"/>
  <c r="AA21" i="2"/>
  <c r="AB22" i="2"/>
  <c r="DA8" i="2"/>
  <c r="P13" i="2"/>
  <c r="AF13" i="2"/>
  <c r="AG13" i="2"/>
  <c r="K8" i="2"/>
  <c r="AC19" i="2"/>
  <c r="L8" i="2"/>
  <c r="AJ16" i="2"/>
  <c r="AJ22" i="2"/>
  <c r="I69" i="2"/>
  <c r="I68" i="2"/>
  <c r="A96" i="3"/>
  <c r="P56" i="3"/>
  <c r="X52" i="6"/>
  <c r="A84" i="3"/>
  <c r="P10" i="3"/>
  <c r="CX14" i="2"/>
  <c r="M10" i="2"/>
  <c r="N10" i="2"/>
  <c r="CR10" i="2"/>
  <c r="S10" i="2"/>
  <c r="S9" i="2"/>
  <c r="N9" i="2"/>
  <c r="K7" i="2"/>
  <c r="K6" i="2"/>
  <c r="S6" i="2"/>
  <c r="P6" i="2"/>
  <c r="L5" i="2"/>
  <c r="P4" i="2"/>
  <c r="DD12" i="2"/>
  <c r="P16" i="2"/>
  <c r="AA17" i="2"/>
  <c r="L7" i="2"/>
  <c r="P5" i="2"/>
  <c r="I82" i="2"/>
  <c r="P7" i="2"/>
  <c r="K9" i="2"/>
  <c r="N22" i="2"/>
  <c r="AC22" i="2"/>
  <c r="AH14" i="2"/>
  <c r="AD11" i="2"/>
  <c r="CA11" i="2"/>
  <c r="CU22" i="2"/>
  <c r="BS22" i="2"/>
  <c r="AV22" i="2"/>
  <c r="CI8" i="2"/>
  <c r="BS8" i="2"/>
  <c r="R5" i="2"/>
  <c r="Y5" i="2"/>
  <c r="Y15" i="2"/>
  <c r="R15" i="2"/>
  <c r="O21" i="2"/>
  <c r="P21" i="2"/>
  <c r="L19" i="2"/>
  <c r="N18" i="2"/>
  <c r="AC18" i="2"/>
  <c r="M7" i="2"/>
  <c r="O19" i="2"/>
  <c r="CX12" i="2"/>
  <c r="CO11" i="2"/>
  <c r="AD13" i="2"/>
  <c r="O18" i="2"/>
  <c r="P19" i="2"/>
  <c r="DA15" i="2"/>
  <c r="CR12" i="2"/>
  <c r="CR3" i="2"/>
  <c r="AA13" i="2"/>
  <c r="DA16" i="2"/>
  <c r="M19" i="2"/>
  <c r="O6" i="2"/>
  <c r="CO6" i="2"/>
  <c r="CU8" i="2"/>
  <c r="CX21" i="2"/>
  <c r="CX18" i="2"/>
  <c r="CX17" i="2"/>
  <c r="CX16" i="2"/>
  <c r="BH23" i="2"/>
  <c r="CI15" i="2"/>
  <c r="AV15" i="2"/>
  <c r="CU15" i="2"/>
  <c r="AS15" i="2"/>
  <c r="CO15" i="2"/>
  <c r="CR19" i="2"/>
  <c r="M13" i="2"/>
  <c r="BS12" i="2"/>
  <c r="M12" i="2"/>
  <c r="N4" i="2"/>
  <c r="AE12" i="2"/>
  <c r="AB8" i="2"/>
  <c r="M15" i="2"/>
  <c r="AB15" i="2"/>
  <c r="CX11" i="2"/>
  <c r="DA13" i="2"/>
  <c r="AD16" i="2"/>
  <c r="CX8" i="2"/>
  <c r="N12" i="2"/>
  <c r="AC12" i="2"/>
  <c r="CX7" i="2"/>
  <c r="CI6" i="2"/>
  <c r="I76" i="2"/>
  <c r="A35" i="2"/>
  <c r="X64" i="6"/>
  <c r="I57" i="2"/>
  <c r="I79" i="2"/>
  <c r="P50" i="3"/>
  <c r="P20" i="3"/>
  <c r="X71" i="7"/>
  <c r="A85" i="3"/>
  <c r="I55" i="2"/>
  <c r="X46" i="6"/>
  <c r="A89" i="3"/>
  <c r="X26" i="6"/>
  <c r="X21" i="7"/>
  <c r="Y4" i="2"/>
  <c r="AM26" i="2"/>
  <c r="Z4" i="2"/>
  <c r="O3" i="2"/>
  <c r="L6" i="2"/>
  <c r="N3" i="2"/>
  <c r="L3" i="2"/>
  <c r="P3" i="2"/>
  <c r="O7" i="2"/>
  <c r="M3" i="2"/>
  <c r="I51" i="2"/>
  <c r="P24" i="3"/>
  <c r="I61" i="2"/>
  <c r="X23" i="7"/>
  <c r="A83" i="3"/>
  <c r="A82" i="3"/>
  <c r="A86" i="3"/>
  <c r="A28" i="2"/>
  <c r="P8" i="3"/>
  <c r="X8" i="7"/>
  <c r="A25" i="2"/>
  <c r="I53" i="2"/>
  <c r="A87" i="3"/>
  <c r="U87" i="2"/>
  <c r="DE22" i="2"/>
  <c r="X35" i="2"/>
  <c r="X73" i="2"/>
  <c r="U52" i="2"/>
  <c r="X64" i="2"/>
  <c r="S38" i="2"/>
  <c r="T56" i="2"/>
  <c r="W84" i="2"/>
  <c r="U58" i="2"/>
  <c r="I35" i="2"/>
  <c r="I26" i="2"/>
  <c r="T62" i="2"/>
  <c r="W66" i="2"/>
  <c r="V34" i="2"/>
  <c r="V71" i="2"/>
  <c r="H40" i="2"/>
  <c r="U34" i="2"/>
  <c r="E33" i="2"/>
  <c r="V84" i="2"/>
  <c r="V82" i="2"/>
  <c r="W30" i="2"/>
  <c r="W63" i="2"/>
  <c r="X26" i="2"/>
  <c r="X55" i="2"/>
  <c r="E42" i="2"/>
  <c r="S33" i="2"/>
  <c r="H25" i="2"/>
  <c r="U33" i="2"/>
  <c r="J39" i="2"/>
  <c r="X68" i="2"/>
  <c r="S24" i="2"/>
  <c r="H23" i="2"/>
  <c r="E32" i="2"/>
  <c r="J34" i="2"/>
  <c r="U26" i="2"/>
  <c r="V28" i="2"/>
  <c r="V59" i="2"/>
  <c r="U86" i="2"/>
  <c r="J26" i="2"/>
  <c r="X58" i="2"/>
  <c r="V38" i="2"/>
  <c r="V79" i="2"/>
  <c r="T23" i="2"/>
  <c r="U24" i="2"/>
  <c r="U50" i="2"/>
  <c r="I23" i="2"/>
  <c r="V72" i="2"/>
  <c r="H28" i="2"/>
  <c r="T42" i="2"/>
  <c r="T34" i="2"/>
  <c r="T71" i="2"/>
  <c r="U38" i="2"/>
  <c r="U79" i="2"/>
  <c r="V32" i="2"/>
  <c r="V67" i="2"/>
  <c r="E30" i="2"/>
  <c r="W32" i="2"/>
  <c r="W67" i="2"/>
  <c r="V27" i="2"/>
  <c r="V57" i="2"/>
  <c r="U40" i="2"/>
  <c r="U80" i="2"/>
  <c r="X32" i="2"/>
  <c r="X67" i="2"/>
  <c r="H34" i="2"/>
  <c r="W36" i="2"/>
  <c r="E26" i="2"/>
  <c r="T39" i="2"/>
  <c r="U62" i="2"/>
  <c r="X23" i="2"/>
  <c r="W39" i="2"/>
  <c r="W81" i="2"/>
  <c r="X60" i="2"/>
  <c r="U32" i="2"/>
  <c r="E29" i="2"/>
  <c r="J38" i="2"/>
  <c r="W40" i="2"/>
  <c r="W83" i="2"/>
  <c r="H33" i="2"/>
  <c r="W41" i="2"/>
  <c r="W85" i="2"/>
  <c r="W60" i="2"/>
  <c r="W24" i="2"/>
  <c r="W51" i="2"/>
  <c r="F26" i="2"/>
  <c r="T54" i="2"/>
  <c r="I40" i="2"/>
  <c r="T24" i="2"/>
  <c r="T51" i="2"/>
  <c r="E40" i="2"/>
  <c r="E36" i="2"/>
  <c r="U56" i="2"/>
  <c r="X28" i="2"/>
  <c r="X59" i="2"/>
  <c r="V48" i="2"/>
  <c r="W28" i="2"/>
  <c r="I28" i="2"/>
  <c r="U25" i="2"/>
  <c r="I36" i="2"/>
  <c r="T84" i="2"/>
  <c r="X29" i="2"/>
  <c r="X61" i="2"/>
  <c r="W38" i="2"/>
  <c r="W79" i="2"/>
  <c r="G31" i="2"/>
  <c r="G32" i="2"/>
  <c r="U36" i="2"/>
  <c r="T31" i="2"/>
  <c r="X24" i="2"/>
  <c r="X51" i="2"/>
  <c r="X84" i="2"/>
  <c r="H32" i="2"/>
  <c r="S31" i="2"/>
  <c r="X37" i="2"/>
  <c r="X77" i="2"/>
  <c r="T26" i="2"/>
  <c r="I34" i="2"/>
  <c r="W80" i="2"/>
  <c r="S30" i="2"/>
  <c r="H27" i="2"/>
  <c r="E41" i="2"/>
  <c r="V29" i="2"/>
  <c r="V61" i="2"/>
  <c r="U66" i="2"/>
  <c r="X74" i="2"/>
  <c r="V31" i="2"/>
  <c r="V65" i="2"/>
  <c r="F23" i="2"/>
  <c r="U72" i="2"/>
  <c r="F35" i="2"/>
  <c r="H35" i="2"/>
  <c r="I41" i="2"/>
  <c r="I30" i="2"/>
  <c r="V26" i="2"/>
  <c r="V55" i="2"/>
  <c r="U28" i="2"/>
  <c r="U59" i="2"/>
  <c r="X78" i="2"/>
  <c r="T60" i="2"/>
  <c r="V52" i="2"/>
  <c r="G27" i="2"/>
  <c r="V56" i="2"/>
  <c r="X41" i="2"/>
  <c r="X85" i="2"/>
  <c r="V25" i="2"/>
  <c r="F37" i="2"/>
  <c r="H42" i="2"/>
  <c r="V42" i="2"/>
  <c r="V87" i="2"/>
  <c r="W31" i="2"/>
  <c r="W65" i="2"/>
  <c r="I32" i="2"/>
  <c r="T52" i="2"/>
  <c r="V41" i="2"/>
  <c r="V85" i="2"/>
  <c r="W68" i="2"/>
  <c r="W50" i="2"/>
  <c r="F34" i="2"/>
  <c r="U64" i="2"/>
  <c r="X80" i="2"/>
  <c r="T70" i="2"/>
  <c r="U48" i="2"/>
  <c r="S23" i="2"/>
  <c r="J37" i="2"/>
  <c r="J30" i="2"/>
  <c r="V64" i="2"/>
  <c r="G35" i="2"/>
  <c r="G28" i="2"/>
  <c r="X66" i="2"/>
  <c r="J25" i="2"/>
  <c r="X76" i="2"/>
  <c r="T37" i="2"/>
  <c r="H24" i="2"/>
  <c r="V39" i="2"/>
  <c r="V81" i="2"/>
  <c r="T27" i="2"/>
  <c r="W25" i="2"/>
  <c r="W53" i="2"/>
  <c r="S39" i="2"/>
  <c r="AL19" i="2"/>
  <c r="V60" i="2"/>
  <c r="T66" i="2"/>
  <c r="J42" i="2"/>
  <c r="I29" i="2"/>
  <c r="J36" i="2"/>
  <c r="I42" i="2"/>
  <c r="J40" i="2"/>
  <c r="W27" i="2"/>
  <c r="W57" i="2"/>
  <c r="X82" i="2"/>
  <c r="I25" i="2"/>
  <c r="I24" i="2"/>
  <c r="U35" i="2"/>
  <c r="V76" i="2"/>
  <c r="W76" i="2"/>
  <c r="G23" i="2"/>
  <c r="I27" i="2"/>
  <c r="X31" i="2"/>
  <c r="X65" i="2"/>
  <c r="S36" i="2"/>
  <c r="X40" i="2"/>
  <c r="X83" i="2"/>
  <c r="E37" i="2"/>
  <c r="U68" i="2"/>
  <c r="G39" i="2"/>
  <c r="G26" i="2"/>
  <c r="E27" i="2"/>
  <c r="F28" i="2"/>
  <c r="S37" i="2"/>
  <c r="W58" i="2"/>
  <c r="G36" i="2"/>
  <c r="W78" i="2"/>
  <c r="E38" i="2"/>
  <c r="F25" i="2"/>
  <c r="G24" i="2"/>
  <c r="H41" i="2"/>
  <c r="X86" i="2"/>
  <c r="X54" i="2"/>
  <c r="U41" i="2"/>
  <c r="I31" i="2"/>
  <c r="J41" i="2"/>
  <c r="J31" i="2"/>
  <c r="X52" i="2"/>
  <c r="E39" i="2"/>
  <c r="X33" i="2"/>
  <c r="X69" i="2"/>
  <c r="S26" i="2"/>
  <c r="G38" i="2"/>
  <c r="S34" i="2"/>
  <c r="T41" i="2"/>
  <c r="V74" i="2"/>
  <c r="J27" i="2"/>
  <c r="J33" i="2"/>
  <c r="F30" i="2"/>
  <c r="U31" i="2"/>
  <c r="T72" i="2"/>
  <c r="W64" i="2"/>
  <c r="F24" i="2"/>
  <c r="H38" i="2"/>
  <c r="G30" i="2"/>
  <c r="T82" i="2"/>
  <c r="E31" i="2"/>
  <c r="I37" i="2"/>
  <c r="W42" i="2"/>
  <c r="W87" i="2"/>
  <c r="F31" i="2"/>
  <c r="X30" i="2"/>
  <c r="X63" i="2"/>
  <c r="X62" i="2"/>
  <c r="W33" i="2"/>
  <c r="W69" i="2"/>
  <c r="V35" i="2"/>
  <c r="V73" i="2"/>
  <c r="E24" i="2"/>
  <c r="J24" i="2"/>
  <c r="H37" i="2"/>
  <c r="X36" i="2"/>
  <c r="X75" i="2"/>
  <c r="X50" i="2"/>
  <c r="G41" i="2"/>
  <c r="V68" i="2"/>
  <c r="V54" i="2"/>
  <c r="T35" i="2"/>
  <c r="H31" i="2"/>
  <c r="V70" i="2"/>
  <c r="X72" i="2"/>
  <c r="I38" i="2"/>
  <c r="J32" i="2"/>
  <c r="F40" i="2"/>
  <c r="S40" i="2"/>
  <c r="AL20" i="2"/>
  <c r="T58" i="2"/>
  <c r="W48" i="2"/>
  <c r="T86" i="2"/>
  <c r="W74" i="2"/>
  <c r="G42" i="2"/>
  <c r="W35" i="2"/>
  <c r="W73" i="2"/>
  <c r="E23" i="2"/>
  <c r="T25" i="2"/>
  <c r="X34" i="2"/>
  <c r="X71" i="2"/>
  <c r="X56" i="2"/>
  <c r="E34" i="2"/>
  <c r="T74" i="2"/>
  <c r="J35" i="2"/>
  <c r="V33" i="2"/>
  <c r="V69" i="2"/>
  <c r="U39" i="2"/>
  <c r="G40" i="2"/>
  <c r="U27" i="2"/>
  <c r="U57" i="2"/>
  <c r="W29" i="2"/>
  <c r="W61" i="2"/>
  <c r="U70" i="2"/>
  <c r="V30" i="2"/>
  <c r="V63" i="2"/>
  <c r="T33" i="2"/>
  <c r="V66" i="2"/>
  <c r="W86" i="2"/>
  <c r="U74" i="2"/>
  <c r="U23" i="2"/>
  <c r="V78" i="2"/>
  <c r="V80" i="2"/>
  <c r="T64" i="2"/>
  <c r="X38" i="2"/>
  <c r="X79" i="2"/>
  <c r="F39" i="2"/>
  <c r="G33" i="2"/>
  <c r="V58" i="2"/>
  <c r="V36" i="2"/>
  <c r="V75" i="2"/>
  <c r="S28" i="2"/>
  <c r="H29" i="2"/>
  <c r="E25" i="2"/>
  <c r="T80" i="2"/>
  <c r="T38" i="2"/>
  <c r="H26" i="2"/>
  <c r="U84" i="2"/>
  <c r="U76" i="2"/>
  <c r="X25" i="2"/>
  <c r="X53" i="2"/>
  <c r="W54" i="2"/>
  <c r="T76" i="2"/>
  <c r="H39" i="2"/>
  <c r="V50" i="2"/>
  <c r="T40" i="2"/>
  <c r="G29" i="2"/>
  <c r="S29" i="2"/>
  <c r="T32" i="2"/>
  <c r="S27" i="2"/>
  <c r="AL7" i="2"/>
  <c r="G25" i="2"/>
  <c r="X27" i="2"/>
  <c r="X57" i="2"/>
  <c r="J23" i="2"/>
  <c r="W72" i="2"/>
  <c r="V37" i="2"/>
  <c r="V77" i="2"/>
  <c r="V86" i="2"/>
  <c r="T29" i="2"/>
  <c r="S41" i="2"/>
  <c r="AL21" i="2"/>
  <c r="T78" i="2"/>
  <c r="S42" i="2"/>
  <c r="F36" i="2"/>
  <c r="S25" i="2"/>
  <c r="V40" i="2"/>
  <c r="V83" i="2"/>
  <c r="W52" i="2"/>
  <c r="W56" i="2"/>
  <c r="F38" i="2"/>
  <c r="W82" i="2"/>
  <c r="E35" i="2"/>
  <c r="T28" i="2"/>
  <c r="T68" i="2"/>
  <c r="U37" i="2"/>
  <c r="F33" i="2"/>
  <c r="H36" i="2"/>
  <c r="W62" i="2"/>
  <c r="V24" i="2"/>
  <c r="V51" i="2"/>
  <c r="W37" i="2"/>
  <c r="W77" i="2"/>
  <c r="E28" i="2"/>
  <c r="U78" i="2"/>
  <c r="X48" i="2"/>
  <c r="U54" i="2"/>
  <c r="I39" i="2"/>
  <c r="X42" i="2"/>
  <c r="X87" i="2"/>
  <c r="G34" i="2"/>
  <c r="T36" i="2"/>
  <c r="T75" i="2"/>
  <c r="I33" i="2"/>
  <c r="X39" i="2"/>
  <c r="X81" i="2"/>
  <c r="W70" i="2"/>
  <c r="U60" i="2"/>
  <c r="T50" i="2"/>
  <c r="S32" i="2"/>
  <c r="S67" i="2"/>
  <c r="W34" i="2"/>
  <c r="W71" i="2"/>
  <c r="U29" i="2"/>
  <c r="F29" i="2"/>
  <c r="F32" i="2"/>
  <c r="F41" i="2"/>
  <c r="U82" i="2"/>
  <c r="V62" i="2"/>
  <c r="H30" i="2"/>
  <c r="F42" i="2"/>
  <c r="G37" i="2"/>
  <c r="V23" i="2"/>
  <c r="S35" i="2"/>
  <c r="S73" i="2"/>
  <c r="X70" i="2"/>
  <c r="U30" i="2"/>
  <c r="W23" i="2"/>
  <c r="F27" i="2"/>
  <c r="T48" i="2"/>
  <c r="J28" i="2"/>
  <c r="T30" i="2"/>
  <c r="T63" i="2"/>
  <c r="W26" i="2"/>
  <c r="W55" i="2"/>
  <c r="AL18" i="2"/>
  <c r="AB17" i="2"/>
  <c r="BS19" i="2"/>
  <c r="CI19" i="2"/>
  <c r="AB19" i="2"/>
  <c r="AV19" i="2"/>
  <c r="CU12" i="2"/>
  <c r="DD3" i="2"/>
  <c r="I63" i="2"/>
  <c r="I62" i="2"/>
  <c r="AH19" i="2"/>
  <c r="DA19" i="2"/>
  <c r="CR13" i="2"/>
  <c r="BS15" i="2"/>
  <c r="CA15" i="2"/>
  <c r="I80" i="2"/>
  <c r="I81" i="2"/>
  <c r="I49" i="2"/>
  <c r="I48" i="2"/>
  <c r="L14" i="2"/>
  <c r="O4" i="2"/>
  <c r="AJ9" i="2"/>
  <c r="AJ6" i="2"/>
  <c r="AJ11" i="2"/>
  <c r="AJ12" i="2"/>
  <c r="AJ4" i="2"/>
  <c r="AJ18" i="2"/>
  <c r="AJ20" i="2"/>
  <c r="AJ5" i="2"/>
  <c r="AJ15" i="2"/>
  <c r="AJ14" i="2"/>
  <c r="AJ13" i="2"/>
  <c r="I75" i="2"/>
  <c r="J29" i="2"/>
  <c r="AJ7" i="2"/>
  <c r="K4" i="2"/>
  <c r="A95" i="3"/>
  <c r="A34" i="2"/>
  <c r="AJ8" i="2"/>
  <c r="AJ3" i="2"/>
  <c r="AJ10" i="2"/>
  <c r="AE19" i="2"/>
  <c r="N21" i="2"/>
  <c r="AC21" i="2"/>
  <c r="AV16" i="2"/>
  <c r="DD13" i="2"/>
  <c r="P18" i="2"/>
  <c r="AE18" i="2"/>
  <c r="CR17" i="2"/>
  <c r="AD19" i="2"/>
  <c r="AD12" i="2"/>
  <c r="AF3" i="2"/>
  <c r="AG3" i="2"/>
  <c r="AC3" i="2"/>
  <c r="AL6" i="2"/>
  <c r="AB3" i="2"/>
  <c r="AA3" i="2"/>
  <c r="P14" i="2"/>
  <c r="AE14" i="2"/>
  <c r="CX19" i="2"/>
  <c r="DD22" i="2"/>
  <c r="CX20" i="2"/>
  <c r="AA11" i="2"/>
  <c r="CA16" i="2"/>
  <c r="DA3" i="2"/>
  <c r="AB9" i="2"/>
  <c r="AD3" i="2"/>
  <c r="AF21" i="2"/>
  <c r="AG21" i="2"/>
  <c r="I86" i="2"/>
  <c r="I87" i="2"/>
  <c r="I65" i="2"/>
  <c r="I64" i="2"/>
  <c r="L10" i="2"/>
  <c r="AA10" i="2"/>
  <c r="AC14" i="2"/>
  <c r="AH8" i="2"/>
  <c r="DA17" i="2"/>
  <c r="AH15" i="2"/>
  <c r="CU16" i="2"/>
  <c r="AD8" i="2"/>
  <c r="BS16" i="2"/>
  <c r="CR8" i="2"/>
  <c r="P15" i="2"/>
  <c r="AE15" i="2"/>
  <c r="CI16" i="2"/>
  <c r="AE13" i="2"/>
  <c r="DA12" i="2"/>
  <c r="AD17" i="2"/>
  <c r="AA19" i="2"/>
  <c r="AH7" i="2"/>
  <c r="DA7" i="2"/>
  <c r="AA20" i="2"/>
  <c r="AC7" i="2"/>
  <c r="AF19" i="2"/>
  <c r="AG19" i="2"/>
  <c r="AD7" i="2"/>
  <c r="AE16" i="2"/>
  <c r="DD18" i="2"/>
  <c r="AF18" i="2"/>
  <c r="AG18" i="2"/>
  <c r="BS5" i="2"/>
  <c r="CU5" i="2"/>
  <c r="AV5" i="2"/>
  <c r="CA5" i="2"/>
  <c r="CI5" i="2"/>
  <c r="P11" i="2"/>
  <c r="AE11" i="2"/>
  <c r="AB5" i="2"/>
  <c r="DD8" i="2"/>
  <c r="AZ17" i="2"/>
  <c r="BS3" i="2"/>
  <c r="AV3" i="2"/>
  <c r="AE3" i="2"/>
  <c r="CA3" i="2"/>
  <c r="CI3" i="2"/>
  <c r="A65" i="3"/>
  <c r="AB11" i="2"/>
  <c r="CR21" i="2"/>
  <c r="AA12" i="2"/>
  <c r="CR22" i="2"/>
  <c r="AF22" i="2"/>
  <c r="AG22" i="2"/>
  <c r="AE9" i="2"/>
  <c r="AB10" i="2"/>
  <c r="DA10" i="2"/>
  <c r="AH10" i="2"/>
  <c r="DD20" i="2"/>
  <c r="AF20" i="2"/>
  <c r="AG20" i="2"/>
  <c r="AD4" i="2"/>
  <c r="CX4" i="2"/>
  <c r="AL12" i="2"/>
  <c r="BS4" i="2"/>
  <c r="DD4" i="2"/>
  <c r="DD9" i="2"/>
  <c r="DD7" i="2"/>
  <c r="DE7" i="2"/>
  <c r="O10" i="2"/>
  <c r="AD10" i="2"/>
  <c r="DA20" i="2"/>
  <c r="AH20" i="2"/>
  <c r="AD20" i="2"/>
  <c r="CI21" i="2"/>
  <c r="BS21" i="2"/>
  <c r="CU21" i="2"/>
  <c r="AV21" i="2"/>
  <c r="CA21" i="2"/>
  <c r="AB21" i="2"/>
  <c r="BC18" i="2"/>
  <c r="CA6" i="2"/>
  <c r="AE8" i="2"/>
  <c r="AB12" i="2"/>
  <c r="M14" i="2"/>
  <c r="AB14" i="2"/>
  <c r="CP23" i="2"/>
  <c r="AF12" i="2"/>
  <c r="AG12" i="2"/>
  <c r="AD21" i="2"/>
  <c r="AV11" i="2"/>
  <c r="CI11" i="2"/>
  <c r="BS11" i="2"/>
  <c r="CU11" i="2"/>
  <c r="AF9" i="2"/>
  <c r="AG9" i="2"/>
  <c r="AE6" i="2"/>
  <c r="CR6" i="2"/>
  <c r="CX10" i="2"/>
  <c r="AD15" i="2"/>
  <c r="AE20" i="2"/>
  <c r="AA7" i="2"/>
  <c r="M4" i="2"/>
  <c r="DA14" i="2"/>
  <c r="AD14" i="2"/>
  <c r="AB20" i="2"/>
  <c r="CU20" i="2"/>
  <c r="AV20" i="2"/>
  <c r="CA20" i="2"/>
  <c r="BS20" i="2"/>
  <c r="CI20" i="2"/>
  <c r="AH11" i="2"/>
  <c r="DA11" i="2"/>
  <c r="BC22" i="2"/>
  <c r="AZ20" i="2"/>
  <c r="AU20" i="2"/>
  <c r="CA17" i="2"/>
  <c r="CI17" i="2"/>
  <c r="AV17" i="2"/>
  <c r="CU17" i="2"/>
  <c r="BS17" i="2"/>
  <c r="BS13" i="2"/>
  <c r="CI13" i="2"/>
  <c r="AV13" i="2"/>
  <c r="CA13" i="2"/>
  <c r="CU13" i="2"/>
  <c r="AC8" i="2"/>
  <c r="AV10" i="2"/>
  <c r="CI12" i="2"/>
  <c r="CA12" i="2"/>
  <c r="AV12" i="2"/>
  <c r="AV14" i="2"/>
  <c r="CU14" i="2"/>
  <c r="CI14" i="2"/>
  <c r="BS14" i="2"/>
  <c r="CA14" i="2"/>
  <c r="AA14" i="2"/>
  <c r="L15" i="2"/>
  <c r="AA15" i="2"/>
  <c r="AC11" i="2"/>
  <c r="CR15" i="2"/>
  <c r="AF15" i="2"/>
  <c r="AG15" i="2"/>
  <c r="CU6" i="2"/>
  <c r="BS6" i="2"/>
  <c r="AV6" i="2"/>
  <c r="DA18" i="2"/>
  <c r="AH18" i="2"/>
  <c r="DD11" i="2"/>
  <c r="AF11" i="2"/>
  <c r="AG11" i="2"/>
  <c r="M6" i="2"/>
  <c r="AB6" i="2"/>
  <c r="AD18" i="2"/>
  <c r="AB13" i="2"/>
  <c r="BM14" i="2"/>
  <c r="I73" i="2"/>
  <c r="I72" i="2"/>
  <c r="AH9" i="2"/>
  <c r="DA9" i="2"/>
  <c r="CU9" i="2"/>
  <c r="CA9" i="2"/>
  <c r="CI9" i="2"/>
  <c r="BS9" i="2"/>
  <c r="AV9" i="2"/>
  <c r="O9" i="2"/>
  <c r="AD9" i="2"/>
  <c r="I52" i="2"/>
  <c r="BC8" i="2"/>
  <c r="BM9" i="2"/>
  <c r="A4" i="3"/>
  <c r="A5" i="3"/>
  <c r="I58" i="2"/>
  <c r="I59" i="2"/>
  <c r="DE8" i="2"/>
  <c r="T61" i="2"/>
  <c r="BP12" i="2"/>
  <c r="BR12" i="2"/>
  <c r="BL12" i="2"/>
  <c r="AZ12" i="2"/>
  <c r="T67" i="2"/>
  <c r="BQ12" i="2"/>
  <c r="BE12" i="2"/>
  <c r="BC12" i="2"/>
  <c r="F35" i="3"/>
  <c r="F36" i="3"/>
  <c r="S59" i="2"/>
  <c r="AL8" i="2"/>
  <c r="BM8" i="2"/>
  <c r="F20" i="3"/>
  <c r="T55" i="2"/>
  <c r="BE6" i="2"/>
  <c r="W75" i="2"/>
  <c r="BC16" i="2"/>
  <c r="U83" i="2"/>
  <c r="DE20" i="2"/>
  <c r="BR20" i="2"/>
  <c r="BP20" i="2"/>
  <c r="U77" i="2"/>
  <c r="DE17" i="2"/>
  <c r="AZ3" i="2"/>
  <c r="E81" i="3"/>
  <c r="BM18" i="2"/>
  <c r="T79" i="2"/>
  <c r="CF18" i="2"/>
  <c r="BL18" i="2"/>
  <c r="F96" i="3"/>
  <c r="A35" i="3"/>
  <c r="A36" i="3"/>
  <c r="A37" i="3"/>
  <c r="A38" i="3"/>
  <c r="A39" i="3"/>
  <c r="A40" i="3"/>
  <c r="A41" i="3"/>
  <c r="A42" i="3"/>
  <c r="A43" i="3"/>
  <c r="A44" i="3"/>
  <c r="A45" i="3"/>
  <c r="DE11" i="2"/>
  <c r="U65" i="2"/>
  <c r="L4" i="3"/>
  <c r="L5" i="3"/>
  <c r="L6" i="3"/>
  <c r="S55" i="2"/>
  <c r="BM6" i="2"/>
  <c r="BC6" i="2"/>
  <c r="T77" i="2"/>
  <c r="BE17" i="2"/>
  <c r="BQ17" i="2"/>
  <c r="V53" i="2"/>
  <c r="W59" i="2"/>
  <c r="BR8" i="2"/>
  <c r="BE8" i="2"/>
  <c r="X49" i="2"/>
  <c r="U51" i="2"/>
  <c r="BC4" i="2"/>
  <c r="S69" i="2"/>
  <c r="I35" i="3"/>
  <c r="I36" i="3"/>
  <c r="I37" i="3"/>
  <c r="I38" i="3"/>
  <c r="I39" i="3"/>
  <c r="I40" i="3"/>
  <c r="BC13" i="2"/>
  <c r="BM13" i="2"/>
  <c r="AL13" i="2"/>
  <c r="AL15" i="2"/>
  <c r="BM15" i="2"/>
  <c r="A50" i="3"/>
  <c r="A51" i="3"/>
  <c r="A52" i="3"/>
  <c r="A53" i="3"/>
  <c r="A54" i="3"/>
  <c r="A55" i="3"/>
  <c r="A56" i="3"/>
  <c r="A57" i="3"/>
  <c r="A58" i="3"/>
  <c r="A59" i="3"/>
  <c r="A60" i="3"/>
  <c r="U61" i="2"/>
  <c r="DE9" i="2"/>
  <c r="BM5" i="2"/>
  <c r="S53" i="2"/>
  <c r="I4" i="3"/>
  <c r="I5" i="3"/>
  <c r="I6" i="3"/>
  <c r="I7" i="3"/>
  <c r="I8" i="3"/>
  <c r="AL9" i="2"/>
  <c r="S61" i="2"/>
  <c r="BC9" i="2"/>
  <c r="I20" i="3"/>
  <c r="I21" i="3"/>
  <c r="I22" i="3"/>
  <c r="I23" i="3"/>
  <c r="I24" i="3"/>
  <c r="I25" i="3"/>
  <c r="I26" i="3"/>
  <c r="T69" i="2"/>
  <c r="BE13" i="2"/>
  <c r="BP13" i="2"/>
  <c r="BL13" i="2"/>
  <c r="BM16" i="2"/>
  <c r="S75" i="2"/>
  <c r="F50" i="3"/>
  <c r="BM3" i="2"/>
  <c r="S49" i="2"/>
  <c r="AL10" i="2"/>
  <c r="S63" i="2"/>
  <c r="BC10" i="2"/>
  <c r="L20" i="3"/>
  <c r="L21" i="3"/>
  <c r="L22" i="3"/>
  <c r="L23" i="3"/>
  <c r="L24" i="3"/>
  <c r="L25" i="3"/>
  <c r="L26" i="3"/>
  <c r="L27" i="3"/>
  <c r="L28" i="3"/>
  <c r="L29" i="3"/>
  <c r="L30" i="3"/>
  <c r="U67" i="2"/>
  <c r="DE12" i="2"/>
  <c r="BC15" i="2"/>
  <c r="AZ13" i="2"/>
  <c r="E91" i="3"/>
  <c r="AL5" i="2"/>
  <c r="BC5" i="2"/>
  <c r="AL16" i="2"/>
  <c r="BM10" i="2"/>
  <c r="U63" i="2"/>
  <c r="BY10" i="2"/>
  <c r="DE10" i="2"/>
  <c r="BM12" i="2"/>
  <c r="L65" i="3"/>
  <c r="L66" i="3"/>
  <c r="L67" i="3"/>
  <c r="L68" i="3"/>
  <c r="L69" i="3"/>
  <c r="L70" i="3"/>
  <c r="L71" i="3"/>
  <c r="L72" i="3"/>
  <c r="L73" i="3"/>
  <c r="L74" i="3"/>
  <c r="L75" i="3"/>
  <c r="AL22" i="2"/>
  <c r="S87" i="2"/>
  <c r="BM22" i="2"/>
  <c r="S85" i="2"/>
  <c r="BM21" i="2"/>
  <c r="BC21" i="2"/>
  <c r="A20" i="3"/>
  <c r="A21" i="3"/>
  <c r="A22" i="3"/>
  <c r="A23" i="3"/>
  <c r="A24" i="3"/>
  <c r="BM7" i="2"/>
  <c r="S57" i="2"/>
  <c r="BC7" i="2"/>
  <c r="T83" i="2"/>
  <c r="BE20" i="2"/>
  <c r="BQ20" i="2"/>
  <c r="BL20" i="2"/>
  <c r="U81" i="2"/>
  <c r="DE19" i="2"/>
  <c r="U85" i="2"/>
  <c r="DE21" i="2"/>
  <c r="U73" i="2"/>
  <c r="DE15" i="2"/>
  <c r="S81" i="2"/>
  <c r="BC19" i="2"/>
  <c r="BM19" i="2"/>
  <c r="U75" i="2"/>
  <c r="CG16" i="2"/>
  <c r="DE16" i="2"/>
  <c r="T87" i="2"/>
  <c r="CE22" i="2"/>
  <c r="U55" i="2"/>
  <c r="DE6" i="2"/>
  <c r="AL4" i="2"/>
  <c r="S51" i="2"/>
  <c r="F4" i="3"/>
  <c r="F5" i="3"/>
  <c r="F6" i="3"/>
  <c r="F7" i="3"/>
  <c r="F8" i="3"/>
  <c r="F9" i="3"/>
  <c r="F10" i="3"/>
  <c r="F11" i="3"/>
  <c r="F12" i="3"/>
  <c r="F13" i="3"/>
  <c r="F14" i="3"/>
  <c r="U71" i="2"/>
  <c r="DE14" i="2"/>
  <c r="BI23" i="2"/>
  <c r="AX23" i="2"/>
  <c r="U49" i="2"/>
  <c r="DE3" i="2"/>
  <c r="BL15" i="2"/>
  <c r="AT15" i="2"/>
  <c r="BP15" i="2"/>
  <c r="AZ15" i="2"/>
  <c r="T73" i="2"/>
  <c r="BE15" i="2"/>
  <c r="T85" i="2"/>
  <c r="I50" i="3"/>
  <c r="I51" i="3"/>
  <c r="I52" i="3"/>
  <c r="I53" i="3"/>
  <c r="S77" i="2"/>
  <c r="AL17" i="2"/>
  <c r="BM17" i="2"/>
  <c r="T57" i="2"/>
  <c r="BQ7" i="2"/>
  <c r="T49" i="2"/>
  <c r="BR3" i="2"/>
  <c r="BQ3" i="2"/>
  <c r="BL3" i="2"/>
  <c r="BP3" i="2"/>
  <c r="S79" i="2"/>
  <c r="L50" i="3"/>
  <c r="L51" i="3"/>
  <c r="L52" i="3"/>
  <c r="L53" i="3"/>
  <c r="L54" i="3"/>
  <c r="L55" i="3"/>
  <c r="L56" i="3"/>
  <c r="L57" i="3"/>
  <c r="L58" i="3"/>
  <c r="L59" i="3"/>
  <c r="L60" i="3"/>
  <c r="I65" i="3"/>
  <c r="I66" i="3"/>
  <c r="I67" i="3"/>
  <c r="I68" i="3"/>
  <c r="I69" i="3"/>
  <c r="I70" i="3"/>
  <c r="I71" i="3"/>
  <c r="I72" i="3"/>
  <c r="I73" i="3"/>
  <c r="I74" i="3"/>
  <c r="I75" i="3"/>
  <c r="BE3" i="2"/>
  <c r="AL3" i="2"/>
  <c r="BC14" i="2"/>
  <c r="BC3" i="2"/>
  <c r="W49" i="2"/>
  <c r="V49" i="2"/>
  <c r="BC17" i="2"/>
  <c r="T59" i="2"/>
  <c r="CE8" i="2"/>
  <c r="AZ8" i="2"/>
  <c r="BQ8" i="2"/>
  <c r="BL8" i="2"/>
  <c r="BP8" i="2"/>
  <c r="T53" i="2"/>
  <c r="BQ5" i="2"/>
  <c r="BE5" i="2"/>
  <c r="BM20" i="2"/>
  <c r="F65" i="3"/>
  <c r="F66" i="3"/>
  <c r="F67" i="3"/>
  <c r="F68" i="3"/>
  <c r="F69" i="3"/>
  <c r="F70" i="3"/>
  <c r="F71" i="3"/>
  <c r="F72" i="3"/>
  <c r="S83" i="2"/>
  <c r="BC20" i="2"/>
  <c r="CG20" i="2"/>
  <c r="AL14" i="2"/>
  <c r="L35" i="3"/>
  <c r="L36" i="3"/>
  <c r="L37" i="3"/>
  <c r="L38" i="3"/>
  <c r="L39" i="3"/>
  <c r="L40" i="3"/>
  <c r="L41" i="3"/>
  <c r="L42" i="3"/>
  <c r="L43" i="3"/>
  <c r="L44" i="3"/>
  <c r="L45" i="3"/>
  <c r="S71" i="2"/>
  <c r="S65" i="2"/>
  <c r="BM11" i="2"/>
  <c r="BC11" i="2"/>
  <c r="AL11" i="2"/>
  <c r="T65" i="2"/>
  <c r="BR11" i="2"/>
  <c r="BQ11" i="2"/>
  <c r="BE11" i="2"/>
  <c r="BL11" i="2"/>
  <c r="AZ11" i="2"/>
  <c r="BP11" i="2"/>
  <c r="U53" i="2"/>
  <c r="DE5" i="2"/>
  <c r="BM4" i="2"/>
  <c r="BQ4" i="2"/>
  <c r="BE4" i="2"/>
  <c r="AZ4" i="2"/>
  <c r="T81" i="2"/>
  <c r="BE19" i="2"/>
  <c r="BP19" i="2"/>
  <c r="U69" i="2"/>
  <c r="DE13" i="2"/>
  <c r="CA18" i="2"/>
  <c r="AV18" i="2"/>
  <c r="CU18" i="2"/>
  <c r="BQ18" i="2"/>
  <c r="BS18" i="2"/>
  <c r="DE18" i="2"/>
  <c r="BE18" i="2"/>
  <c r="AZ18" i="2"/>
  <c r="AB18" i="2"/>
  <c r="BR18" i="2"/>
  <c r="CI18" i="2"/>
  <c r="BP18" i="2"/>
  <c r="DD21" i="2"/>
  <c r="AE21" i="2"/>
  <c r="BR21" i="2"/>
  <c r="AT21" i="2"/>
  <c r="AZ21" i="2"/>
  <c r="BL21" i="2"/>
  <c r="BE21" i="2"/>
  <c r="I70" i="2"/>
  <c r="I71" i="2"/>
  <c r="O22" i="2"/>
  <c r="AD22" i="2"/>
  <c r="BZ10" i="2"/>
  <c r="AE10" i="2"/>
  <c r="DD10" i="2"/>
  <c r="BE10" i="2"/>
  <c r="AF10" i="2"/>
  <c r="AG10" i="2"/>
  <c r="BQ10" i="2"/>
  <c r="BR10" i="2"/>
  <c r="BL10" i="2"/>
  <c r="AZ10" i="2"/>
  <c r="BP10" i="2"/>
  <c r="BP22" i="2"/>
  <c r="AT22" i="2"/>
  <c r="AZ22" i="2"/>
  <c r="BL22" i="2"/>
  <c r="AH22" i="2"/>
  <c r="BX22" i="2"/>
  <c r="DA22" i="2"/>
  <c r="BE22" i="2"/>
  <c r="CE11" i="2"/>
  <c r="CE18" i="2"/>
  <c r="BY18" i="2"/>
  <c r="CR14" i="2"/>
  <c r="AT14" i="2"/>
  <c r="BR14" i="2"/>
  <c r="BP14" i="2"/>
  <c r="BL14" i="2"/>
  <c r="BQ14" i="2"/>
  <c r="AF14" i="2"/>
  <c r="AG14" i="2"/>
  <c r="BE14" i="2"/>
  <c r="AZ14" i="2"/>
  <c r="BQ21" i="2"/>
  <c r="A66" i="3"/>
  <c r="AT16" i="2"/>
  <c r="AZ16" i="2"/>
  <c r="BL16" i="2"/>
  <c r="AA16" i="2"/>
  <c r="CR16" i="2"/>
  <c r="BE16" i="2"/>
  <c r="AF16" i="2"/>
  <c r="AG16" i="2"/>
  <c r="BP16" i="2"/>
  <c r="BP21" i="2"/>
  <c r="BR17" i="2"/>
  <c r="BP17" i="2"/>
  <c r="BL17" i="2"/>
  <c r="F95" i="3"/>
  <c r="BL7" i="2"/>
  <c r="F85" i="3"/>
  <c r="BO14" i="2"/>
  <c r="AA8" i="2"/>
  <c r="AF4" i="2"/>
  <c r="AG4" i="2"/>
  <c r="BR7" i="2"/>
  <c r="F51" i="3"/>
  <c r="G50" i="3"/>
  <c r="CA10" i="2"/>
  <c r="CF22" i="2"/>
  <c r="AE4" i="2"/>
  <c r="AF8" i="2"/>
  <c r="AG8" i="2"/>
  <c r="AT7" i="2"/>
  <c r="AB4" i="2"/>
  <c r="CF9" i="2"/>
  <c r="BZ17" i="2"/>
  <c r="BQ9" i="2"/>
  <c r="CG7" i="2"/>
  <c r="BZ4" i="2"/>
  <c r="BQ6" i="2"/>
  <c r="AZ9" i="2"/>
  <c r="E87" i="3"/>
  <c r="CA4" i="2"/>
  <c r="BS10" i="2"/>
  <c r="AZ6" i="2"/>
  <c r="AU6" i="2"/>
  <c r="BR9" i="2"/>
  <c r="BT9" i="2"/>
  <c r="B87" i="3"/>
  <c r="AZ7" i="2"/>
  <c r="E85" i="3"/>
  <c r="AV4" i="2"/>
  <c r="CI10" i="2"/>
  <c r="AE17" i="2"/>
  <c r="DD17" i="2"/>
  <c r="AF17" i="2"/>
  <c r="AG17" i="2"/>
  <c r="CU4" i="2"/>
  <c r="CU10" i="2"/>
  <c r="BP5" i="2"/>
  <c r="AA6" i="2"/>
  <c r="AC4" i="2"/>
  <c r="CE13" i="2"/>
  <c r="BW15" i="2"/>
  <c r="CG10" i="2"/>
  <c r="BT20" i="2"/>
  <c r="B98" i="3"/>
  <c r="AC10" i="2"/>
  <c r="AZ5" i="2"/>
  <c r="E83" i="3"/>
  <c r="BP6" i="2"/>
  <c r="BE9" i="2"/>
  <c r="AD5" i="2"/>
  <c r="AH5" i="2"/>
  <c r="DA5" i="2"/>
  <c r="DA6" i="2"/>
  <c r="AH6" i="2"/>
  <c r="AD6" i="2"/>
  <c r="BN20" i="2"/>
  <c r="E98" i="3"/>
  <c r="BW18" i="2"/>
  <c r="BY22" i="2"/>
  <c r="BZ22" i="2"/>
  <c r="BP4" i="2"/>
  <c r="BL4" i="2"/>
  <c r="BZ11" i="2"/>
  <c r="BE7" i="2"/>
  <c r="BW21" i="2"/>
  <c r="BL6" i="2"/>
  <c r="BF6" i="2"/>
  <c r="DE4" i="2"/>
  <c r="CI4" i="2"/>
  <c r="DD5" i="2"/>
  <c r="AF5" i="2"/>
  <c r="AG5" i="2"/>
  <c r="AE5" i="2"/>
  <c r="CR9" i="2"/>
  <c r="AA9" i="2"/>
  <c r="AE7" i="2"/>
  <c r="AA4" i="2"/>
  <c r="CR4" i="2"/>
  <c r="CX5" i="2"/>
  <c r="AC5" i="2"/>
  <c r="CX6" i="2"/>
  <c r="AC6" i="2"/>
  <c r="CX9" i="2"/>
  <c r="AC9" i="2"/>
  <c r="AH4" i="2"/>
  <c r="DA4" i="2"/>
  <c r="CH16" i="2"/>
  <c r="BX18" i="2"/>
  <c r="BW22" i="2"/>
  <c r="BR4" i="2"/>
  <c r="BO4" i="2"/>
  <c r="BR5" i="2"/>
  <c r="BT5" i="2"/>
  <c r="B83" i="3"/>
  <c r="BL5" i="2"/>
  <c r="F83" i="3"/>
  <c r="BP7" i="2"/>
  <c r="CH22" i="2"/>
  <c r="BY12" i="2"/>
  <c r="BR6" i="2"/>
  <c r="BT6" i="2"/>
  <c r="B84" i="3"/>
  <c r="BL9" i="2"/>
  <c r="F87" i="3"/>
  <c r="BP9" i="2"/>
  <c r="AA5" i="2"/>
  <c r="CR5" i="2"/>
  <c r="AF7" i="2"/>
  <c r="AG7" i="2"/>
  <c r="CR7" i="2"/>
  <c r="DD6" i="2"/>
  <c r="AF6" i="2"/>
  <c r="AG6" i="2"/>
  <c r="AH21" i="2"/>
  <c r="DA21" i="2"/>
  <c r="AB7" i="2"/>
  <c r="CI7" i="2"/>
  <c r="AV7" i="2"/>
  <c r="CU7" i="2"/>
  <c r="CA7" i="2"/>
  <c r="BS7" i="2"/>
  <c r="CF11" i="2"/>
  <c r="BY11" i="2"/>
  <c r="BX20" i="2"/>
  <c r="CG22" i="2"/>
  <c r="CE12" i="2"/>
  <c r="AU13" i="2"/>
  <c r="BX12" i="2"/>
  <c r="G36" i="3"/>
  <c r="CG14" i="2"/>
  <c r="CH10" i="2"/>
  <c r="CE9" i="2"/>
  <c r="CH14" i="2"/>
  <c r="BX10" i="2"/>
  <c r="BU10" i="2"/>
  <c r="AQ10" i="2"/>
  <c r="BF18" i="2"/>
  <c r="CF10" i="2"/>
  <c r="CG6" i="2"/>
  <c r="BY15" i="2"/>
  <c r="CF12" i="2"/>
  <c r="CH11" i="2"/>
  <c r="CH17" i="2"/>
  <c r="BW8" i="2"/>
  <c r="BW4" i="2"/>
  <c r="BO8" i="2"/>
  <c r="BZ8" i="2"/>
  <c r="CH4" i="2"/>
  <c r="BW3" i="2"/>
  <c r="BO7" i="2"/>
  <c r="BX6" i="2"/>
  <c r="BZ20" i="2"/>
  <c r="CE20" i="2"/>
  <c r="AU3" i="2"/>
  <c r="BY9" i="2"/>
  <c r="CG21" i="2"/>
  <c r="BO20" i="2"/>
  <c r="M43" i="3"/>
  <c r="BZ18" i="2"/>
  <c r="CH18" i="2"/>
  <c r="BW11" i="2"/>
  <c r="CG11" i="2"/>
  <c r="CF4" i="2"/>
  <c r="BO11" i="2"/>
  <c r="CH20" i="2"/>
  <c r="CE15" i="2"/>
  <c r="CF8" i="2"/>
  <c r="CG19" i="2"/>
  <c r="CE10" i="2"/>
  <c r="BZ15" i="2"/>
  <c r="CG9" i="2"/>
  <c r="BZ12" i="2"/>
  <c r="CF17" i="2"/>
  <c r="CE21" i="2"/>
  <c r="BT8" i="2"/>
  <c r="B86" i="3"/>
  <c r="CF14" i="2"/>
  <c r="BW14" i="2"/>
  <c r="CE14" i="2"/>
  <c r="CG18" i="2"/>
  <c r="BX11" i="2"/>
  <c r="B41" i="3"/>
  <c r="BF17" i="2"/>
  <c r="BN8" i="2"/>
  <c r="CB21" i="2"/>
  <c r="C99" i="3"/>
  <c r="BX8" i="2"/>
  <c r="BW12" i="2"/>
  <c r="CG3" i="2"/>
  <c r="BW16" i="2"/>
  <c r="CF21" i="2"/>
  <c r="BN19" i="2"/>
  <c r="BZ16" i="2"/>
  <c r="CH5" i="2"/>
  <c r="BN7" i="2"/>
  <c r="BT13" i="2"/>
  <c r="B91" i="3"/>
  <c r="BN13" i="2"/>
  <c r="BY16" i="2"/>
  <c r="BT7" i="2"/>
  <c r="B85" i="3"/>
  <c r="BF11" i="2"/>
  <c r="F89" i="3"/>
  <c r="CE5" i="2"/>
  <c r="BY6" i="2"/>
  <c r="CH6" i="2"/>
  <c r="BW6" i="2"/>
  <c r="CE6" i="2"/>
  <c r="BX16" i="2"/>
  <c r="CF16" i="2"/>
  <c r="CE16" i="2"/>
  <c r="I9" i="3"/>
  <c r="CH13" i="2"/>
  <c r="CG4" i="2"/>
  <c r="BY4" i="2"/>
  <c r="BX4" i="2"/>
  <c r="G9" i="3"/>
  <c r="CE4" i="2"/>
  <c r="E95" i="3"/>
  <c r="AU17" i="2"/>
  <c r="BZ6" i="2"/>
  <c r="CF5" i="2"/>
  <c r="BO19" i="2"/>
  <c r="E82" i="3"/>
  <c r="AU4" i="2"/>
  <c r="BN15" i="2"/>
  <c r="BT15" i="2"/>
  <c r="B93" i="3"/>
  <c r="BF13" i="2"/>
  <c r="F91" i="3"/>
  <c r="CG13" i="2"/>
  <c r="F21" i="3"/>
  <c r="BT12" i="2"/>
  <c r="B90" i="3"/>
  <c r="BN12" i="2"/>
  <c r="BO12" i="2"/>
  <c r="BY17" i="2"/>
  <c r="BX17" i="2"/>
  <c r="CE17" i="2"/>
  <c r="BW17" i="2"/>
  <c r="CF19" i="2"/>
  <c r="CH19" i="2"/>
  <c r="CE19" i="2"/>
  <c r="E89" i="3"/>
  <c r="AU11" i="2"/>
  <c r="CG5" i="2"/>
  <c r="BW5" i="2"/>
  <c r="CG17" i="2"/>
  <c r="CH3" i="2"/>
  <c r="CE3" i="2"/>
  <c r="BW13" i="2"/>
  <c r="BY13" i="2"/>
  <c r="BZ9" i="2"/>
  <c r="CH9" i="2"/>
  <c r="BW9" i="2"/>
  <c r="BX9" i="2"/>
  <c r="BN17" i="2"/>
  <c r="BT17" i="2"/>
  <c r="B95" i="3"/>
  <c r="BO17" i="2"/>
  <c r="L7" i="3"/>
  <c r="CF3" i="2"/>
  <c r="BW19" i="2"/>
  <c r="BY20" i="2"/>
  <c r="CF20" i="2"/>
  <c r="BW20" i="2"/>
  <c r="CF6" i="2"/>
  <c r="BN11" i="2"/>
  <c r="BT11" i="2"/>
  <c r="B89" i="3"/>
  <c r="BO5" i="2"/>
  <c r="BN5" i="2"/>
  <c r="BF8" i="2"/>
  <c r="F86" i="3"/>
  <c r="E86" i="3"/>
  <c r="AU8" i="2"/>
  <c r="F81" i="3"/>
  <c r="BF3" i="2"/>
  <c r="E93" i="3"/>
  <c r="AU15" i="2"/>
  <c r="BF15" i="2"/>
  <c r="F93" i="3"/>
  <c r="BY8" i="2"/>
  <c r="G20" i="3"/>
  <c r="CH8" i="2"/>
  <c r="CH15" i="2"/>
  <c r="CG12" i="2"/>
  <c r="CF13" i="2"/>
  <c r="BX13" i="2"/>
  <c r="BZ13" i="2"/>
  <c r="CE7" i="2"/>
  <c r="CF7" i="2"/>
  <c r="CH21" i="2"/>
  <c r="CH12" i="2"/>
  <c r="E90" i="3"/>
  <c r="AU12" i="2"/>
  <c r="BN9" i="2"/>
  <c r="AU19" i="2"/>
  <c r="BF19" i="2"/>
  <c r="BT4" i="2"/>
  <c r="B82" i="3"/>
  <c r="BN4" i="2"/>
  <c r="BN3" i="2"/>
  <c r="BT3" i="2"/>
  <c r="B81" i="3"/>
  <c r="BO3" i="2"/>
  <c r="I54" i="3"/>
  <c r="I55" i="3"/>
  <c r="I56" i="3"/>
  <c r="BX15" i="2"/>
  <c r="CG15" i="2"/>
  <c r="CG8" i="2"/>
  <c r="CD10" i="2"/>
  <c r="CF15" i="2"/>
  <c r="F98" i="3"/>
  <c r="BF20" i="2"/>
  <c r="BW7" i="2"/>
  <c r="CH7" i="2"/>
  <c r="BW10" i="2"/>
  <c r="F90" i="3"/>
  <c r="BF12" i="2"/>
  <c r="BN10" i="2"/>
  <c r="BT10" i="2"/>
  <c r="B88" i="3"/>
  <c r="BO10" i="2"/>
  <c r="BF16" i="2"/>
  <c r="F94" i="3"/>
  <c r="A67" i="3"/>
  <c r="BN14" i="2"/>
  <c r="BT14" i="2"/>
  <c r="B92" i="3"/>
  <c r="AU22" i="2"/>
  <c r="E100" i="3"/>
  <c r="F73" i="3"/>
  <c r="BO21" i="2"/>
  <c r="BN21" i="2"/>
  <c r="BT21" i="2"/>
  <c r="B99" i="3"/>
  <c r="AU16" i="2"/>
  <c r="E94" i="3"/>
  <c r="I27" i="3"/>
  <c r="M65" i="3"/>
  <c r="M68" i="3"/>
  <c r="M67" i="3"/>
  <c r="M74" i="3"/>
  <c r="M72" i="3"/>
  <c r="M70" i="3"/>
  <c r="M71" i="3"/>
  <c r="M66" i="3"/>
  <c r="AU14" i="2"/>
  <c r="E92" i="3"/>
  <c r="BN22" i="2"/>
  <c r="BT22" i="2"/>
  <c r="B100" i="3"/>
  <c r="F99" i="3"/>
  <c r="BF21" i="2"/>
  <c r="J66" i="3"/>
  <c r="J67" i="3"/>
  <c r="J64" i="3"/>
  <c r="J68" i="3"/>
  <c r="J73" i="3"/>
  <c r="J65" i="3"/>
  <c r="J74" i="3"/>
  <c r="J71" i="3"/>
  <c r="J72" i="3"/>
  <c r="BN16" i="2"/>
  <c r="BT16" i="2"/>
  <c r="B94" i="3"/>
  <c r="F37" i="3"/>
  <c r="I41" i="3"/>
  <c r="CD11" i="2"/>
  <c r="E99" i="3"/>
  <c r="AU21" i="2"/>
  <c r="BT18" i="2"/>
  <c r="B96" i="3"/>
  <c r="BO18" i="2"/>
  <c r="BN18" i="2"/>
  <c r="F92" i="3"/>
  <c r="BF14" i="2"/>
  <c r="AU10" i="2"/>
  <c r="E88" i="3"/>
  <c r="CD18" i="2"/>
  <c r="CC18" i="2"/>
  <c r="BF22" i="2"/>
  <c r="F100" i="3"/>
  <c r="F88" i="3"/>
  <c r="BF10" i="2"/>
  <c r="M23" i="3"/>
  <c r="A6" i="3"/>
  <c r="A25" i="3"/>
  <c r="E96" i="3"/>
  <c r="AU18" i="2"/>
  <c r="CJ22" i="2"/>
  <c r="D100" i="3"/>
  <c r="BF7" i="2"/>
  <c r="CJ12" i="2"/>
  <c r="D90" i="3"/>
  <c r="BU22" i="2"/>
  <c r="AQ22" i="2"/>
  <c r="AI22" i="2"/>
  <c r="BO6" i="2"/>
  <c r="CB22" i="2"/>
  <c r="C100" i="3"/>
  <c r="CV23" i="2"/>
  <c r="BU21" i="2"/>
  <c r="AQ21" i="2"/>
  <c r="AI21" i="2"/>
  <c r="CC16" i="2"/>
  <c r="G34" i="3"/>
  <c r="BU18" i="2"/>
  <c r="F52" i="3"/>
  <c r="G51" i="3"/>
  <c r="AU9" i="2"/>
  <c r="E84" i="3"/>
  <c r="AW23" i="2"/>
  <c r="CB4" i="2"/>
  <c r="C82" i="3"/>
  <c r="B45" i="3"/>
  <c r="CJ10" i="2"/>
  <c r="D88" i="3"/>
  <c r="B35" i="3"/>
  <c r="CB18" i="2"/>
  <c r="C96" i="3"/>
  <c r="CJ21" i="2"/>
  <c r="D99" i="3"/>
  <c r="BO9" i="2"/>
  <c r="BV18" i="2"/>
  <c r="M49" i="3"/>
  <c r="CC21" i="2"/>
  <c r="BN6" i="2"/>
  <c r="M38" i="3"/>
  <c r="CD14" i="2"/>
  <c r="G19" i="3"/>
  <c r="CJ18" i="2"/>
  <c r="D96" i="3"/>
  <c r="M30" i="3"/>
  <c r="M51" i="3"/>
  <c r="AQ18" i="2"/>
  <c r="AI18" i="2"/>
  <c r="AU7" i="2"/>
  <c r="M50" i="3"/>
  <c r="M52" i="3"/>
  <c r="CC14" i="2"/>
  <c r="CC11" i="2"/>
  <c r="DE23" i="2"/>
  <c r="BF9" i="2"/>
  <c r="CS23" i="2"/>
  <c r="DB23" i="2"/>
  <c r="F84" i="3"/>
  <c r="BF5" i="2"/>
  <c r="BM23" i="2"/>
  <c r="BF4" i="2"/>
  <c r="F82" i="3"/>
  <c r="BA23" i="2"/>
  <c r="AU5" i="2"/>
  <c r="J75" i="3"/>
  <c r="J70" i="3"/>
  <c r="J69" i="3"/>
  <c r="CC20" i="2"/>
  <c r="CC22" i="2"/>
  <c r="K1" i="1"/>
  <c r="M64" i="3"/>
  <c r="BV22" i="2"/>
  <c r="AN22" i="2"/>
  <c r="M69" i="3"/>
  <c r="M75" i="3"/>
  <c r="M73" i="3"/>
  <c r="CJ11" i="2"/>
  <c r="D89" i="3"/>
  <c r="CD22" i="2"/>
  <c r="CY23" i="2"/>
  <c r="B24" i="3"/>
  <c r="B3" i="3"/>
  <c r="CD19" i="2"/>
  <c r="BV12" i="2"/>
  <c r="J26" i="3"/>
  <c r="M29" i="3"/>
  <c r="M24" i="3"/>
  <c r="M19" i="3"/>
  <c r="CB10" i="2"/>
  <c r="C88" i="3"/>
  <c r="BU11" i="2"/>
  <c r="AQ11" i="2"/>
  <c r="AI11" i="2"/>
  <c r="M37" i="3"/>
  <c r="B38" i="3"/>
  <c r="B37" i="3"/>
  <c r="M25" i="3"/>
  <c r="M22" i="3"/>
  <c r="M27" i="3"/>
  <c r="M44" i="3"/>
  <c r="CJ14" i="2"/>
  <c r="D92" i="3"/>
  <c r="B36" i="3"/>
  <c r="B42" i="3"/>
  <c r="CB11" i="2"/>
  <c r="C89" i="3"/>
  <c r="M4" i="3"/>
  <c r="CJ4" i="2"/>
  <c r="D82" i="3"/>
  <c r="BV10" i="2"/>
  <c r="AN10" i="2"/>
  <c r="G35" i="3"/>
  <c r="M26" i="3"/>
  <c r="M28" i="3"/>
  <c r="M20" i="3"/>
  <c r="M21" i="3"/>
  <c r="BV11" i="2"/>
  <c r="M39" i="3"/>
  <c r="B39" i="3"/>
  <c r="B44" i="3"/>
  <c r="CC10" i="2"/>
  <c r="AI10" i="2"/>
  <c r="CB12" i="2"/>
  <c r="C90" i="3"/>
  <c r="BU12" i="2"/>
  <c r="AQ12" i="2"/>
  <c r="AI12" i="2"/>
  <c r="CJ16" i="2"/>
  <c r="D94" i="3"/>
  <c r="M35" i="3"/>
  <c r="G6" i="3"/>
  <c r="G13" i="3"/>
  <c r="G4" i="3"/>
  <c r="G10" i="3"/>
  <c r="G5" i="3"/>
  <c r="BU4" i="2"/>
  <c r="AQ4" i="2"/>
  <c r="AI4" i="2"/>
  <c r="M6" i="3"/>
  <c r="G11" i="3"/>
  <c r="CJ6" i="2"/>
  <c r="D84" i="3"/>
  <c r="G7" i="3"/>
  <c r="G8" i="3"/>
  <c r="G3" i="3"/>
  <c r="BV4" i="2"/>
  <c r="CJ8" i="2"/>
  <c r="D86" i="3"/>
  <c r="BU7" i="2"/>
  <c r="AQ7" i="2"/>
  <c r="AI7" i="2"/>
  <c r="G12" i="3"/>
  <c r="G14" i="3"/>
  <c r="CD4" i="2"/>
  <c r="CJ7" i="2"/>
  <c r="D85" i="3"/>
  <c r="B66" i="3"/>
  <c r="CD16" i="2"/>
  <c r="M41" i="3"/>
  <c r="CB14" i="2"/>
  <c r="C92" i="3"/>
  <c r="CB8" i="2"/>
  <c r="C86" i="3"/>
  <c r="B21" i="3"/>
  <c r="CC19" i="2"/>
  <c r="CC6" i="2"/>
  <c r="CC9" i="2"/>
  <c r="CD9" i="2"/>
  <c r="CB3" i="2"/>
  <c r="C81" i="3"/>
  <c r="CC4" i="2"/>
  <c r="M40" i="3"/>
  <c r="M34" i="3"/>
  <c r="BU15" i="2"/>
  <c r="AQ15" i="2"/>
  <c r="AI15" i="2"/>
  <c r="CD3" i="2"/>
  <c r="B23" i="3"/>
  <c r="B20" i="3"/>
  <c r="B22" i="3"/>
  <c r="B34" i="3"/>
  <c r="B40" i="3"/>
  <c r="B43" i="3"/>
  <c r="CB7" i="2"/>
  <c r="C85" i="3"/>
  <c r="B19" i="3"/>
  <c r="M36" i="3"/>
  <c r="M42" i="3"/>
  <c r="M45" i="3"/>
  <c r="BU14" i="2"/>
  <c r="AQ14" i="2"/>
  <c r="AI14" i="2"/>
  <c r="B5" i="3"/>
  <c r="CD20" i="2"/>
  <c r="CC3" i="2"/>
  <c r="CC17" i="2"/>
  <c r="CC13" i="2"/>
  <c r="M5" i="3"/>
  <c r="CB13" i="2"/>
  <c r="C91" i="3"/>
  <c r="J37" i="3"/>
  <c r="J39" i="3"/>
  <c r="J34" i="3"/>
  <c r="CJ13" i="2"/>
  <c r="D91" i="3"/>
  <c r="J35" i="3"/>
  <c r="J36" i="3"/>
  <c r="BV20" i="2"/>
  <c r="BU20" i="2"/>
  <c r="AQ20" i="2"/>
  <c r="AI20" i="2"/>
  <c r="CB20" i="2"/>
  <c r="C98" i="3"/>
  <c r="G71" i="3"/>
  <c r="G70" i="3"/>
  <c r="J20" i="3"/>
  <c r="CJ9" i="2"/>
  <c r="D87" i="3"/>
  <c r="J24" i="3"/>
  <c r="CB9" i="2"/>
  <c r="C87" i="3"/>
  <c r="J23" i="3"/>
  <c r="J21" i="3"/>
  <c r="J22" i="3"/>
  <c r="J25" i="3"/>
  <c r="BV13" i="2"/>
  <c r="BU13" i="2"/>
  <c r="AQ13" i="2"/>
  <c r="AI13" i="2"/>
  <c r="CC8" i="2"/>
  <c r="CD8" i="2"/>
  <c r="CD7" i="2"/>
  <c r="CC7" i="2"/>
  <c r="CC5" i="2"/>
  <c r="CD5" i="2"/>
  <c r="G69" i="3"/>
  <c r="CB6" i="2"/>
  <c r="C84" i="3"/>
  <c r="F22" i="3"/>
  <c r="G21" i="3"/>
  <c r="J19" i="3"/>
  <c r="G65" i="3"/>
  <c r="CD13" i="2"/>
  <c r="G67" i="3"/>
  <c r="B64" i="3"/>
  <c r="J40" i="3"/>
  <c r="BV16" i="2"/>
  <c r="CB16" i="2"/>
  <c r="C94" i="3"/>
  <c r="CD15" i="2"/>
  <c r="CC15" i="2"/>
  <c r="CD12" i="2"/>
  <c r="CC12" i="2"/>
  <c r="CJ5" i="2"/>
  <c r="D83" i="3"/>
  <c r="J7" i="3"/>
  <c r="J3" i="3"/>
  <c r="J5" i="3"/>
  <c r="J4" i="3"/>
  <c r="CB5" i="2"/>
  <c r="C83" i="3"/>
  <c r="J6" i="3"/>
  <c r="BU3" i="2"/>
  <c r="AQ3" i="2"/>
  <c r="AI3" i="2"/>
  <c r="CJ20" i="2"/>
  <c r="D98" i="3"/>
  <c r="J9" i="3"/>
  <c r="I10" i="3"/>
  <c r="I11" i="3"/>
  <c r="I12" i="3"/>
  <c r="I13" i="3"/>
  <c r="CD6" i="2"/>
  <c r="B4" i="3"/>
  <c r="CD17" i="2"/>
  <c r="J56" i="3"/>
  <c r="I57" i="3"/>
  <c r="I58" i="3"/>
  <c r="BU17" i="2"/>
  <c r="AQ17" i="2"/>
  <c r="AI17" i="2"/>
  <c r="BV17" i="2"/>
  <c r="BU9" i="2"/>
  <c r="AQ9" i="2"/>
  <c r="AI9" i="2"/>
  <c r="G68" i="3"/>
  <c r="B65" i="3"/>
  <c r="G72" i="3"/>
  <c r="J53" i="3"/>
  <c r="BU8" i="2"/>
  <c r="AQ8" i="2"/>
  <c r="AI8" i="2"/>
  <c r="BV8" i="2"/>
  <c r="CD21" i="2"/>
  <c r="BU16" i="2"/>
  <c r="AQ16" i="2"/>
  <c r="AI16" i="2"/>
  <c r="AN21" i="2"/>
  <c r="BV15" i="2"/>
  <c r="CB15" i="2"/>
  <c r="C93" i="3"/>
  <c r="B51" i="3"/>
  <c r="B50" i="3"/>
  <c r="B59" i="3"/>
  <c r="B53" i="3"/>
  <c r="B49" i="3"/>
  <c r="B60" i="3"/>
  <c r="B56" i="3"/>
  <c r="B55" i="3"/>
  <c r="B52" i="3"/>
  <c r="B58" i="3"/>
  <c r="CJ15" i="2"/>
  <c r="D93" i="3"/>
  <c r="B57" i="3"/>
  <c r="B54" i="3"/>
  <c r="J38" i="3"/>
  <c r="M7" i="3"/>
  <c r="L8" i="3"/>
  <c r="BU19" i="2"/>
  <c r="AQ19" i="2"/>
  <c r="AI19" i="2"/>
  <c r="BV19" i="2"/>
  <c r="M3" i="3"/>
  <c r="CB17" i="2"/>
  <c r="C95" i="3"/>
  <c r="J49" i="3"/>
  <c r="J55" i="3"/>
  <c r="J50" i="3"/>
  <c r="CJ17" i="2"/>
  <c r="D95" i="3"/>
  <c r="J51" i="3"/>
  <c r="J54" i="3"/>
  <c r="J52" i="3"/>
  <c r="S37" i="3"/>
  <c r="BV9" i="2"/>
  <c r="G66" i="3"/>
  <c r="J8" i="3"/>
  <c r="BU6" i="2"/>
  <c r="AQ6" i="2"/>
  <c r="AI6" i="2"/>
  <c r="BV6" i="2"/>
  <c r="BU5" i="2"/>
  <c r="AQ5" i="2"/>
  <c r="AI5" i="2"/>
  <c r="CJ3" i="2"/>
  <c r="D81" i="3"/>
  <c r="G64" i="3"/>
  <c r="S72" i="3"/>
  <c r="S26" i="3"/>
  <c r="I42" i="3"/>
  <c r="J41" i="3"/>
  <c r="I28" i="3"/>
  <c r="J27" i="3"/>
  <c r="F74" i="3"/>
  <c r="G73" i="3"/>
  <c r="B25" i="3"/>
  <c r="A26" i="3"/>
  <c r="A7" i="3"/>
  <c r="M53" i="3"/>
  <c r="B6" i="3"/>
  <c r="G37" i="3"/>
  <c r="F38" i="3"/>
  <c r="S70" i="3"/>
  <c r="B67" i="3"/>
  <c r="A68" i="3"/>
  <c r="S56" i="3"/>
  <c r="S35" i="3"/>
  <c r="S52" i="3"/>
  <c r="F53" i="3"/>
  <c r="G52" i="3"/>
  <c r="AN18" i="2"/>
  <c r="S10" i="3"/>
  <c r="S6" i="3"/>
  <c r="S4" i="3"/>
  <c r="J57" i="3"/>
  <c r="AN4" i="2"/>
  <c r="S41" i="3"/>
  <c r="AN14" i="2"/>
  <c r="AN11" i="2"/>
  <c r="AN8" i="2"/>
  <c r="S50" i="3"/>
  <c r="AN16" i="2"/>
  <c r="S20" i="3"/>
  <c r="AN12" i="2"/>
  <c r="S8" i="3"/>
  <c r="S22" i="3"/>
  <c r="AN7" i="2"/>
  <c r="J10" i="3"/>
  <c r="AN5" i="2"/>
  <c r="S54" i="3"/>
  <c r="AN17" i="2"/>
  <c r="S24" i="3"/>
  <c r="AN15" i="2"/>
  <c r="J12" i="3"/>
  <c r="AN13" i="2"/>
  <c r="S39" i="3"/>
  <c r="F23" i="3"/>
  <c r="G22" i="3"/>
  <c r="AN20" i="2"/>
  <c r="AN6" i="2"/>
  <c r="AN9" i="2"/>
  <c r="AN19" i="2"/>
  <c r="I59" i="3"/>
  <c r="J58" i="3"/>
  <c r="J11" i="3"/>
  <c r="L9" i="3"/>
  <c r="M8" i="3"/>
  <c r="I14" i="3"/>
  <c r="J14" i="3"/>
  <c r="J13" i="3"/>
  <c r="AN3" i="2"/>
  <c r="S68" i="3"/>
  <c r="B26" i="3"/>
  <c r="A27" i="3"/>
  <c r="I29" i="3"/>
  <c r="J28" i="3"/>
  <c r="A69" i="3"/>
  <c r="B68" i="3"/>
  <c r="B7" i="3"/>
  <c r="A8" i="3"/>
  <c r="M54" i="3"/>
  <c r="F39" i="3"/>
  <c r="G38" i="3"/>
  <c r="F75" i="3"/>
  <c r="G75" i="3"/>
  <c r="G74" i="3"/>
  <c r="I43" i="3"/>
  <c r="J42" i="3"/>
  <c r="F54" i="3"/>
  <c r="G53" i="3"/>
  <c r="L10" i="3"/>
  <c r="M9" i="3"/>
  <c r="F24" i="3"/>
  <c r="G23" i="3"/>
  <c r="J59" i="3"/>
  <c r="I60" i="3"/>
  <c r="J60" i="3"/>
  <c r="A70" i="3"/>
  <c r="B69" i="3"/>
  <c r="B27" i="3"/>
  <c r="A28" i="3"/>
  <c r="F40" i="3"/>
  <c r="G39" i="3"/>
  <c r="I30" i="3"/>
  <c r="J30" i="3"/>
  <c r="J29" i="3"/>
  <c r="B8" i="3"/>
  <c r="A9" i="3"/>
  <c r="M55" i="3"/>
  <c r="J43" i="3"/>
  <c r="I44" i="3"/>
  <c r="F55" i="3"/>
  <c r="G54" i="3"/>
  <c r="F25" i="3"/>
  <c r="G24" i="3"/>
  <c r="L11" i="3"/>
  <c r="M10" i="3"/>
  <c r="J44" i="3"/>
  <c r="I45" i="3"/>
  <c r="J45" i="3"/>
  <c r="B70" i="3"/>
  <c r="A71" i="3"/>
  <c r="A10" i="3"/>
  <c r="M56" i="3"/>
  <c r="B9" i="3"/>
  <c r="G40" i="3"/>
  <c r="F41" i="3"/>
  <c r="A29" i="3"/>
  <c r="B28" i="3"/>
  <c r="F56" i="3"/>
  <c r="G55" i="3"/>
  <c r="L12" i="3"/>
  <c r="M11" i="3"/>
  <c r="F26" i="3"/>
  <c r="G25" i="3"/>
  <c r="A11" i="3"/>
  <c r="M57" i="3"/>
  <c r="B10" i="3"/>
  <c r="B29" i="3"/>
  <c r="A30" i="3"/>
  <c r="B30" i="3"/>
  <c r="A72" i="3"/>
  <c r="B71" i="3"/>
  <c r="G41" i="3"/>
  <c r="F42" i="3"/>
  <c r="F57" i="3"/>
  <c r="G56" i="3"/>
  <c r="G26" i="3"/>
  <c r="F27" i="3"/>
  <c r="L13" i="3"/>
  <c r="M12" i="3"/>
  <c r="G42" i="3"/>
  <c r="F43" i="3"/>
  <c r="A73" i="3"/>
  <c r="B72" i="3"/>
  <c r="B11" i="3"/>
  <c r="A12" i="3"/>
  <c r="M58" i="3"/>
  <c r="F58" i="3"/>
  <c r="G57" i="3"/>
  <c r="L14" i="3"/>
  <c r="M14" i="3"/>
  <c r="M13" i="3"/>
  <c r="F28" i="3"/>
  <c r="G27" i="3"/>
  <c r="B12" i="3"/>
  <c r="A13" i="3"/>
  <c r="M59" i="3"/>
  <c r="G43" i="3"/>
  <c r="F44" i="3"/>
  <c r="A74" i="3"/>
  <c r="B73" i="3"/>
  <c r="F59" i="3"/>
  <c r="G58" i="3"/>
  <c r="F29" i="3"/>
  <c r="G28" i="3"/>
  <c r="B13" i="3"/>
  <c r="A14" i="3"/>
  <c r="B74" i="3"/>
  <c r="A75" i="3"/>
  <c r="B75" i="3"/>
  <c r="F45" i="3"/>
  <c r="G45" i="3"/>
  <c r="G44" i="3"/>
  <c r="F60" i="3"/>
  <c r="G60" i="3"/>
  <c r="G59" i="3"/>
  <c r="B14" i="3"/>
  <c r="M60" i="3"/>
  <c r="G29" i="3"/>
  <c r="F30" i="3"/>
  <c r="G30" i="3"/>
</calcChain>
</file>

<file path=xl/sharedStrings.xml><?xml version="1.0" encoding="utf-8"?>
<sst xmlns="http://schemas.openxmlformats.org/spreadsheetml/2006/main" count="639" uniqueCount="175">
  <si>
    <t>Dose</t>
  </si>
  <si>
    <t>Signal</t>
  </si>
  <si>
    <t>nrun</t>
  </si>
  <si>
    <t>ndisk</t>
  </si>
  <si>
    <t>N</t>
  </si>
  <si>
    <t>TD2</t>
  </si>
  <si>
    <t>TD3</t>
  </si>
  <si>
    <t>TD4</t>
  </si>
  <si>
    <t>TD5</t>
  </si>
  <si>
    <t>Weighting Factors for Saturating Exponential:</t>
  </si>
  <si>
    <t>Flag #2</t>
  </si>
  <si>
    <t>TD</t>
  </si>
  <si>
    <t>Maximum Iterations/Cycle:</t>
  </si>
  <si>
    <t>***t determined at 0.1 to get same analytical errors as calculated by TLAPPLIC</t>
  </si>
  <si>
    <t>MANUAL WEIGHT FACTORS:</t>
  </si>
  <si>
    <t>Flag #1</t>
  </si>
  <si>
    <t>(+/-)***</t>
  </si>
  <si>
    <t>The Data In</t>
  </si>
  <si>
    <t>This Column</t>
  </si>
  <si>
    <t>Are Only</t>
  </si>
  <si>
    <t>Used For</t>
  </si>
  <si>
    <t>Exponential</t>
  </si>
  <si>
    <t>Average =</t>
  </si>
  <si>
    <t>File Name:</t>
  </si>
  <si>
    <t>REGEN1'/1</t>
  </si>
  <si>
    <t>TD1</t>
  </si>
  <si>
    <t>R-squared</t>
  </si>
  <si>
    <t>c</t>
  </si>
  <si>
    <t>TD6</t>
  </si>
  <si>
    <t>Flag #3</t>
  </si>
  <si>
    <t>Warning</t>
  </si>
  <si>
    <t>Flag</t>
  </si>
  <si>
    <t>Manual</t>
  </si>
  <si>
    <t>Weighting</t>
  </si>
  <si>
    <t>K</t>
  </si>
  <si>
    <t>b</t>
  </si>
  <si>
    <t>s =</t>
  </si>
  <si>
    <t>Probability =</t>
  </si>
  <si>
    <r>
      <t>a</t>
    </r>
    <r>
      <rPr>
        <sz val="9"/>
        <rFont val="Times"/>
        <family val="1"/>
      </rPr>
      <t xml:space="preserve"> =</t>
    </r>
  </si>
  <si>
    <t>(two tailed t)</t>
  </si>
  <si>
    <t>LINEAR REGRESSION</t>
  </si>
  <si>
    <t>Intercept</t>
  </si>
  <si>
    <t>Slope</t>
  </si>
  <si>
    <t>(+/-)</t>
  </si>
  <si>
    <t>a</t>
  </si>
  <si>
    <t xml:space="preserve">y=ax^2+bx+c or 0=ax^2+bx+c-natural </t>
  </si>
  <si>
    <t>DOSE^2 =</t>
  </si>
  <si>
    <t>Total =</t>
  </si>
  <si>
    <t>of Signal Error</t>
  </si>
  <si>
    <t>Sum of Squares</t>
  </si>
  <si>
    <t>Last Macro Row:</t>
  </si>
  <si>
    <t>First Macro Row:</t>
  </si>
  <si>
    <t xml:space="preserve"> </t>
  </si>
  <si>
    <t>Values must be between 3 and 22.</t>
  </si>
  <si>
    <t>"Last" must be =&gt; "First"</t>
  </si>
  <si>
    <t>Bkgnd Key:</t>
  </si>
  <si>
    <t>Dose (sec)</t>
  </si>
  <si>
    <t>Pk-bkgnd</t>
  </si>
  <si>
    <t>Run Date:</t>
  </si>
  <si>
    <t>g (Linear)</t>
  </si>
  <si>
    <t>NATURAL AND REGENERATIVE DOSES, OSL NORMALIZED TO TD1 OSL</t>
  </si>
  <si>
    <t>E.D./Regen3</t>
  </si>
  <si>
    <r>
      <t>n</t>
    </r>
    <r>
      <rPr>
        <b/>
        <sz val="9"/>
        <rFont val="Symbol"/>
        <family val="1"/>
      </rPr>
      <t>s</t>
    </r>
    <r>
      <rPr>
        <b/>
        <sz val="9"/>
        <rFont val="Times New Roman"/>
        <family val="1"/>
      </rPr>
      <t xml:space="preserve"> (Cnt.Err.)</t>
    </r>
  </si>
  <si>
    <t>Regen1/1'</t>
  </si>
  <si>
    <t>TD/Tdcalc</t>
  </si>
  <si>
    <t>TD Signal</t>
  </si>
  <si>
    <t>Recov. Regen2</t>
  </si>
  <si>
    <t>(Applied)</t>
  </si>
  <si>
    <t>Disk #</t>
  </si>
  <si>
    <t>De (Gy)</t>
  </si>
  <si>
    <t>% Error</t>
  </si>
  <si>
    <t>De</t>
  </si>
  <si>
    <t>Linear</t>
  </si>
  <si>
    <t>sse =</t>
  </si>
  <si>
    <t>Enter a Zero to NOT Calculate Saturating Exponential plus Linear:</t>
  </si>
  <si>
    <r>
      <t>D</t>
    </r>
    <r>
      <rPr>
        <b/>
        <vertAlign val="subscript"/>
        <sz val="9"/>
        <rFont val="Times"/>
        <family val="1"/>
      </rPr>
      <t>e</t>
    </r>
    <r>
      <rPr>
        <b/>
        <sz val="9"/>
        <rFont val="Times"/>
        <family val="1"/>
      </rPr>
      <t xml:space="preserve"> (Gy)</t>
    </r>
  </si>
  <si>
    <t>SATURATING EXPONENTIAL</t>
  </si>
  <si>
    <t>SATURATING EXPONENTIAL PLUS LINEAR</t>
  </si>
  <si>
    <t>Sum of Squares of Errors Data:</t>
  </si>
  <si>
    <t>Sat Exp.</t>
  </si>
  <si>
    <t>Sat. Exp. + Lin</t>
  </si>
  <si>
    <t>Recuperation</t>
  </si>
  <si>
    <t>(% of Nat)</t>
  </si>
  <si>
    <t>Ultrafast</t>
  </si>
  <si>
    <t>Detection</t>
  </si>
  <si>
    <t>Calculate Intercept for Linear Regression (TRUE/FALSE) ?</t>
  </si>
  <si>
    <t>Plots &amp; IR</t>
  </si>
  <si>
    <r>
      <t>CHOSEN FUNCTION</t>
    </r>
    <r>
      <rPr>
        <b/>
        <sz val="9"/>
        <color indexed="10"/>
        <rFont val="Times"/>
        <family val="1"/>
      </rPr>
      <t>*****</t>
    </r>
  </si>
  <si>
    <t>*****</t>
  </si>
  <si>
    <t>DO NOT USE SATURATING PLUS LINEAR IF De EXCEEDS REGEN3 BY EVEN A SMALL AMOUNT!!!!</t>
  </si>
  <si>
    <t>(Recycling)</t>
  </si>
  <si>
    <t>1st disk =</t>
  </si>
  <si>
    <t>want &gt;20</t>
  </si>
  <si>
    <t>Fast Ratio (N)</t>
  </si>
  <si>
    <t>De error</t>
  </si>
  <si>
    <t>Do not use fit 4 - Satuation Exponentail plus linear if N is close to Regen 3</t>
  </si>
  <si>
    <t>Wt=0: discard</t>
  </si>
  <si>
    <t>Wt=1: keep</t>
  </si>
  <si>
    <t>Sample#</t>
  </si>
  <si>
    <r>
      <t>D</t>
    </r>
    <r>
      <rPr>
        <b/>
        <vertAlign val="subscript"/>
        <sz val="9"/>
        <color indexed="8"/>
        <rFont val="Times"/>
        <family val="1"/>
      </rPr>
      <t>e</t>
    </r>
    <r>
      <rPr>
        <b/>
        <sz val="9"/>
        <color indexed="8"/>
        <rFont val="Times"/>
        <family val="1"/>
      </rPr>
      <t xml:space="preserve"> (Gy)</t>
    </r>
  </si>
  <si>
    <t>Calibraton:</t>
  </si>
  <si>
    <t>grays/sec</t>
  </si>
  <si>
    <t xml:space="preserve">Dose-Rate </t>
  </si>
  <si>
    <t>Calib. Date</t>
  </si>
  <si>
    <t>holenum</t>
  </si>
  <si>
    <t>Name</t>
  </si>
  <si>
    <t>GS</t>
  </si>
  <si>
    <t>165-250</t>
  </si>
  <si>
    <t>1s</t>
  </si>
  <si>
    <t>R1</t>
  </si>
  <si>
    <t>R2</t>
  </si>
  <si>
    <t>R3</t>
  </si>
  <si>
    <t>Blank</t>
  </si>
  <si>
    <t>R1'</t>
  </si>
  <si>
    <t>Blk</t>
  </si>
  <si>
    <t xml:space="preserve">3-point quadratic =3, </t>
  </si>
  <si>
    <t>Sat Exp =4,  S.E.+ Lin =5</t>
  </si>
  <si>
    <t>Obs/Calc</t>
  </si>
  <si>
    <t>Calc Signal</t>
  </si>
  <si>
    <t>Diff^2</t>
  </si>
  <si>
    <t>Recov. Regen1</t>
  </si>
  <si>
    <t>Calc signal</t>
  </si>
  <si>
    <t>Delta^2</t>
  </si>
  <si>
    <t>Recov. Regen3</t>
  </si>
  <si>
    <t>Recov. Regen0</t>
  </si>
  <si>
    <t>Recov. Regen1'</t>
  </si>
  <si>
    <t>Regen2 Signal</t>
  </si>
  <si>
    <t>Stim. Power (%):</t>
  </si>
  <si>
    <t>Stimulation Power (%)</t>
  </si>
  <si>
    <r>
      <t>t</t>
    </r>
    <r>
      <rPr>
        <vertAlign val="subscript"/>
        <sz val="9"/>
        <rFont val="Times"/>
        <family val="1"/>
      </rPr>
      <t>(L1)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</si>
  <si>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(L2)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</si>
  <si>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(START L3)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</si>
  <si>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(END L3)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</si>
  <si>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t>Fast Ratio Calculation (Durcan and Duller 2011)</t>
  </si>
  <si>
    <t>Fast Ratio Error</t>
  </si>
  <si>
    <t xml:space="preserve">  </t>
  </si>
  <si>
    <t>Do not delete or change the cells in the rows above.  They are used for quadratic regression!</t>
  </si>
  <si>
    <t>last disk  =</t>
  </si>
  <si>
    <t>Beta Dose Size Factor:</t>
  </si>
  <si>
    <t>Average Ultrafast Detection:</t>
  </si>
  <si>
    <t>TEST DOSES (NORMALIZED TO FIRST OSL TEST DOSE VALUE)</t>
  </si>
  <si>
    <t>SOLVER FOR SATURATING EXPONENTIAL PLUS LINEAR</t>
  </si>
  <si>
    <t>Weight</t>
  </si>
  <si>
    <t>MANUAL WEIGHT</t>
  </si>
  <si>
    <t>Curve Fit</t>
  </si>
  <si>
    <t>PLOT TYPES:</t>
  </si>
  <si>
    <t>Quadratic Regression (5-point)</t>
  </si>
  <si>
    <t>Quadratic Regression (3-point)</t>
  </si>
  <si>
    <t>best fit</t>
  </si>
  <si>
    <t xml:space="preserve">   </t>
  </si>
  <si>
    <t>Linear=1, 5-pt quadratic =2</t>
  </si>
  <si>
    <t>5-pt Quad.</t>
  </si>
  <si>
    <t>3-pt Quad.</t>
  </si>
  <si>
    <t>mean recup=</t>
  </si>
  <si>
    <t>mean 1s</t>
  </si>
  <si>
    <t>PostIR</t>
  </si>
  <si>
    <t>PostIRnorm</t>
  </si>
  <si>
    <t>Preheat Temp =</t>
  </si>
  <si>
    <t>A total of 200 sec are plotted</t>
  </si>
  <si>
    <t>Single Grains</t>
  </si>
  <si>
    <t>1=mean(1-2 sec)-mean(180-200 sec))</t>
  </si>
  <si>
    <t>N/A</t>
  </si>
  <si>
    <t>SAVE FOR DISK NAMES</t>
  </si>
  <si>
    <t>pIRIR01f_rdx1</t>
  </si>
  <si>
    <t>prior-IR/post-IR =</t>
  </si>
  <si>
    <t>Bleach Temp =</t>
  </si>
  <si>
    <t>250deg/15s</t>
  </si>
  <si>
    <t>225deg/200s</t>
  </si>
  <si>
    <t>50deg/225</t>
  </si>
  <si>
    <t>Notes =</t>
  </si>
  <si>
    <t>Disk 30 underwent a 325 deg bleach immediately after the natural dose TD; After that everything else was 225 deg.</t>
  </si>
  <si>
    <t>M011K</t>
  </si>
  <si>
    <t>Regen2 Wt=0</t>
  </si>
  <si>
    <t>Regen3 Wt=0</t>
  </si>
  <si>
    <t>K reset!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</si>
</sst>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"/>
    <numFmt numFmtId="165" formatCode="0.0000"/>
    <numFmt numFmtId="166" formatCode="0.00000"/>
    <numFmt numFmtId="167" formatCode="0.0"/>
    <numFmt numFmtId="168" formatCode="0."/>
    <numFmt numFmtId="169" formatCode="0.0E+00"/>
    <numFmt numFmtId="170" formatCode="0.00000%"/>
  </numFmts>
  <fonts count="40" x14ac:knownFonts="1">
    <font>
      <sz val="9"/>
      <name val="Times"/>
    </font>
    <font>
      <b/>
      <sz val="9"/>
      <name val="Times"/>
      <family val="1"/>
    </font>
    <font>
      <sz val="9"/>
      <name val="Times"/>
      <family val="1"/>
    </font>
    <font>
      <sz val="9"/>
      <name val="Symbol"/>
      <family val="1"/>
    </font>
    <font>
      <b/>
      <u/>
      <sz val="12"/>
      <name val="Times"/>
      <family val="1"/>
    </font>
    <font>
      <sz val="8"/>
      <name val="Times"/>
      <family val="1"/>
    </font>
    <font>
      <b/>
      <u/>
      <sz val="14"/>
      <name val="Times"/>
      <family val="1"/>
    </font>
    <font>
      <b/>
      <sz val="10"/>
      <name val="Times"/>
      <family val="1"/>
    </font>
    <font>
      <b/>
      <sz val="9"/>
      <name val="Symbol"/>
      <family val="1"/>
    </font>
    <font>
      <sz val="9"/>
      <name val="Symbol"/>
      <family val="1"/>
    </font>
    <font>
      <b/>
      <sz val="12"/>
      <name val="Times"/>
      <family val="1"/>
    </font>
    <font>
      <b/>
      <sz val="9"/>
      <color indexed="10"/>
      <name val="Times"/>
      <family val="1"/>
    </font>
    <font>
      <b/>
      <sz val="9"/>
      <color indexed="8"/>
      <name val="Times"/>
      <family val="1"/>
    </font>
    <font>
      <b/>
      <vertAlign val="subscript"/>
      <sz val="9"/>
      <name val="Times"/>
      <family val="1"/>
    </font>
    <font>
      <b/>
      <sz val="9"/>
      <name val="Times New Roman"/>
      <family val="1"/>
    </font>
    <font>
      <sz val="9"/>
      <color indexed="10"/>
      <name val="Times"/>
      <family val="1"/>
    </font>
    <font>
      <b/>
      <u/>
      <sz val="9"/>
      <name val="Times"/>
      <family val="1"/>
    </font>
    <font>
      <b/>
      <sz val="9"/>
      <name val="Times"/>
      <family val="1"/>
    </font>
    <font>
      <b/>
      <sz val="9"/>
      <color indexed="10"/>
      <name val="Times"/>
      <family val="1"/>
    </font>
    <font>
      <b/>
      <sz val="9"/>
      <color indexed="12"/>
      <name val="Times"/>
      <family val="1"/>
    </font>
    <font>
      <sz val="10"/>
      <name val="Times"/>
      <family val="1"/>
    </font>
    <font>
      <b/>
      <sz val="11"/>
      <name val="Times"/>
      <family val="1"/>
    </font>
    <font>
      <b/>
      <vertAlign val="subscript"/>
      <sz val="9"/>
      <color indexed="8"/>
      <name val="Times"/>
      <family val="1"/>
    </font>
    <font>
      <sz val="9"/>
      <color indexed="8"/>
      <name val="Times"/>
      <family val="1"/>
    </font>
    <font>
      <sz val="9"/>
      <name val="Times New Roman"/>
      <family val="1"/>
    </font>
    <font>
      <sz val="7"/>
      <name val="Times"/>
      <family val="1"/>
    </font>
    <font>
      <b/>
      <sz val="7"/>
      <color indexed="10"/>
      <name val="Times"/>
      <family val="1"/>
    </font>
    <font>
      <sz val="7"/>
      <name val="Symbol"/>
      <family val="1"/>
    </font>
    <font>
      <b/>
      <sz val="7"/>
      <name val="Times"/>
      <family val="1"/>
    </font>
    <font>
      <b/>
      <sz val="18"/>
      <name val="Times"/>
      <family val="1"/>
    </font>
    <font>
      <vertAlign val="subscript"/>
      <sz val="9"/>
      <name val="Times"/>
      <family val="1"/>
    </font>
    <font>
      <b/>
      <u/>
      <sz val="9"/>
      <name val="Times"/>
      <family val="1"/>
    </font>
    <font>
      <sz val="9"/>
      <color theme="3"/>
      <name val="Times"/>
      <family val="1"/>
    </font>
    <font>
      <sz val="7"/>
      <color theme="3"/>
      <name val="Times"/>
      <family val="1"/>
    </font>
    <font>
      <b/>
      <sz val="9"/>
      <color rgb="FFFF0000"/>
      <name val="Times"/>
      <family val="1"/>
    </font>
    <font>
      <sz val="9"/>
      <color rgb="FF0070C0"/>
      <name val="Times"/>
      <family val="1"/>
    </font>
    <font>
      <b/>
      <sz val="9"/>
      <color theme="1"/>
      <name val="Times"/>
      <family val="1"/>
    </font>
    <font>
      <sz val="9"/>
      <color theme="1"/>
      <name val="Times"/>
      <family val="1"/>
    </font>
    <font>
      <b/>
      <sz val="9"/>
      <color theme="3" tint="-0.249977111117893"/>
      <name val="Times"/>
      <family val="1"/>
    </font>
    <font>
      <sz val="8"/>
      <name val="Times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0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64" fontId="1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64" fontId="4" fillId="0" borderId="0" xfId="0" applyNumberFormat="1" applyFont="1"/>
    <xf numFmtId="168" fontId="2" fillId="0" borderId="0" xfId="0" applyNumberFormat="1" applyFont="1"/>
    <xf numFmtId="168" fontId="0" fillId="0" borderId="0" xfId="0" applyNumberFormat="1"/>
    <xf numFmtId="0" fontId="6" fillId="0" borderId="0" xfId="0" applyFont="1"/>
    <xf numFmtId="0" fontId="7" fillId="0" borderId="0" xfId="0" applyFont="1"/>
    <xf numFmtId="165" fontId="1" fillId="0" borderId="0" xfId="0" applyNumberFormat="1" applyFont="1"/>
    <xf numFmtId="0" fontId="0" fillId="0" borderId="0" xfId="0" applyFill="1" applyBorder="1"/>
    <xf numFmtId="0" fontId="0" fillId="0" borderId="0" xfId="0" applyFill="1"/>
    <xf numFmtId="0" fontId="9" fillId="0" borderId="0" xfId="0" applyFont="1"/>
    <xf numFmtId="2" fontId="2" fillId="0" borderId="0" xfId="0" applyNumberFormat="1" applyFont="1"/>
    <xf numFmtId="166" fontId="2" fillId="0" borderId="0" xfId="0" applyNumberFormat="1" applyFont="1"/>
    <xf numFmtId="0" fontId="1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68" fontId="2" fillId="0" borderId="0" xfId="0" quotePrefix="1" applyNumberFormat="1" applyFont="1"/>
    <xf numFmtId="1" fontId="1" fillId="0" borderId="0" xfId="0" applyNumberFormat="1" applyFont="1"/>
    <xf numFmtId="0" fontId="11" fillId="0" borderId="0" xfId="0" applyFont="1"/>
    <xf numFmtId="0" fontId="12" fillId="0" borderId="0" xfId="0" applyFont="1"/>
    <xf numFmtId="1" fontId="11" fillId="0" borderId="0" xfId="0" applyNumberFormat="1" applyFont="1"/>
    <xf numFmtId="0" fontId="15" fillId="0" borderId="0" xfId="0" applyFont="1"/>
    <xf numFmtId="0" fontId="17" fillId="0" borderId="0" xfId="0" applyFont="1"/>
    <xf numFmtId="2" fontId="17" fillId="0" borderId="0" xfId="0" applyNumberFormat="1" applyFont="1"/>
    <xf numFmtId="0" fontId="17" fillId="0" borderId="0" xfId="0" applyFont="1" applyAlignment="1">
      <alignment horizontal="center"/>
    </xf>
    <xf numFmtId="0" fontId="16" fillId="0" borderId="0" xfId="0" applyFont="1"/>
    <xf numFmtId="167" fontId="0" fillId="0" borderId="0" xfId="0" applyNumberFormat="1" applyFill="1" applyBorder="1"/>
    <xf numFmtId="0" fontId="18" fillId="0" borderId="3" xfId="0" applyFont="1" applyBorder="1" applyAlignment="1">
      <alignment horizontal="right"/>
    </xf>
    <xf numFmtId="0" fontId="17" fillId="0" borderId="4" xfId="0" applyFont="1" applyBorder="1"/>
    <xf numFmtId="0" fontId="0" fillId="0" borderId="4" xfId="0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0" xfId="0" applyNumberFormat="1" applyFill="1"/>
    <xf numFmtId="0" fontId="0" fillId="0" borderId="0" xfId="0" quotePrefix="1" applyFill="1"/>
    <xf numFmtId="0" fontId="0" fillId="0" borderId="6" xfId="0" applyBorder="1"/>
    <xf numFmtId="0" fontId="0" fillId="0" borderId="7" xfId="0" applyBorder="1"/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Border="1"/>
    <xf numFmtId="167" fontId="0" fillId="0" borderId="0" xfId="0" applyNumberFormat="1" applyBorder="1"/>
    <xf numFmtId="2" fontId="0" fillId="0" borderId="0" xfId="0" applyNumberFormat="1" applyFill="1" applyBorder="1"/>
    <xf numFmtId="1" fontId="0" fillId="0" borderId="0" xfId="0" applyNumberFormat="1" applyBorder="1"/>
    <xf numFmtId="2" fontId="17" fillId="0" borderId="0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2" borderId="0" xfId="0" applyFill="1"/>
    <xf numFmtId="0" fontId="8" fillId="2" borderId="0" xfId="0" applyFont="1" applyFill="1"/>
    <xf numFmtId="0" fontId="1" fillId="2" borderId="0" xfId="0" applyFont="1" applyFill="1"/>
    <xf numFmtId="0" fontId="10" fillId="0" borderId="0" xfId="0" applyFont="1"/>
    <xf numFmtId="0" fontId="19" fillId="0" borderId="0" xfId="0" applyFont="1" applyFill="1" applyAlignment="1">
      <alignment horizontal="right"/>
    </xf>
    <xf numFmtId="0" fontId="21" fillId="0" borderId="0" xfId="0" applyFont="1"/>
    <xf numFmtId="167" fontId="0" fillId="0" borderId="0" xfId="0" applyNumberForma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right"/>
    </xf>
    <xf numFmtId="167" fontId="2" fillId="0" borderId="0" xfId="0" applyNumberFormat="1" applyFont="1" applyFill="1" applyBorder="1" applyAlignment="1">
      <alignment horizontal="center"/>
    </xf>
    <xf numFmtId="2" fontId="1" fillId="0" borderId="9" xfId="0" applyNumberFormat="1" applyFont="1" applyBorder="1"/>
    <xf numFmtId="2" fontId="2" fillId="0" borderId="9" xfId="0" applyNumberFormat="1" applyFont="1" applyBorder="1"/>
    <xf numFmtId="164" fontId="2" fillId="0" borderId="9" xfId="0" applyNumberFormat="1" applyFont="1" applyBorder="1"/>
    <xf numFmtId="0" fontId="0" fillId="3" borderId="1" xfId="0" applyFill="1" applyBorder="1"/>
    <xf numFmtId="0" fontId="0" fillId="3" borderId="10" xfId="0" applyFill="1" applyBorder="1"/>
    <xf numFmtId="0" fontId="0" fillId="3" borderId="12" xfId="0" applyFill="1" applyBorder="1"/>
    <xf numFmtId="0" fontId="0" fillId="0" borderId="0" xfId="0" applyBorder="1"/>
    <xf numFmtId="0" fontId="19" fillId="0" borderId="0" xfId="0" applyFont="1" applyFill="1" applyAlignment="1">
      <alignment horizontal="left"/>
    </xf>
    <xf numFmtId="0" fontId="11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right"/>
    </xf>
    <xf numFmtId="0" fontId="0" fillId="3" borderId="0" xfId="0" applyFill="1" applyBorder="1"/>
    <xf numFmtId="14" fontId="0" fillId="3" borderId="0" xfId="0" applyNumberFormat="1" applyFill="1" applyBorder="1"/>
    <xf numFmtId="0" fontId="0" fillId="3" borderId="9" xfId="0" applyFill="1" applyBorder="1"/>
    <xf numFmtId="0" fontId="0" fillId="3" borderId="13" xfId="0" applyFill="1" applyBorder="1"/>
    <xf numFmtId="0" fontId="0" fillId="0" borderId="0" xfId="0" applyFont="1" applyFill="1"/>
    <xf numFmtId="167" fontId="32" fillId="0" borderId="0" xfId="0" applyNumberFormat="1" applyFont="1" applyAlignment="1">
      <alignment horizontal="center"/>
    </xf>
    <xf numFmtId="0" fontId="0" fillId="0" borderId="1" xfId="0" applyFont="1" applyFill="1" applyBorder="1"/>
    <xf numFmtId="0" fontId="0" fillId="0" borderId="0" xfId="0" applyFont="1" applyFill="1" applyBorder="1"/>
    <xf numFmtId="0" fontId="0" fillId="0" borderId="2" xfId="0" applyFont="1" applyFill="1" applyBorder="1"/>
    <xf numFmtId="0" fontId="1" fillId="0" borderId="0" xfId="0" applyFont="1" applyFill="1"/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Border="1"/>
    <xf numFmtId="1" fontId="0" fillId="0" borderId="0" xfId="0" applyNumberFormat="1" applyFill="1"/>
    <xf numFmtId="0" fontId="17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left"/>
    </xf>
    <xf numFmtId="167" fontId="0" fillId="0" borderId="0" xfId="0" applyNumberFormat="1" applyFill="1"/>
    <xf numFmtId="9" fontId="0" fillId="0" borderId="0" xfId="0" applyNumberFormat="1" applyFill="1" applyAlignment="1">
      <alignment horizontal="center"/>
    </xf>
    <xf numFmtId="167" fontId="0" fillId="0" borderId="0" xfId="0" applyNumberFormat="1" applyFont="1" applyFill="1"/>
    <xf numFmtId="0" fontId="23" fillId="0" borderId="0" xfId="0" applyFont="1"/>
    <xf numFmtId="1" fontId="0" fillId="0" borderId="9" xfId="0" applyNumberFormat="1" applyBorder="1" applyAlignment="1">
      <alignment horizontal="center"/>
    </xf>
    <xf numFmtId="167" fontId="32" fillId="0" borderId="9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5" fillId="0" borderId="0" xfId="0" applyFont="1"/>
    <xf numFmtId="167" fontId="33" fillId="0" borderId="0" xfId="0" applyNumberFormat="1" applyFont="1" applyAlignment="1">
      <alignment horizontal="center"/>
    </xf>
    <xf numFmtId="1" fontId="25" fillId="0" borderId="0" xfId="0" applyNumberFormat="1" applyFont="1"/>
    <xf numFmtId="1" fontId="25" fillId="0" borderId="0" xfId="0" applyNumberFormat="1" applyFont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/>
    <xf numFmtId="164" fontId="25" fillId="0" borderId="0" xfId="0" applyNumberFormat="1" applyFont="1"/>
    <xf numFmtId="2" fontId="25" fillId="0" borderId="0" xfId="0" applyNumberFormat="1" applyFont="1"/>
    <xf numFmtId="165" fontId="25" fillId="0" borderId="0" xfId="0" applyNumberFormat="1" applyFont="1"/>
    <xf numFmtId="1" fontId="2" fillId="0" borderId="13" xfId="0" applyNumberFormat="1" applyFont="1" applyBorder="1"/>
    <xf numFmtId="2" fontId="2" fillId="0" borderId="0" xfId="0" applyNumberFormat="1" applyFont="1" applyAlignment="1">
      <alignment horizontal="center"/>
    </xf>
    <xf numFmtId="0" fontId="34" fillId="0" borderId="0" xfId="0" applyFont="1"/>
    <xf numFmtId="0" fontId="0" fillId="0" borderId="15" xfId="0" applyBorder="1"/>
    <xf numFmtId="170" fontId="0" fillId="0" borderId="0" xfId="0" applyNumberFormat="1" applyFill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4" fontId="0" fillId="4" borderId="16" xfId="0" applyNumberFormat="1" applyFill="1" applyBorder="1"/>
    <xf numFmtId="0" fontId="1" fillId="4" borderId="16" xfId="0" applyFont="1" applyFill="1" applyBorder="1" applyAlignment="1">
      <alignment horizontal="center"/>
    </xf>
    <xf numFmtId="0" fontId="0" fillId="4" borderId="16" xfId="0" applyFill="1" applyBorder="1"/>
    <xf numFmtId="164" fontId="0" fillId="4" borderId="17" xfId="0" applyNumberFormat="1" applyFill="1" applyBorder="1"/>
    <xf numFmtId="167" fontId="0" fillId="4" borderId="7" xfId="0" applyNumberFormat="1" applyFill="1" applyBorder="1" applyAlignment="1">
      <alignment horizontal="center"/>
    </xf>
    <xf numFmtId="0" fontId="0" fillId="4" borderId="0" xfId="0" applyFont="1" applyFill="1" applyBorder="1"/>
    <xf numFmtId="9" fontId="2" fillId="4" borderId="0" xfId="1" applyFont="1" applyFill="1" applyBorder="1"/>
    <xf numFmtId="164" fontId="0" fillId="4" borderId="8" xfId="0" applyNumberFormat="1" applyFill="1" applyBorder="1"/>
    <xf numFmtId="164" fontId="0" fillId="4" borderId="0" xfId="0" applyNumberFormat="1" applyFont="1" applyFill="1" applyBorder="1"/>
    <xf numFmtId="1" fontId="0" fillId="4" borderId="0" xfId="0" applyNumberFormat="1" applyFont="1" applyFill="1" applyBorder="1"/>
    <xf numFmtId="167" fontId="0" fillId="4" borderId="0" xfId="0" applyNumberFormat="1" applyFont="1" applyFill="1" applyBorder="1"/>
    <xf numFmtId="167" fontId="0" fillId="4" borderId="15" xfId="0" applyNumberFormat="1" applyFill="1" applyBorder="1" applyAlignment="1">
      <alignment horizontal="center"/>
    </xf>
    <xf numFmtId="164" fontId="0" fillId="4" borderId="18" xfId="0" applyNumberFormat="1" applyFont="1" applyFill="1" applyBorder="1"/>
    <xf numFmtId="0" fontId="0" fillId="4" borderId="18" xfId="0" applyFont="1" applyFill="1" applyBorder="1"/>
    <xf numFmtId="167" fontId="0" fillId="4" borderId="18" xfId="0" applyNumberFormat="1" applyFont="1" applyFill="1" applyBorder="1"/>
    <xf numFmtId="0" fontId="1" fillId="4" borderId="19" xfId="0" applyFont="1" applyFill="1" applyBorder="1"/>
    <xf numFmtId="1" fontId="0" fillId="4" borderId="8" xfId="0" applyNumberFormat="1" applyFill="1" applyBorder="1"/>
    <xf numFmtId="0" fontId="35" fillId="0" borderId="0" xfId="0" applyFont="1"/>
    <xf numFmtId="167" fontId="32" fillId="0" borderId="0" xfId="0" applyNumberFormat="1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7" fillId="0" borderId="0" xfId="0" applyFont="1" applyBorder="1"/>
    <xf numFmtId="2" fontId="0" fillId="0" borderId="0" xfId="0" applyNumberFormat="1" applyBorder="1"/>
    <xf numFmtId="0" fontId="0" fillId="0" borderId="12" xfId="0" applyFont="1" applyBorder="1"/>
    <xf numFmtId="0" fontId="0" fillId="0" borderId="1" xfId="0" applyBorder="1"/>
    <xf numFmtId="0" fontId="25" fillId="0" borderId="1" xfId="0" applyFont="1" applyBorder="1"/>
    <xf numFmtId="0" fontId="0" fillId="0" borderId="9" xfId="0" applyFont="1" applyBorder="1"/>
    <xf numFmtId="0" fontId="25" fillId="0" borderId="0" xfId="0" applyFont="1" applyBorder="1"/>
    <xf numFmtId="2" fontId="25" fillId="0" borderId="0" xfId="0" applyNumberFormat="1" applyFont="1" applyBorder="1"/>
    <xf numFmtId="1" fontId="0" fillId="0" borderId="0" xfId="0" applyNumberFormat="1" applyBorder="1" applyAlignment="1">
      <alignment horizontal="center"/>
    </xf>
    <xf numFmtId="0" fontId="1" fillId="0" borderId="14" xfId="0" applyFont="1" applyBorder="1"/>
    <xf numFmtId="0" fontId="0" fillId="0" borderId="2" xfId="0" applyBorder="1"/>
    <xf numFmtId="0" fontId="25" fillId="0" borderId="2" xfId="0" applyFont="1" applyBorder="1"/>
    <xf numFmtId="2" fontId="25" fillId="0" borderId="2" xfId="0" applyNumberFormat="1" applyFont="1" applyBorder="1"/>
    <xf numFmtId="1" fontId="25" fillId="0" borderId="0" xfId="0" applyNumberFormat="1" applyFont="1" applyBorder="1"/>
    <xf numFmtId="1" fontId="25" fillId="0" borderId="0" xfId="0" applyNumberFormat="1" applyFont="1" applyBorder="1" applyAlignment="1">
      <alignment horizontal="center"/>
    </xf>
    <xf numFmtId="0" fontId="25" fillId="0" borderId="9" xfId="0" applyFont="1" applyBorder="1"/>
    <xf numFmtId="165" fontId="25" fillId="0" borderId="0" xfId="0" applyNumberFormat="1" applyFont="1" applyBorder="1"/>
    <xf numFmtId="0" fontId="0" fillId="0" borderId="14" xfId="0" applyFont="1" applyBorder="1"/>
    <xf numFmtId="0" fontId="7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ont="1"/>
    <xf numFmtId="0" fontId="20" fillId="0" borderId="0" xfId="0" applyFont="1" applyFill="1"/>
    <xf numFmtId="0" fontId="20" fillId="0" borderId="0" xfId="0" applyFont="1"/>
    <xf numFmtId="0" fontId="1" fillId="0" borderId="0" xfId="0" applyFont="1" applyBorder="1"/>
    <xf numFmtId="0" fontId="0" fillId="6" borderId="1" xfId="0" applyFill="1" applyBorder="1"/>
    <xf numFmtId="0" fontId="0" fillId="6" borderId="2" xfId="0" applyFill="1" applyBorder="1"/>
    <xf numFmtId="167" fontId="0" fillId="7" borderId="10" xfId="0" applyNumberFormat="1" applyFill="1" applyBorder="1"/>
    <xf numFmtId="1" fontId="0" fillId="7" borderId="9" xfId="0" applyNumberFormat="1" applyFill="1" applyBorder="1"/>
    <xf numFmtId="0" fontId="0" fillId="0" borderId="25" xfId="0" applyBorder="1"/>
    <xf numFmtId="0" fontId="0" fillId="5" borderId="20" xfId="0" applyFont="1" applyFill="1" applyBorder="1" applyAlignment="1">
      <alignment horizontal="center"/>
    </xf>
    <xf numFmtId="9" fontId="2" fillId="5" borderId="20" xfId="1" applyFont="1" applyFill="1" applyBorder="1" applyAlignment="1">
      <alignment horizontal="center"/>
    </xf>
    <xf numFmtId="167" fontId="0" fillId="0" borderId="0" xfId="0" applyNumberFormat="1" applyFont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0" borderId="16" xfId="0" applyBorder="1"/>
    <xf numFmtId="0" fontId="1" fillId="0" borderId="6" xfId="0" applyFont="1" applyBorder="1"/>
    <xf numFmtId="0" fontId="25" fillId="0" borderId="16" xfId="0" applyFont="1" applyBorder="1"/>
    <xf numFmtId="0" fontId="25" fillId="0" borderId="17" xfId="0" applyFont="1" applyBorder="1"/>
    <xf numFmtId="0" fontId="1" fillId="0" borderId="26" xfId="0" applyFon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1" fillId="0" borderId="27" xfId="0" applyFont="1" applyBorder="1"/>
    <xf numFmtId="0" fontId="0" fillId="0" borderId="28" xfId="0" applyBorder="1"/>
    <xf numFmtId="0" fontId="25" fillId="0" borderId="28" xfId="0" applyFont="1" applyBorder="1"/>
    <xf numFmtId="0" fontId="1" fillId="0" borderId="26" xfId="0" applyFont="1" applyBorder="1"/>
    <xf numFmtId="0" fontId="1" fillId="0" borderId="29" xfId="0" applyFont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167" fontId="0" fillId="0" borderId="8" xfId="0" applyNumberFormat="1" applyFont="1" applyBorder="1" applyAlignment="1">
      <alignment horizontal="center"/>
    </xf>
    <xf numFmtId="0" fontId="1" fillId="5" borderId="3" xfId="0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0" fontId="0" fillId="0" borderId="24" xfId="0" applyBorder="1"/>
    <xf numFmtId="2" fontId="0" fillId="8" borderId="7" xfId="0" applyNumberFormat="1" applyFill="1" applyBorder="1"/>
    <xf numFmtId="0" fontId="11" fillId="8" borderId="8" xfId="0" applyFont="1" applyFill="1" applyBorder="1" applyAlignment="1">
      <alignment horizontal="left"/>
    </xf>
    <xf numFmtId="0" fontId="0" fillId="8" borderId="15" xfId="0" applyFill="1" applyBorder="1"/>
    <xf numFmtId="0" fontId="11" fillId="8" borderId="19" xfId="0" applyFont="1" applyFill="1" applyBorder="1" applyAlignment="1">
      <alignment horizontal="left"/>
    </xf>
    <xf numFmtId="164" fontId="0" fillId="5" borderId="30" xfId="0" applyNumberFormat="1" applyFill="1" applyBorder="1"/>
    <xf numFmtId="0" fontId="24" fillId="5" borderId="12" xfId="0" applyFont="1" applyFill="1" applyBorder="1"/>
    <xf numFmtId="0" fontId="24" fillId="5" borderId="10" xfId="0" applyFont="1" applyFill="1" applyBorder="1"/>
    <xf numFmtId="2" fontId="0" fillId="0" borderId="0" xfId="0" applyNumberFormat="1" applyFill="1" applyAlignment="1">
      <alignment horizontal="left"/>
    </xf>
    <xf numFmtId="1" fontId="1" fillId="5" borderId="30" xfId="0" applyNumberFormat="1" applyFont="1" applyFill="1" applyBorder="1"/>
    <xf numFmtId="0" fontId="1" fillId="0" borderId="3" xfId="0" applyFont="1" applyBorder="1"/>
    <xf numFmtId="2" fontId="0" fillId="0" borderId="5" xfId="0" applyNumberFormat="1" applyFill="1" applyBorder="1"/>
    <xf numFmtId="0" fontId="0" fillId="5" borderId="30" xfId="0" applyFill="1" applyBorder="1"/>
    <xf numFmtId="169" fontId="0" fillId="0" borderId="0" xfId="0" applyNumberFormat="1" applyBorder="1"/>
    <xf numFmtId="164" fontId="2" fillId="0" borderId="0" xfId="0" applyNumberFormat="1" applyFont="1" applyBorder="1"/>
    <xf numFmtId="2" fontId="0" fillId="0" borderId="13" xfId="0" applyNumberFormat="1" applyBorder="1"/>
    <xf numFmtId="2" fontId="0" fillId="0" borderId="0" xfId="0" applyNumberFormat="1" applyBorder="1" applyAlignment="1">
      <alignment horizontal="center"/>
    </xf>
    <xf numFmtId="0" fontId="1" fillId="9" borderId="12" xfId="0" applyFont="1" applyFill="1" applyBorder="1" applyAlignment="1">
      <alignment horizontal="left"/>
    </xf>
    <xf numFmtId="0" fontId="2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164" fontId="0" fillId="9" borderId="10" xfId="0" applyNumberFormat="1" applyFill="1" applyBorder="1" applyAlignment="1">
      <alignment horizontal="center"/>
    </xf>
    <xf numFmtId="0" fontId="1" fillId="3" borderId="12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2" fontId="2" fillId="0" borderId="0" xfId="0" applyNumberFormat="1" applyFont="1" applyBorder="1"/>
    <xf numFmtId="165" fontId="2" fillId="0" borderId="0" xfId="0" applyNumberFormat="1" applyFont="1" applyBorder="1"/>
    <xf numFmtId="1" fontId="2" fillId="0" borderId="0" xfId="0" applyNumberFormat="1" applyFont="1" applyBorder="1"/>
    <xf numFmtId="164" fontId="1" fillId="10" borderId="12" xfId="0" applyNumberFormat="1" applyFont="1" applyFill="1" applyBorder="1"/>
    <xf numFmtId="164" fontId="0" fillId="10" borderId="1" xfId="0" applyNumberFormat="1" applyFill="1" applyBorder="1"/>
    <xf numFmtId="164" fontId="1" fillId="10" borderId="1" xfId="0" applyNumberFormat="1" applyFont="1" applyFill="1" applyBorder="1"/>
    <xf numFmtId="164" fontId="0" fillId="10" borderId="1" xfId="0" applyNumberFormat="1" applyFill="1" applyBorder="1" applyAlignment="1">
      <alignment horizontal="center"/>
    </xf>
    <xf numFmtId="2" fontId="1" fillId="0" borderId="0" xfId="0" applyNumberFormat="1" applyFont="1" applyBorder="1"/>
    <xf numFmtId="165" fontId="0" fillId="0" borderId="0" xfId="0" applyNumberFormat="1" applyBorder="1"/>
    <xf numFmtId="165" fontId="2" fillId="0" borderId="13" xfId="0" applyNumberFormat="1" applyFont="1" applyBorder="1"/>
    <xf numFmtId="164" fontId="36" fillId="11" borderId="12" xfId="0" applyNumberFormat="1" applyFont="1" applyFill="1" applyBorder="1"/>
    <xf numFmtId="164" fontId="36" fillId="11" borderId="1" xfId="0" applyNumberFormat="1" applyFont="1" applyFill="1" applyBorder="1"/>
    <xf numFmtId="164" fontId="37" fillId="11" borderId="1" xfId="0" applyNumberFormat="1" applyFont="1" applyFill="1" applyBorder="1"/>
    <xf numFmtId="164" fontId="36" fillId="11" borderId="1" xfId="0" applyNumberFormat="1" applyFont="1" applyFill="1" applyBorder="1" applyAlignment="1">
      <alignment horizontal="right"/>
    </xf>
    <xf numFmtId="164" fontId="37" fillId="11" borderId="1" xfId="0" applyNumberFormat="1" applyFont="1" applyFill="1" applyBorder="1" applyAlignment="1">
      <alignment horizontal="center"/>
    </xf>
    <xf numFmtId="0" fontId="36" fillId="11" borderId="1" xfId="0" applyFont="1" applyFill="1" applyBorder="1" applyAlignment="1">
      <alignment horizontal="center"/>
    </xf>
    <xf numFmtId="0" fontId="36" fillId="11" borderId="10" xfId="0" applyFont="1" applyFill="1" applyBorder="1" applyAlignment="1">
      <alignment horizontal="center"/>
    </xf>
    <xf numFmtId="168" fontId="2" fillId="0" borderId="0" xfId="0" applyNumberFormat="1" applyFont="1" applyBorder="1"/>
    <xf numFmtId="164" fontId="36" fillId="11" borderId="14" xfId="0" applyNumberFormat="1" applyFont="1" applyFill="1" applyBorder="1"/>
    <xf numFmtId="0" fontId="36" fillId="11" borderId="2" xfId="0" quotePrefix="1" applyFont="1" applyFill="1" applyBorder="1" applyAlignment="1">
      <alignment horizontal="center"/>
    </xf>
    <xf numFmtId="0" fontId="36" fillId="11" borderId="2" xfId="0" applyFont="1" applyFill="1" applyBorder="1"/>
    <xf numFmtId="164" fontId="37" fillId="11" borderId="2" xfId="0" applyNumberFormat="1" applyFont="1" applyFill="1" applyBorder="1" applyAlignment="1">
      <alignment horizontal="center"/>
    </xf>
    <xf numFmtId="0" fontId="36" fillId="11" borderId="2" xfId="0" applyFont="1" applyFill="1" applyBorder="1" applyAlignment="1">
      <alignment horizontal="center"/>
    </xf>
    <xf numFmtId="0" fontId="36" fillId="11" borderId="11" xfId="0" applyFont="1" applyFill="1" applyBorder="1" applyAlignment="1">
      <alignment horizontal="center"/>
    </xf>
    <xf numFmtId="164" fontId="1" fillId="10" borderId="14" xfId="0" applyNumberFormat="1" applyFont="1" applyFill="1" applyBorder="1"/>
    <xf numFmtId="0" fontId="1" fillId="10" borderId="2" xfId="0" quotePrefix="1" applyFont="1" applyFill="1" applyBorder="1" applyAlignment="1">
      <alignment horizontal="center"/>
    </xf>
    <xf numFmtId="164" fontId="2" fillId="10" borderId="2" xfId="0" applyNumberFormat="1" applyFont="1" applyFill="1" applyBorder="1"/>
    <xf numFmtId="164" fontId="2" fillId="10" borderId="2" xfId="0" applyNumberFormat="1" applyFont="1" applyFill="1" applyBorder="1" applyAlignment="1">
      <alignment horizontal="center"/>
    </xf>
    <xf numFmtId="164" fontId="1" fillId="3" borderId="14" xfId="0" applyNumberFormat="1" applyFont="1" applyFill="1" applyBorder="1"/>
    <xf numFmtId="0" fontId="2" fillId="3" borderId="2" xfId="0" quotePrefix="1" applyFont="1" applyFill="1" applyBorder="1" applyAlignment="1">
      <alignment horizontal="center"/>
    </xf>
    <xf numFmtId="0" fontId="2" fillId="3" borderId="2" xfId="0" applyFont="1" applyFill="1" applyBorder="1"/>
    <xf numFmtId="0" fontId="2" fillId="3" borderId="2" xfId="0" applyFont="1" applyFill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1" fillId="9" borderId="14" xfId="0" applyNumberFormat="1" applyFont="1" applyFill="1" applyBorder="1"/>
    <xf numFmtId="0" fontId="2" fillId="9" borderId="2" xfId="0" quotePrefix="1" applyFont="1" applyFill="1" applyBorder="1" applyAlignment="1">
      <alignment horizontal="center"/>
    </xf>
    <xf numFmtId="0" fontId="2" fillId="9" borderId="2" xfId="0" applyFont="1" applyFill="1" applyBorder="1"/>
    <xf numFmtId="0" fontId="2" fillId="9" borderId="2" xfId="0" applyFont="1" applyFill="1" applyBorder="1" applyAlignment="1">
      <alignment horizontal="center"/>
    </xf>
    <xf numFmtId="164" fontId="2" fillId="9" borderId="11" xfId="0" applyNumberFormat="1" applyFont="1" applyFill="1" applyBorder="1" applyAlignment="1">
      <alignment horizontal="center"/>
    </xf>
    <xf numFmtId="0" fontId="0" fillId="3" borderId="2" xfId="0" applyFont="1" applyFill="1" applyBorder="1"/>
    <xf numFmtId="0" fontId="0" fillId="9" borderId="2" xfId="0" applyFont="1" applyFill="1" applyBorder="1"/>
    <xf numFmtId="0" fontId="0" fillId="10" borderId="10" xfId="0" applyFont="1" applyFill="1" applyBorder="1" applyAlignment="1">
      <alignment horizontal="center"/>
    </xf>
    <xf numFmtId="0" fontId="0" fillId="10" borderId="11" xfId="0" applyFont="1" applyFill="1" applyBorder="1" applyAlignment="1">
      <alignment horizontal="center"/>
    </xf>
    <xf numFmtId="0" fontId="0" fillId="10" borderId="2" xfId="0" applyFont="1" applyFill="1" applyBorder="1"/>
    <xf numFmtId="1" fontId="0" fillId="8" borderId="6" xfId="0" applyNumberFormat="1" applyFill="1" applyBorder="1"/>
    <xf numFmtId="0" fontId="11" fillId="8" borderId="17" xfId="0" quotePrefix="1" applyFont="1" applyFill="1" applyBorder="1" applyAlignment="1">
      <alignment horizontal="center"/>
    </xf>
    <xf numFmtId="0" fontId="0" fillId="8" borderId="7" xfId="0" applyFill="1" applyBorder="1"/>
    <xf numFmtId="1" fontId="11" fillId="8" borderId="8" xfId="0" applyNumberFormat="1" applyFont="1" applyFill="1" applyBorder="1" applyAlignment="1">
      <alignment horizontal="center"/>
    </xf>
    <xf numFmtId="164" fontId="1" fillId="8" borderId="7" xfId="0" applyNumberFormat="1" applyFont="1" applyFill="1" applyBorder="1"/>
    <xf numFmtId="0" fontId="0" fillId="8" borderId="8" xfId="0" applyFill="1" applyBorder="1"/>
    <xf numFmtId="1" fontId="1" fillId="8" borderId="15" xfId="0" applyNumberFormat="1" applyFont="1" applyFill="1" applyBorder="1"/>
    <xf numFmtId="164" fontId="2" fillId="8" borderId="19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6" borderId="12" xfId="0" applyFont="1" applyFill="1" applyBorder="1"/>
    <xf numFmtId="0" fontId="0" fillId="6" borderId="10" xfId="0" applyFill="1" applyBorder="1"/>
    <xf numFmtId="0" fontId="1" fillId="6" borderId="14" xfId="0" applyFont="1" applyFill="1" applyBorder="1"/>
    <xf numFmtId="0" fontId="1" fillId="6" borderId="2" xfId="0" applyFont="1" applyFill="1" applyBorder="1"/>
    <xf numFmtId="0" fontId="0" fillId="6" borderId="2" xfId="0" quotePrefix="1" applyFill="1" applyBorder="1"/>
    <xf numFmtId="0" fontId="0" fillId="6" borderId="11" xfId="0" quotePrefix="1" applyFill="1" applyBorder="1"/>
    <xf numFmtId="164" fontId="1" fillId="12" borderId="12" xfId="0" applyNumberFormat="1" applyFont="1" applyFill="1" applyBorder="1"/>
    <xf numFmtId="0" fontId="0" fillId="12" borderId="1" xfId="0" applyFill="1" applyBorder="1"/>
    <xf numFmtId="0" fontId="0" fillId="12" borderId="10" xfId="0" applyFill="1" applyBorder="1"/>
    <xf numFmtId="0" fontId="0" fillId="12" borderId="2" xfId="0" applyFill="1" applyBorder="1"/>
    <xf numFmtId="0" fontId="1" fillId="12" borderId="2" xfId="0" applyFont="1" applyFill="1" applyBorder="1"/>
    <xf numFmtId="0" fontId="0" fillId="12" borderId="11" xfId="0" applyFill="1" applyBorder="1"/>
    <xf numFmtId="164" fontId="36" fillId="12" borderId="14" xfId="0" applyNumberFormat="1" applyFont="1" applyFill="1" applyBorder="1"/>
    <xf numFmtId="164" fontId="2" fillId="0" borderId="24" xfId="0" applyNumberFormat="1" applyFont="1" applyBorder="1"/>
    <xf numFmtId="164" fontId="2" fillId="0" borderId="31" xfId="0" applyNumberFormat="1" applyFont="1" applyBorder="1"/>
    <xf numFmtId="0" fontId="0" fillId="0" borderId="31" xfId="0" applyBorder="1"/>
    <xf numFmtId="1" fontId="1" fillId="5" borderId="32" xfId="0" applyNumberFormat="1" applyFont="1" applyFill="1" applyBorder="1" applyAlignment="1">
      <alignment horizontal="center"/>
    </xf>
    <xf numFmtId="167" fontId="32" fillId="0" borderId="33" xfId="0" applyNumberFormat="1" applyFont="1" applyBorder="1" applyAlignment="1">
      <alignment horizontal="center"/>
    </xf>
    <xf numFmtId="167" fontId="32" fillId="0" borderId="16" xfId="0" applyNumberFormat="1" applyFont="1" applyBorder="1" applyAlignment="1">
      <alignment horizontal="center"/>
    </xf>
    <xf numFmtId="167" fontId="32" fillId="0" borderId="34" xfId="0" applyNumberFormat="1" applyFont="1" applyBorder="1" applyAlignment="1">
      <alignment horizontal="center"/>
    </xf>
    <xf numFmtId="167" fontId="32" fillId="0" borderId="13" xfId="0" applyNumberFormat="1" applyFont="1" applyBorder="1" applyAlignment="1">
      <alignment horizontal="center"/>
    </xf>
    <xf numFmtId="167" fontId="32" fillId="0" borderId="14" xfId="0" applyNumberFormat="1" applyFont="1" applyBorder="1" applyAlignment="1">
      <alignment horizontal="center"/>
    </xf>
    <xf numFmtId="167" fontId="32" fillId="0" borderId="2" xfId="0" applyNumberFormat="1" applyFont="1" applyBorder="1" applyAlignment="1">
      <alignment horizontal="center"/>
    </xf>
    <xf numFmtId="167" fontId="32" fillId="0" borderId="11" xfId="0" applyNumberFormat="1" applyFont="1" applyBorder="1" applyAlignment="1">
      <alignment horizontal="center"/>
    </xf>
    <xf numFmtId="0" fontId="0" fillId="5" borderId="4" xfId="0" applyFill="1" applyBorder="1"/>
    <xf numFmtId="0" fontId="25" fillId="0" borderId="4" xfId="0" applyFont="1" applyBorder="1"/>
    <xf numFmtId="1" fontId="0" fillId="0" borderId="4" xfId="0" applyNumberFormat="1" applyBorder="1"/>
    <xf numFmtId="1" fontId="0" fillId="0" borderId="5" xfId="0" applyNumberFormat="1" applyBorder="1"/>
    <xf numFmtId="0" fontId="1" fillId="0" borderId="3" xfId="0" applyFont="1" applyFill="1" applyBorder="1"/>
    <xf numFmtId="0" fontId="0" fillId="0" borderId="4" xfId="0" applyFill="1" applyBorder="1"/>
    <xf numFmtId="0" fontId="7" fillId="5" borderId="3" xfId="0" applyFont="1" applyFill="1" applyBorder="1"/>
    <xf numFmtId="0" fontId="0" fillId="5" borderId="5" xfId="0" applyFill="1" applyBorder="1"/>
    <xf numFmtId="0" fontId="7" fillId="0" borderId="0" xfId="0" applyFont="1" applyBorder="1"/>
    <xf numFmtId="0" fontId="20" fillId="5" borderId="3" xfId="0" applyFont="1" applyFill="1" applyBorder="1"/>
    <xf numFmtId="0" fontId="20" fillId="0" borderId="0" xfId="0" applyFont="1" applyFill="1" applyBorder="1"/>
    <xf numFmtId="0" fontId="0" fillId="5" borderId="3" xfId="0" applyFont="1" applyFill="1" applyBorder="1"/>
    <xf numFmtId="0" fontId="0" fillId="5" borderId="3" xfId="0" applyFill="1" applyBorder="1"/>
    <xf numFmtId="1" fontId="0" fillId="0" borderId="1" xfId="0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13" xfId="0" applyNumberFormat="1" applyFont="1" applyBorder="1" applyAlignment="1">
      <alignment horizontal="center"/>
    </xf>
    <xf numFmtId="167" fontId="0" fillId="0" borderId="13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11" xfId="0" applyNumberFormat="1" applyFont="1" applyBorder="1" applyAlignment="1">
      <alignment horizontal="center"/>
    </xf>
    <xf numFmtId="167" fontId="0" fillId="0" borderId="1" xfId="0" applyNumberFormat="1" applyFont="1" applyBorder="1" applyAlignment="1">
      <alignment horizontal="center"/>
    </xf>
    <xf numFmtId="167" fontId="0" fillId="0" borderId="10" xfId="0" applyNumberFormat="1" applyFont="1" applyBorder="1" applyAlignment="1">
      <alignment horizontal="center"/>
    </xf>
    <xf numFmtId="0" fontId="0" fillId="6" borderId="0" xfId="0" applyFont="1" applyFill="1"/>
    <xf numFmtId="1" fontId="37" fillId="5" borderId="30" xfId="0" applyNumberFormat="1" applyFont="1" applyFill="1" applyBorder="1"/>
    <xf numFmtId="0" fontId="31" fillId="0" borderId="0" xfId="0" applyFont="1" applyFill="1"/>
    <xf numFmtId="0" fontId="0" fillId="11" borderId="12" xfId="0" applyFill="1" applyBorder="1"/>
    <xf numFmtId="167" fontId="0" fillId="11" borderId="10" xfId="0" applyNumberFormat="1" applyFill="1" applyBorder="1" applyAlignment="1">
      <alignment horizontal="center"/>
    </xf>
    <xf numFmtId="0" fontId="0" fillId="11" borderId="14" xfId="0" applyFill="1" applyBorder="1"/>
    <xf numFmtId="2" fontId="0" fillId="11" borderId="11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4" fontId="2" fillId="0" borderId="0" xfId="0" applyNumberFormat="1" applyFont="1" applyFill="1" applyBorder="1"/>
    <xf numFmtId="2" fontId="1" fillId="0" borderId="9" xfId="0" applyNumberFormat="1" applyFont="1" applyFill="1" applyBorder="1"/>
    <xf numFmtId="2" fontId="0" fillId="0" borderId="0" xfId="0" applyNumberFormat="1" applyFill="1" applyBorder="1" applyAlignment="1">
      <alignment horizontal="center"/>
    </xf>
    <xf numFmtId="2" fontId="2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0" fillId="0" borderId="0" xfId="0" applyNumberFormat="1" applyFill="1" applyBorder="1"/>
    <xf numFmtId="2" fontId="0" fillId="0" borderId="13" xfId="0" applyNumberFormat="1" applyFill="1" applyBorder="1"/>
    <xf numFmtId="164" fontId="2" fillId="0" borderId="2" xfId="0" applyNumberFormat="1" applyFont="1" applyFill="1" applyBorder="1"/>
    <xf numFmtId="2" fontId="1" fillId="0" borderId="14" xfId="0" applyNumberFormat="1" applyFont="1" applyFill="1" applyBorder="1"/>
    <xf numFmtId="1" fontId="0" fillId="0" borderId="2" xfId="0" applyNumberFormat="1" applyFill="1" applyBorder="1"/>
    <xf numFmtId="0" fontId="0" fillId="11" borderId="6" xfId="0" applyFill="1" applyBorder="1"/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20" fillId="11" borderId="16" xfId="0" applyFont="1" applyFill="1" applyBorder="1" applyAlignment="1">
      <alignment horizontal="center"/>
    </xf>
    <xf numFmtId="0" fontId="1" fillId="11" borderId="38" xfId="0" applyFont="1" applyFill="1" applyBorder="1" applyAlignment="1">
      <alignment horizontal="center"/>
    </xf>
    <xf numFmtId="164" fontId="1" fillId="11" borderId="16" xfId="0" applyNumberFormat="1" applyFont="1" applyFill="1" applyBorder="1"/>
    <xf numFmtId="0" fontId="0" fillId="11" borderId="26" xfId="0" applyFill="1" applyBorder="1"/>
    <xf numFmtId="0" fontId="1" fillId="11" borderId="25" xfId="0" applyFont="1" applyFill="1" applyBorder="1" applyAlignment="1">
      <alignment horizontal="center"/>
    </xf>
    <xf numFmtId="0" fontId="1" fillId="11" borderId="39" xfId="0" applyFont="1" applyFill="1" applyBorder="1" applyAlignment="1">
      <alignment horizontal="center"/>
    </xf>
    <xf numFmtId="164" fontId="1" fillId="11" borderId="25" xfId="0" applyNumberFormat="1" applyFont="1" applyFill="1" applyBorder="1"/>
    <xf numFmtId="0" fontId="1" fillId="11" borderId="25" xfId="0" quotePrefix="1" applyFont="1" applyFill="1" applyBorder="1" applyAlignment="1">
      <alignment horizontal="center"/>
    </xf>
    <xf numFmtId="2" fontId="0" fillId="0" borderId="7" xfId="0" applyNumberFormat="1" applyFont="1" applyFill="1" applyBorder="1" applyAlignment="1">
      <alignment horizontal="center"/>
    </xf>
    <xf numFmtId="0" fontId="38" fillId="0" borderId="0" xfId="0" applyFont="1" applyAlignment="1">
      <alignment horizontal="right"/>
    </xf>
    <xf numFmtId="0" fontId="2" fillId="0" borderId="0" xfId="0" applyFont="1" applyFill="1" applyBorder="1"/>
    <xf numFmtId="0" fontId="0" fillId="0" borderId="1" xfId="0" applyFill="1" applyBorder="1" applyAlignment="1"/>
    <xf numFmtId="0" fontId="0" fillId="7" borderId="21" xfId="0" applyFill="1" applyBorder="1" applyAlignment="1"/>
    <xf numFmtId="0" fontId="0" fillId="0" borderId="0" xfId="0" applyFill="1" applyBorder="1" applyAlignment="1"/>
    <xf numFmtId="0" fontId="0" fillId="7" borderId="22" xfId="0" applyFill="1" applyBorder="1" applyAlignment="1"/>
    <xf numFmtId="0" fontId="0" fillId="0" borderId="2" xfId="0" applyFill="1" applyBorder="1" applyAlignment="1"/>
    <xf numFmtId="0" fontId="0" fillId="7" borderId="23" xfId="0" applyFill="1" applyBorder="1" applyAlignment="1"/>
    <xf numFmtId="0" fontId="0" fillId="0" borderId="0" xfId="0" applyFill="1" applyBorder="1" applyAlignment="1">
      <alignment horizontal="left"/>
    </xf>
    <xf numFmtId="0" fontId="7" fillId="0" borderId="0" xfId="0" applyFont="1" applyFill="1" applyBorder="1"/>
    <xf numFmtId="167" fontId="0" fillId="0" borderId="8" xfId="0" applyNumberFormat="1" applyFont="1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9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2" fontId="1" fillId="0" borderId="8" xfId="0" applyNumberFormat="1" applyFont="1" applyFill="1" applyBorder="1" applyAlignment="1">
      <alignment horizontal="center"/>
    </xf>
    <xf numFmtId="2" fontId="1" fillId="0" borderId="0" xfId="0" applyNumberFormat="1" applyFont="1" applyFill="1" applyBorder="1"/>
    <xf numFmtId="165" fontId="0" fillId="0" borderId="0" xfId="0" applyNumberFormat="1" applyFill="1" applyBorder="1"/>
    <xf numFmtId="1" fontId="2" fillId="0" borderId="0" xfId="0" applyNumberFormat="1" applyFont="1" applyFill="1" applyBorder="1"/>
    <xf numFmtId="165" fontId="2" fillId="0" borderId="0" xfId="0" applyNumberFormat="1" applyFont="1" applyFill="1" applyBorder="1"/>
    <xf numFmtId="168" fontId="2" fillId="0" borderId="0" xfId="0" applyNumberFormat="1" applyFont="1" applyFill="1" applyBorder="1"/>
    <xf numFmtId="165" fontId="2" fillId="0" borderId="13" xfId="0" applyNumberFormat="1" applyFont="1" applyFill="1" applyBorder="1"/>
    <xf numFmtId="2" fontId="2" fillId="0" borderId="9" xfId="0" applyNumberFormat="1" applyFont="1" applyFill="1" applyBorder="1"/>
    <xf numFmtId="2" fontId="2" fillId="0" borderId="0" xfId="0" applyNumberFormat="1" applyFont="1" applyFill="1" applyBorder="1"/>
    <xf numFmtId="1" fontId="2" fillId="0" borderId="13" xfId="0" applyNumberFormat="1" applyFont="1" applyFill="1" applyBorder="1"/>
    <xf numFmtId="164" fontId="2" fillId="0" borderId="9" xfId="0" applyNumberFormat="1" applyFont="1" applyFill="1" applyBorder="1"/>
    <xf numFmtId="2" fontId="0" fillId="0" borderId="7" xfId="0" applyNumberFormat="1" applyFill="1" applyBorder="1" applyAlignment="1">
      <alignment horizontal="center"/>
    </xf>
    <xf numFmtId="0" fontId="24" fillId="5" borderId="9" xfId="0" applyFont="1" applyFill="1" applyBorder="1"/>
    <xf numFmtId="0" fontId="24" fillId="5" borderId="13" xfId="0" applyFont="1" applyFill="1" applyBorder="1"/>
    <xf numFmtId="0" fontId="0" fillId="5" borderId="13" xfId="0" applyFont="1" applyFill="1" applyBorder="1"/>
    <xf numFmtId="0" fontId="0" fillId="0" borderId="0" xfId="0" applyFill="1" applyAlignment="1"/>
    <xf numFmtId="0" fontId="0" fillId="0" borderId="0" xfId="0" applyFont="1" applyFill="1" applyBorder="1" applyAlignment="1"/>
    <xf numFmtId="0" fontId="0" fillId="0" borderId="0" xfId="0" applyFont="1" applyFill="1" applyAlignment="1"/>
    <xf numFmtId="0" fontId="0" fillId="0" borderId="1" xfId="0" applyFont="1" applyFill="1" applyBorder="1" applyAlignment="1"/>
    <xf numFmtId="0" fontId="2" fillId="0" borderId="0" xfId="0" applyFont="1" applyFill="1" applyBorder="1" applyAlignment="1"/>
    <xf numFmtId="0" fontId="0" fillId="0" borderId="2" xfId="0" applyFont="1" applyFill="1" applyBorder="1" applyAlignment="1"/>
    <xf numFmtId="0" fontId="2" fillId="7" borderId="22" xfId="0" applyFont="1" applyFill="1" applyBorder="1" applyAlignment="1"/>
    <xf numFmtId="1" fontId="0" fillId="7" borderId="14" xfId="0" applyNumberFormat="1" applyFill="1" applyBorder="1"/>
    <xf numFmtId="0" fontId="0" fillId="0" borderId="9" xfId="0" applyFont="1" applyFill="1" applyBorder="1"/>
    <xf numFmtId="0" fontId="2" fillId="0" borderId="9" xfId="0" applyFont="1" applyFill="1" applyBorder="1"/>
    <xf numFmtId="0" fontId="1" fillId="0" borderId="9" xfId="0" applyFont="1" applyFill="1" applyBorder="1"/>
    <xf numFmtId="0" fontId="1" fillId="0" borderId="0" xfId="0" applyFont="1" applyFill="1" applyBorder="1"/>
    <xf numFmtId="0" fontId="0" fillId="3" borderId="9" xfId="0" applyFont="1" applyFill="1" applyBorder="1"/>
    <xf numFmtId="165" fontId="0" fillId="3" borderId="0" xfId="0" applyNumberFormat="1" applyFill="1" applyBorder="1"/>
    <xf numFmtId="0" fontId="12" fillId="0" borderId="25" xfId="0" applyFont="1" applyFill="1" applyBorder="1" applyAlignment="1">
      <alignment horizontal="center"/>
    </xf>
    <xf numFmtId="0" fontId="1" fillId="0" borderId="25" xfId="0" applyFont="1" applyBorder="1"/>
    <xf numFmtId="0" fontId="1" fillId="0" borderId="31" xfId="0" applyFont="1" applyBorder="1"/>
    <xf numFmtId="0" fontId="1" fillId="0" borderId="3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0" fillId="7" borderId="12" xfId="0" applyNumberFormat="1" applyFill="1" applyBorder="1"/>
    <xf numFmtId="167" fontId="0" fillId="7" borderId="13" xfId="0" applyNumberFormat="1" applyFill="1" applyBorder="1"/>
    <xf numFmtId="167" fontId="0" fillId="7" borderId="11" xfId="0" applyNumberFormat="1" applyFill="1" applyBorder="1"/>
    <xf numFmtId="0" fontId="0" fillId="0" borderId="15" xfId="0" applyFont="1" applyFill="1" applyBorder="1" applyAlignment="1">
      <alignment horizontal="center"/>
    </xf>
    <xf numFmtId="167" fontId="0" fillId="0" borderId="18" xfId="0" applyNumberFormat="1" applyFill="1" applyBorder="1" applyAlignment="1">
      <alignment horizontal="center"/>
    </xf>
    <xf numFmtId="167" fontId="0" fillId="0" borderId="18" xfId="0" applyNumberFormat="1" applyFont="1" applyFill="1" applyBorder="1" applyAlignment="1">
      <alignment horizontal="center"/>
    </xf>
    <xf numFmtId="167" fontId="0" fillId="0" borderId="19" xfId="0" applyNumberFormat="1" applyFont="1" applyFill="1" applyBorder="1" applyAlignment="1">
      <alignment horizontal="center"/>
    </xf>
    <xf numFmtId="1" fontId="0" fillId="0" borderId="15" xfId="0" applyNumberFormat="1" applyFill="1" applyBorder="1" applyAlignment="1">
      <alignment horizontal="center"/>
    </xf>
    <xf numFmtId="1" fontId="0" fillId="0" borderId="35" xfId="0" applyNumberFormat="1" applyFill="1" applyBorder="1" applyAlignment="1">
      <alignment horizontal="center"/>
    </xf>
    <xf numFmtId="1" fontId="0" fillId="0" borderId="18" xfId="0" applyNumberForma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center"/>
    </xf>
    <xf numFmtId="167" fontId="2" fillId="0" borderId="18" xfId="0" applyNumberFormat="1" applyFon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17" fillId="0" borderId="18" xfId="0" applyNumberFormat="1" applyFont="1" applyFill="1" applyBorder="1" applyAlignment="1">
      <alignment horizontal="center"/>
    </xf>
    <xf numFmtId="2" fontId="1" fillId="0" borderId="19" xfId="0" applyNumberFormat="1" applyFont="1" applyFill="1" applyBorder="1" applyAlignment="1">
      <alignment horizontal="center"/>
    </xf>
    <xf numFmtId="2" fontId="1" fillId="0" borderId="2" xfId="0" applyNumberFormat="1" applyFont="1" applyFill="1" applyBorder="1"/>
    <xf numFmtId="165" fontId="0" fillId="0" borderId="2" xfId="0" applyNumberFormat="1" applyFill="1" applyBorder="1"/>
    <xf numFmtId="1" fontId="2" fillId="0" borderId="2" xfId="0" applyNumberFormat="1" applyFont="1" applyFill="1" applyBorder="1"/>
    <xf numFmtId="165" fontId="2" fillId="0" borderId="2" xfId="0" applyNumberFormat="1" applyFont="1" applyFill="1" applyBorder="1"/>
    <xf numFmtId="168" fontId="2" fillId="0" borderId="2" xfId="0" applyNumberFormat="1" applyFont="1" applyFill="1" applyBorder="1"/>
    <xf numFmtId="165" fontId="2" fillId="0" borderId="11" xfId="0" applyNumberFormat="1" applyFont="1" applyFill="1" applyBorder="1"/>
    <xf numFmtId="2" fontId="2" fillId="0" borderId="14" xfId="0" applyNumberFormat="1" applyFont="1" applyFill="1" applyBorder="1"/>
    <xf numFmtId="2" fontId="2" fillId="0" borderId="2" xfId="0" applyNumberFormat="1" applyFont="1" applyFill="1" applyBorder="1"/>
    <xf numFmtId="1" fontId="2" fillId="0" borderId="11" xfId="0" applyNumberFormat="1" applyFont="1" applyFill="1" applyBorder="1"/>
    <xf numFmtId="164" fontId="2" fillId="0" borderId="14" xfId="0" applyNumberFormat="1" applyFont="1" applyFill="1" applyBorder="1"/>
    <xf numFmtId="1" fontId="0" fillId="0" borderId="2" xfId="0" applyNumberForma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167" fontId="0" fillId="0" borderId="2" xfId="0" applyNumberFormat="1" applyFill="1" applyBorder="1"/>
    <xf numFmtId="1" fontId="0" fillId="0" borderId="0" xfId="0" applyNumberFormat="1" applyFont="1" applyFill="1"/>
    <xf numFmtId="165" fontId="0" fillId="0" borderId="0" xfId="0" applyNumberFormat="1" applyFont="1" applyFill="1"/>
    <xf numFmtId="1" fontId="1" fillId="5" borderId="37" xfId="0" applyNumberFormat="1" applyFont="1" applyFill="1" applyBorder="1" applyAlignment="1">
      <alignment horizontal="center"/>
    </xf>
    <xf numFmtId="0" fontId="24" fillId="5" borderId="35" xfId="0" applyFont="1" applyFill="1" applyBorder="1"/>
    <xf numFmtId="0" fontId="0" fillId="5" borderId="36" xfId="0" applyFont="1" applyFill="1" applyBorder="1"/>
    <xf numFmtId="0" fontId="0" fillId="0" borderId="18" xfId="0" applyBorder="1"/>
    <xf numFmtId="0" fontId="12" fillId="0" borderId="2" xfId="0" applyFont="1" applyFill="1" applyBorder="1" applyAlignment="1">
      <alignment horizontal="center"/>
    </xf>
    <xf numFmtId="1" fontId="35" fillId="0" borderId="2" xfId="0" applyNumberFormat="1" applyFont="1" applyFill="1" applyBorder="1"/>
    <xf numFmtId="9" fontId="2" fillId="5" borderId="20" xfId="1" applyFont="1" applyFill="1" applyBorder="1" applyAlignment="1">
      <alignment horizontal="left"/>
    </xf>
    <xf numFmtId="14" fontId="2" fillId="5" borderId="20" xfId="1" applyNumberFormat="1" applyFont="1" applyFill="1" applyBorder="1" applyAlignment="1">
      <alignment horizontal="left"/>
    </xf>
    <xf numFmtId="0" fontId="29" fillId="0" borderId="17" xfId="0" applyFont="1" applyBorder="1" applyAlignment="1">
      <alignment horizontal="center" vertical="center" textRotation="180"/>
    </xf>
    <xf numFmtId="0" fontId="29" fillId="0" borderId="8" xfId="0" applyFont="1" applyBorder="1" applyAlignment="1">
      <alignment horizontal="center" vertical="center" textRotation="180"/>
    </xf>
    <xf numFmtId="0" fontId="29" fillId="0" borderId="19" xfId="0" applyFont="1" applyBorder="1" applyAlignment="1">
      <alignment horizontal="center" vertical="center" textRotation="180"/>
    </xf>
    <xf numFmtId="0" fontId="39" fillId="5" borderId="12" xfId="0" applyFont="1" applyFill="1" applyBorder="1" applyAlignment="1">
      <alignment horizontal="left" vertical="top" wrapText="1"/>
    </xf>
    <xf numFmtId="0" fontId="39" fillId="0" borderId="10" xfId="0" applyFont="1" applyBorder="1" applyAlignment="1">
      <alignment horizontal="left" vertical="top" wrapText="1"/>
    </xf>
    <xf numFmtId="0" fontId="39" fillId="0" borderId="9" xfId="0" applyFont="1" applyBorder="1" applyAlignment="1">
      <alignment horizontal="left" vertical="top" wrapText="1"/>
    </xf>
    <xf numFmtId="0" fontId="39" fillId="0" borderId="13" xfId="0" applyFont="1" applyBorder="1" applyAlignment="1">
      <alignment horizontal="left" vertical="top" wrapText="1"/>
    </xf>
    <xf numFmtId="0" fontId="39" fillId="0" borderId="14" xfId="0" applyFont="1" applyBorder="1" applyAlignment="1">
      <alignment horizontal="left" vertical="top" wrapText="1"/>
    </xf>
    <xf numFmtId="0" fontId="39" fillId="0" borderId="11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Data'!$A$303</c:f>
          <c:strCache>
            <c:ptCount val="1"/>
            <c:pt idx="0">
              <c:v>Disk 30</c:v>
            </c:pt>
          </c:strCache>
        </c:strRef>
      </c:tx>
      <c:layout/>
      <c:overlay val="1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960913377534168"/>
          <c:y val="0.24809206541490025"/>
          <c:w val="0.65196390531128079"/>
          <c:h val="0.5916041559893771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Regression!$AA$3:$AE$3</c:f>
                <c:numCache>
                  <c:formatCode>General</c:formatCode>
                  <c:ptCount val="5"/>
                  <c:pt idx="0">
                    <c:v>90.395173142927035</c:v>
                  </c:pt>
                  <c:pt idx="1">
                    <c:v>130.10514538210182</c:v>
                  </c:pt>
                  <c:pt idx="2">
                    <c:v>205.68654087399199</c:v>
                  </c:pt>
                  <c:pt idx="3">
                    <c:v>5.3660665830238878</c:v>
                  </c:pt>
                  <c:pt idx="4">
                    <c:v>89.362854614631587</c:v>
                  </c:pt>
                </c:numCache>
              </c:numRef>
            </c:plus>
            <c:minus>
              <c:numRef>
                <c:f>Regression!$AA$3:$AE$3</c:f>
                <c:numCache>
                  <c:formatCode>General</c:formatCode>
                  <c:ptCount val="5"/>
                  <c:pt idx="0">
                    <c:v>90.395173142927035</c:v>
                  </c:pt>
                  <c:pt idx="1">
                    <c:v>130.10514538210182</c:v>
                  </c:pt>
                  <c:pt idx="2">
                    <c:v>205.68654087399199</c:v>
                  </c:pt>
                  <c:pt idx="3">
                    <c:v>5.3660665830238878</c:v>
                  </c:pt>
                  <c:pt idx="4">
                    <c:v>89.362854614631587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Regression!$T$23:$X$23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560.65953256012131</c:v>
                </c:pt>
                <c:pt idx="2">
                  <c:v>840.91533320264114</c:v>
                </c:pt>
                <c:pt idx="3">
                  <c:v>0</c:v>
                </c:pt>
                <c:pt idx="4">
                  <c:v>280.32976628006065</c:v>
                </c:pt>
              </c:numCache>
            </c:numRef>
          </c:xVal>
          <c:yVal>
            <c:numRef>
              <c:f>Regression!$T$3:$X$3</c:f>
              <c:numCache>
                <c:formatCode>0</c:formatCode>
                <c:ptCount val="5"/>
                <c:pt idx="0">
                  <c:v>11764.459258236811</c:v>
                </c:pt>
                <c:pt idx="1">
                  <c:v>21389.749121066998</c:v>
                </c:pt>
                <c:pt idx="2">
                  <c:v>30992.595585072057</c:v>
                </c:pt>
                <c:pt idx="3">
                  <c:v>0.11156444378818363</c:v>
                </c:pt>
                <c:pt idx="4">
                  <c:v>12988.293689079363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Regression!$Q$3</c:f>
              <c:numCache>
                <c:formatCode>0</c:formatCode>
                <c:ptCount val="1"/>
                <c:pt idx="0">
                  <c:v>22262.15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Plt'!$A$3:$A$14</c:f>
              <c:numCache>
                <c:formatCode>0.00</c:formatCode>
                <c:ptCount val="12"/>
                <c:pt idx="0">
                  <c:v>0</c:v>
                </c:pt>
                <c:pt idx="1">
                  <c:v>76.446848472967375</c:v>
                </c:pt>
                <c:pt idx="2">
                  <c:v>152.89369694593475</c:v>
                </c:pt>
                <c:pt idx="3">
                  <c:v>229.34054541890214</c:v>
                </c:pt>
                <c:pt idx="4">
                  <c:v>305.7873938918695</c:v>
                </c:pt>
                <c:pt idx="5">
                  <c:v>382.23424236483686</c:v>
                </c:pt>
                <c:pt idx="6">
                  <c:v>458.68109083780422</c:v>
                </c:pt>
                <c:pt idx="7">
                  <c:v>535.12793931077158</c:v>
                </c:pt>
                <c:pt idx="8">
                  <c:v>611.574787783739</c:v>
                </c:pt>
                <c:pt idx="9">
                  <c:v>688.02163625670642</c:v>
                </c:pt>
                <c:pt idx="10">
                  <c:v>764.46848472967383</c:v>
                </c:pt>
                <c:pt idx="11">
                  <c:v>840.91533320264125</c:v>
                </c:pt>
              </c:numCache>
            </c:numRef>
          </c:xVal>
          <c:yVal>
            <c:numRef>
              <c:f>'Sig-Dose Plt'!$B$3:$B$14</c:f>
              <c:numCache>
                <c:formatCode>0</c:formatCode>
                <c:ptCount val="12"/>
                <c:pt idx="0">
                  <c:v>7.0315754197016647E-2</c:v>
                </c:pt>
                <c:pt idx="1">
                  <c:v>3538.8055515464407</c:v>
                </c:pt>
                <c:pt idx="2">
                  <c:v>6901.6759559512793</c:v>
                </c:pt>
                <c:pt idx="3">
                  <c:v>10097.421498720088</c:v>
                </c:pt>
                <c:pt idx="4">
                  <c:v>13134.347798570798</c:v>
                </c:pt>
                <c:pt idx="5">
                  <c:v>16020.347709168871</c:v>
                </c:pt>
                <c:pt idx="6">
                  <c:v>18762.921832347798</c:v>
                </c:pt>
                <c:pt idx="7">
                  <c:v>21369.198011882367</c:v>
                </c:pt>
                <c:pt idx="8">
                  <c:v>23845.949858478176</c:v>
                </c:pt>
                <c:pt idx="9">
                  <c:v>26199.614354123169</c:v>
                </c:pt>
                <c:pt idx="10">
                  <c:v>28436.308581554109</c:v>
                </c:pt>
                <c:pt idx="11">
                  <c:v>30561.845622317407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Regression!$S$23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Regression!$S$3</c:f>
              <c:numCache>
                <c:formatCode>0</c:formatCode>
                <c:ptCount val="1"/>
                <c:pt idx="0">
                  <c:v>6044.45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6496"/>
        <c:axId val="49630592"/>
      </c:scatterChart>
      <c:valAx>
        <c:axId val="49146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630592"/>
        <c:crosses val="autoZero"/>
        <c:crossBetween val="midCat"/>
      </c:valAx>
      <c:valAx>
        <c:axId val="496305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1464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Data'!$A$304</c:f>
          <c:strCache>
            <c:ptCount val="1"/>
            <c:pt idx="0">
              <c:v>Disk 31</c:v>
            </c:pt>
          </c:strCache>
        </c:strRef>
      </c:tx>
      <c:layout>
        <c:manualLayout>
          <c:xMode val="edge"/>
          <c:yMode val="edge"/>
          <c:x val="0.41743119266055045"/>
          <c:y val="3.81675752069452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29357798165136"/>
          <c:y val="0.25190886642128318"/>
          <c:w val="0.65596330275229353"/>
          <c:h val="0.58778735498299306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Regression!$AA$4:$AE$4</c:f>
                <c:numCache>
                  <c:formatCode>General</c:formatCode>
                  <c:ptCount val="5"/>
                  <c:pt idx="0">
                    <c:v>53.514794648941589</c:v>
                  </c:pt>
                  <c:pt idx="1">
                    <c:v>131.29371515506068</c:v>
                  </c:pt>
                  <c:pt idx="2">
                    <c:v>113.13995588540313</c:v>
                  </c:pt>
                  <c:pt idx="3">
                    <c:v>3.9898009501922624</c:v>
                  </c:pt>
                  <c:pt idx="4">
                    <c:v>53.738985300580275</c:v>
                  </c:pt>
                </c:numCache>
              </c:numRef>
            </c:plus>
            <c:minus>
              <c:numRef>
                <c:f>Regression!$AA$4:$AE$4</c:f>
                <c:numCache>
                  <c:formatCode>General</c:formatCode>
                  <c:ptCount val="5"/>
                  <c:pt idx="0">
                    <c:v>53.514794648941589</c:v>
                  </c:pt>
                  <c:pt idx="1">
                    <c:v>131.29371515506068</c:v>
                  </c:pt>
                  <c:pt idx="2">
                    <c:v>113.13995588540313</c:v>
                  </c:pt>
                  <c:pt idx="3">
                    <c:v>3.9898009501922624</c:v>
                  </c:pt>
                  <c:pt idx="4">
                    <c:v>53.738985300580275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Regression!$T$24:$X$24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560.65953256012131</c:v>
                </c:pt>
                <c:pt idx="2">
                  <c:v>840.91533320264114</c:v>
                </c:pt>
                <c:pt idx="3">
                  <c:v>0</c:v>
                </c:pt>
                <c:pt idx="4">
                  <c:v>280.32976628006065</c:v>
                </c:pt>
              </c:numCache>
            </c:numRef>
          </c:xVal>
          <c:yVal>
            <c:numRef>
              <c:f>Regression!$T$4:$X$4</c:f>
              <c:numCache>
                <c:formatCode>0</c:formatCode>
                <c:ptCount val="5"/>
                <c:pt idx="0">
                  <c:v>5686.7500183789743</c:v>
                </c:pt>
                <c:pt idx="1">
                  <c:v>9719.2447701077417</c:v>
                </c:pt>
                <c:pt idx="2">
                  <c:v>12514.117442998935</c:v>
                </c:pt>
                <c:pt idx="3">
                  <c:v>61.773054919908468</c:v>
                </c:pt>
                <c:pt idx="4">
                  <c:v>5620.2303545348568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Regression!$Q$4</c:f>
              <c:numCache>
                <c:formatCode>0</c:formatCode>
                <c:ptCount val="1"/>
                <c:pt idx="0">
                  <c:v>13644.35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Plt'!$F$3:$F$14</c:f>
              <c:numCache>
                <c:formatCode>0.00</c:formatCode>
                <c:ptCount val="12"/>
                <c:pt idx="0">
                  <c:v>0</c:v>
                </c:pt>
                <c:pt idx="1">
                  <c:v>76.446848472967375</c:v>
                </c:pt>
                <c:pt idx="2">
                  <c:v>152.89369694593475</c:v>
                </c:pt>
                <c:pt idx="3">
                  <c:v>229.34054541890214</c:v>
                </c:pt>
                <c:pt idx="4">
                  <c:v>305.7873938918695</c:v>
                </c:pt>
                <c:pt idx="5">
                  <c:v>382.23424236483686</c:v>
                </c:pt>
                <c:pt idx="6">
                  <c:v>458.68109083780422</c:v>
                </c:pt>
                <c:pt idx="7">
                  <c:v>535.12793931077158</c:v>
                </c:pt>
                <c:pt idx="8">
                  <c:v>611.574787783739</c:v>
                </c:pt>
                <c:pt idx="9">
                  <c:v>688.02163625670642</c:v>
                </c:pt>
                <c:pt idx="10">
                  <c:v>764.46848472967383</c:v>
                </c:pt>
                <c:pt idx="11">
                  <c:v>840.91533320264125</c:v>
                </c:pt>
              </c:numCache>
            </c:numRef>
          </c:xVal>
          <c:yVal>
            <c:numRef>
              <c:f>'Sig-Dose Plt'!$G$3:$G$14</c:f>
              <c:numCache>
                <c:formatCode>0</c:formatCode>
                <c:ptCount val="12"/>
                <c:pt idx="0">
                  <c:v>55.130081328444916</c:v>
                </c:pt>
                <c:pt idx="1">
                  <c:v>1778.5095191385576</c:v>
                </c:pt>
                <c:pt idx="2">
                  <c:v>3350.3223018868985</c:v>
                </c:pt>
                <c:pt idx="3">
                  <c:v>4783.8983152751352</c:v>
                </c:pt>
                <c:pt idx="4">
                  <c:v>6091.3951168781041</c:v>
                </c:pt>
                <c:pt idx="5">
                  <c:v>7283.9010392961918</c:v>
                </c:pt>
                <c:pt idx="6">
                  <c:v>8371.5292256587036</c:v>
                </c:pt>
                <c:pt idx="7">
                  <c:v>9363.503394953832</c:v>
                </c:pt>
                <c:pt idx="8">
                  <c:v>10268.236064525145</c:v>
                </c:pt>
                <c:pt idx="9">
                  <c:v>11093.399893106758</c:v>
                </c:pt>
                <c:pt idx="10">
                  <c:v>11845.992749427613</c:v>
                </c:pt>
                <c:pt idx="11">
                  <c:v>12532.397058204415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Regression!$S$24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Regression!$S$4</c:f>
              <c:numCache>
                <c:formatCode>0</c:formatCode>
                <c:ptCount val="1"/>
                <c:pt idx="0">
                  <c:v>2642.85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6576"/>
        <c:axId val="51116288"/>
      </c:scatterChart>
      <c:valAx>
        <c:axId val="510965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1116288"/>
        <c:crosses val="autoZero"/>
        <c:crossBetween val="midCat"/>
      </c:valAx>
      <c:valAx>
        <c:axId val="51116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10965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Data'!$A$305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2241469816273014"/>
          <c:y val="3.816799851691405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20734107148531"/>
          <c:y val="0.24045846340213425"/>
          <c:w val="0.69396697780630756"/>
          <c:h val="0.5992377580021423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Regression!$AA$5:$AE$5</c:f>
                <c:numCache>
                  <c:formatCode>General</c:formatCode>
                  <c:ptCount val="5"/>
                  <c:pt idx="0">
                    <c:v>11.646027232479705</c:v>
                  </c:pt>
                  <c:pt idx="1">
                    <c:v>12.329065145361007</c:v>
                  </c:pt>
                  <c:pt idx="2">
                    <c:v>16.733735721774949</c:v>
                  </c:pt>
                  <c:pt idx="3">
                    <c:v>11.758742353549879</c:v>
                  </c:pt>
                  <c:pt idx="4">
                    <c:v>12.68588595271863</c:v>
                  </c:pt>
                </c:numCache>
              </c:numRef>
            </c:plus>
            <c:minus>
              <c:numRef>
                <c:f>Regression!$AA$5:$AE$5</c:f>
                <c:numCache>
                  <c:formatCode>General</c:formatCode>
                  <c:ptCount val="5"/>
                  <c:pt idx="0">
                    <c:v>11.646027232479705</c:v>
                  </c:pt>
                  <c:pt idx="1">
                    <c:v>12.329065145361007</c:v>
                  </c:pt>
                  <c:pt idx="2">
                    <c:v>16.733735721774949</c:v>
                  </c:pt>
                  <c:pt idx="3">
                    <c:v>11.758742353549879</c:v>
                  </c:pt>
                  <c:pt idx="4">
                    <c:v>12.68588595271863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Regression!$T$25:$X$25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149.41058783264447</c:v>
                </c:pt>
                <c:pt idx="2">
                  <c:v>308.21481163298489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Regression!$T$5:$X$5</c:f>
              <c:numCache>
                <c:formatCode>0</c:formatCode>
                <c:ptCount val="5"/>
                <c:pt idx="0">
                  <c:v>101.85235368956742</c:v>
                </c:pt>
                <c:pt idx="1">
                  <c:v>136.86622691292874</c:v>
                </c:pt>
                <c:pt idx="2">
                  <c:v>150.75647709320688</c:v>
                </c:pt>
                <c:pt idx="3">
                  <c:v>79.217875920084126</c:v>
                </c:pt>
                <c:pt idx="4">
                  <c:v>97.340603700097333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Regression!$Q$5</c:f>
              <c:numCache>
                <c:formatCode>0</c:formatCode>
                <c:ptCount val="1"/>
                <c:pt idx="0">
                  <c:v>174.5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Plt'!$I$3:$I$14</c:f>
              <c:numCache>
                <c:formatCode>0.00</c:formatCode>
                <c:ptCount val="12"/>
                <c:pt idx="0">
                  <c:v>0</c:v>
                </c:pt>
                <c:pt idx="1">
                  <c:v>28.019528330271353</c:v>
                </c:pt>
                <c:pt idx="2">
                  <c:v>56.039056660542705</c:v>
                </c:pt>
                <c:pt idx="3">
                  <c:v>84.058584990814055</c:v>
                </c:pt>
                <c:pt idx="4">
                  <c:v>112.07811332108541</c:v>
                </c:pt>
                <c:pt idx="5">
                  <c:v>140.09764165135675</c:v>
                </c:pt>
                <c:pt idx="6">
                  <c:v>168.11716998162811</c:v>
                </c:pt>
                <c:pt idx="7">
                  <c:v>196.13669831189947</c:v>
                </c:pt>
                <c:pt idx="8">
                  <c:v>224.15622664217082</c:v>
                </c:pt>
                <c:pt idx="9">
                  <c:v>252.17575497244218</c:v>
                </c:pt>
                <c:pt idx="10">
                  <c:v>280.19528330271351</c:v>
                </c:pt>
                <c:pt idx="11">
                  <c:v>308.21481163298483</c:v>
                </c:pt>
              </c:numCache>
            </c:numRef>
          </c:xVal>
          <c:yVal>
            <c:numRef>
              <c:f>'Sig-Dose Plt'!$J$3:$J$14</c:f>
              <c:numCache>
                <c:formatCode>0</c:formatCode>
                <c:ptCount val="12"/>
                <c:pt idx="0">
                  <c:v>75.9251595813069</c:v>
                </c:pt>
                <c:pt idx="1">
                  <c:v>88.0785148921684</c:v>
                </c:pt>
                <c:pt idx="2">
                  <c:v>98.808038484549456</c:v>
                </c:pt>
                <c:pt idx="3">
                  <c:v>108.28053999337769</c:v>
                </c:pt>
                <c:pt idx="4">
                  <c:v>116.64328639699887</c:v>
                </c:pt>
                <c:pt idx="5">
                  <c:v>124.02629154575504</c:v>
                </c:pt>
                <c:pt idx="6">
                  <c:v>130.54433745982902</c:v>
                </c:pt>
                <c:pt idx="7">
                  <c:v>136.29875882104585</c:v>
                </c:pt>
                <c:pt idx="8">
                  <c:v>141.37901840174769</c:v>
                </c:pt>
                <c:pt idx="9">
                  <c:v>145.86409792360166</c:v>
                </c:pt>
                <c:pt idx="10">
                  <c:v>149.82372596972891</c:v>
                </c:pt>
                <c:pt idx="11">
                  <c:v>153.31946204024496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Regression!$S$25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Regression!$S$5</c:f>
              <c:numCache>
                <c:formatCode>0</c:formatCode>
                <c:ptCount val="1"/>
                <c:pt idx="0">
                  <c:v>89.899999999999977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12640"/>
        <c:axId val="59098240"/>
      </c:scatterChart>
      <c:valAx>
        <c:axId val="581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9098240"/>
        <c:crosses val="autoZero"/>
        <c:crossBetween val="midCat"/>
      </c:valAx>
      <c:valAx>
        <c:axId val="59098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126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Data'!$A$306</c:f>
          <c:strCache>
            <c:ptCount val="1"/>
            <c:pt idx="0">
              <c:v>Disk 33</c:v>
            </c:pt>
          </c:strCache>
        </c:strRef>
      </c:tx>
      <c:layout>
        <c:manualLayout>
          <c:xMode val="edge"/>
          <c:yMode val="edge"/>
          <c:x val="0.41706260651067933"/>
          <c:y val="3.816778458248273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22802555730168"/>
          <c:y val="0.24427526440851688"/>
          <c:w val="0.65876929698908104"/>
          <c:h val="0.59542095699575959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Regression!$AA$6:$AE$6</c:f>
                <c:numCache>
                  <c:formatCode>General</c:formatCode>
                  <c:ptCount val="5"/>
                  <c:pt idx="0">
                    <c:v>142.37608532119083</c:v>
                  </c:pt>
                  <c:pt idx="1">
                    <c:v>176.40833926823316</c:v>
                  </c:pt>
                  <c:pt idx="2">
                    <c:v>234.22568299806684</c:v>
                  </c:pt>
                  <c:pt idx="3">
                    <c:v>11.018116348019459</c:v>
                  </c:pt>
                  <c:pt idx="4">
                    <c:v>147.08714933739665</c:v>
                  </c:pt>
                </c:numCache>
              </c:numRef>
            </c:plus>
            <c:minus>
              <c:numRef>
                <c:f>Regression!$AA$6:$AE$6</c:f>
                <c:numCache>
                  <c:formatCode>General</c:formatCode>
                  <c:ptCount val="5"/>
                  <c:pt idx="0">
                    <c:v>142.37608532119083</c:v>
                  </c:pt>
                  <c:pt idx="1">
                    <c:v>176.40833926823316</c:v>
                  </c:pt>
                  <c:pt idx="2">
                    <c:v>234.22568299806684</c:v>
                  </c:pt>
                  <c:pt idx="3">
                    <c:v>11.018116348019459</c:v>
                  </c:pt>
                  <c:pt idx="4">
                    <c:v>147.08714933739665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Regression!$T$26:$X$26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560.65953256012131</c:v>
                </c:pt>
                <c:pt idx="2">
                  <c:v>840.98929884018207</c:v>
                </c:pt>
                <c:pt idx="3">
                  <c:v>0</c:v>
                </c:pt>
                <c:pt idx="4">
                  <c:v>280.32976628006065</c:v>
                </c:pt>
              </c:numCache>
            </c:numRef>
          </c:xVal>
          <c:yVal>
            <c:numRef>
              <c:f>Regression!$T$6:$X$6</c:f>
              <c:numCache>
                <c:formatCode>0</c:formatCode>
                <c:ptCount val="5"/>
                <c:pt idx="0">
                  <c:v>34779.757560456957</c:v>
                </c:pt>
                <c:pt idx="1">
                  <c:v>50486.604551688557</c:v>
                </c:pt>
                <c:pt idx="2">
                  <c:v>59440.211748080081</c:v>
                </c:pt>
                <c:pt idx="3">
                  <c:v>515.99448531500843</c:v>
                </c:pt>
                <c:pt idx="4">
                  <c:v>34335.489332843885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Regression!$Q$6</c:f>
              <c:numCache>
                <c:formatCode>0</c:formatCode>
                <c:ptCount val="1"/>
                <c:pt idx="0">
                  <c:v>60171.75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Plt'!$L$3:$L$14</c:f>
              <c:numCache>
                <c:formatCode>0.00</c:formatCode>
                <c:ptCount val="12"/>
                <c:pt idx="0">
                  <c:v>0</c:v>
                </c:pt>
                <c:pt idx="1">
                  <c:v>76.453572621834738</c:v>
                </c:pt>
                <c:pt idx="2">
                  <c:v>152.90714524366948</c:v>
                </c:pt>
                <c:pt idx="3">
                  <c:v>229.36071786550423</c:v>
                </c:pt>
                <c:pt idx="4">
                  <c:v>305.81429048733895</c:v>
                </c:pt>
                <c:pt idx="5">
                  <c:v>382.26786310917367</c:v>
                </c:pt>
                <c:pt idx="6">
                  <c:v>458.7214357310084</c:v>
                </c:pt>
                <c:pt idx="7">
                  <c:v>535.17500835284318</c:v>
                </c:pt>
                <c:pt idx="8">
                  <c:v>611.6285809746779</c:v>
                </c:pt>
                <c:pt idx="9">
                  <c:v>688.08215359651263</c:v>
                </c:pt>
                <c:pt idx="10">
                  <c:v>764.53572621834735</c:v>
                </c:pt>
                <c:pt idx="11">
                  <c:v>840.98929884018207</c:v>
                </c:pt>
              </c:numCache>
            </c:numRef>
          </c:xVal>
          <c:yVal>
            <c:numRef>
              <c:f>'Sig-Dose Plt'!$M$3:$M$14</c:f>
              <c:numCache>
                <c:formatCode>0</c:formatCode>
                <c:ptCount val="12"/>
                <c:pt idx="0">
                  <c:v>574.07702040391803</c:v>
                </c:pt>
                <c:pt idx="1">
                  <c:v>12291.136316830343</c:v>
                </c:pt>
                <c:pt idx="2">
                  <c:v>21942.748662166414</c:v>
                </c:pt>
                <c:pt idx="3">
                  <c:v>29893.004652852953</c:v>
                </c:pt>
                <c:pt idx="4">
                  <c:v>36441.814121769334</c:v>
                </c:pt>
                <c:pt idx="5">
                  <c:v>41836.219724608978</c:v>
                </c:pt>
                <c:pt idx="6">
                  <c:v>46279.716202261545</c:v>
                </c:pt>
                <c:pt idx="7">
                  <c:v>49939.926872463489</c:v>
                </c:pt>
                <c:pt idx="8">
                  <c:v>52954.926933257426</c:v>
                </c:pt>
                <c:pt idx="9">
                  <c:v>55438.452114086962</c:v>
                </c:pt>
                <c:pt idx="10">
                  <c:v>57484.189161996052</c:v>
                </c:pt>
                <c:pt idx="11">
                  <c:v>59169.310014199364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Regression!$S$26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Regression!$S$6</c:f>
              <c:numCache>
                <c:formatCode>0</c:formatCode>
                <c:ptCount val="1"/>
                <c:pt idx="0">
                  <c:v>17632.45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14080"/>
        <c:axId val="69420544"/>
      </c:scatterChart>
      <c:valAx>
        <c:axId val="6481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9420544"/>
        <c:crosses val="autoZero"/>
        <c:crossBetween val="midCat"/>
      </c:valAx>
      <c:valAx>
        <c:axId val="694205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814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Data'!$A$307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1379294254884808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093596059113279"/>
          <c:y val="0.23200045312588519"/>
          <c:w val="0.63054187192118316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Regression!$AA$7:$AE$7</c:f>
                <c:numCache>
                  <c:formatCode>General</c:formatCode>
                  <c:ptCount val="5"/>
                  <c:pt idx="0">
                    <c:v>7.8219545928700578</c:v>
                  </c:pt>
                  <c:pt idx="1">
                    <c:v>9.1731144234298174</c:v>
                  </c:pt>
                  <c:pt idx="2">
                    <c:v>15.113873218811106</c:v>
                  </c:pt>
                  <c:pt idx="3">
                    <c:v>2.6552938197245872</c:v>
                  </c:pt>
                  <c:pt idx="4">
                    <c:v>6.3390330455068806</c:v>
                  </c:pt>
                </c:numCache>
              </c:numRef>
            </c:plus>
            <c:minus>
              <c:numRef>
                <c:f>Regression!$AA$7:$AE$7</c:f>
                <c:numCache>
                  <c:formatCode>General</c:formatCode>
                  <c:ptCount val="5"/>
                  <c:pt idx="0">
                    <c:v>7.8219545928700578</c:v>
                  </c:pt>
                  <c:pt idx="1">
                    <c:v>9.1731144234298174</c:v>
                  </c:pt>
                  <c:pt idx="2">
                    <c:v>15.113873218811106</c:v>
                  </c:pt>
                  <c:pt idx="3">
                    <c:v>2.6552938197245872</c:v>
                  </c:pt>
                  <c:pt idx="4">
                    <c:v>6.3390330455068806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Regression!$T$27:$X$27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149.41058783264447</c:v>
                </c:pt>
                <c:pt idx="2">
                  <c:v>308.21481163298489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Regression!$T$7:$X$7</c:f>
              <c:numCache>
                <c:formatCode>0</c:formatCode>
                <c:ptCount val="5"/>
                <c:pt idx="0">
                  <c:v>99.007367387033412</c:v>
                </c:pt>
                <c:pt idx="1">
                  <c:v>145.28537234042557</c:v>
                </c:pt>
                <c:pt idx="2">
                  <c:v>250.19058240396535</c:v>
                </c:pt>
                <c:pt idx="3">
                  <c:v>15.114209115281504</c:v>
                </c:pt>
                <c:pt idx="4">
                  <c:v>91.715107913669073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Regression!$Q$7</c:f>
              <c:numCache>
                <c:formatCode>0</c:formatCode>
                <c:ptCount val="1"/>
                <c:pt idx="0">
                  <c:v>120.65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Plt'!$A$19:$A$30</c:f>
              <c:numCache>
                <c:formatCode>0.00</c:formatCode>
                <c:ptCount val="12"/>
                <c:pt idx="0">
                  <c:v>0</c:v>
                </c:pt>
                <c:pt idx="1">
                  <c:v>28.019528330271353</c:v>
                </c:pt>
                <c:pt idx="2">
                  <c:v>56.039056660542705</c:v>
                </c:pt>
                <c:pt idx="3">
                  <c:v>84.058584990814055</c:v>
                </c:pt>
                <c:pt idx="4">
                  <c:v>112.07811332108541</c:v>
                </c:pt>
                <c:pt idx="5">
                  <c:v>140.09764165135675</c:v>
                </c:pt>
                <c:pt idx="6">
                  <c:v>168.11716998162811</c:v>
                </c:pt>
                <c:pt idx="7">
                  <c:v>196.13669831189947</c:v>
                </c:pt>
                <c:pt idx="8">
                  <c:v>224.15622664217082</c:v>
                </c:pt>
                <c:pt idx="9">
                  <c:v>252.17575497244218</c:v>
                </c:pt>
                <c:pt idx="10">
                  <c:v>280.19528330271351</c:v>
                </c:pt>
                <c:pt idx="11">
                  <c:v>308.21481163298483</c:v>
                </c:pt>
              </c:numCache>
            </c:numRef>
          </c:xVal>
          <c:yVal>
            <c:numRef>
              <c:f>'Sig-Dose Plt'!$B$19:$B$30</c:f>
              <c:numCache>
                <c:formatCode>0</c:formatCode>
                <c:ptCount val="12"/>
                <c:pt idx="0">
                  <c:v>17.914847994793956</c:v>
                </c:pt>
                <c:pt idx="1">
                  <c:v>47.03465021845043</c:v>
                </c:pt>
                <c:pt idx="2">
                  <c:v>74.178022029720154</c:v>
                </c:pt>
                <c:pt idx="3">
                  <c:v>99.479108473442494</c:v>
                </c:pt>
                <c:pt idx="4">
                  <c:v>123.0629498503981</c:v>
                </c:pt>
                <c:pt idx="5">
                  <c:v>145.04609967799783</c:v>
                </c:pt>
                <c:pt idx="6">
                  <c:v>165.53720070850696</c:v>
                </c:pt>
                <c:pt idx="7">
                  <c:v>184.63752185153848</c:v>
                </c:pt>
                <c:pt idx="8">
                  <c:v>202.44145865433663</c:v>
                </c:pt>
                <c:pt idx="9">
                  <c:v>219.03699981327026</c:v>
                </c:pt>
                <c:pt idx="10">
                  <c:v>234.50616202207883</c:v>
                </c:pt>
                <c:pt idx="11">
                  <c:v>248.92539530593075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Regression!$S$27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Regression!$S$7</c:f>
              <c:numCache>
                <c:formatCode>0</c:formatCode>
                <c:ptCount val="1"/>
                <c:pt idx="0">
                  <c:v>121.80000000000001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33632"/>
        <c:axId val="73748480"/>
      </c:scatterChart>
      <c:valAx>
        <c:axId val="737336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48480"/>
        <c:crosses val="autoZero"/>
        <c:crossBetween val="midCat"/>
      </c:valAx>
      <c:valAx>
        <c:axId val="73748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336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Regression!$AA$8:$AE$8</c:f>
                <c:numCache>
                  <c:formatCode>General</c:formatCode>
                  <c:ptCount val="5"/>
                  <c:pt idx="0">
                    <c:v>41.193237956847518</c:v>
                  </c:pt>
                  <c:pt idx="1">
                    <c:v>78.824061391836679</c:v>
                  </c:pt>
                  <c:pt idx="2">
                    <c:v>112.75059368192807</c:v>
                  </c:pt>
                  <c:pt idx="3">
                    <c:v>4.8218881550032329</c:v>
                  </c:pt>
                  <c:pt idx="4">
                    <c:v>39.55076121576392</c:v>
                  </c:pt>
                </c:numCache>
              </c:numRef>
            </c:plus>
            <c:minus>
              <c:numRef>
                <c:f>Regression!$AA$8:$AE$8</c:f>
                <c:numCache>
                  <c:formatCode>General</c:formatCode>
                  <c:ptCount val="5"/>
                  <c:pt idx="0">
                    <c:v>41.193237956847518</c:v>
                  </c:pt>
                  <c:pt idx="1">
                    <c:v>78.824061391836679</c:v>
                  </c:pt>
                  <c:pt idx="2">
                    <c:v>112.75059368192807</c:v>
                  </c:pt>
                  <c:pt idx="3">
                    <c:v>4.8218881550032329</c:v>
                  </c:pt>
                  <c:pt idx="4">
                    <c:v>39.55076121576392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Regression!$T$28:$X$28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149.41058783264447</c:v>
                </c:pt>
                <c:pt idx="2">
                  <c:v>308.21481163298489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Regression!$T$8:$X$8</c:f>
              <c:numCache>
                <c:formatCode>0</c:formatCode>
                <c:ptCount val="5"/>
                <c:pt idx="0">
                  <c:v>7370.4995810111859</c:v>
                </c:pt>
                <c:pt idx="1">
                  <c:v>13957.14489328196</c:v>
                </c:pt>
                <c:pt idx="2">
                  <c:v>26304.690282699587</c:v>
                </c:pt>
                <c:pt idx="3">
                  <c:v>85.400561935528785</c:v>
                </c:pt>
                <c:pt idx="4">
                  <c:v>7863.5803755669149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Regression!$Q$8</c:f>
              <c:numCache>
                <c:formatCode>0</c:formatCode>
                <c:ptCount val="1"/>
                <c:pt idx="0">
                  <c:v>8416.7000000000007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Plt'!$F$19:$F$30</c:f>
              <c:numCache>
                <c:formatCode>0.00</c:formatCode>
                <c:ptCount val="12"/>
                <c:pt idx="0">
                  <c:v>0</c:v>
                </c:pt>
                <c:pt idx="1">
                  <c:v>28.019528330271353</c:v>
                </c:pt>
                <c:pt idx="2">
                  <c:v>56.039056660542705</c:v>
                </c:pt>
                <c:pt idx="3">
                  <c:v>84.058584990814055</c:v>
                </c:pt>
                <c:pt idx="4">
                  <c:v>112.07811332108541</c:v>
                </c:pt>
                <c:pt idx="5">
                  <c:v>140.09764165135675</c:v>
                </c:pt>
                <c:pt idx="6">
                  <c:v>168.11716998162811</c:v>
                </c:pt>
                <c:pt idx="7">
                  <c:v>196.13669831189947</c:v>
                </c:pt>
                <c:pt idx="8">
                  <c:v>224.15622664217082</c:v>
                </c:pt>
                <c:pt idx="9">
                  <c:v>252.17575497244218</c:v>
                </c:pt>
                <c:pt idx="10">
                  <c:v>280.19528330271351</c:v>
                </c:pt>
                <c:pt idx="11">
                  <c:v>308.21481163298483</c:v>
                </c:pt>
              </c:numCache>
            </c:numRef>
          </c:xVal>
          <c:yVal>
            <c:numRef>
              <c:f>'Sig-Dose Plt'!$G$19:$G$30</c:f>
              <c:numCache>
                <c:formatCode>0</c:formatCode>
                <c:ptCount val="12"/>
                <c:pt idx="0">
                  <c:v>108.99857787764154</c:v>
                </c:pt>
                <c:pt idx="1">
                  <c:v>2976.0040978072229</c:v>
                </c:pt>
                <c:pt idx="2">
                  <c:v>5733.0107961318326</c:v>
                </c:pt>
                <c:pt idx="3">
                  <c:v>8384.2390137857237</c:v>
                </c:pt>
                <c:pt idx="4">
                  <c:v>10933.747169263052</c:v>
                </c:pt>
                <c:pt idx="5">
                  <c:v>13385.437971119927</c:v>
                </c:pt>
                <c:pt idx="6">
                  <c:v>15743.064392120416</c:v>
                </c:pt>
                <c:pt idx="7">
                  <c:v>18010.235414171704</c:v>
                </c:pt>
                <c:pt idx="8">
                  <c:v>20190.421552842403</c:v>
                </c:pt>
                <c:pt idx="9">
                  <c:v>22286.960169920905</c:v>
                </c:pt>
                <c:pt idx="10">
                  <c:v>24303.060582145998</c:v>
                </c:pt>
                <c:pt idx="11">
                  <c:v>26241.808973930089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Regression!$S$28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Regression!$S$8</c:f>
              <c:numCache>
                <c:formatCode>0</c:formatCode>
                <c:ptCount val="1"/>
                <c:pt idx="0">
                  <c:v>11665.3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39200"/>
        <c:axId val="117541120"/>
      </c:scatterChart>
      <c:valAx>
        <c:axId val="1175392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17541120"/>
        <c:crosses val="autoZero"/>
        <c:crossBetween val="midCat"/>
      </c:valAx>
      <c:valAx>
        <c:axId val="1175411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175392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Data'!$A$309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2241469816273014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Regression!$AA$9:$AE$9</c:f>
                <c:numCache>
                  <c:formatCode>General</c:formatCode>
                  <c:ptCount val="5"/>
                  <c:pt idx="0">
                    <c:v>51.471413100957754</c:v>
                  </c:pt>
                  <c:pt idx="1">
                    <c:v>75.642546824628724</c:v>
                  </c:pt>
                  <c:pt idx="2">
                    <c:v>128.61484951475214</c:v>
                  </c:pt>
                  <c:pt idx="3">
                    <c:v>9.3525996767014661</c:v>
                  </c:pt>
                  <c:pt idx="4">
                    <c:v>52.40671219159919</c:v>
                  </c:pt>
                </c:numCache>
              </c:numRef>
            </c:plus>
            <c:minus>
              <c:numRef>
                <c:f>Regression!$AA$9:$AE$9</c:f>
                <c:numCache>
                  <c:formatCode>General</c:formatCode>
                  <c:ptCount val="5"/>
                  <c:pt idx="0">
                    <c:v>51.471413100957754</c:v>
                  </c:pt>
                  <c:pt idx="1">
                    <c:v>75.642546824628724</c:v>
                  </c:pt>
                  <c:pt idx="2">
                    <c:v>128.61484951475214</c:v>
                  </c:pt>
                  <c:pt idx="3">
                    <c:v>9.3525996767014661</c:v>
                  </c:pt>
                  <c:pt idx="4">
                    <c:v>52.40671219159919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Regression!$T$29:$X$29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308.21481163298489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Regression!$T$9:$X$9</c:f>
              <c:numCache>
                <c:formatCode>0</c:formatCode>
                <c:ptCount val="5"/>
                <c:pt idx="0">
                  <c:v>9358.543812378166</c:v>
                </c:pt>
                <c:pt idx="1">
                  <c:v>16366.493917503125</c:v>
                </c:pt>
                <c:pt idx="2">
                  <c:v>27529.303886386322</c:v>
                </c:pt>
                <c:pt idx="3">
                  <c:v>348.51913846139661</c:v>
                </c:pt>
                <c:pt idx="4">
                  <c:v>9154.8347026228294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Regression!$Q$9</c:f>
              <c:numCache>
                <c:formatCode>0</c:formatCode>
                <c:ptCount val="1"/>
                <c:pt idx="0">
                  <c:v>18476.8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Plt'!$I$19:$I$30</c:f>
              <c:numCache>
                <c:formatCode>0.00</c:formatCode>
                <c:ptCount val="12"/>
                <c:pt idx="0">
                  <c:v>0</c:v>
                </c:pt>
                <c:pt idx="1">
                  <c:v>28.019528330271353</c:v>
                </c:pt>
                <c:pt idx="2">
                  <c:v>56.039056660542705</c:v>
                </c:pt>
                <c:pt idx="3">
                  <c:v>84.058584990814055</c:v>
                </c:pt>
                <c:pt idx="4">
                  <c:v>112.07811332108541</c:v>
                </c:pt>
                <c:pt idx="5">
                  <c:v>140.09764165135675</c:v>
                </c:pt>
                <c:pt idx="6">
                  <c:v>168.11716998162811</c:v>
                </c:pt>
                <c:pt idx="7">
                  <c:v>196.13669831189947</c:v>
                </c:pt>
                <c:pt idx="8">
                  <c:v>224.15622664217082</c:v>
                </c:pt>
                <c:pt idx="9">
                  <c:v>252.17575497244218</c:v>
                </c:pt>
                <c:pt idx="10">
                  <c:v>280.19528330271351</c:v>
                </c:pt>
                <c:pt idx="11">
                  <c:v>308.21481163298483</c:v>
                </c:pt>
              </c:numCache>
            </c:numRef>
          </c:xVal>
          <c:yVal>
            <c:numRef>
              <c:f>'Sig-Dose Plt'!$J$19:$J$30</c:f>
              <c:numCache>
                <c:formatCode>0</c:formatCode>
                <c:ptCount val="12"/>
                <c:pt idx="0">
                  <c:v>378.9050120392626</c:v>
                </c:pt>
                <c:pt idx="1">
                  <c:v>3913.7852754215546</c:v>
                </c:pt>
                <c:pt idx="2">
                  <c:v>7183.2858734158053</c:v>
                </c:pt>
                <c:pt idx="3">
                  <c:v>10207.330074012454</c:v>
                </c:pt>
                <c:pt idx="4">
                  <c:v>13004.345414144931</c:v>
                </c:pt>
                <c:pt idx="5">
                  <c:v>15591.375991076591</c:v>
                </c:pt>
                <c:pt idx="6">
                  <c:v>17984.18632355849</c:v>
                </c:pt>
                <c:pt idx="7">
                  <c:v>20197.357415653925</c:v>
                </c:pt>
                <c:pt idx="8">
                  <c:v>22244.375608611335</c:v>
                </c:pt>
                <c:pt idx="9">
                  <c:v>24137.714762219759</c:v>
                </c:pt>
                <c:pt idx="10">
                  <c:v>25888.912266433279</c:v>
                </c:pt>
                <c:pt idx="11">
                  <c:v>27508.639346454293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Regression!$S$29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Regression!$S$9</c:f>
              <c:numCache>
                <c:formatCode>0</c:formatCode>
                <c:ptCount val="1"/>
                <c:pt idx="0">
                  <c:v>13218.55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41856"/>
        <c:axId val="174844160"/>
      </c:scatterChart>
      <c:valAx>
        <c:axId val="1748418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74844160"/>
        <c:crosses val="autoZero"/>
        <c:crossBetween val="midCat"/>
      </c:valAx>
      <c:valAx>
        <c:axId val="1748441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748418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Data'!$A$310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1706234833853317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Regression!$AA$10:$AE$10</c:f>
                <c:numCache>
                  <c:formatCode>General</c:formatCode>
                  <c:ptCount val="5"/>
                  <c:pt idx="0">
                    <c:v>40.613478638689685</c:v>
                  </c:pt>
                  <c:pt idx="1">
                    <c:v>65.230927406459713</c:v>
                  </c:pt>
                  <c:pt idx="2">
                    <c:v>109.21757627342676</c:v>
                  </c:pt>
                  <c:pt idx="3">
                    <c:v>6.5353432835418976</c:v>
                  </c:pt>
                  <c:pt idx="4">
                    <c:v>40.306580099124986</c:v>
                  </c:pt>
                </c:numCache>
              </c:numRef>
            </c:plus>
            <c:minus>
              <c:numRef>
                <c:f>Regression!$AA$10:$AE$10</c:f>
                <c:numCache>
                  <c:formatCode>General</c:formatCode>
                  <c:ptCount val="5"/>
                  <c:pt idx="0">
                    <c:v>40.613478638689685</c:v>
                  </c:pt>
                  <c:pt idx="1">
                    <c:v>65.230927406459713</c:v>
                  </c:pt>
                  <c:pt idx="2">
                    <c:v>109.21757627342676</c:v>
                  </c:pt>
                  <c:pt idx="3">
                    <c:v>6.5353432835418976</c:v>
                  </c:pt>
                  <c:pt idx="4">
                    <c:v>40.306580099124986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Regression!$T$30:$X$30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308.21481163298489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Regression!$T$10:$X$10</c:f>
              <c:numCache>
                <c:formatCode>0</c:formatCode>
                <c:ptCount val="5"/>
                <c:pt idx="0">
                  <c:v>6175.4793056831386</c:v>
                </c:pt>
                <c:pt idx="1">
                  <c:v>11324.46554091082</c:v>
                </c:pt>
                <c:pt idx="2">
                  <c:v>20319.184472964895</c:v>
                </c:pt>
                <c:pt idx="3">
                  <c:v>92.06813210471924</c:v>
                </c:pt>
                <c:pt idx="4">
                  <c:v>6153.3830838607873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Regression!$Q$10</c:f>
              <c:numCache>
                <c:formatCode>0</c:formatCode>
                <c:ptCount val="1"/>
                <c:pt idx="0">
                  <c:v>11739.9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Plt'!$L$19:$L$30</c:f>
              <c:numCache>
                <c:formatCode>0.00</c:formatCode>
                <c:ptCount val="12"/>
                <c:pt idx="0">
                  <c:v>0</c:v>
                </c:pt>
                <c:pt idx="1">
                  <c:v>28.019528330271353</c:v>
                </c:pt>
                <c:pt idx="2">
                  <c:v>56.039056660542705</c:v>
                </c:pt>
                <c:pt idx="3">
                  <c:v>84.058584990814055</c:v>
                </c:pt>
                <c:pt idx="4">
                  <c:v>112.07811332108541</c:v>
                </c:pt>
                <c:pt idx="5">
                  <c:v>140.09764165135675</c:v>
                </c:pt>
                <c:pt idx="6">
                  <c:v>168.11716998162811</c:v>
                </c:pt>
                <c:pt idx="7">
                  <c:v>196.13669831189947</c:v>
                </c:pt>
                <c:pt idx="8">
                  <c:v>224.15622664217082</c:v>
                </c:pt>
                <c:pt idx="9">
                  <c:v>252.17575497244218</c:v>
                </c:pt>
                <c:pt idx="10">
                  <c:v>280.19528330271351</c:v>
                </c:pt>
                <c:pt idx="11">
                  <c:v>308.21481163298483</c:v>
                </c:pt>
              </c:numCache>
            </c:numRef>
          </c:xVal>
          <c:yVal>
            <c:numRef>
              <c:f>'Sig-Dose Plt'!$M$19:$M$30</c:f>
              <c:numCache>
                <c:formatCode>0</c:formatCode>
                <c:ptCount val="12"/>
                <c:pt idx="0">
                  <c:v>109.45113747717376</c:v>
                </c:pt>
                <c:pt idx="1">
                  <c:v>2471.5797307210851</c:v>
                </c:pt>
                <c:pt idx="2">
                  <c:v>4711.2022068468987</c:v>
                </c:pt>
                <c:pt idx="3">
                  <c:v>6834.6720509164634</c:v>
                </c:pt>
                <c:pt idx="4">
                  <c:v>8848.0132397729467</c:v>
                </c:pt>
                <c:pt idx="5">
                  <c:v>10756.937331191892</c:v>
                </c:pt>
                <c:pt idx="6">
                  <c:v>12566.859666744625</c:v>
                </c:pt>
                <c:pt idx="7">
                  <c:v>14282.914734339103</c:v>
                </c:pt>
                <c:pt idx="8">
                  <c:v>15909.970734019529</c:v>
                </c:pt>
                <c:pt idx="9">
                  <c:v>17452.64338834583</c:v>
                </c:pt>
                <c:pt idx="10">
                  <c:v>18915.309036531013</c:v>
                </c:pt>
                <c:pt idx="11">
                  <c:v>20302.117049482575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Regression!$S$30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Regression!$S$10</c:f>
              <c:numCache>
                <c:formatCode>0</c:formatCode>
                <c:ptCount val="1"/>
                <c:pt idx="0">
                  <c:v>9065.25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09120"/>
        <c:axId val="214345984"/>
      </c:scatterChart>
      <c:valAx>
        <c:axId val="2143091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4345984"/>
        <c:crosses val="autoZero"/>
        <c:crossBetween val="midCat"/>
      </c:valAx>
      <c:valAx>
        <c:axId val="2143459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43091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Data'!$A$311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1379294254884808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093596059113279"/>
          <c:y val="0.23200045312588519"/>
          <c:w val="0.63054187192118316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Regression!$AA$11:$AE$11</c:f>
                <c:numCache>
                  <c:formatCode>General</c:formatCode>
                  <c:ptCount val="5"/>
                  <c:pt idx="0">
                    <c:v>251.20451064005456</c:v>
                  </c:pt>
                  <c:pt idx="1">
                    <c:v>335.19296105306523</c:v>
                  </c:pt>
                  <c:pt idx="2">
                    <c:v>492.47854750711821</c:v>
                  </c:pt>
                  <c:pt idx="3">
                    <c:v>20.810671530618375</c:v>
                  </c:pt>
                  <c:pt idx="4">
                    <c:v>250.38956401172879</c:v>
                  </c:pt>
                </c:numCache>
              </c:numRef>
            </c:plus>
            <c:minus>
              <c:numRef>
                <c:f>Regression!$AA$11:$AE$11</c:f>
                <c:numCache>
                  <c:formatCode>General</c:formatCode>
                  <c:ptCount val="5"/>
                  <c:pt idx="0">
                    <c:v>251.20451064005456</c:v>
                  </c:pt>
                  <c:pt idx="1">
                    <c:v>335.19296105306523</c:v>
                  </c:pt>
                  <c:pt idx="2">
                    <c:v>492.47854750711821</c:v>
                  </c:pt>
                  <c:pt idx="3">
                    <c:v>20.810671530618375</c:v>
                  </c:pt>
                  <c:pt idx="4">
                    <c:v>250.38956401172879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Regression!$T$31:$X$31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560.65953256012131</c:v>
                </c:pt>
                <c:pt idx="2">
                  <c:v>840.98929884018207</c:v>
                </c:pt>
                <c:pt idx="3">
                  <c:v>0</c:v>
                </c:pt>
                <c:pt idx="4">
                  <c:v>280.32976628006065</c:v>
                </c:pt>
              </c:numCache>
            </c:numRef>
          </c:xVal>
          <c:yVal>
            <c:numRef>
              <c:f>Regression!$T$11:$X$11</c:f>
              <c:numCache>
                <c:formatCode>0</c:formatCode>
                <c:ptCount val="5"/>
                <c:pt idx="0">
                  <c:v>97928.714689315297</c:v>
                </c:pt>
                <c:pt idx="1">
                  <c:v>160485.67697555514</c:v>
                </c:pt>
                <c:pt idx="2">
                  <c:v>202358.02722374717</c:v>
                </c:pt>
                <c:pt idx="3">
                  <c:v>2061.3908635471544</c:v>
                </c:pt>
                <c:pt idx="4">
                  <c:v>95118.278552549207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Regression!$Q$11</c:f>
              <c:numCache>
                <c:formatCode>0</c:formatCode>
                <c:ptCount val="1"/>
                <c:pt idx="0">
                  <c:v>246347.35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Plt'!$A$34:$A$45</c:f>
              <c:numCache>
                <c:formatCode>0.00</c:formatCode>
                <c:ptCount val="12"/>
                <c:pt idx="0">
                  <c:v>0</c:v>
                </c:pt>
                <c:pt idx="1">
                  <c:v>76.453572621834738</c:v>
                </c:pt>
                <c:pt idx="2">
                  <c:v>152.90714524366948</c:v>
                </c:pt>
                <c:pt idx="3">
                  <c:v>229.36071786550423</c:v>
                </c:pt>
                <c:pt idx="4">
                  <c:v>305.81429048733895</c:v>
                </c:pt>
                <c:pt idx="5">
                  <c:v>382.26786310917367</c:v>
                </c:pt>
                <c:pt idx="6">
                  <c:v>458.7214357310084</c:v>
                </c:pt>
                <c:pt idx="7">
                  <c:v>535.17500835284318</c:v>
                </c:pt>
                <c:pt idx="8">
                  <c:v>611.6285809746779</c:v>
                </c:pt>
                <c:pt idx="9">
                  <c:v>688.08215359651263</c:v>
                </c:pt>
                <c:pt idx="10">
                  <c:v>764.53572621834735</c:v>
                </c:pt>
                <c:pt idx="11">
                  <c:v>840.98929884018207</c:v>
                </c:pt>
              </c:numCache>
            </c:numRef>
          </c:xVal>
          <c:yVal>
            <c:numRef>
              <c:f>'Sig-Dose Plt'!$B$34:$B$45</c:f>
              <c:numCache>
                <c:formatCode>0</c:formatCode>
                <c:ptCount val="12"/>
                <c:pt idx="0">
                  <c:v>2038.3124510609309</c:v>
                </c:pt>
                <c:pt idx="1">
                  <c:v>31694.671575461631</c:v>
                </c:pt>
                <c:pt idx="2">
                  <c:v>58286.121224925031</c:v>
                </c:pt>
                <c:pt idx="3">
                  <c:v>82129.412017763942</c:v>
                </c:pt>
                <c:pt idx="4">
                  <c:v>103508.55919951032</c:v>
                </c:pt>
                <c:pt idx="5">
                  <c:v>122678.22576063998</c:v>
                </c:pt>
                <c:pt idx="6">
                  <c:v>139866.75591766351</c:v>
                </c:pt>
                <c:pt idx="7">
                  <c:v>155278.89509164286</c:v>
                </c:pt>
                <c:pt idx="8">
                  <c:v>169098.22878382867</c:v>
                </c:pt>
                <c:pt idx="9">
                  <c:v>181489.3693996887</c:v>
                </c:pt>
                <c:pt idx="10">
                  <c:v>192599.91707022049</c:v>
                </c:pt>
                <c:pt idx="11">
                  <c:v>202562.21782735622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Regression!$S$31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Regression!$S$11</c:f>
              <c:numCache>
                <c:formatCode>0</c:formatCode>
                <c:ptCount val="1"/>
                <c:pt idx="0">
                  <c:v>44956.95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9040"/>
        <c:axId val="219776512"/>
      </c:scatterChart>
      <c:valAx>
        <c:axId val="2179590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776512"/>
        <c:crosses val="autoZero"/>
        <c:crossBetween val="midCat"/>
      </c:valAx>
      <c:valAx>
        <c:axId val="2197765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9590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Data'!$A$312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40366970257750034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29357798165136"/>
          <c:y val="0.23200045312588519"/>
          <c:w val="0.65596330275229353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Regression!$AA$12:$AE$12</c:f>
                <c:numCache>
                  <c:formatCode>General</c:formatCode>
                  <c:ptCount val="5"/>
                  <c:pt idx="0">
                    <c:v>94.000088896479753</c:v>
                  </c:pt>
                  <c:pt idx="1">
                    <c:v>141.38492164136201</c:v>
                  </c:pt>
                  <c:pt idx="2">
                    <c:v>189.29693492436942</c:v>
                  </c:pt>
                  <c:pt idx="3">
                    <c:v>7.5917294683789862</c:v>
                  </c:pt>
                  <c:pt idx="4">
                    <c:v>92.557305769174576</c:v>
                  </c:pt>
                </c:numCache>
              </c:numRef>
            </c:plus>
            <c:minus>
              <c:numRef>
                <c:f>Regression!$AA$12:$AE$12</c:f>
                <c:numCache>
                  <c:formatCode>General</c:formatCode>
                  <c:ptCount val="5"/>
                  <c:pt idx="0">
                    <c:v>94.000088896479753</c:v>
                  </c:pt>
                  <c:pt idx="1">
                    <c:v>141.38492164136201</c:v>
                  </c:pt>
                  <c:pt idx="2">
                    <c:v>189.29693492436942</c:v>
                  </c:pt>
                  <c:pt idx="3">
                    <c:v>7.5917294683789862</c:v>
                  </c:pt>
                  <c:pt idx="4">
                    <c:v>92.557305769174576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Regression!$T$32:$X$32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560.73349819766224</c:v>
                </c:pt>
                <c:pt idx="2">
                  <c:v>841.0632644777229</c:v>
                </c:pt>
                <c:pt idx="3">
                  <c:v>0</c:v>
                </c:pt>
                <c:pt idx="4">
                  <c:v>280.32976628006065</c:v>
                </c:pt>
              </c:numCache>
            </c:numRef>
          </c:xVal>
          <c:yVal>
            <c:numRef>
              <c:f>Regression!$T$12:$X$12</c:f>
              <c:numCache>
                <c:formatCode>0</c:formatCode>
                <c:ptCount val="5"/>
                <c:pt idx="0">
                  <c:v>13742.028513989637</c:v>
                </c:pt>
                <c:pt idx="1">
                  <c:v>22199.881101716048</c:v>
                </c:pt>
                <c:pt idx="2">
                  <c:v>29405.329827580736</c:v>
                </c:pt>
                <c:pt idx="3">
                  <c:v>116.5793771136989</c:v>
                </c:pt>
                <c:pt idx="4">
                  <c:v>13560.663487955238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Regression!$Q$12</c:f>
              <c:numCache>
                <c:formatCode>0</c:formatCode>
                <c:ptCount val="1"/>
                <c:pt idx="0">
                  <c:v>31037.3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Plt'!$F$34:$F$45</c:f>
              <c:numCache>
                <c:formatCode>0.00</c:formatCode>
                <c:ptCount val="12"/>
                <c:pt idx="0">
                  <c:v>0</c:v>
                </c:pt>
                <c:pt idx="1">
                  <c:v>76.460296770702087</c:v>
                </c:pt>
                <c:pt idx="2">
                  <c:v>152.92059354140417</c:v>
                </c:pt>
                <c:pt idx="3">
                  <c:v>229.38089031210626</c:v>
                </c:pt>
                <c:pt idx="4">
                  <c:v>305.84118708280835</c:v>
                </c:pt>
                <c:pt idx="5">
                  <c:v>382.30148385351043</c:v>
                </c:pt>
                <c:pt idx="6">
                  <c:v>458.76178062421252</c:v>
                </c:pt>
                <c:pt idx="7">
                  <c:v>535.22207739491455</c:v>
                </c:pt>
                <c:pt idx="8">
                  <c:v>611.68237416561669</c:v>
                </c:pt>
                <c:pt idx="9">
                  <c:v>688.14267093631884</c:v>
                </c:pt>
                <c:pt idx="10">
                  <c:v>764.60296770702098</c:v>
                </c:pt>
                <c:pt idx="11">
                  <c:v>841.06326447772312</c:v>
                </c:pt>
              </c:numCache>
            </c:numRef>
          </c:xVal>
          <c:yVal>
            <c:numRef>
              <c:f>'Sig-Dose Plt'!$G$34:$G$45</c:f>
              <c:numCache>
                <c:formatCode>0</c:formatCode>
                <c:ptCount val="12"/>
                <c:pt idx="0">
                  <c:v>166.00870039745348</c:v>
                </c:pt>
                <c:pt idx="1">
                  <c:v>4286.5613044973425</c:v>
                </c:pt>
                <c:pt idx="2">
                  <c:v>8018.2193331627013</c:v>
                </c:pt>
                <c:pt idx="3">
                  <c:v>11397.686356359343</c:v>
                </c:pt>
                <c:pt idx="4">
                  <c:v>14458.201889439497</c:v>
                </c:pt>
                <c:pt idx="5">
                  <c:v>17229.868327943412</c:v>
                </c:pt>
                <c:pt idx="6">
                  <c:v>19739.947026546703</c:v>
                </c:pt>
                <c:pt idx="7">
                  <c:v>22013.126434305042</c:v>
                </c:pt>
                <c:pt idx="8">
                  <c:v>24071.764923501363</c:v>
                </c:pt>
                <c:pt idx="9">
                  <c:v>25936.110700493846</c:v>
                </c:pt>
                <c:pt idx="10">
                  <c:v>27624.500961547696</c:v>
                </c:pt>
                <c:pt idx="11">
                  <c:v>29153.542252493258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Regression!$S$32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Regression!$S$12</c:f>
              <c:numCache>
                <c:formatCode>0</c:formatCode>
                <c:ptCount val="1"/>
                <c:pt idx="0">
                  <c:v>6409.9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08288"/>
        <c:axId val="245745920"/>
      </c:scatterChart>
      <c:valAx>
        <c:axId val="245708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45745920"/>
        <c:crosses val="autoZero"/>
        <c:crossBetween val="midCat"/>
      </c:valAx>
      <c:valAx>
        <c:axId val="2457459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45708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Data'!$A$313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094836636799718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706946446799373"/>
          <c:y val="0.23200045312588519"/>
          <c:w val="0.6637945005103828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Regression!$AA$13:$AE$13</c:f>
                <c:numCache>
                  <c:formatCode>General</c:formatCode>
                  <c:ptCount val="5"/>
                  <c:pt idx="0">
                    <c:v>35.591155452312968</c:v>
                  </c:pt>
                  <c:pt idx="1">
                    <c:v>18.170654386747245</c:v>
                  </c:pt>
                  <c:pt idx="2">
                    <c:v>35.997599075541586</c:v>
                  </c:pt>
                  <c:pt idx="3">
                    <c:v>16.904576639496131</c:v>
                  </c:pt>
                  <c:pt idx="4">
                    <c:v>29.18097556230822</c:v>
                  </c:pt>
                </c:numCache>
              </c:numRef>
            </c:plus>
            <c:minus>
              <c:numRef>
                <c:f>Regression!$AA$13:$AE$13</c:f>
                <c:numCache>
                  <c:formatCode>General</c:formatCode>
                  <c:ptCount val="5"/>
                  <c:pt idx="0">
                    <c:v>35.591155452312968</c:v>
                  </c:pt>
                  <c:pt idx="1">
                    <c:v>18.170654386747245</c:v>
                  </c:pt>
                  <c:pt idx="2">
                    <c:v>35.997599075541586</c:v>
                  </c:pt>
                  <c:pt idx="3">
                    <c:v>16.904576639496131</c:v>
                  </c:pt>
                  <c:pt idx="4">
                    <c:v>29.18097556230822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Regression!$T$33:$X$33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560.73349819766224</c:v>
                </c:pt>
                <c:pt idx="2">
                  <c:v>841.0632644777229</c:v>
                </c:pt>
                <c:pt idx="3">
                  <c:v>0</c:v>
                </c:pt>
                <c:pt idx="4">
                  <c:v>280.32976628006065</c:v>
                </c:pt>
              </c:numCache>
            </c:numRef>
          </c:xVal>
          <c:yVal>
            <c:numRef>
              <c:f>Regression!$T$13:$X$13</c:f>
              <c:numCache>
                <c:formatCode>0</c:formatCode>
                <c:ptCount val="5"/>
                <c:pt idx="0">
                  <c:v>401.10256968641107</c:v>
                </c:pt>
                <c:pt idx="1">
                  <c:v>269.16238532110083</c:v>
                </c:pt>
                <c:pt idx="2">
                  <c:v>403.60409538621047</c:v>
                </c:pt>
                <c:pt idx="3">
                  <c:v>146.07095990279458</c:v>
                </c:pt>
                <c:pt idx="4">
                  <c:v>296.98894472361809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Regression!$Q$13</c:f>
              <c:numCache>
                <c:formatCode>0</c:formatCode>
                <c:ptCount val="1"/>
                <c:pt idx="0">
                  <c:v>399.95000000000005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Plt'!$I$34:$I$45</c:f>
              <c:numCache>
                <c:formatCode>0.00</c:formatCode>
                <c:ptCount val="12"/>
                <c:pt idx="0">
                  <c:v>0</c:v>
                </c:pt>
                <c:pt idx="1">
                  <c:v>76.460296770702087</c:v>
                </c:pt>
                <c:pt idx="2">
                  <c:v>152.92059354140417</c:v>
                </c:pt>
                <c:pt idx="3">
                  <c:v>229.38089031210626</c:v>
                </c:pt>
                <c:pt idx="4">
                  <c:v>305.84118708280835</c:v>
                </c:pt>
                <c:pt idx="5">
                  <c:v>382.30148385351043</c:v>
                </c:pt>
                <c:pt idx="6">
                  <c:v>458.76178062421252</c:v>
                </c:pt>
                <c:pt idx="7">
                  <c:v>535.22207739491455</c:v>
                </c:pt>
                <c:pt idx="8">
                  <c:v>611.68237416561669</c:v>
                </c:pt>
                <c:pt idx="9">
                  <c:v>688.14267093631884</c:v>
                </c:pt>
                <c:pt idx="10">
                  <c:v>764.60296770702098</c:v>
                </c:pt>
                <c:pt idx="11">
                  <c:v>841.06326447772312</c:v>
                </c:pt>
              </c:numCache>
            </c:numRef>
          </c:xVal>
          <c:yVal>
            <c:numRef>
              <c:f>'Sig-Dose Plt'!$J$34:$J$45</c:f>
              <c:numCache>
                <c:formatCode>0</c:formatCode>
                <c:ptCount val="12"/>
                <c:pt idx="0">
                  <c:v>216.29028092743249</c:v>
                </c:pt>
                <c:pt idx="1">
                  <c:v>233.25715189424025</c:v>
                </c:pt>
                <c:pt idx="2">
                  <c:v>250.22402286104804</c:v>
                </c:pt>
                <c:pt idx="3">
                  <c:v>267.1908938278558</c:v>
                </c:pt>
                <c:pt idx="4">
                  <c:v>284.15776479466359</c:v>
                </c:pt>
                <c:pt idx="5">
                  <c:v>301.12463576147138</c:v>
                </c:pt>
                <c:pt idx="6">
                  <c:v>318.09150672827911</c:v>
                </c:pt>
                <c:pt idx="7">
                  <c:v>335.05837769508685</c:v>
                </c:pt>
                <c:pt idx="8">
                  <c:v>352.02524866189469</c:v>
                </c:pt>
                <c:pt idx="9">
                  <c:v>368.99211962870243</c:v>
                </c:pt>
                <c:pt idx="10">
                  <c:v>385.95899059551027</c:v>
                </c:pt>
                <c:pt idx="11">
                  <c:v>402.925861562318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Regression!$S$33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Regression!$S$13</c:f>
              <c:numCache>
                <c:formatCode>0</c:formatCode>
                <c:ptCount val="1"/>
                <c:pt idx="0">
                  <c:v>167.89999999999998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96640"/>
        <c:axId val="403537920"/>
      </c:scatterChart>
      <c:valAx>
        <c:axId val="302896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03537920"/>
        <c:crosses val="autoZero"/>
        <c:crossBetween val="midCat"/>
      </c:valAx>
      <c:valAx>
        <c:axId val="4035379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3028966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4028445500916159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Regression!$AA$14:$AE$14</c:f>
                <c:numCache>
                  <c:formatCode>General</c:formatCode>
                  <c:ptCount val="5"/>
                  <c:pt idx="0">
                    <c:v>13.442738646700587</c:v>
                  </c:pt>
                  <c:pt idx="1">
                    <c:v>22.847569323003494</c:v>
                  </c:pt>
                  <c:pt idx="2">
                    <c:v>39.07501259407119</c:v>
                  </c:pt>
                  <c:pt idx="3">
                    <c:v>3.1144452539314602</c:v>
                  </c:pt>
                  <c:pt idx="4">
                    <c:v>13.956440257275871</c:v>
                  </c:pt>
                </c:numCache>
              </c:numRef>
            </c:plus>
            <c:minus>
              <c:numRef>
                <c:f>Regression!$AA$14:$AE$14</c:f>
                <c:numCache>
                  <c:formatCode>General</c:formatCode>
                  <c:ptCount val="5"/>
                  <c:pt idx="0">
                    <c:v>13.442738646700587</c:v>
                  </c:pt>
                  <c:pt idx="1">
                    <c:v>22.847569323003494</c:v>
                  </c:pt>
                  <c:pt idx="2">
                    <c:v>39.07501259407119</c:v>
                  </c:pt>
                  <c:pt idx="3">
                    <c:v>3.1144452539314602</c:v>
                  </c:pt>
                  <c:pt idx="4">
                    <c:v>13.956440257275871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Regression!$T$34:$X$34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308.21481163298489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Regression!$T$14:$X$14</c:f>
              <c:numCache>
                <c:formatCode>0</c:formatCode>
                <c:ptCount val="5"/>
                <c:pt idx="0">
                  <c:v>620.81123144700257</c:v>
                </c:pt>
                <c:pt idx="1">
                  <c:v>1188.0435541291331</c:v>
                </c:pt>
                <c:pt idx="2">
                  <c:v>2183.3421231476746</c:v>
                </c:pt>
                <c:pt idx="3">
                  <c:v>9.3141598088664761</c:v>
                </c:pt>
                <c:pt idx="4">
                  <c:v>658.35463843958144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Regression!$Q$14</c:f>
              <c:numCache>
                <c:formatCode>0</c:formatCode>
                <c:ptCount val="1"/>
                <c:pt idx="0">
                  <c:v>1653.9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Plt'!$L$34:$L$45</c:f>
              <c:numCache>
                <c:formatCode>0.00</c:formatCode>
                <c:ptCount val="12"/>
                <c:pt idx="0">
                  <c:v>0</c:v>
                </c:pt>
                <c:pt idx="1">
                  <c:v>28.019528330271353</c:v>
                </c:pt>
                <c:pt idx="2">
                  <c:v>56.039056660542705</c:v>
                </c:pt>
                <c:pt idx="3">
                  <c:v>84.058584990814055</c:v>
                </c:pt>
                <c:pt idx="4">
                  <c:v>112.07811332108541</c:v>
                </c:pt>
                <c:pt idx="5">
                  <c:v>140.09764165135675</c:v>
                </c:pt>
                <c:pt idx="6">
                  <c:v>168.11716998162811</c:v>
                </c:pt>
                <c:pt idx="7">
                  <c:v>196.13669831189947</c:v>
                </c:pt>
                <c:pt idx="8">
                  <c:v>224.15622664217082</c:v>
                </c:pt>
                <c:pt idx="9">
                  <c:v>252.17575497244218</c:v>
                </c:pt>
                <c:pt idx="10">
                  <c:v>280.19528330271351</c:v>
                </c:pt>
                <c:pt idx="11">
                  <c:v>308.21481163298483</c:v>
                </c:pt>
              </c:numCache>
            </c:numRef>
          </c:xVal>
          <c:yVal>
            <c:numRef>
              <c:f>'Sig-Dose Plt'!$M$34:$M$45</c:f>
              <c:numCache>
                <c:formatCode>0</c:formatCode>
                <c:ptCount val="12"/>
                <c:pt idx="0">
                  <c:v>10.919072262707815</c:v>
                </c:pt>
                <c:pt idx="1">
                  <c:v>254.28266474389775</c:v>
                </c:pt>
                <c:pt idx="2">
                  <c:v>487.19454167735165</c:v>
                </c:pt>
                <c:pt idx="3">
                  <c:v>710.10357200347869</c:v>
                </c:pt>
                <c:pt idx="4">
                  <c:v>923.43934712640441</c:v>
                </c:pt>
                <c:pt idx="5">
                  <c:v>1127.6130088246912</c:v>
                </c:pt>
                <c:pt idx="6">
                  <c:v>1323.0180416058363</c:v>
                </c:pt>
                <c:pt idx="7">
                  <c:v>1510.0310310315961</c:v>
                </c:pt>
                <c:pt idx="8">
                  <c:v>1689.0123894755745</c:v>
                </c:pt>
                <c:pt idx="9">
                  <c:v>1860.3070507117593</c:v>
                </c:pt>
                <c:pt idx="10">
                  <c:v>2024.2451346726289</c:v>
                </c:pt>
                <c:pt idx="11">
                  <c:v>2181.1425836579433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Regression!$S$34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Regression!$S$14</c:f>
              <c:numCache>
                <c:formatCode>0</c:formatCode>
                <c:ptCount val="1"/>
                <c:pt idx="0">
                  <c:v>933.15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43840"/>
        <c:axId val="43046016"/>
      </c:scatterChart>
      <c:valAx>
        <c:axId val="430438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046016"/>
        <c:crosses val="autoZero"/>
        <c:crossBetween val="midCat"/>
      </c:valAx>
      <c:valAx>
        <c:axId val="430460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0438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39706075343523267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960913377534168"/>
          <c:y val="0.23200045312588519"/>
          <c:w val="0.63235596830943774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Regression!$AA$15:$AE$15</c:f>
                <c:numCache>
                  <c:formatCode>General</c:formatCode>
                  <c:ptCount val="5"/>
                  <c:pt idx="0">
                    <c:v>9.5235107734476863</c:v>
                  </c:pt>
                  <c:pt idx="1">
                    <c:v>7.825333883032795</c:v>
                  </c:pt>
                  <c:pt idx="2">
                    <c:v>13.756969120430266</c:v>
                  </c:pt>
                  <c:pt idx="3">
                    <c:v>6.619512095311137</c:v>
                  </c:pt>
                  <c:pt idx="4">
                    <c:v>8.0588580003575725</c:v>
                  </c:pt>
                </c:numCache>
              </c:numRef>
            </c:plus>
            <c:minus>
              <c:numRef>
                <c:f>Regression!$AA$15:$AE$15</c:f>
                <c:numCache>
                  <c:formatCode>General</c:formatCode>
                  <c:ptCount val="5"/>
                  <c:pt idx="0">
                    <c:v>9.5235107734476863</c:v>
                  </c:pt>
                  <c:pt idx="1">
                    <c:v>7.825333883032795</c:v>
                  </c:pt>
                  <c:pt idx="2">
                    <c:v>13.756969120430266</c:v>
                  </c:pt>
                  <c:pt idx="3">
                    <c:v>6.619512095311137</c:v>
                  </c:pt>
                  <c:pt idx="4">
                    <c:v>8.0588580003575725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Regression!$T$35:$X$35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308.28877727052583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Regression!$T$15:$X$15</c:f>
              <c:numCache>
                <c:formatCode>0</c:formatCode>
                <c:ptCount val="5"/>
                <c:pt idx="0">
                  <c:v>88.96015111695138</c:v>
                </c:pt>
                <c:pt idx="1">
                  <c:v>76.561002886002882</c:v>
                </c:pt>
                <c:pt idx="2">
                  <c:v>121.21133333333331</c:v>
                </c:pt>
                <c:pt idx="3">
                  <c:v>41.646513849092635</c:v>
                </c:pt>
                <c:pt idx="4">
                  <c:v>73.355099693251518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Regression!$Q$15</c:f>
              <c:numCache>
                <c:formatCode>0</c:formatCode>
                <c:ptCount val="1"/>
                <c:pt idx="0">
                  <c:v>164.5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Plt'!$A$49:$A$60</c:f>
              <c:numCache>
                <c:formatCode>0.00</c:formatCode>
                <c:ptCount val="12"/>
                <c:pt idx="0">
                  <c:v>0</c:v>
                </c:pt>
                <c:pt idx="1">
                  <c:v>28.026252479138712</c:v>
                </c:pt>
                <c:pt idx="2">
                  <c:v>56.052504958277424</c:v>
                </c:pt>
                <c:pt idx="3">
                  <c:v>84.07875743741613</c:v>
                </c:pt>
                <c:pt idx="4">
                  <c:v>112.10500991655485</c:v>
                </c:pt>
                <c:pt idx="5">
                  <c:v>140.13126239569357</c:v>
                </c:pt>
                <c:pt idx="6">
                  <c:v>168.15751487483229</c:v>
                </c:pt>
                <c:pt idx="7">
                  <c:v>196.18376735397101</c:v>
                </c:pt>
                <c:pt idx="8">
                  <c:v>224.21001983310973</c:v>
                </c:pt>
                <c:pt idx="9">
                  <c:v>252.23627231224845</c:v>
                </c:pt>
                <c:pt idx="10">
                  <c:v>280.26252479138714</c:v>
                </c:pt>
                <c:pt idx="11">
                  <c:v>308.28877727052583</c:v>
                </c:pt>
              </c:numCache>
            </c:numRef>
          </c:xVal>
          <c:yVal>
            <c:numRef>
              <c:f>'Sig-Dose Plt'!$B$49:$B$60</c:f>
              <c:numCache>
                <c:formatCode>0</c:formatCode>
                <c:ptCount val="12"/>
                <c:pt idx="0">
                  <c:v>53.422449128995211</c:v>
                </c:pt>
                <c:pt idx="1">
                  <c:v>59.636293054330785</c:v>
                </c:pt>
                <c:pt idx="2">
                  <c:v>65.85013697966636</c:v>
                </c:pt>
                <c:pt idx="3">
                  <c:v>72.063980905001927</c:v>
                </c:pt>
                <c:pt idx="4">
                  <c:v>78.277824830337508</c:v>
                </c:pt>
                <c:pt idx="5">
                  <c:v>84.491668755673089</c:v>
                </c:pt>
                <c:pt idx="6">
                  <c:v>90.705512681008656</c:v>
                </c:pt>
                <c:pt idx="7">
                  <c:v>96.919356606344238</c:v>
                </c:pt>
                <c:pt idx="8">
                  <c:v>103.13320053167982</c:v>
                </c:pt>
                <c:pt idx="9">
                  <c:v>109.34704445701539</c:v>
                </c:pt>
                <c:pt idx="10">
                  <c:v>115.56088838235095</c:v>
                </c:pt>
                <c:pt idx="11">
                  <c:v>121.77473230768653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Regression!$S$35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Regression!$S$15</c:f>
              <c:numCache>
                <c:formatCode>0</c:formatCode>
                <c:ptCount val="1"/>
                <c:pt idx="0">
                  <c:v>80.449999999999989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512"/>
        <c:axId val="43128320"/>
      </c:scatterChart>
      <c:valAx>
        <c:axId val="430565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28320"/>
        <c:crosses val="autoZero"/>
        <c:crossBetween val="midCat"/>
      </c:valAx>
      <c:valAx>
        <c:axId val="431283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0565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40366970257750034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29357798165136"/>
          <c:y val="0.23200045312588519"/>
          <c:w val="0.65596330275229353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Regression!$AA$16:$AE$16</c:f>
                <c:numCache>
                  <c:formatCode>General</c:formatCode>
                  <c:ptCount val="5"/>
                  <c:pt idx="0">
                    <c:v>21.565423425012856</c:v>
                  </c:pt>
                  <c:pt idx="1">
                    <c:v>15.601226577701894</c:v>
                  </c:pt>
                  <c:pt idx="2">
                    <c:v>19.793491320991855</c:v>
                  </c:pt>
                  <c:pt idx="3">
                    <c:v>15.683534854698056</c:v>
                  </c:pt>
                  <c:pt idx="4">
                    <c:v>15.345600126594007</c:v>
                  </c:pt>
                </c:numCache>
              </c:numRef>
            </c:plus>
            <c:minus>
              <c:numRef>
                <c:f>Regression!$AA$16:$AE$16</c:f>
                <c:numCache>
                  <c:formatCode>General</c:formatCode>
                  <c:ptCount val="5"/>
                  <c:pt idx="0">
                    <c:v>21.565423425012856</c:v>
                  </c:pt>
                  <c:pt idx="1">
                    <c:v>15.601226577701894</c:v>
                  </c:pt>
                  <c:pt idx="2">
                    <c:v>19.793491320991855</c:v>
                  </c:pt>
                  <c:pt idx="3">
                    <c:v>15.683534854698056</c:v>
                  </c:pt>
                  <c:pt idx="4">
                    <c:v>15.345600126594007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Regression!$T$36:$X$36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308.28877727052583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Regression!$T$16:$X$16</c:f>
              <c:numCache>
                <c:formatCode>0</c:formatCode>
                <c:ptCount val="5"/>
                <c:pt idx="0">
                  <c:v>324.63395270270269</c:v>
                </c:pt>
                <c:pt idx="1">
                  <c:v>282.98248226950358</c:v>
                </c:pt>
                <c:pt idx="2">
                  <c:v>267.07647688356155</c:v>
                </c:pt>
                <c:pt idx="3">
                  <c:v>173.97493709109213</c:v>
                </c:pt>
                <c:pt idx="4">
                  <c:v>176.89005805515239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Regression!$Q$16</c:f>
              <c:numCache>
                <c:formatCode>0</c:formatCode>
                <c:ptCount val="1"/>
                <c:pt idx="0">
                  <c:v>388.55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Plt'!$F$49:$F$60</c:f>
              <c:numCache>
                <c:formatCode>0.00</c:formatCode>
                <c:ptCount val="12"/>
                <c:pt idx="0">
                  <c:v>0</c:v>
                </c:pt>
                <c:pt idx="1">
                  <c:v>28.026252479138712</c:v>
                </c:pt>
                <c:pt idx="2">
                  <c:v>56.052504958277424</c:v>
                </c:pt>
                <c:pt idx="3">
                  <c:v>84.07875743741613</c:v>
                </c:pt>
                <c:pt idx="4">
                  <c:v>112.10500991655485</c:v>
                </c:pt>
                <c:pt idx="5">
                  <c:v>140.13126239569357</c:v>
                </c:pt>
                <c:pt idx="6">
                  <c:v>168.15751487483229</c:v>
                </c:pt>
                <c:pt idx="7">
                  <c:v>196.18376735397101</c:v>
                </c:pt>
                <c:pt idx="8">
                  <c:v>224.21001983310973</c:v>
                </c:pt>
                <c:pt idx="9">
                  <c:v>252.23627231224845</c:v>
                </c:pt>
                <c:pt idx="10">
                  <c:v>280.26252479138714</c:v>
                </c:pt>
                <c:pt idx="11">
                  <c:v>308.28877727052583</c:v>
                </c:pt>
              </c:numCache>
            </c:numRef>
          </c:xVal>
          <c:yVal>
            <c:numRef>
              <c:f>'Sig-Dose Plt'!$G$49:$G$60</c:f>
              <c:numCache>
                <c:formatCode>0</c:formatCode>
                <c:ptCount val="12"/>
                <c:pt idx="0">
                  <c:v>215.69802060955138</c:v>
                </c:pt>
                <c:pt idx="1">
                  <c:v>222.4863417081387</c:v>
                </c:pt>
                <c:pt idx="2">
                  <c:v>229.27466280672604</c:v>
                </c:pt>
                <c:pt idx="3">
                  <c:v>236.06298390531336</c:v>
                </c:pt>
                <c:pt idx="4">
                  <c:v>242.85130500390071</c:v>
                </c:pt>
                <c:pt idx="5">
                  <c:v>249.63962610248802</c:v>
                </c:pt>
                <c:pt idx="6">
                  <c:v>256.42794720107537</c:v>
                </c:pt>
                <c:pt idx="7">
                  <c:v>263.21626829966272</c:v>
                </c:pt>
                <c:pt idx="8">
                  <c:v>270.00458939825</c:v>
                </c:pt>
                <c:pt idx="9">
                  <c:v>276.79291049683735</c:v>
                </c:pt>
                <c:pt idx="10">
                  <c:v>283.5812315954247</c:v>
                </c:pt>
                <c:pt idx="11">
                  <c:v>290.36955269401199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Regression!$S$36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Regression!$S$16</c:f>
              <c:numCache>
                <c:formatCode>0</c:formatCode>
                <c:ptCount val="1"/>
                <c:pt idx="0">
                  <c:v>201.45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51744"/>
        <c:axId val="43153664"/>
      </c:scatterChart>
      <c:valAx>
        <c:axId val="4315174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53664"/>
        <c:crosses val="autoZero"/>
        <c:crossBetween val="midCat"/>
      </c:valAx>
      <c:valAx>
        <c:axId val="431536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517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40948336003454178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Regression!$AA$17:$AE$17</c:f>
                <c:numCache>
                  <c:formatCode>General</c:formatCode>
                  <c:ptCount val="5"/>
                  <c:pt idx="0">
                    <c:v>32.095598484945967</c:v>
                  </c:pt>
                  <c:pt idx="1">
                    <c:v>65.552884453254407</c:v>
                  </c:pt>
                  <c:pt idx="2">
                    <c:v>91.554313343287731</c:v>
                  </c:pt>
                  <c:pt idx="3">
                    <c:v>4.0014796565645057</c:v>
                  </c:pt>
                  <c:pt idx="4">
                    <c:v>31.120934558659446</c:v>
                  </c:pt>
                </c:numCache>
              </c:numRef>
            </c:plus>
            <c:minus>
              <c:numRef>
                <c:f>Regression!$AA$17:$AE$17</c:f>
                <c:numCache>
                  <c:formatCode>General</c:formatCode>
                  <c:ptCount val="5"/>
                  <c:pt idx="0">
                    <c:v>32.095598484945967</c:v>
                  </c:pt>
                  <c:pt idx="1">
                    <c:v>65.552884453254407</c:v>
                  </c:pt>
                  <c:pt idx="2">
                    <c:v>91.554313343287731</c:v>
                  </c:pt>
                  <c:pt idx="3">
                    <c:v>4.0014796565645057</c:v>
                  </c:pt>
                  <c:pt idx="4">
                    <c:v>31.120934558659446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Regression!$T$37:$X$37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308.28877727052583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Regression!$T$17:$X$17</c:f>
              <c:numCache>
                <c:formatCode>0</c:formatCode>
                <c:ptCount val="5"/>
                <c:pt idx="0">
                  <c:v>4635.6078227692169</c:v>
                </c:pt>
                <c:pt idx="1">
                  <c:v>9185.8897633220531</c:v>
                </c:pt>
                <c:pt idx="2">
                  <c:v>17301.876378525933</c:v>
                </c:pt>
                <c:pt idx="3">
                  <c:v>47.661491857039636</c:v>
                </c:pt>
                <c:pt idx="4">
                  <c:v>5017.2883138406387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Regression!$Q$17</c:f>
              <c:numCache>
                <c:formatCode>0</c:formatCode>
                <c:ptCount val="1"/>
                <c:pt idx="0">
                  <c:v>6810.9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Plt'!$I$49:$I$60</c:f>
              <c:numCache>
                <c:formatCode>0.00</c:formatCode>
                <c:ptCount val="12"/>
                <c:pt idx="0">
                  <c:v>0</c:v>
                </c:pt>
                <c:pt idx="1">
                  <c:v>28.026252479138712</c:v>
                </c:pt>
                <c:pt idx="2">
                  <c:v>56.052504958277424</c:v>
                </c:pt>
                <c:pt idx="3">
                  <c:v>84.07875743741613</c:v>
                </c:pt>
                <c:pt idx="4">
                  <c:v>112.10500991655485</c:v>
                </c:pt>
                <c:pt idx="5">
                  <c:v>140.13126239569357</c:v>
                </c:pt>
                <c:pt idx="6">
                  <c:v>168.15751487483229</c:v>
                </c:pt>
                <c:pt idx="7">
                  <c:v>196.18376735397101</c:v>
                </c:pt>
                <c:pt idx="8">
                  <c:v>224.21001983310973</c:v>
                </c:pt>
                <c:pt idx="9">
                  <c:v>252.23627231224845</c:v>
                </c:pt>
                <c:pt idx="10">
                  <c:v>280.26252479138714</c:v>
                </c:pt>
                <c:pt idx="11">
                  <c:v>308.28877727052583</c:v>
                </c:pt>
              </c:numCache>
            </c:numRef>
          </c:xVal>
          <c:yVal>
            <c:numRef>
              <c:f>'Sig-Dose Plt'!$J$49:$J$60</c:f>
              <c:numCache>
                <c:formatCode>0</c:formatCode>
                <c:ptCount val="12"/>
                <c:pt idx="0">
                  <c:v>44.701882013392414</c:v>
                </c:pt>
                <c:pt idx="1">
                  <c:v>1886.4818241598307</c:v>
                </c:pt>
                <c:pt idx="2">
                  <c:v>3668.0765307599986</c:v>
                </c:pt>
                <c:pt idx="3">
                  <c:v>5391.452720255591</c:v>
                </c:pt>
                <c:pt idx="4">
                  <c:v>7058.5128431429475</c:v>
                </c:pt>
                <c:pt idx="5">
                  <c:v>8671.0971821053045</c:v>
                </c:pt>
                <c:pt idx="6">
                  <c:v>10230.985883517409</c:v>
                </c:pt>
                <c:pt idx="7">
                  <c:v>11739.900922565133</c:v>
                </c:pt>
                <c:pt idx="8">
                  <c:v>13199.508004149409</c:v>
                </c:pt>
                <c:pt idx="9">
                  <c:v>14611.418401672843</c:v>
                </c:pt>
                <c:pt idx="10">
                  <c:v>15977.190735738948</c:v>
                </c:pt>
                <c:pt idx="11">
                  <c:v>17298.332694727487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Regression!$S$37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Regression!$S$17</c:f>
              <c:numCache>
                <c:formatCode>0</c:formatCode>
                <c:ptCount val="1"/>
                <c:pt idx="0">
                  <c:v>7588.3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2608"/>
        <c:axId val="43174528"/>
      </c:scatterChart>
      <c:valAx>
        <c:axId val="431726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74528"/>
        <c:crosses val="autoZero"/>
        <c:crossBetween val="midCat"/>
      </c:valAx>
      <c:valAx>
        <c:axId val="431745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726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Data'!$A$318</c:f>
          <c:strCache>
            <c:ptCount val="1"/>
            <c:pt idx="0">
              <c:v>Disk 45</c:v>
            </c:pt>
          </c:strCache>
        </c:strRef>
      </c:tx>
      <c:layout>
        <c:manualLayout>
          <c:xMode val="edge"/>
          <c:yMode val="edge"/>
          <c:x val="0.40284464441944801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22802555730168"/>
          <c:y val="0.23600046093840041"/>
          <c:w val="0.66350864444943336"/>
          <c:h val="0.59600116406477355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Regression!$AA$18:$AE$18</c:f>
                <c:numCache>
                  <c:formatCode>General</c:formatCode>
                  <c:ptCount val="5"/>
                  <c:pt idx="0">
                    <c:v>23.073649594906879</c:v>
                  </c:pt>
                  <c:pt idx="1">
                    <c:v>31.865830582244971</c:v>
                  </c:pt>
                  <c:pt idx="2">
                    <c:v>46.460166144797512</c:v>
                  </c:pt>
                  <c:pt idx="3">
                    <c:v>5.1116226945707002</c:v>
                  </c:pt>
                  <c:pt idx="4">
                    <c:v>21.782473294936889</c:v>
                  </c:pt>
                </c:numCache>
              </c:numRef>
            </c:plus>
            <c:minus>
              <c:numRef>
                <c:f>Regression!$AA$18:$AE$18</c:f>
                <c:numCache>
                  <c:formatCode>General</c:formatCode>
                  <c:ptCount val="5"/>
                  <c:pt idx="0">
                    <c:v>23.073649594906879</c:v>
                  </c:pt>
                  <c:pt idx="1">
                    <c:v>31.865830582244971</c:v>
                  </c:pt>
                  <c:pt idx="2">
                    <c:v>46.460166144797512</c:v>
                  </c:pt>
                  <c:pt idx="3">
                    <c:v>5.1116226945707002</c:v>
                  </c:pt>
                  <c:pt idx="4">
                    <c:v>21.782473294936889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Regression!$T$38:$X$38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308.28877727052583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Regression!$T$18:$X$18</c:f>
              <c:numCache>
                <c:formatCode>0</c:formatCode>
                <c:ptCount val="5"/>
                <c:pt idx="0">
                  <c:v>1624.3984119131255</c:v>
                </c:pt>
                <c:pt idx="1">
                  <c:v>2610.4844213863676</c:v>
                </c:pt>
                <c:pt idx="2">
                  <c:v>3955.438821001746</c:v>
                </c:pt>
                <c:pt idx="3">
                  <c:v>51.906602008664827</c:v>
                </c:pt>
                <c:pt idx="4">
                  <c:v>1595.9236843947631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Regression!$Q$18</c:f>
              <c:numCache>
                <c:formatCode>0</c:formatCode>
                <c:ptCount val="1"/>
                <c:pt idx="0">
                  <c:v>3942.05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Plt'!$L$49:$L$60</c:f>
              <c:numCache>
                <c:formatCode>0.00</c:formatCode>
                <c:ptCount val="12"/>
                <c:pt idx="0">
                  <c:v>0</c:v>
                </c:pt>
                <c:pt idx="1">
                  <c:v>28.026252479138712</c:v>
                </c:pt>
                <c:pt idx="2">
                  <c:v>56.052504958277424</c:v>
                </c:pt>
                <c:pt idx="3">
                  <c:v>84.07875743741613</c:v>
                </c:pt>
                <c:pt idx="4">
                  <c:v>112.10500991655485</c:v>
                </c:pt>
                <c:pt idx="5">
                  <c:v>140.13126239569357</c:v>
                </c:pt>
                <c:pt idx="6">
                  <c:v>168.15751487483229</c:v>
                </c:pt>
                <c:pt idx="7">
                  <c:v>196.18376735397101</c:v>
                </c:pt>
                <c:pt idx="8">
                  <c:v>224.21001983310973</c:v>
                </c:pt>
                <c:pt idx="9">
                  <c:v>252.23627231224845</c:v>
                </c:pt>
                <c:pt idx="10">
                  <c:v>280.26252479138714</c:v>
                </c:pt>
                <c:pt idx="11">
                  <c:v>308.28877727052583</c:v>
                </c:pt>
              </c:numCache>
            </c:numRef>
          </c:xVal>
          <c:yVal>
            <c:numRef>
              <c:f>'Sig-Dose Plt'!$M$49:$M$60</c:f>
              <c:numCache>
                <c:formatCode>0</c:formatCode>
                <c:ptCount val="12"/>
                <c:pt idx="0">
                  <c:v>64.276530737815207</c:v>
                </c:pt>
                <c:pt idx="1">
                  <c:v>702.41530842118152</c:v>
                </c:pt>
                <c:pt idx="2">
                  <c:v>1258.940715150213</c:v>
                </c:pt>
                <c:pt idx="3">
                  <c:v>1744.2905154856387</c:v>
                </c:pt>
                <c:pt idx="4">
                  <c:v>2167.5675587929036</c:v>
                </c:pt>
                <c:pt idx="5">
                  <c:v>2536.7105053174932</c:v>
                </c:pt>
                <c:pt idx="6">
                  <c:v>2858.6427176201992</c:v>
                </c:pt>
                <c:pt idx="7">
                  <c:v>3139.4021098661256</c:v>
                </c:pt>
                <c:pt idx="8">
                  <c:v>3384.2543903213159</c:v>
                </c:pt>
                <c:pt idx="9">
                  <c:v>3597.7918209465856</c:v>
                </c:pt>
                <c:pt idx="10">
                  <c:v>3784.0193463479122</c:v>
                </c:pt>
                <c:pt idx="11">
                  <c:v>3946.4297074520587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Regression!$S$38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Regression!$S$18</c:f>
              <c:numCache>
                <c:formatCode>0</c:formatCode>
                <c:ptCount val="1"/>
                <c:pt idx="0">
                  <c:v>2203.4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9376"/>
        <c:axId val="43191296"/>
      </c:scatterChart>
      <c:valAx>
        <c:axId val="431893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91296"/>
        <c:crosses val="autoZero"/>
        <c:crossBetween val="midCat"/>
      </c:valAx>
      <c:valAx>
        <c:axId val="43191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1893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Data'!$A$319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39706075343523267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019722827257714"/>
          <c:y val="0.23200045312588519"/>
          <c:w val="0.6617678738122027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Regression!$AA$19:$AE$19</c:f>
                <c:numCache>
                  <c:formatCode>General</c:formatCode>
                  <c:ptCount val="5"/>
                  <c:pt idx="0">
                    <c:v>106.04175462941143</c:v>
                  </c:pt>
                  <c:pt idx="1">
                    <c:v>181.64111727351775</c:v>
                  </c:pt>
                  <c:pt idx="2">
                    <c:v>233.80411174199764</c:v>
                  </c:pt>
                  <c:pt idx="3">
                    <c:v>6.7299393052497303</c:v>
                  </c:pt>
                  <c:pt idx="4">
                    <c:v>117.72680278794721</c:v>
                  </c:pt>
                </c:numCache>
              </c:numRef>
            </c:plus>
            <c:minus>
              <c:numRef>
                <c:f>Regression!$AA$19:$AE$19</c:f>
                <c:numCache>
                  <c:formatCode>General</c:formatCode>
                  <c:ptCount val="5"/>
                  <c:pt idx="0">
                    <c:v>106.04175462941143</c:v>
                  </c:pt>
                  <c:pt idx="1">
                    <c:v>181.64111727351775</c:v>
                  </c:pt>
                  <c:pt idx="2">
                    <c:v>233.80411174199764</c:v>
                  </c:pt>
                  <c:pt idx="3">
                    <c:v>6.7299393052497303</c:v>
                  </c:pt>
                  <c:pt idx="4">
                    <c:v>117.72680278794721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Regression!$T$39:$X$39</c:f>
              <c:numCache>
                <c:formatCode>0.0</c:formatCode>
                <c:ptCount val="5"/>
                <c:pt idx="0">
                  <c:v>280.32976628006065</c:v>
                </c:pt>
                <c:pt idx="1">
                  <c:v>560.73349819766224</c:v>
                </c:pt>
                <c:pt idx="2">
                  <c:v>841.13723011526383</c:v>
                </c:pt>
                <c:pt idx="3">
                  <c:v>0</c:v>
                </c:pt>
                <c:pt idx="4">
                  <c:v>280.40373191760159</c:v>
                </c:pt>
              </c:numCache>
            </c:numRef>
          </c:xVal>
          <c:yVal>
            <c:numRef>
              <c:f>Regression!$T$19:$X$19</c:f>
              <c:numCache>
                <c:formatCode>0</c:formatCode>
                <c:ptCount val="5"/>
                <c:pt idx="0">
                  <c:v>24392.814941390425</c:v>
                </c:pt>
                <c:pt idx="1">
                  <c:v>40630.497221212747</c:v>
                </c:pt>
                <c:pt idx="2">
                  <c:v>51023.990412272295</c:v>
                </c:pt>
                <c:pt idx="3">
                  <c:v>169.95365372459634</c:v>
                </c:pt>
                <c:pt idx="4">
                  <c:v>24035.262207585631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Regression!$Q$19</c:f>
              <c:numCache>
                <c:formatCode>0</c:formatCode>
                <c:ptCount val="1"/>
                <c:pt idx="0">
                  <c:v>59520.05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Plt'!$A$64:$A$75</c:f>
              <c:numCache>
                <c:formatCode>0.00</c:formatCode>
                <c:ptCount val="12"/>
                <c:pt idx="0">
                  <c:v>0</c:v>
                </c:pt>
                <c:pt idx="1">
                  <c:v>76.467020919569435</c:v>
                </c:pt>
                <c:pt idx="2">
                  <c:v>152.93404183913887</c:v>
                </c:pt>
                <c:pt idx="3">
                  <c:v>229.40106275870829</c:v>
                </c:pt>
                <c:pt idx="4">
                  <c:v>305.86808367827774</c:v>
                </c:pt>
                <c:pt idx="5">
                  <c:v>382.33510459784719</c:v>
                </c:pt>
                <c:pt idx="6">
                  <c:v>458.80212551741664</c:v>
                </c:pt>
                <c:pt idx="7">
                  <c:v>535.26914643698603</c:v>
                </c:pt>
                <c:pt idx="8">
                  <c:v>611.73616735655548</c:v>
                </c:pt>
                <c:pt idx="9">
                  <c:v>688.20318827612493</c:v>
                </c:pt>
                <c:pt idx="10">
                  <c:v>764.67020919569438</c:v>
                </c:pt>
                <c:pt idx="11">
                  <c:v>841.13723011526383</c:v>
                </c:pt>
              </c:numCache>
            </c:numRef>
          </c:xVal>
          <c:yVal>
            <c:numRef>
              <c:f>'Sig-Dose Plt'!$B$64:$B$75</c:f>
              <c:numCache>
                <c:formatCode>0</c:formatCode>
                <c:ptCount val="12"/>
                <c:pt idx="0">
                  <c:v>145.43489465563067</c:v>
                </c:pt>
                <c:pt idx="1">
                  <c:v>7726.8653422237994</c:v>
                </c:pt>
                <c:pt idx="2">
                  <c:v>14515.448066633582</c:v>
                </c:pt>
                <c:pt idx="3">
                  <c:v>20594.097171821548</c:v>
                </c:pt>
                <c:pt idx="4">
                  <c:v>26037.055804577238</c:v>
                </c:pt>
                <c:pt idx="5">
                  <c:v>30910.802942342587</c:v>
                </c:pt>
                <c:pt idx="6">
                  <c:v>35274.865351328757</c:v>
                </c:pt>
                <c:pt idx="7">
                  <c:v>39182.54463201022</c:v>
                </c:pt>
                <c:pt idx="8">
                  <c:v>42681.56823195333</c:v>
                </c:pt>
                <c:pt idx="9">
                  <c:v>45814.672377292438</c:v>
                </c:pt>
                <c:pt idx="10">
                  <c:v>48620.124042637202</c:v>
                </c:pt>
                <c:pt idx="11">
                  <c:v>51132.188334625156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Regression!$S$39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Regression!$S$19</c:f>
              <c:numCache>
                <c:formatCode>0</c:formatCode>
                <c:ptCount val="1"/>
                <c:pt idx="0">
                  <c:v>11767.6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06144"/>
        <c:axId val="43208064"/>
      </c:scatterChart>
      <c:valAx>
        <c:axId val="4320614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08064"/>
        <c:crosses val="autoZero"/>
        <c:crossBetween val="midCat"/>
      </c:valAx>
      <c:valAx>
        <c:axId val="43208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061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paperSize="0" orientation="landscape" horizontalDpi="-4" verticalDpi="-4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Data'!$A$320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40366972477064256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Regression!$AA$20:$AE$20</c:f>
                <c:numCache>
                  <c:formatCode>General</c:formatCode>
                  <c:ptCount val="5"/>
                  <c:pt idx="0">
                    <c:v>180.21464346580743</c:v>
                  </c:pt>
                  <c:pt idx="1">
                    <c:v>282.30837386433905</c:v>
                  </c:pt>
                  <c:pt idx="2">
                    <c:v>387.69721804289048</c:v>
                  </c:pt>
                  <c:pt idx="3">
                    <c:v>10.846011664500553</c:v>
                  </c:pt>
                  <c:pt idx="4">
                    <c:v>182.62364759131628</c:v>
                  </c:pt>
                </c:numCache>
              </c:numRef>
            </c:plus>
            <c:minus>
              <c:numRef>
                <c:f>Regression!$AA$20:$AE$20</c:f>
                <c:numCache>
                  <c:formatCode>General</c:formatCode>
                  <c:ptCount val="5"/>
                  <c:pt idx="0">
                    <c:v>180.21464346580743</c:v>
                  </c:pt>
                  <c:pt idx="1">
                    <c:v>282.30837386433905</c:v>
                  </c:pt>
                  <c:pt idx="2">
                    <c:v>387.69721804289048</c:v>
                  </c:pt>
                  <c:pt idx="3">
                    <c:v>10.846011664500553</c:v>
                  </c:pt>
                  <c:pt idx="4">
                    <c:v>182.62364759131628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Regression!$T$40:$X$40</c:f>
              <c:numCache>
                <c:formatCode>0.0</c:formatCode>
                <c:ptCount val="5"/>
                <c:pt idx="0">
                  <c:v>280.40373191760159</c:v>
                </c:pt>
                <c:pt idx="1">
                  <c:v>560.73349819766224</c:v>
                </c:pt>
                <c:pt idx="2">
                  <c:v>841.13723011526383</c:v>
                </c:pt>
                <c:pt idx="3">
                  <c:v>0</c:v>
                </c:pt>
                <c:pt idx="4">
                  <c:v>280.40373191760159</c:v>
                </c:pt>
              </c:numCache>
            </c:numRef>
          </c:xVal>
          <c:yVal>
            <c:numRef>
              <c:f>Regression!$T$20:$X$20</c:f>
              <c:numCache>
                <c:formatCode>0</c:formatCode>
                <c:ptCount val="5"/>
                <c:pt idx="0">
                  <c:v>53243.764106096292</c:v>
                </c:pt>
                <c:pt idx="1">
                  <c:v>92661.701834073756</c:v>
                </c:pt>
                <c:pt idx="2">
                  <c:v>121565.10881703615</c:v>
                </c:pt>
                <c:pt idx="3">
                  <c:v>410.21468494906566</c:v>
                </c:pt>
                <c:pt idx="4">
                  <c:v>53067.463008284605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Regression!$Q$20</c:f>
              <c:numCache>
                <c:formatCode>0</c:formatCode>
                <c:ptCount val="1"/>
                <c:pt idx="0">
                  <c:v>127424.95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Plt'!$F$64:$F$75</c:f>
              <c:numCache>
                <c:formatCode>0.00</c:formatCode>
                <c:ptCount val="12"/>
                <c:pt idx="0">
                  <c:v>0</c:v>
                </c:pt>
                <c:pt idx="1">
                  <c:v>76.467020919569435</c:v>
                </c:pt>
                <c:pt idx="2">
                  <c:v>152.93404183913887</c:v>
                </c:pt>
                <c:pt idx="3">
                  <c:v>229.40106275870829</c:v>
                </c:pt>
                <c:pt idx="4">
                  <c:v>305.86808367827774</c:v>
                </c:pt>
                <c:pt idx="5">
                  <c:v>382.33510459784719</c:v>
                </c:pt>
                <c:pt idx="6">
                  <c:v>458.80212551741664</c:v>
                </c:pt>
                <c:pt idx="7">
                  <c:v>535.26914643698603</c:v>
                </c:pt>
                <c:pt idx="8">
                  <c:v>611.73616735655548</c:v>
                </c:pt>
                <c:pt idx="9">
                  <c:v>688.20318827612493</c:v>
                </c:pt>
                <c:pt idx="10">
                  <c:v>764.67020919569438</c:v>
                </c:pt>
                <c:pt idx="11">
                  <c:v>841.13723011526383</c:v>
                </c:pt>
              </c:numCache>
            </c:numRef>
          </c:xVal>
          <c:yVal>
            <c:numRef>
              <c:f>'Sig-Dose Plt'!$G$64:$G$75</c:f>
              <c:numCache>
                <c:formatCode>0</c:formatCode>
                <c:ptCount val="12"/>
                <c:pt idx="0">
                  <c:v>403.18799747245373</c:v>
                </c:pt>
                <c:pt idx="1">
                  <c:v>16389.960660698442</c:v>
                </c:pt>
                <c:pt idx="2">
                  <c:v>31134.812629169133</c:v>
                </c:pt>
                <c:pt idx="3">
                  <c:v>44734.221600075369</c:v>
                </c:pt>
                <c:pt idx="4">
                  <c:v>57277.170471548299</c:v>
                </c:pt>
                <c:pt idx="5">
                  <c:v>68845.729570620708</c:v>
                </c:pt>
                <c:pt idx="6">
                  <c:v>79515.593651236632</c:v>
                </c:pt>
                <c:pt idx="7">
                  <c:v>89356.577175964965</c:v>
                </c:pt>
                <c:pt idx="8">
                  <c:v>98433.071122116962</c:v>
                </c:pt>
                <c:pt idx="9">
                  <c:v>106804.46430121562</c:v>
                </c:pt>
                <c:pt idx="10">
                  <c:v>114525.53194857201</c:v>
                </c:pt>
                <c:pt idx="11">
                  <c:v>121646.79412556505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Regression!$S$40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Regression!$S$20</c:f>
              <c:numCache>
                <c:formatCode>0</c:formatCode>
                <c:ptCount val="1"/>
                <c:pt idx="0">
                  <c:v>24249.7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39680"/>
        <c:axId val="43241856"/>
      </c:scatterChart>
      <c:valAx>
        <c:axId val="432396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41856"/>
        <c:crosses val="autoZero"/>
        <c:crossBetween val="midCat"/>
      </c:valAx>
      <c:valAx>
        <c:axId val="432418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396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Data'!$A$321</c:f>
          <c:strCache>
            <c:ptCount val="1"/>
            <c:pt idx="0">
              <c:v>Disk 48</c:v>
            </c:pt>
          </c:strCache>
        </c:strRef>
      </c:tx>
      <c:layout>
        <c:manualLayout>
          <c:xMode val="edge"/>
          <c:yMode val="edge"/>
          <c:x val="0.40948351021339718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wer"/>
            <c:dispRSqr val="0"/>
            <c:dispEq val="0"/>
          </c:trendline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log"/>
            <c:dispRSqr val="0"/>
            <c:dispEq val="0"/>
          </c:trendline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log"/>
            <c:dispRSqr val="0"/>
            <c:dispEq val="0"/>
          </c:trendline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Regression!$AA$21:$AE$21</c:f>
                <c:numCache>
                  <c:formatCode>General</c:formatCode>
                  <c:ptCount val="5"/>
                  <c:pt idx="0">
                    <c:v>20.049944639653873</c:v>
                  </c:pt>
                  <c:pt idx="1">
                    <c:v>34.973350278541233</c:v>
                  </c:pt>
                  <c:pt idx="2">
                    <c:v>55.388173024961645</c:v>
                  </c:pt>
                  <c:pt idx="3">
                    <c:v>3.4925574833648483</c:v>
                  </c:pt>
                  <c:pt idx="4">
                    <c:v>18.043208282723938</c:v>
                  </c:pt>
                </c:numCache>
              </c:numRef>
            </c:plus>
            <c:minus>
              <c:numRef>
                <c:f>Regression!$AA$21:$AE$21</c:f>
                <c:numCache>
                  <c:formatCode>General</c:formatCode>
                  <c:ptCount val="5"/>
                  <c:pt idx="0">
                    <c:v>20.049944639653873</c:v>
                  </c:pt>
                  <c:pt idx="1">
                    <c:v>34.973350278541233</c:v>
                  </c:pt>
                  <c:pt idx="2">
                    <c:v>55.388173024961645</c:v>
                  </c:pt>
                  <c:pt idx="3">
                    <c:v>3.4925574833648483</c:v>
                  </c:pt>
                  <c:pt idx="4">
                    <c:v>18.043208282723938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Regression!$T$41:$X$41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308.28877727052583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Regression!$T$21:$X$21</c:f>
              <c:numCache>
                <c:formatCode>0</c:formatCode>
                <c:ptCount val="5"/>
                <c:pt idx="0">
                  <c:v>1525.6275958551425</c:v>
                </c:pt>
                <c:pt idx="1">
                  <c:v>2848.386692660722</c:v>
                </c:pt>
                <c:pt idx="2">
                  <c:v>5578.279653496219</c:v>
                </c:pt>
                <c:pt idx="3">
                  <c:v>36.779610244255707</c:v>
                </c:pt>
                <c:pt idx="4">
                  <c:v>1539.4506857975095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Regression!$Q$21</c:f>
              <c:numCache>
                <c:formatCode>0</c:formatCode>
                <c:ptCount val="1"/>
                <c:pt idx="0">
                  <c:v>2246.5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Plt'!$I$64:$I$75</c:f>
              <c:numCache>
                <c:formatCode>0.00</c:formatCode>
                <c:ptCount val="12"/>
                <c:pt idx="0">
                  <c:v>0</c:v>
                </c:pt>
                <c:pt idx="1">
                  <c:v>28.026252479138712</c:v>
                </c:pt>
                <c:pt idx="2">
                  <c:v>56.052504958277424</c:v>
                </c:pt>
                <c:pt idx="3">
                  <c:v>84.07875743741613</c:v>
                </c:pt>
                <c:pt idx="4">
                  <c:v>112.10500991655485</c:v>
                </c:pt>
                <c:pt idx="5">
                  <c:v>140.13126239569357</c:v>
                </c:pt>
                <c:pt idx="6">
                  <c:v>168.15751487483229</c:v>
                </c:pt>
                <c:pt idx="7">
                  <c:v>196.18376735397101</c:v>
                </c:pt>
                <c:pt idx="8">
                  <c:v>224.21001983310973</c:v>
                </c:pt>
                <c:pt idx="9">
                  <c:v>252.23627231224845</c:v>
                </c:pt>
                <c:pt idx="10">
                  <c:v>280.26252479138714</c:v>
                </c:pt>
                <c:pt idx="11">
                  <c:v>308.28877727052583</c:v>
                </c:pt>
              </c:numCache>
            </c:numRef>
          </c:xVal>
          <c:yVal>
            <c:numRef>
              <c:f>'Sig-Dose Plt'!$J$64:$J$75</c:f>
              <c:numCache>
                <c:formatCode>0</c:formatCode>
                <c:ptCount val="12"/>
                <c:pt idx="0">
                  <c:v>56.197725996319519</c:v>
                </c:pt>
                <c:pt idx="1">
                  <c:v>608.99637340858192</c:v>
                </c:pt>
                <c:pt idx="2">
                  <c:v>1151.5304920291028</c:v>
                </c:pt>
                <c:pt idx="3">
                  <c:v>1683.8000818578821</c:v>
                </c:pt>
                <c:pt idx="4">
                  <c:v>2205.8051428949198</c:v>
                </c:pt>
                <c:pt idx="5">
                  <c:v>2717.5456751402162</c:v>
                </c:pt>
                <c:pt idx="6">
                  <c:v>3219.0216785937705</c:v>
                </c:pt>
                <c:pt idx="7">
                  <c:v>3710.2331532555836</c:v>
                </c:pt>
                <c:pt idx="8">
                  <c:v>4191.1800991256541</c:v>
                </c:pt>
                <c:pt idx="9">
                  <c:v>4661.8625162039843</c:v>
                </c:pt>
                <c:pt idx="10">
                  <c:v>5122.2804044905715</c:v>
                </c:pt>
                <c:pt idx="11">
                  <c:v>5572.4337639854175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Regression!$S$41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Regression!$S$21</c:f>
              <c:numCache>
                <c:formatCode>0</c:formatCode>
                <c:ptCount val="1"/>
                <c:pt idx="0">
                  <c:v>2347.25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67200"/>
        <c:axId val="43269120"/>
      </c:scatterChart>
      <c:valAx>
        <c:axId val="432672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69120"/>
        <c:crosses val="autoZero"/>
        <c:crossBetween val="midCat"/>
      </c:valAx>
      <c:valAx>
        <c:axId val="432691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672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Data'!$A$322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028445500916159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Regression!$AA$22:$AE$22</c:f>
                <c:numCache>
                  <c:formatCode>General</c:formatCode>
                  <c:ptCount val="5"/>
                  <c:pt idx="0">
                    <c:v>23.930784343001719</c:v>
                  </c:pt>
                  <c:pt idx="1">
                    <c:v>10.715508503472826</c:v>
                  </c:pt>
                  <c:pt idx="2">
                    <c:v>17.445863406128773</c:v>
                  </c:pt>
                  <c:pt idx="3">
                    <c:v>9.0441637037847631</c:v>
                  </c:pt>
                  <c:pt idx="4">
                    <c:v>11.886215149512225</c:v>
                  </c:pt>
                </c:numCache>
              </c:numRef>
            </c:plus>
            <c:minus>
              <c:numRef>
                <c:f>Regression!$AA$22:$AE$22</c:f>
                <c:numCache>
                  <c:formatCode>General</c:formatCode>
                  <c:ptCount val="5"/>
                  <c:pt idx="0">
                    <c:v>23.930784343001719</c:v>
                  </c:pt>
                  <c:pt idx="1">
                    <c:v>10.715508503472826</c:v>
                  </c:pt>
                  <c:pt idx="2">
                    <c:v>17.445863406128773</c:v>
                  </c:pt>
                  <c:pt idx="3">
                    <c:v>9.0441637037847631</c:v>
                  </c:pt>
                  <c:pt idx="4">
                    <c:v>11.886215149512225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Regression!$T$42:$X$42</c:f>
              <c:numCache>
                <c:formatCode>0.0</c:formatCode>
                <c:ptCount val="5"/>
                <c:pt idx="0">
                  <c:v>74.705293916322233</c:v>
                </c:pt>
                <c:pt idx="1">
                  <c:v>149.48455347018538</c:v>
                </c:pt>
                <c:pt idx="2">
                  <c:v>308.28877727052583</c:v>
                </c:pt>
                <c:pt idx="3">
                  <c:v>0</c:v>
                </c:pt>
                <c:pt idx="4">
                  <c:v>74.705293916322233</c:v>
                </c:pt>
              </c:numCache>
            </c:numRef>
          </c:xVal>
          <c:yVal>
            <c:numRef>
              <c:f>Regression!$T$22:$X$22</c:f>
              <c:numCache>
                <c:formatCode>0</c:formatCode>
                <c:ptCount val="5"/>
                <c:pt idx="0">
                  <c:v>274.86914040114613</c:v>
                </c:pt>
                <c:pt idx="1">
                  <c:v>152.44074531095754</c:v>
                </c:pt>
                <c:pt idx="2">
                  <c:v>210.1511767925561</c:v>
                </c:pt>
                <c:pt idx="3">
                  <c:v>74.132229647630624</c:v>
                </c:pt>
                <c:pt idx="4">
                  <c:v>130.51469072164952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Regression!$Q$22</c:f>
              <c:numCache>
                <c:formatCode>0</c:formatCode>
                <c:ptCount val="1"/>
                <c:pt idx="0">
                  <c:v>243.5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Plt'!$L$64:$L$75</c:f>
              <c:numCache>
                <c:formatCode>0.00</c:formatCode>
                <c:ptCount val="12"/>
                <c:pt idx="0">
                  <c:v>0</c:v>
                </c:pt>
                <c:pt idx="1">
                  <c:v>28.026252479138712</c:v>
                </c:pt>
                <c:pt idx="2">
                  <c:v>56.052504958277424</c:v>
                </c:pt>
                <c:pt idx="3">
                  <c:v>84.07875743741613</c:v>
                </c:pt>
                <c:pt idx="4">
                  <c:v>112.10500991655485</c:v>
                </c:pt>
                <c:pt idx="5">
                  <c:v>140.13126239569357</c:v>
                </c:pt>
                <c:pt idx="6">
                  <c:v>168.15751487483229</c:v>
                </c:pt>
                <c:pt idx="7">
                  <c:v>196.18376735397101</c:v>
                </c:pt>
                <c:pt idx="8">
                  <c:v>224.21001983310973</c:v>
                </c:pt>
                <c:pt idx="9">
                  <c:v>252.23627231224845</c:v>
                </c:pt>
                <c:pt idx="10">
                  <c:v>280.26252479138714</c:v>
                </c:pt>
                <c:pt idx="11">
                  <c:v>308.28877727052583</c:v>
                </c:pt>
              </c:numCache>
            </c:numRef>
          </c:xVal>
          <c:yVal>
            <c:numRef>
              <c:f>'Sig-Dose Plt'!$M$64:$M$75</c:f>
              <c:numCache>
                <c:formatCode>0</c:formatCode>
                <c:ptCount val="12"/>
                <c:pt idx="0">
                  <c:v>133.86977470146621</c:v>
                </c:pt>
                <c:pt idx="1">
                  <c:v>141.84394903163627</c:v>
                </c:pt>
                <c:pt idx="2">
                  <c:v>149.81812336180633</c:v>
                </c:pt>
                <c:pt idx="3">
                  <c:v>157.79229769197639</c:v>
                </c:pt>
                <c:pt idx="4">
                  <c:v>165.76647202214644</c:v>
                </c:pt>
                <c:pt idx="5">
                  <c:v>173.7406463523165</c:v>
                </c:pt>
                <c:pt idx="6">
                  <c:v>181.71482068248656</c:v>
                </c:pt>
                <c:pt idx="7">
                  <c:v>189.68899501265662</c:v>
                </c:pt>
                <c:pt idx="8">
                  <c:v>197.66316934282668</c:v>
                </c:pt>
                <c:pt idx="9">
                  <c:v>205.63734367299674</c:v>
                </c:pt>
                <c:pt idx="10">
                  <c:v>213.61151800316676</c:v>
                </c:pt>
                <c:pt idx="11">
                  <c:v>221.58569233333682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Regression!$S$42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Regression!$S$22</c:f>
              <c:numCache>
                <c:formatCode>0</c:formatCode>
                <c:ptCount val="1"/>
                <c:pt idx="0">
                  <c:v>143.05000000000001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80256"/>
        <c:axId val="43286528"/>
      </c:scatterChart>
      <c:valAx>
        <c:axId val="4328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86528"/>
        <c:crosses val="autoZero"/>
        <c:crossBetween val="midCat"/>
      </c:valAx>
      <c:valAx>
        <c:axId val="432865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2802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Data'!$A$304</c:f>
          <c:strCache>
            <c:ptCount val="1"/>
            <c:pt idx="0">
              <c:v>Disk 31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6"/>
          <c:order val="0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Data2'!$G$16:$CT$16</c:f>
              <c:numCache>
                <c:formatCode>General</c:formatCode>
                <c:ptCount val="92"/>
                <c:pt idx="0">
                  <c:v>1595</c:v>
                </c:pt>
                <c:pt idx="1">
                  <c:v>1565</c:v>
                </c:pt>
                <c:pt idx="2">
                  <c:v>1496</c:v>
                </c:pt>
                <c:pt idx="3">
                  <c:v>1532</c:v>
                </c:pt>
                <c:pt idx="4">
                  <c:v>1505</c:v>
                </c:pt>
                <c:pt idx="5">
                  <c:v>1470</c:v>
                </c:pt>
                <c:pt idx="6">
                  <c:v>1488</c:v>
                </c:pt>
                <c:pt idx="7">
                  <c:v>1470</c:v>
                </c:pt>
                <c:pt idx="8">
                  <c:v>1495</c:v>
                </c:pt>
                <c:pt idx="9">
                  <c:v>1498</c:v>
                </c:pt>
                <c:pt idx="10">
                  <c:v>1464</c:v>
                </c:pt>
                <c:pt idx="11">
                  <c:v>1480</c:v>
                </c:pt>
                <c:pt idx="12">
                  <c:v>1432</c:v>
                </c:pt>
                <c:pt idx="13">
                  <c:v>1477</c:v>
                </c:pt>
                <c:pt idx="14">
                  <c:v>1405</c:v>
                </c:pt>
                <c:pt idx="15">
                  <c:v>1442</c:v>
                </c:pt>
                <c:pt idx="16">
                  <c:v>1418</c:v>
                </c:pt>
                <c:pt idx="17">
                  <c:v>1422</c:v>
                </c:pt>
                <c:pt idx="18">
                  <c:v>1402</c:v>
                </c:pt>
                <c:pt idx="19">
                  <c:v>1387</c:v>
                </c:pt>
                <c:pt idx="20">
                  <c:v>1366.3</c:v>
                </c:pt>
                <c:pt idx="21">
                  <c:v>1294.7</c:v>
                </c:pt>
                <c:pt idx="22">
                  <c:v>1227.9000000000001</c:v>
                </c:pt>
                <c:pt idx="23">
                  <c:v>1141.4000000000001</c:v>
                </c:pt>
                <c:pt idx="24">
                  <c:v>1098.5999999999999</c:v>
                </c:pt>
                <c:pt idx="25">
                  <c:v>1059.5999999999999</c:v>
                </c:pt>
                <c:pt idx="26">
                  <c:v>1016.3</c:v>
                </c:pt>
                <c:pt idx="27">
                  <c:v>954.6</c:v>
                </c:pt>
                <c:pt idx="28">
                  <c:v>927.2</c:v>
                </c:pt>
                <c:pt idx="29">
                  <c:v>880.3</c:v>
                </c:pt>
                <c:pt idx="30">
                  <c:v>849.8</c:v>
                </c:pt>
                <c:pt idx="31">
                  <c:v>826.5</c:v>
                </c:pt>
                <c:pt idx="32">
                  <c:v>788.2</c:v>
                </c:pt>
                <c:pt idx="33">
                  <c:v>755</c:v>
                </c:pt>
                <c:pt idx="34">
                  <c:v>718.9</c:v>
                </c:pt>
                <c:pt idx="35">
                  <c:v>698.9</c:v>
                </c:pt>
                <c:pt idx="36">
                  <c:v>680.2</c:v>
                </c:pt>
                <c:pt idx="37">
                  <c:v>652.20000000000005</c:v>
                </c:pt>
                <c:pt idx="38">
                  <c:v>640.29999999999995</c:v>
                </c:pt>
                <c:pt idx="39">
                  <c:v>610.9</c:v>
                </c:pt>
                <c:pt idx="40">
                  <c:v>600.79999999999995</c:v>
                </c:pt>
                <c:pt idx="41">
                  <c:v>573.79999999999995</c:v>
                </c:pt>
                <c:pt idx="42">
                  <c:v>563.6</c:v>
                </c:pt>
                <c:pt idx="43">
                  <c:v>541.9</c:v>
                </c:pt>
                <c:pt idx="44">
                  <c:v>528.20000000000005</c:v>
                </c:pt>
                <c:pt idx="45">
                  <c:v>511.7</c:v>
                </c:pt>
                <c:pt idx="46">
                  <c:v>492.9</c:v>
                </c:pt>
                <c:pt idx="47">
                  <c:v>479.9</c:v>
                </c:pt>
                <c:pt idx="48">
                  <c:v>468.7</c:v>
                </c:pt>
                <c:pt idx="49">
                  <c:v>459.8</c:v>
                </c:pt>
                <c:pt idx="50">
                  <c:v>440.6</c:v>
                </c:pt>
                <c:pt idx="51">
                  <c:v>425.4</c:v>
                </c:pt>
                <c:pt idx="52">
                  <c:v>426.5</c:v>
                </c:pt>
                <c:pt idx="53">
                  <c:v>408.9</c:v>
                </c:pt>
                <c:pt idx="54">
                  <c:v>398</c:v>
                </c:pt>
                <c:pt idx="55">
                  <c:v>391</c:v>
                </c:pt>
                <c:pt idx="56">
                  <c:v>387.9</c:v>
                </c:pt>
                <c:pt idx="57">
                  <c:v>379.3</c:v>
                </c:pt>
                <c:pt idx="58">
                  <c:v>361.8</c:v>
                </c:pt>
                <c:pt idx="59">
                  <c:v>361.2</c:v>
                </c:pt>
                <c:pt idx="60">
                  <c:v>353.6</c:v>
                </c:pt>
                <c:pt idx="61">
                  <c:v>346.4</c:v>
                </c:pt>
                <c:pt idx="62">
                  <c:v>334.8</c:v>
                </c:pt>
                <c:pt idx="63">
                  <c:v>335.1</c:v>
                </c:pt>
                <c:pt idx="64">
                  <c:v>323.5</c:v>
                </c:pt>
                <c:pt idx="65">
                  <c:v>318.3</c:v>
                </c:pt>
                <c:pt idx="66">
                  <c:v>320.5</c:v>
                </c:pt>
                <c:pt idx="67">
                  <c:v>304.2</c:v>
                </c:pt>
                <c:pt idx="68">
                  <c:v>302.8</c:v>
                </c:pt>
                <c:pt idx="69">
                  <c:v>295.10000000000002</c:v>
                </c:pt>
                <c:pt idx="70">
                  <c:v>294</c:v>
                </c:pt>
                <c:pt idx="71">
                  <c:v>294.10000000000002</c:v>
                </c:pt>
                <c:pt idx="72">
                  <c:v>283.39999999999998</c:v>
                </c:pt>
                <c:pt idx="73">
                  <c:v>278.2</c:v>
                </c:pt>
                <c:pt idx="74">
                  <c:v>279.39999999999998</c:v>
                </c:pt>
                <c:pt idx="75">
                  <c:v>264.7</c:v>
                </c:pt>
                <c:pt idx="76">
                  <c:v>263</c:v>
                </c:pt>
                <c:pt idx="77">
                  <c:v>257.8</c:v>
                </c:pt>
                <c:pt idx="78">
                  <c:v>242.24</c:v>
                </c:pt>
                <c:pt idx="79">
                  <c:v>213.24</c:v>
                </c:pt>
                <c:pt idx="80">
                  <c:v>189.54</c:v>
                </c:pt>
                <c:pt idx="81">
                  <c:v>173.83</c:v>
                </c:pt>
                <c:pt idx="82">
                  <c:v>159.44</c:v>
                </c:pt>
                <c:pt idx="83">
                  <c:v>150.41999999999999</c:v>
                </c:pt>
                <c:pt idx="84">
                  <c:v>142.94</c:v>
                </c:pt>
                <c:pt idx="85">
                  <c:v>133.09</c:v>
                </c:pt>
                <c:pt idx="86">
                  <c:v>129.19999999999999</c:v>
                </c:pt>
                <c:pt idx="87">
                  <c:v>121.78</c:v>
                </c:pt>
                <c:pt idx="88">
                  <c:v>115.14</c:v>
                </c:pt>
                <c:pt idx="89">
                  <c:v>112.68</c:v>
                </c:pt>
                <c:pt idx="90">
                  <c:v>108.52</c:v>
                </c:pt>
                <c:pt idx="91">
                  <c:v>106.91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Data2'!$G$17:$CT$17</c:f>
              <c:numCache>
                <c:formatCode>General</c:formatCode>
                <c:ptCount val="92"/>
                <c:pt idx="0">
                  <c:v>392</c:v>
                </c:pt>
                <c:pt idx="1">
                  <c:v>348</c:v>
                </c:pt>
                <c:pt idx="2">
                  <c:v>318</c:v>
                </c:pt>
                <c:pt idx="3">
                  <c:v>343</c:v>
                </c:pt>
                <c:pt idx="4">
                  <c:v>355</c:v>
                </c:pt>
                <c:pt idx="5">
                  <c:v>356</c:v>
                </c:pt>
                <c:pt idx="6">
                  <c:v>352</c:v>
                </c:pt>
                <c:pt idx="7">
                  <c:v>322</c:v>
                </c:pt>
                <c:pt idx="8">
                  <c:v>319</c:v>
                </c:pt>
                <c:pt idx="9">
                  <c:v>342</c:v>
                </c:pt>
                <c:pt idx="10">
                  <c:v>340</c:v>
                </c:pt>
                <c:pt idx="11">
                  <c:v>334</c:v>
                </c:pt>
                <c:pt idx="12">
                  <c:v>320</c:v>
                </c:pt>
                <c:pt idx="13">
                  <c:v>346</c:v>
                </c:pt>
                <c:pt idx="14">
                  <c:v>299</c:v>
                </c:pt>
                <c:pt idx="15">
                  <c:v>311</c:v>
                </c:pt>
                <c:pt idx="16">
                  <c:v>326</c:v>
                </c:pt>
                <c:pt idx="17">
                  <c:v>313</c:v>
                </c:pt>
                <c:pt idx="18">
                  <c:v>334</c:v>
                </c:pt>
                <c:pt idx="19">
                  <c:v>283</c:v>
                </c:pt>
                <c:pt idx="20">
                  <c:v>319</c:v>
                </c:pt>
                <c:pt idx="21">
                  <c:v>303.39999999999998</c:v>
                </c:pt>
                <c:pt idx="22">
                  <c:v>289</c:v>
                </c:pt>
                <c:pt idx="23">
                  <c:v>274</c:v>
                </c:pt>
                <c:pt idx="24">
                  <c:v>268</c:v>
                </c:pt>
                <c:pt idx="25">
                  <c:v>258</c:v>
                </c:pt>
                <c:pt idx="26">
                  <c:v>253.1</c:v>
                </c:pt>
                <c:pt idx="27">
                  <c:v>242.6</c:v>
                </c:pt>
                <c:pt idx="28">
                  <c:v>241.4</c:v>
                </c:pt>
                <c:pt idx="29">
                  <c:v>228</c:v>
                </c:pt>
                <c:pt idx="30">
                  <c:v>224.1</c:v>
                </c:pt>
                <c:pt idx="31">
                  <c:v>215.6</c:v>
                </c:pt>
                <c:pt idx="32">
                  <c:v>214.5</c:v>
                </c:pt>
                <c:pt idx="33">
                  <c:v>214.2</c:v>
                </c:pt>
                <c:pt idx="34">
                  <c:v>201.7</c:v>
                </c:pt>
                <c:pt idx="35">
                  <c:v>198.9</c:v>
                </c:pt>
                <c:pt idx="36">
                  <c:v>192.2</c:v>
                </c:pt>
                <c:pt idx="37">
                  <c:v>188.6</c:v>
                </c:pt>
                <c:pt idx="38">
                  <c:v>180.3</c:v>
                </c:pt>
                <c:pt idx="39">
                  <c:v>179.8</c:v>
                </c:pt>
                <c:pt idx="40">
                  <c:v>171.8</c:v>
                </c:pt>
                <c:pt idx="41">
                  <c:v>176.1</c:v>
                </c:pt>
                <c:pt idx="42">
                  <c:v>164.2</c:v>
                </c:pt>
                <c:pt idx="43">
                  <c:v>162.5</c:v>
                </c:pt>
                <c:pt idx="44">
                  <c:v>160.5</c:v>
                </c:pt>
                <c:pt idx="45">
                  <c:v>158.30000000000001</c:v>
                </c:pt>
                <c:pt idx="46">
                  <c:v>155.30000000000001</c:v>
                </c:pt>
                <c:pt idx="47">
                  <c:v>154.9</c:v>
                </c:pt>
                <c:pt idx="48">
                  <c:v>153.9</c:v>
                </c:pt>
                <c:pt idx="49">
                  <c:v>145.69999999999999</c:v>
                </c:pt>
                <c:pt idx="50">
                  <c:v>146.80000000000001</c:v>
                </c:pt>
                <c:pt idx="51">
                  <c:v>147.30000000000001</c:v>
                </c:pt>
                <c:pt idx="52">
                  <c:v>140</c:v>
                </c:pt>
                <c:pt idx="53">
                  <c:v>144.5</c:v>
                </c:pt>
                <c:pt idx="54">
                  <c:v>136.80000000000001</c:v>
                </c:pt>
                <c:pt idx="55">
                  <c:v>136.6</c:v>
                </c:pt>
                <c:pt idx="56">
                  <c:v>132.9</c:v>
                </c:pt>
                <c:pt idx="57">
                  <c:v>130.9</c:v>
                </c:pt>
                <c:pt idx="58">
                  <c:v>134.30000000000001</c:v>
                </c:pt>
                <c:pt idx="59">
                  <c:v>128.1</c:v>
                </c:pt>
                <c:pt idx="60">
                  <c:v>131.69999999999999</c:v>
                </c:pt>
                <c:pt idx="61">
                  <c:v>127.6</c:v>
                </c:pt>
                <c:pt idx="62">
                  <c:v>125.7</c:v>
                </c:pt>
                <c:pt idx="63">
                  <c:v>123.1</c:v>
                </c:pt>
                <c:pt idx="64">
                  <c:v>124.8</c:v>
                </c:pt>
                <c:pt idx="65">
                  <c:v>121.2</c:v>
                </c:pt>
                <c:pt idx="66">
                  <c:v>120.9</c:v>
                </c:pt>
                <c:pt idx="67">
                  <c:v>123.9</c:v>
                </c:pt>
                <c:pt idx="68">
                  <c:v>117.8</c:v>
                </c:pt>
                <c:pt idx="69">
                  <c:v>118.5</c:v>
                </c:pt>
                <c:pt idx="70">
                  <c:v>118.9</c:v>
                </c:pt>
                <c:pt idx="71">
                  <c:v>116.4</c:v>
                </c:pt>
                <c:pt idx="72">
                  <c:v>112.2</c:v>
                </c:pt>
                <c:pt idx="73">
                  <c:v>114.4</c:v>
                </c:pt>
                <c:pt idx="74">
                  <c:v>109.4</c:v>
                </c:pt>
                <c:pt idx="75">
                  <c:v>112.7</c:v>
                </c:pt>
                <c:pt idx="76">
                  <c:v>107.5</c:v>
                </c:pt>
                <c:pt idx="77">
                  <c:v>109.1</c:v>
                </c:pt>
                <c:pt idx="78">
                  <c:v>104.76</c:v>
                </c:pt>
                <c:pt idx="79">
                  <c:v>98.46</c:v>
                </c:pt>
                <c:pt idx="80">
                  <c:v>91.02</c:v>
                </c:pt>
                <c:pt idx="81">
                  <c:v>88.04</c:v>
                </c:pt>
                <c:pt idx="82">
                  <c:v>84.57</c:v>
                </c:pt>
                <c:pt idx="83">
                  <c:v>81.91</c:v>
                </c:pt>
                <c:pt idx="84">
                  <c:v>79.709999999999994</c:v>
                </c:pt>
                <c:pt idx="85">
                  <c:v>76.67</c:v>
                </c:pt>
                <c:pt idx="86">
                  <c:v>76.150000000000006</c:v>
                </c:pt>
                <c:pt idx="87">
                  <c:v>72.67</c:v>
                </c:pt>
                <c:pt idx="88">
                  <c:v>71.819999999999993</c:v>
                </c:pt>
                <c:pt idx="89">
                  <c:v>71.56</c:v>
                </c:pt>
                <c:pt idx="90">
                  <c:v>69.239999999999995</c:v>
                </c:pt>
                <c:pt idx="91">
                  <c:v>67.489999999999995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Data2'!$G$18:$CT$18</c:f>
              <c:numCache>
                <c:formatCode>General</c:formatCode>
                <c:ptCount val="92"/>
                <c:pt idx="0">
                  <c:v>987</c:v>
                </c:pt>
                <c:pt idx="1">
                  <c:v>1037</c:v>
                </c:pt>
                <c:pt idx="2">
                  <c:v>1062</c:v>
                </c:pt>
                <c:pt idx="3">
                  <c:v>981</c:v>
                </c:pt>
                <c:pt idx="4">
                  <c:v>992</c:v>
                </c:pt>
                <c:pt idx="5">
                  <c:v>957</c:v>
                </c:pt>
                <c:pt idx="6">
                  <c:v>952</c:v>
                </c:pt>
                <c:pt idx="7">
                  <c:v>975</c:v>
                </c:pt>
                <c:pt idx="8">
                  <c:v>951</c:v>
                </c:pt>
                <c:pt idx="9">
                  <c:v>983</c:v>
                </c:pt>
                <c:pt idx="10">
                  <c:v>913</c:v>
                </c:pt>
                <c:pt idx="11">
                  <c:v>885</c:v>
                </c:pt>
                <c:pt idx="12">
                  <c:v>933</c:v>
                </c:pt>
                <c:pt idx="13">
                  <c:v>883</c:v>
                </c:pt>
                <c:pt idx="14">
                  <c:v>897</c:v>
                </c:pt>
                <c:pt idx="15">
                  <c:v>909</c:v>
                </c:pt>
                <c:pt idx="16">
                  <c:v>898</c:v>
                </c:pt>
                <c:pt idx="17">
                  <c:v>893</c:v>
                </c:pt>
                <c:pt idx="18">
                  <c:v>860</c:v>
                </c:pt>
                <c:pt idx="19">
                  <c:v>903</c:v>
                </c:pt>
                <c:pt idx="20">
                  <c:v>842.6</c:v>
                </c:pt>
                <c:pt idx="21">
                  <c:v>797</c:v>
                </c:pt>
                <c:pt idx="22">
                  <c:v>763.5</c:v>
                </c:pt>
                <c:pt idx="23">
                  <c:v>694.6</c:v>
                </c:pt>
                <c:pt idx="24">
                  <c:v>680.6</c:v>
                </c:pt>
                <c:pt idx="25">
                  <c:v>633.29999999999995</c:v>
                </c:pt>
                <c:pt idx="26">
                  <c:v>622.5</c:v>
                </c:pt>
                <c:pt idx="27">
                  <c:v>571.9</c:v>
                </c:pt>
                <c:pt idx="28">
                  <c:v>555.70000000000005</c:v>
                </c:pt>
                <c:pt idx="29">
                  <c:v>520.29999999999995</c:v>
                </c:pt>
                <c:pt idx="30">
                  <c:v>498.9</c:v>
                </c:pt>
                <c:pt idx="31">
                  <c:v>484.9</c:v>
                </c:pt>
                <c:pt idx="32">
                  <c:v>463.4</c:v>
                </c:pt>
                <c:pt idx="33">
                  <c:v>445.5</c:v>
                </c:pt>
                <c:pt idx="34">
                  <c:v>426.7</c:v>
                </c:pt>
                <c:pt idx="35">
                  <c:v>409.2</c:v>
                </c:pt>
                <c:pt idx="36">
                  <c:v>391.7</c:v>
                </c:pt>
                <c:pt idx="37">
                  <c:v>369.7</c:v>
                </c:pt>
                <c:pt idx="38">
                  <c:v>365.3</c:v>
                </c:pt>
                <c:pt idx="39">
                  <c:v>354.2</c:v>
                </c:pt>
                <c:pt idx="40">
                  <c:v>345.6</c:v>
                </c:pt>
                <c:pt idx="41">
                  <c:v>321.89999999999998</c:v>
                </c:pt>
                <c:pt idx="42">
                  <c:v>315</c:v>
                </c:pt>
                <c:pt idx="43">
                  <c:v>311.39999999999998</c:v>
                </c:pt>
                <c:pt idx="44">
                  <c:v>297.2</c:v>
                </c:pt>
                <c:pt idx="45">
                  <c:v>286.39999999999998</c:v>
                </c:pt>
                <c:pt idx="46">
                  <c:v>289.5</c:v>
                </c:pt>
                <c:pt idx="47">
                  <c:v>274.89999999999998</c:v>
                </c:pt>
                <c:pt idx="48">
                  <c:v>265</c:v>
                </c:pt>
                <c:pt idx="49">
                  <c:v>258.10000000000002</c:v>
                </c:pt>
                <c:pt idx="50">
                  <c:v>254.5</c:v>
                </c:pt>
                <c:pt idx="51">
                  <c:v>247.7</c:v>
                </c:pt>
                <c:pt idx="52">
                  <c:v>246.8</c:v>
                </c:pt>
                <c:pt idx="53">
                  <c:v>231.7</c:v>
                </c:pt>
                <c:pt idx="54">
                  <c:v>229.4</c:v>
                </c:pt>
                <c:pt idx="55">
                  <c:v>231</c:v>
                </c:pt>
                <c:pt idx="56">
                  <c:v>223.1</c:v>
                </c:pt>
                <c:pt idx="57">
                  <c:v>217.3</c:v>
                </c:pt>
                <c:pt idx="58">
                  <c:v>211.1</c:v>
                </c:pt>
                <c:pt idx="59">
                  <c:v>205.7</c:v>
                </c:pt>
                <c:pt idx="60">
                  <c:v>197.9</c:v>
                </c:pt>
                <c:pt idx="61">
                  <c:v>201.1</c:v>
                </c:pt>
                <c:pt idx="62">
                  <c:v>191.6</c:v>
                </c:pt>
                <c:pt idx="63">
                  <c:v>187.5</c:v>
                </c:pt>
                <c:pt idx="64">
                  <c:v>185.7</c:v>
                </c:pt>
                <c:pt idx="65">
                  <c:v>182.8</c:v>
                </c:pt>
                <c:pt idx="66">
                  <c:v>178.5</c:v>
                </c:pt>
                <c:pt idx="67">
                  <c:v>177.6</c:v>
                </c:pt>
                <c:pt idx="68">
                  <c:v>175.1</c:v>
                </c:pt>
                <c:pt idx="69">
                  <c:v>166.4</c:v>
                </c:pt>
                <c:pt idx="70">
                  <c:v>166.3</c:v>
                </c:pt>
                <c:pt idx="71">
                  <c:v>164.5</c:v>
                </c:pt>
                <c:pt idx="72">
                  <c:v>157.9</c:v>
                </c:pt>
                <c:pt idx="73">
                  <c:v>159.5</c:v>
                </c:pt>
                <c:pt idx="74">
                  <c:v>157.5</c:v>
                </c:pt>
                <c:pt idx="75">
                  <c:v>152</c:v>
                </c:pt>
                <c:pt idx="76">
                  <c:v>148.4</c:v>
                </c:pt>
                <c:pt idx="77">
                  <c:v>151.5</c:v>
                </c:pt>
                <c:pt idx="78">
                  <c:v>139.22999999999999</c:v>
                </c:pt>
                <c:pt idx="79">
                  <c:v>125.49</c:v>
                </c:pt>
                <c:pt idx="80">
                  <c:v>110.66</c:v>
                </c:pt>
                <c:pt idx="81">
                  <c:v>102.33</c:v>
                </c:pt>
                <c:pt idx="82">
                  <c:v>94.96</c:v>
                </c:pt>
                <c:pt idx="83">
                  <c:v>88.33</c:v>
                </c:pt>
                <c:pt idx="84">
                  <c:v>83.26</c:v>
                </c:pt>
                <c:pt idx="85">
                  <c:v>79.680000000000007</c:v>
                </c:pt>
                <c:pt idx="86">
                  <c:v>75.64</c:v>
                </c:pt>
                <c:pt idx="87">
                  <c:v>74.19</c:v>
                </c:pt>
                <c:pt idx="88">
                  <c:v>71.03</c:v>
                </c:pt>
                <c:pt idx="89">
                  <c:v>67.75</c:v>
                </c:pt>
                <c:pt idx="90">
                  <c:v>65.17</c:v>
                </c:pt>
                <c:pt idx="91">
                  <c:v>63.78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Data2'!$G$19:$CT$19</c:f>
              <c:numCache>
                <c:formatCode>General</c:formatCode>
                <c:ptCount val="92"/>
                <c:pt idx="0">
                  <c:v>493</c:v>
                </c:pt>
                <c:pt idx="1">
                  <c:v>508</c:v>
                </c:pt>
                <c:pt idx="2">
                  <c:v>488</c:v>
                </c:pt>
                <c:pt idx="3">
                  <c:v>478</c:v>
                </c:pt>
                <c:pt idx="4">
                  <c:v>498</c:v>
                </c:pt>
                <c:pt idx="5">
                  <c:v>456</c:v>
                </c:pt>
                <c:pt idx="6">
                  <c:v>451</c:v>
                </c:pt>
                <c:pt idx="7">
                  <c:v>478</c:v>
                </c:pt>
                <c:pt idx="8">
                  <c:v>473</c:v>
                </c:pt>
                <c:pt idx="9">
                  <c:v>449</c:v>
                </c:pt>
                <c:pt idx="10">
                  <c:v>461</c:v>
                </c:pt>
                <c:pt idx="11">
                  <c:v>473</c:v>
                </c:pt>
                <c:pt idx="12">
                  <c:v>469</c:v>
                </c:pt>
                <c:pt idx="13">
                  <c:v>460</c:v>
                </c:pt>
                <c:pt idx="14">
                  <c:v>442</c:v>
                </c:pt>
                <c:pt idx="15">
                  <c:v>422</c:v>
                </c:pt>
                <c:pt idx="16">
                  <c:v>444</c:v>
                </c:pt>
                <c:pt idx="17">
                  <c:v>412</c:v>
                </c:pt>
                <c:pt idx="18">
                  <c:v>419</c:v>
                </c:pt>
                <c:pt idx="19">
                  <c:v>446</c:v>
                </c:pt>
                <c:pt idx="20">
                  <c:v>419.7</c:v>
                </c:pt>
                <c:pt idx="21">
                  <c:v>417.5</c:v>
                </c:pt>
                <c:pt idx="22">
                  <c:v>373.7</c:v>
                </c:pt>
                <c:pt idx="23">
                  <c:v>357.1</c:v>
                </c:pt>
                <c:pt idx="24">
                  <c:v>340.5</c:v>
                </c:pt>
                <c:pt idx="25">
                  <c:v>321.60000000000002</c:v>
                </c:pt>
                <c:pt idx="26">
                  <c:v>318</c:v>
                </c:pt>
                <c:pt idx="27">
                  <c:v>298.89999999999998</c:v>
                </c:pt>
                <c:pt idx="28">
                  <c:v>283.39999999999998</c:v>
                </c:pt>
                <c:pt idx="29">
                  <c:v>272</c:v>
                </c:pt>
                <c:pt idx="30">
                  <c:v>266.2</c:v>
                </c:pt>
                <c:pt idx="31">
                  <c:v>253.9</c:v>
                </c:pt>
                <c:pt idx="32">
                  <c:v>241</c:v>
                </c:pt>
                <c:pt idx="33">
                  <c:v>234.8</c:v>
                </c:pt>
                <c:pt idx="34">
                  <c:v>224.8</c:v>
                </c:pt>
                <c:pt idx="35">
                  <c:v>220.8</c:v>
                </c:pt>
                <c:pt idx="36">
                  <c:v>215.7</c:v>
                </c:pt>
                <c:pt idx="37">
                  <c:v>207.9</c:v>
                </c:pt>
                <c:pt idx="38">
                  <c:v>197.9</c:v>
                </c:pt>
                <c:pt idx="39">
                  <c:v>195.4</c:v>
                </c:pt>
                <c:pt idx="40">
                  <c:v>188.2</c:v>
                </c:pt>
                <c:pt idx="41">
                  <c:v>183.1</c:v>
                </c:pt>
                <c:pt idx="42">
                  <c:v>183.9</c:v>
                </c:pt>
                <c:pt idx="43">
                  <c:v>178</c:v>
                </c:pt>
                <c:pt idx="44">
                  <c:v>166.1</c:v>
                </c:pt>
                <c:pt idx="45">
                  <c:v>165.4</c:v>
                </c:pt>
                <c:pt idx="46">
                  <c:v>161.69999999999999</c:v>
                </c:pt>
                <c:pt idx="47">
                  <c:v>161.69999999999999</c:v>
                </c:pt>
                <c:pt idx="48">
                  <c:v>157.69999999999999</c:v>
                </c:pt>
                <c:pt idx="49">
                  <c:v>150.9</c:v>
                </c:pt>
                <c:pt idx="50">
                  <c:v>149</c:v>
                </c:pt>
                <c:pt idx="51">
                  <c:v>147.5</c:v>
                </c:pt>
                <c:pt idx="52">
                  <c:v>139.1</c:v>
                </c:pt>
                <c:pt idx="53">
                  <c:v>139.80000000000001</c:v>
                </c:pt>
                <c:pt idx="54">
                  <c:v>136.6</c:v>
                </c:pt>
                <c:pt idx="55">
                  <c:v>131</c:v>
                </c:pt>
                <c:pt idx="56">
                  <c:v>131.9</c:v>
                </c:pt>
                <c:pt idx="57">
                  <c:v>132.69999999999999</c:v>
                </c:pt>
                <c:pt idx="58">
                  <c:v>123.1</c:v>
                </c:pt>
                <c:pt idx="59">
                  <c:v>124.7</c:v>
                </c:pt>
                <c:pt idx="60">
                  <c:v>125.6</c:v>
                </c:pt>
                <c:pt idx="61">
                  <c:v>120</c:v>
                </c:pt>
                <c:pt idx="62">
                  <c:v>120.8</c:v>
                </c:pt>
                <c:pt idx="63">
                  <c:v>119.7</c:v>
                </c:pt>
                <c:pt idx="64">
                  <c:v>119.4</c:v>
                </c:pt>
                <c:pt idx="65">
                  <c:v>115.1</c:v>
                </c:pt>
                <c:pt idx="66">
                  <c:v>111.7</c:v>
                </c:pt>
                <c:pt idx="67">
                  <c:v>112.4</c:v>
                </c:pt>
                <c:pt idx="68">
                  <c:v>112.9</c:v>
                </c:pt>
                <c:pt idx="69">
                  <c:v>107.1</c:v>
                </c:pt>
                <c:pt idx="70">
                  <c:v>106.2</c:v>
                </c:pt>
                <c:pt idx="71">
                  <c:v>103.4</c:v>
                </c:pt>
                <c:pt idx="72">
                  <c:v>99.7</c:v>
                </c:pt>
                <c:pt idx="73">
                  <c:v>104.8</c:v>
                </c:pt>
                <c:pt idx="74">
                  <c:v>101.9</c:v>
                </c:pt>
                <c:pt idx="75">
                  <c:v>98.8</c:v>
                </c:pt>
                <c:pt idx="76">
                  <c:v>96.2</c:v>
                </c:pt>
                <c:pt idx="77">
                  <c:v>99.3</c:v>
                </c:pt>
                <c:pt idx="78">
                  <c:v>92.44</c:v>
                </c:pt>
                <c:pt idx="79">
                  <c:v>85.02</c:v>
                </c:pt>
                <c:pt idx="80">
                  <c:v>79.290000000000006</c:v>
                </c:pt>
                <c:pt idx="81">
                  <c:v>73.88</c:v>
                </c:pt>
                <c:pt idx="82">
                  <c:v>69.56</c:v>
                </c:pt>
                <c:pt idx="83">
                  <c:v>66.3</c:v>
                </c:pt>
                <c:pt idx="84">
                  <c:v>64.42</c:v>
                </c:pt>
                <c:pt idx="85">
                  <c:v>62.06</c:v>
                </c:pt>
                <c:pt idx="86">
                  <c:v>61.22</c:v>
                </c:pt>
                <c:pt idx="87">
                  <c:v>57.81</c:v>
                </c:pt>
                <c:pt idx="88">
                  <c:v>56.13</c:v>
                </c:pt>
                <c:pt idx="89">
                  <c:v>57.82</c:v>
                </c:pt>
                <c:pt idx="90">
                  <c:v>53.52</c:v>
                </c:pt>
                <c:pt idx="91">
                  <c:v>52.33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Data2'!$G$20:$CT$20</c:f>
              <c:numCache>
                <c:formatCode>General</c:formatCode>
                <c:ptCount val="92"/>
                <c:pt idx="0">
                  <c:v>1700</c:v>
                </c:pt>
                <c:pt idx="1">
                  <c:v>1656</c:v>
                </c:pt>
                <c:pt idx="2">
                  <c:v>1659</c:v>
                </c:pt>
                <c:pt idx="3">
                  <c:v>1591</c:v>
                </c:pt>
                <c:pt idx="4">
                  <c:v>1679</c:v>
                </c:pt>
                <c:pt idx="5">
                  <c:v>1603</c:v>
                </c:pt>
                <c:pt idx="6">
                  <c:v>1578</c:v>
                </c:pt>
                <c:pt idx="7">
                  <c:v>1570</c:v>
                </c:pt>
                <c:pt idx="8">
                  <c:v>1563</c:v>
                </c:pt>
                <c:pt idx="9">
                  <c:v>1540</c:v>
                </c:pt>
                <c:pt idx="10">
                  <c:v>1559</c:v>
                </c:pt>
                <c:pt idx="11">
                  <c:v>1502</c:v>
                </c:pt>
                <c:pt idx="12">
                  <c:v>1496</c:v>
                </c:pt>
                <c:pt idx="13">
                  <c:v>1471</c:v>
                </c:pt>
                <c:pt idx="14">
                  <c:v>1468</c:v>
                </c:pt>
                <c:pt idx="15">
                  <c:v>1470</c:v>
                </c:pt>
                <c:pt idx="16">
                  <c:v>1432</c:v>
                </c:pt>
                <c:pt idx="17">
                  <c:v>1476</c:v>
                </c:pt>
                <c:pt idx="18">
                  <c:v>1421</c:v>
                </c:pt>
                <c:pt idx="19">
                  <c:v>1378</c:v>
                </c:pt>
                <c:pt idx="20">
                  <c:v>1360.3</c:v>
                </c:pt>
                <c:pt idx="21">
                  <c:v>1289.5999999999999</c:v>
                </c:pt>
                <c:pt idx="22">
                  <c:v>1209.8</c:v>
                </c:pt>
                <c:pt idx="23">
                  <c:v>1128.5</c:v>
                </c:pt>
                <c:pt idx="24">
                  <c:v>1053.5999999999999</c:v>
                </c:pt>
                <c:pt idx="25">
                  <c:v>1024.9000000000001</c:v>
                </c:pt>
                <c:pt idx="26">
                  <c:v>960.2</c:v>
                </c:pt>
                <c:pt idx="27">
                  <c:v>908.2</c:v>
                </c:pt>
                <c:pt idx="28">
                  <c:v>860.2</c:v>
                </c:pt>
                <c:pt idx="29">
                  <c:v>830.5</c:v>
                </c:pt>
                <c:pt idx="30">
                  <c:v>786.9</c:v>
                </c:pt>
                <c:pt idx="31">
                  <c:v>746.9</c:v>
                </c:pt>
                <c:pt idx="32">
                  <c:v>725.6</c:v>
                </c:pt>
                <c:pt idx="33">
                  <c:v>679.5</c:v>
                </c:pt>
                <c:pt idx="34">
                  <c:v>655.7</c:v>
                </c:pt>
                <c:pt idx="35">
                  <c:v>621.1</c:v>
                </c:pt>
                <c:pt idx="36">
                  <c:v>608.4</c:v>
                </c:pt>
                <c:pt idx="37">
                  <c:v>586.5</c:v>
                </c:pt>
                <c:pt idx="38">
                  <c:v>562.29999999999995</c:v>
                </c:pt>
                <c:pt idx="39">
                  <c:v>531.79999999999995</c:v>
                </c:pt>
                <c:pt idx="40">
                  <c:v>521.1</c:v>
                </c:pt>
                <c:pt idx="41">
                  <c:v>513.20000000000005</c:v>
                </c:pt>
                <c:pt idx="42">
                  <c:v>477.6</c:v>
                </c:pt>
                <c:pt idx="43">
                  <c:v>478.7</c:v>
                </c:pt>
                <c:pt idx="44">
                  <c:v>451</c:v>
                </c:pt>
                <c:pt idx="45">
                  <c:v>438.3</c:v>
                </c:pt>
                <c:pt idx="46">
                  <c:v>421.9</c:v>
                </c:pt>
                <c:pt idx="47">
                  <c:v>414.9</c:v>
                </c:pt>
                <c:pt idx="48">
                  <c:v>403.2</c:v>
                </c:pt>
                <c:pt idx="49">
                  <c:v>393.5</c:v>
                </c:pt>
                <c:pt idx="50">
                  <c:v>376</c:v>
                </c:pt>
                <c:pt idx="51">
                  <c:v>361.1</c:v>
                </c:pt>
                <c:pt idx="52">
                  <c:v>359.5</c:v>
                </c:pt>
                <c:pt idx="53">
                  <c:v>349.4</c:v>
                </c:pt>
                <c:pt idx="54">
                  <c:v>334.9</c:v>
                </c:pt>
                <c:pt idx="55">
                  <c:v>329.9</c:v>
                </c:pt>
                <c:pt idx="56">
                  <c:v>321.10000000000002</c:v>
                </c:pt>
                <c:pt idx="57">
                  <c:v>319.3</c:v>
                </c:pt>
                <c:pt idx="58">
                  <c:v>308.3</c:v>
                </c:pt>
                <c:pt idx="59">
                  <c:v>296.39999999999998</c:v>
                </c:pt>
                <c:pt idx="60">
                  <c:v>297.7</c:v>
                </c:pt>
                <c:pt idx="61">
                  <c:v>282.2</c:v>
                </c:pt>
                <c:pt idx="62">
                  <c:v>276.7</c:v>
                </c:pt>
                <c:pt idx="63">
                  <c:v>276.5</c:v>
                </c:pt>
                <c:pt idx="64">
                  <c:v>271.10000000000002</c:v>
                </c:pt>
                <c:pt idx="65">
                  <c:v>265.10000000000002</c:v>
                </c:pt>
                <c:pt idx="66">
                  <c:v>259.2</c:v>
                </c:pt>
                <c:pt idx="67">
                  <c:v>252.4</c:v>
                </c:pt>
                <c:pt idx="68">
                  <c:v>239.2</c:v>
                </c:pt>
                <c:pt idx="69">
                  <c:v>240.4</c:v>
                </c:pt>
                <c:pt idx="70">
                  <c:v>233.1</c:v>
                </c:pt>
                <c:pt idx="71">
                  <c:v>232.7</c:v>
                </c:pt>
                <c:pt idx="72">
                  <c:v>231.3</c:v>
                </c:pt>
                <c:pt idx="73">
                  <c:v>220.3</c:v>
                </c:pt>
                <c:pt idx="74">
                  <c:v>219</c:v>
                </c:pt>
                <c:pt idx="75">
                  <c:v>217.1</c:v>
                </c:pt>
                <c:pt idx="76">
                  <c:v>206.3</c:v>
                </c:pt>
                <c:pt idx="77">
                  <c:v>209.2</c:v>
                </c:pt>
                <c:pt idx="78">
                  <c:v>189.51</c:v>
                </c:pt>
                <c:pt idx="79">
                  <c:v>164.28</c:v>
                </c:pt>
                <c:pt idx="80">
                  <c:v>144.85</c:v>
                </c:pt>
                <c:pt idx="81">
                  <c:v>130.61000000000001</c:v>
                </c:pt>
                <c:pt idx="82">
                  <c:v>120.21</c:v>
                </c:pt>
                <c:pt idx="83">
                  <c:v>109.55</c:v>
                </c:pt>
                <c:pt idx="84">
                  <c:v>102.14</c:v>
                </c:pt>
                <c:pt idx="85">
                  <c:v>95.89</c:v>
                </c:pt>
                <c:pt idx="86">
                  <c:v>90.41</c:v>
                </c:pt>
                <c:pt idx="87">
                  <c:v>84.44</c:v>
                </c:pt>
                <c:pt idx="88">
                  <c:v>81.44</c:v>
                </c:pt>
                <c:pt idx="89">
                  <c:v>76.959999999999994</c:v>
                </c:pt>
                <c:pt idx="90">
                  <c:v>74.430000000000007</c:v>
                </c:pt>
                <c:pt idx="91">
                  <c:v>71.34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Data2'!$G$21:$CT$21</c:f>
              <c:numCache>
                <c:formatCode>General</c:formatCode>
                <c:ptCount val="92"/>
                <c:pt idx="0">
                  <c:v>486</c:v>
                </c:pt>
                <c:pt idx="1">
                  <c:v>492</c:v>
                </c:pt>
                <c:pt idx="2">
                  <c:v>503</c:v>
                </c:pt>
                <c:pt idx="3">
                  <c:v>458</c:v>
                </c:pt>
                <c:pt idx="4">
                  <c:v>454</c:v>
                </c:pt>
                <c:pt idx="5">
                  <c:v>454</c:v>
                </c:pt>
                <c:pt idx="6">
                  <c:v>456</c:v>
                </c:pt>
                <c:pt idx="7">
                  <c:v>440</c:v>
                </c:pt>
                <c:pt idx="8">
                  <c:v>437</c:v>
                </c:pt>
                <c:pt idx="9">
                  <c:v>457</c:v>
                </c:pt>
                <c:pt idx="10">
                  <c:v>472</c:v>
                </c:pt>
                <c:pt idx="11">
                  <c:v>423</c:v>
                </c:pt>
                <c:pt idx="12">
                  <c:v>431</c:v>
                </c:pt>
                <c:pt idx="13">
                  <c:v>442</c:v>
                </c:pt>
                <c:pt idx="14">
                  <c:v>464</c:v>
                </c:pt>
                <c:pt idx="15">
                  <c:v>423</c:v>
                </c:pt>
                <c:pt idx="16">
                  <c:v>427</c:v>
                </c:pt>
                <c:pt idx="17">
                  <c:v>440</c:v>
                </c:pt>
                <c:pt idx="18">
                  <c:v>457</c:v>
                </c:pt>
                <c:pt idx="19">
                  <c:v>416</c:v>
                </c:pt>
                <c:pt idx="20">
                  <c:v>408</c:v>
                </c:pt>
                <c:pt idx="21">
                  <c:v>384.3</c:v>
                </c:pt>
                <c:pt idx="22">
                  <c:v>367.7</c:v>
                </c:pt>
                <c:pt idx="23">
                  <c:v>351.4</c:v>
                </c:pt>
                <c:pt idx="24">
                  <c:v>331.2</c:v>
                </c:pt>
                <c:pt idx="25">
                  <c:v>320.5</c:v>
                </c:pt>
                <c:pt idx="26">
                  <c:v>308.60000000000002</c:v>
                </c:pt>
                <c:pt idx="27">
                  <c:v>286.7</c:v>
                </c:pt>
                <c:pt idx="28">
                  <c:v>283.39999999999998</c:v>
                </c:pt>
                <c:pt idx="29">
                  <c:v>265</c:v>
                </c:pt>
                <c:pt idx="30">
                  <c:v>256.8</c:v>
                </c:pt>
                <c:pt idx="31">
                  <c:v>244.4</c:v>
                </c:pt>
                <c:pt idx="32">
                  <c:v>243.9</c:v>
                </c:pt>
                <c:pt idx="33">
                  <c:v>228.6</c:v>
                </c:pt>
                <c:pt idx="34">
                  <c:v>228.1</c:v>
                </c:pt>
                <c:pt idx="35">
                  <c:v>213</c:v>
                </c:pt>
                <c:pt idx="36">
                  <c:v>210.6</c:v>
                </c:pt>
                <c:pt idx="37">
                  <c:v>200</c:v>
                </c:pt>
                <c:pt idx="38">
                  <c:v>197.3</c:v>
                </c:pt>
                <c:pt idx="39">
                  <c:v>195.6</c:v>
                </c:pt>
                <c:pt idx="40">
                  <c:v>187.9</c:v>
                </c:pt>
                <c:pt idx="41">
                  <c:v>188.3</c:v>
                </c:pt>
                <c:pt idx="42">
                  <c:v>177.4</c:v>
                </c:pt>
                <c:pt idx="43">
                  <c:v>173.6</c:v>
                </c:pt>
                <c:pt idx="44">
                  <c:v>174</c:v>
                </c:pt>
                <c:pt idx="45">
                  <c:v>165.4</c:v>
                </c:pt>
                <c:pt idx="46">
                  <c:v>163.9</c:v>
                </c:pt>
                <c:pt idx="47">
                  <c:v>158.6</c:v>
                </c:pt>
                <c:pt idx="48">
                  <c:v>162.30000000000001</c:v>
                </c:pt>
                <c:pt idx="49">
                  <c:v>156.69999999999999</c:v>
                </c:pt>
                <c:pt idx="50">
                  <c:v>142.19999999999999</c:v>
                </c:pt>
                <c:pt idx="51">
                  <c:v>144.80000000000001</c:v>
                </c:pt>
                <c:pt idx="52">
                  <c:v>138.30000000000001</c:v>
                </c:pt>
                <c:pt idx="53">
                  <c:v>138.6</c:v>
                </c:pt>
                <c:pt idx="54">
                  <c:v>131.30000000000001</c:v>
                </c:pt>
                <c:pt idx="55">
                  <c:v>133.9</c:v>
                </c:pt>
                <c:pt idx="56">
                  <c:v>125.4</c:v>
                </c:pt>
                <c:pt idx="57">
                  <c:v>130.5</c:v>
                </c:pt>
                <c:pt idx="58">
                  <c:v>129.4</c:v>
                </c:pt>
                <c:pt idx="59">
                  <c:v>127.3</c:v>
                </c:pt>
                <c:pt idx="60">
                  <c:v>128.69999999999999</c:v>
                </c:pt>
                <c:pt idx="61">
                  <c:v>117.7</c:v>
                </c:pt>
                <c:pt idx="62">
                  <c:v>120</c:v>
                </c:pt>
                <c:pt idx="63">
                  <c:v>116.8</c:v>
                </c:pt>
                <c:pt idx="64">
                  <c:v>117.1</c:v>
                </c:pt>
                <c:pt idx="65">
                  <c:v>108.7</c:v>
                </c:pt>
                <c:pt idx="66">
                  <c:v>110.8</c:v>
                </c:pt>
                <c:pt idx="67">
                  <c:v>111.4</c:v>
                </c:pt>
                <c:pt idx="68">
                  <c:v>112.2</c:v>
                </c:pt>
                <c:pt idx="69">
                  <c:v>106.6</c:v>
                </c:pt>
                <c:pt idx="70">
                  <c:v>106.3</c:v>
                </c:pt>
                <c:pt idx="71">
                  <c:v>107.5</c:v>
                </c:pt>
                <c:pt idx="72">
                  <c:v>107.8</c:v>
                </c:pt>
                <c:pt idx="73">
                  <c:v>102</c:v>
                </c:pt>
                <c:pt idx="74">
                  <c:v>100.1</c:v>
                </c:pt>
                <c:pt idx="75">
                  <c:v>99</c:v>
                </c:pt>
                <c:pt idx="76">
                  <c:v>103.4</c:v>
                </c:pt>
                <c:pt idx="77">
                  <c:v>99.5</c:v>
                </c:pt>
                <c:pt idx="78">
                  <c:v>92.53</c:v>
                </c:pt>
                <c:pt idx="79">
                  <c:v>84.42</c:v>
                </c:pt>
                <c:pt idx="80">
                  <c:v>77.14</c:v>
                </c:pt>
                <c:pt idx="81">
                  <c:v>74.17</c:v>
                </c:pt>
                <c:pt idx="82">
                  <c:v>70.48</c:v>
                </c:pt>
                <c:pt idx="83">
                  <c:v>66.62</c:v>
                </c:pt>
                <c:pt idx="84">
                  <c:v>64.73</c:v>
                </c:pt>
                <c:pt idx="85">
                  <c:v>61.14</c:v>
                </c:pt>
                <c:pt idx="86">
                  <c:v>59.95</c:v>
                </c:pt>
                <c:pt idx="87">
                  <c:v>57.46</c:v>
                </c:pt>
                <c:pt idx="88">
                  <c:v>55.78</c:v>
                </c:pt>
                <c:pt idx="89">
                  <c:v>54.84</c:v>
                </c:pt>
                <c:pt idx="90">
                  <c:v>53.07</c:v>
                </c:pt>
                <c:pt idx="91">
                  <c:v>51.93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Data2'!$G$22:$CT$22</c:f>
              <c:numCache>
                <c:formatCode>General</c:formatCode>
                <c:ptCount val="92"/>
                <c:pt idx="0">
                  <c:v>2157</c:v>
                </c:pt>
                <c:pt idx="1">
                  <c:v>2223</c:v>
                </c:pt>
                <c:pt idx="2">
                  <c:v>2191</c:v>
                </c:pt>
                <c:pt idx="3">
                  <c:v>2170</c:v>
                </c:pt>
                <c:pt idx="4">
                  <c:v>2094</c:v>
                </c:pt>
                <c:pt idx="5">
                  <c:v>2140</c:v>
                </c:pt>
                <c:pt idx="6">
                  <c:v>2015</c:v>
                </c:pt>
                <c:pt idx="7">
                  <c:v>2046</c:v>
                </c:pt>
                <c:pt idx="8">
                  <c:v>2022</c:v>
                </c:pt>
                <c:pt idx="9">
                  <c:v>2007</c:v>
                </c:pt>
                <c:pt idx="10">
                  <c:v>1965</c:v>
                </c:pt>
                <c:pt idx="11">
                  <c:v>1960</c:v>
                </c:pt>
                <c:pt idx="12">
                  <c:v>1975</c:v>
                </c:pt>
                <c:pt idx="13">
                  <c:v>1896</c:v>
                </c:pt>
                <c:pt idx="14">
                  <c:v>1940</c:v>
                </c:pt>
                <c:pt idx="15">
                  <c:v>1911</c:v>
                </c:pt>
                <c:pt idx="16">
                  <c:v>1917</c:v>
                </c:pt>
                <c:pt idx="17">
                  <c:v>1947</c:v>
                </c:pt>
                <c:pt idx="18">
                  <c:v>1888</c:v>
                </c:pt>
                <c:pt idx="19">
                  <c:v>1879</c:v>
                </c:pt>
                <c:pt idx="20">
                  <c:v>1768.8</c:v>
                </c:pt>
                <c:pt idx="21">
                  <c:v>1659.4</c:v>
                </c:pt>
                <c:pt idx="22">
                  <c:v>1554.5</c:v>
                </c:pt>
                <c:pt idx="23">
                  <c:v>1461</c:v>
                </c:pt>
                <c:pt idx="24">
                  <c:v>1388</c:v>
                </c:pt>
                <c:pt idx="25">
                  <c:v>1301.3</c:v>
                </c:pt>
                <c:pt idx="26">
                  <c:v>1233</c:v>
                </c:pt>
                <c:pt idx="27">
                  <c:v>1180.5999999999999</c:v>
                </c:pt>
                <c:pt idx="28">
                  <c:v>1117.9000000000001</c:v>
                </c:pt>
                <c:pt idx="29">
                  <c:v>1066.5</c:v>
                </c:pt>
                <c:pt idx="30">
                  <c:v>1005.2</c:v>
                </c:pt>
                <c:pt idx="31">
                  <c:v>974.2</c:v>
                </c:pt>
                <c:pt idx="32">
                  <c:v>909.7</c:v>
                </c:pt>
                <c:pt idx="33">
                  <c:v>878.3</c:v>
                </c:pt>
                <c:pt idx="34">
                  <c:v>843.9</c:v>
                </c:pt>
                <c:pt idx="35">
                  <c:v>814.6</c:v>
                </c:pt>
                <c:pt idx="36">
                  <c:v>782.7</c:v>
                </c:pt>
                <c:pt idx="37">
                  <c:v>751.6</c:v>
                </c:pt>
                <c:pt idx="38">
                  <c:v>712.5</c:v>
                </c:pt>
                <c:pt idx="39">
                  <c:v>673.5</c:v>
                </c:pt>
                <c:pt idx="40">
                  <c:v>661.8</c:v>
                </c:pt>
                <c:pt idx="41">
                  <c:v>635.4</c:v>
                </c:pt>
                <c:pt idx="42">
                  <c:v>621.1</c:v>
                </c:pt>
                <c:pt idx="43">
                  <c:v>602.29999999999995</c:v>
                </c:pt>
                <c:pt idx="44">
                  <c:v>567</c:v>
                </c:pt>
                <c:pt idx="45">
                  <c:v>561.6</c:v>
                </c:pt>
                <c:pt idx="46">
                  <c:v>536</c:v>
                </c:pt>
                <c:pt idx="47">
                  <c:v>522</c:v>
                </c:pt>
                <c:pt idx="48">
                  <c:v>500.1</c:v>
                </c:pt>
                <c:pt idx="49">
                  <c:v>461.1</c:v>
                </c:pt>
                <c:pt idx="50">
                  <c:v>474.4</c:v>
                </c:pt>
                <c:pt idx="51">
                  <c:v>472.6</c:v>
                </c:pt>
                <c:pt idx="52">
                  <c:v>446.1</c:v>
                </c:pt>
                <c:pt idx="53">
                  <c:v>435</c:v>
                </c:pt>
                <c:pt idx="54">
                  <c:v>423.1</c:v>
                </c:pt>
                <c:pt idx="55">
                  <c:v>415.9</c:v>
                </c:pt>
                <c:pt idx="56">
                  <c:v>399.3</c:v>
                </c:pt>
                <c:pt idx="57">
                  <c:v>397.6</c:v>
                </c:pt>
                <c:pt idx="58">
                  <c:v>381.9</c:v>
                </c:pt>
                <c:pt idx="59">
                  <c:v>368.4</c:v>
                </c:pt>
                <c:pt idx="60">
                  <c:v>361.7</c:v>
                </c:pt>
                <c:pt idx="61">
                  <c:v>363.5</c:v>
                </c:pt>
                <c:pt idx="62">
                  <c:v>347.8</c:v>
                </c:pt>
                <c:pt idx="63">
                  <c:v>344.4</c:v>
                </c:pt>
                <c:pt idx="64">
                  <c:v>331.7</c:v>
                </c:pt>
                <c:pt idx="65">
                  <c:v>328.4</c:v>
                </c:pt>
                <c:pt idx="66">
                  <c:v>317.5</c:v>
                </c:pt>
                <c:pt idx="67">
                  <c:v>313.89999999999998</c:v>
                </c:pt>
                <c:pt idx="68">
                  <c:v>309.7</c:v>
                </c:pt>
                <c:pt idx="69">
                  <c:v>297.3</c:v>
                </c:pt>
                <c:pt idx="70">
                  <c:v>293.39999999999998</c:v>
                </c:pt>
                <c:pt idx="71">
                  <c:v>273.5</c:v>
                </c:pt>
                <c:pt idx="72">
                  <c:v>280.10000000000002</c:v>
                </c:pt>
                <c:pt idx="73">
                  <c:v>268.8</c:v>
                </c:pt>
                <c:pt idx="74">
                  <c:v>272.7</c:v>
                </c:pt>
                <c:pt idx="75">
                  <c:v>259.5</c:v>
                </c:pt>
                <c:pt idx="76">
                  <c:v>262.8</c:v>
                </c:pt>
                <c:pt idx="77">
                  <c:v>256.8</c:v>
                </c:pt>
                <c:pt idx="78">
                  <c:v>232.59</c:v>
                </c:pt>
                <c:pt idx="79">
                  <c:v>199.42</c:v>
                </c:pt>
                <c:pt idx="80">
                  <c:v>176.83</c:v>
                </c:pt>
                <c:pt idx="81">
                  <c:v>155.75</c:v>
                </c:pt>
                <c:pt idx="82">
                  <c:v>141.49</c:v>
                </c:pt>
                <c:pt idx="83">
                  <c:v>129.72</c:v>
                </c:pt>
                <c:pt idx="84">
                  <c:v>118.74</c:v>
                </c:pt>
                <c:pt idx="85">
                  <c:v>112.71</c:v>
                </c:pt>
                <c:pt idx="86">
                  <c:v>105.56</c:v>
                </c:pt>
                <c:pt idx="87">
                  <c:v>97.67</c:v>
                </c:pt>
                <c:pt idx="88">
                  <c:v>93.43</c:v>
                </c:pt>
                <c:pt idx="89">
                  <c:v>88.63</c:v>
                </c:pt>
                <c:pt idx="90">
                  <c:v>83.81</c:v>
                </c:pt>
                <c:pt idx="91">
                  <c:v>81.5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Data2'!$G$23:$CT$23</c:f>
              <c:numCache>
                <c:formatCode>General</c:formatCode>
                <c:ptCount val="92"/>
                <c:pt idx="0">
                  <c:v>489</c:v>
                </c:pt>
                <c:pt idx="1">
                  <c:v>514</c:v>
                </c:pt>
                <c:pt idx="2">
                  <c:v>505</c:v>
                </c:pt>
                <c:pt idx="3">
                  <c:v>475</c:v>
                </c:pt>
                <c:pt idx="4">
                  <c:v>508</c:v>
                </c:pt>
                <c:pt idx="5">
                  <c:v>488</c:v>
                </c:pt>
                <c:pt idx="6">
                  <c:v>481</c:v>
                </c:pt>
                <c:pt idx="7">
                  <c:v>460</c:v>
                </c:pt>
                <c:pt idx="8">
                  <c:v>467</c:v>
                </c:pt>
                <c:pt idx="9">
                  <c:v>444</c:v>
                </c:pt>
                <c:pt idx="10">
                  <c:v>483</c:v>
                </c:pt>
                <c:pt idx="11">
                  <c:v>460</c:v>
                </c:pt>
                <c:pt idx="12">
                  <c:v>441</c:v>
                </c:pt>
                <c:pt idx="13">
                  <c:v>442</c:v>
                </c:pt>
                <c:pt idx="14">
                  <c:v>434</c:v>
                </c:pt>
                <c:pt idx="15">
                  <c:v>457</c:v>
                </c:pt>
                <c:pt idx="16">
                  <c:v>432</c:v>
                </c:pt>
                <c:pt idx="17">
                  <c:v>421</c:v>
                </c:pt>
                <c:pt idx="18">
                  <c:v>436</c:v>
                </c:pt>
                <c:pt idx="19">
                  <c:v>427</c:v>
                </c:pt>
                <c:pt idx="20">
                  <c:v>421.4</c:v>
                </c:pt>
                <c:pt idx="21">
                  <c:v>406</c:v>
                </c:pt>
                <c:pt idx="22">
                  <c:v>381.9</c:v>
                </c:pt>
                <c:pt idx="23">
                  <c:v>356.1</c:v>
                </c:pt>
                <c:pt idx="24">
                  <c:v>340.1</c:v>
                </c:pt>
                <c:pt idx="25">
                  <c:v>326.3</c:v>
                </c:pt>
                <c:pt idx="26">
                  <c:v>315.8</c:v>
                </c:pt>
                <c:pt idx="27">
                  <c:v>304.39999999999998</c:v>
                </c:pt>
                <c:pt idx="28">
                  <c:v>289.39999999999998</c:v>
                </c:pt>
                <c:pt idx="29">
                  <c:v>280.89999999999998</c:v>
                </c:pt>
                <c:pt idx="30">
                  <c:v>268.89999999999998</c:v>
                </c:pt>
                <c:pt idx="31">
                  <c:v>255.1</c:v>
                </c:pt>
                <c:pt idx="32">
                  <c:v>247.5</c:v>
                </c:pt>
                <c:pt idx="33">
                  <c:v>240.6</c:v>
                </c:pt>
                <c:pt idx="34">
                  <c:v>232.4</c:v>
                </c:pt>
                <c:pt idx="35">
                  <c:v>229.5</c:v>
                </c:pt>
                <c:pt idx="36">
                  <c:v>225</c:v>
                </c:pt>
                <c:pt idx="37">
                  <c:v>212.2</c:v>
                </c:pt>
                <c:pt idx="38">
                  <c:v>203.7</c:v>
                </c:pt>
                <c:pt idx="39">
                  <c:v>193</c:v>
                </c:pt>
                <c:pt idx="40">
                  <c:v>197.3</c:v>
                </c:pt>
                <c:pt idx="41">
                  <c:v>189.3</c:v>
                </c:pt>
                <c:pt idx="42">
                  <c:v>182.2</c:v>
                </c:pt>
                <c:pt idx="43">
                  <c:v>178</c:v>
                </c:pt>
                <c:pt idx="44">
                  <c:v>175.2</c:v>
                </c:pt>
                <c:pt idx="45">
                  <c:v>170.9</c:v>
                </c:pt>
                <c:pt idx="46">
                  <c:v>165.6</c:v>
                </c:pt>
                <c:pt idx="47">
                  <c:v>165.5</c:v>
                </c:pt>
                <c:pt idx="48">
                  <c:v>162.19999999999999</c:v>
                </c:pt>
                <c:pt idx="49">
                  <c:v>158.19999999999999</c:v>
                </c:pt>
                <c:pt idx="50">
                  <c:v>157.69999999999999</c:v>
                </c:pt>
                <c:pt idx="51">
                  <c:v>149</c:v>
                </c:pt>
                <c:pt idx="52">
                  <c:v>146.1</c:v>
                </c:pt>
                <c:pt idx="53">
                  <c:v>146.1</c:v>
                </c:pt>
                <c:pt idx="54">
                  <c:v>146.6</c:v>
                </c:pt>
                <c:pt idx="55">
                  <c:v>144.80000000000001</c:v>
                </c:pt>
                <c:pt idx="56">
                  <c:v>140.1</c:v>
                </c:pt>
                <c:pt idx="57">
                  <c:v>134.9</c:v>
                </c:pt>
                <c:pt idx="58">
                  <c:v>137</c:v>
                </c:pt>
                <c:pt idx="59">
                  <c:v>125.9</c:v>
                </c:pt>
                <c:pt idx="60">
                  <c:v>127.7</c:v>
                </c:pt>
                <c:pt idx="61">
                  <c:v>125.3</c:v>
                </c:pt>
                <c:pt idx="62">
                  <c:v>127.2</c:v>
                </c:pt>
                <c:pt idx="63">
                  <c:v>120.4</c:v>
                </c:pt>
                <c:pt idx="64">
                  <c:v>117.4</c:v>
                </c:pt>
                <c:pt idx="65">
                  <c:v>122.6</c:v>
                </c:pt>
                <c:pt idx="66">
                  <c:v>118.9</c:v>
                </c:pt>
                <c:pt idx="67">
                  <c:v>118.6</c:v>
                </c:pt>
                <c:pt idx="68">
                  <c:v>112.4</c:v>
                </c:pt>
                <c:pt idx="69">
                  <c:v>115.4</c:v>
                </c:pt>
                <c:pt idx="70">
                  <c:v>109.3</c:v>
                </c:pt>
                <c:pt idx="71">
                  <c:v>111.5</c:v>
                </c:pt>
                <c:pt idx="72">
                  <c:v>108.3</c:v>
                </c:pt>
                <c:pt idx="73">
                  <c:v>109.9</c:v>
                </c:pt>
                <c:pt idx="74">
                  <c:v>111.4</c:v>
                </c:pt>
                <c:pt idx="75">
                  <c:v>104.2</c:v>
                </c:pt>
                <c:pt idx="76">
                  <c:v>106</c:v>
                </c:pt>
                <c:pt idx="77">
                  <c:v>100</c:v>
                </c:pt>
                <c:pt idx="78">
                  <c:v>96.73</c:v>
                </c:pt>
                <c:pt idx="79">
                  <c:v>88.93</c:v>
                </c:pt>
                <c:pt idx="80">
                  <c:v>83.55</c:v>
                </c:pt>
                <c:pt idx="81">
                  <c:v>78.66</c:v>
                </c:pt>
                <c:pt idx="82">
                  <c:v>73.7</c:v>
                </c:pt>
                <c:pt idx="83">
                  <c:v>71.14</c:v>
                </c:pt>
                <c:pt idx="84">
                  <c:v>66.08</c:v>
                </c:pt>
                <c:pt idx="85">
                  <c:v>64.900000000000006</c:v>
                </c:pt>
                <c:pt idx="86">
                  <c:v>61.94</c:v>
                </c:pt>
                <c:pt idx="87">
                  <c:v>60.94</c:v>
                </c:pt>
                <c:pt idx="88">
                  <c:v>58.76</c:v>
                </c:pt>
                <c:pt idx="89">
                  <c:v>57</c:v>
                </c:pt>
                <c:pt idx="90">
                  <c:v>54.81</c:v>
                </c:pt>
                <c:pt idx="91">
                  <c:v>54.5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Data2'!$G$24:$CT$24</c:f>
              <c:numCache>
                <c:formatCode>General</c:formatCode>
                <c:ptCount val="92"/>
                <c:pt idx="0">
                  <c:v>31</c:v>
                </c:pt>
                <c:pt idx="1">
                  <c:v>23</c:v>
                </c:pt>
                <c:pt idx="2">
                  <c:v>33</c:v>
                </c:pt>
                <c:pt idx="3">
                  <c:v>26</c:v>
                </c:pt>
                <c:pt idx="4">
                  <c:v>29</c:v>
                </c:pt>
                <c:pt idx="5">
                  <c:v>20</c:v>
                </c:pt>
                <c:pt idx="6">
                  <c:v>41</c:v>
                </c:pt>
                <c:pt idx="7">
                  <c:v>31</c:v>
                </c:pt>
                <c:pt idx="8">
                  <c:v>25</c:v>
                </c:pt>
                <c:pt idx="9">
                  <c:v>20</c:v>
                </c:pt>
                <c:pt idx="10">
                  <c:v>32</c:v>
                </c:pt>
                <c:pt idx="11">
                  <c:v>30</c:v>
                </c:pt>
                <c:pt idx="12">
                  <c:v>34</c:v>
                </c:pt>
                <c:pt idx="13">
                  <c:v>34</c:v>
                </c:pt>
                <c:pt idx="14">
                  <c:v>36</c:v>
                </c:pt>
                <c:pt idx="15">
                  <c:v>27</c:v>
                </c:pt>
                <c:pt idx="16">
                  <c:v>34</c:v>
                </c:pt>
                <c:pt idx="17">
                  <c:v>31</c:v>
                </c:pt>
                <c:pt idx="18">
                  <c:v>33</c:v>
                </c:pt>
                <c:pt idx="19">
                  <c:v>26</c:v>
                </c:pt>
                <c:pt idx="20">
                  <c:v>31.4</c:v>
                </c:pt>
                <c:pt idx="21">
                  <c:v>31.2</c:v>
                </c:pt>
                <c:pt idx="22">
                  <c:v>28.6</c:v>
                </c:pt>
                <c:pt idx="23">
                  <c:v>28.8</c:v>
                </c:pt>
                <c:pt idx="24">
                  <c:v>29.1</c:v>
                </c:pt>
                <c:pt idx="25">
                  <c:v>30</c:v>
                </c:pt>
                <c:pt idx="26">
                  <c:v>29.8</c:v>
                </c:pt>
                <c:pt idx="27">
                  <c:v>32.4</c:v>
                </c:pt>
                <c:pt idx="28">
                  <c:v>27.1</c:v>
                </c:pt>
                <c:pt idx="29">
                  <c:v>29.8</c:v>
                </c:pt>
                <c:pt idx="30">
                  <c:v>28.9</c:v>
                </c:pt>
                <c:pt idx="31">
                  <c:v>29</c:v>
                </c:pt>
                <c:pt idx="32">
                  <c:v>29.6</c:v>
                </c:pt>
                <c:pt idx="33">
                  <c:v>27.7</c:v>
                </c:pt>
                <c:pt idx="34">
                  <c:v>28</c:v>
                </c:pt>
                <c:pt idx="35">
                  <c:v>29.4</c:v>
                </c:pt>
                <c:pt idx="36">
                  <c:v>28.5</c:v>
                </c:pt>
                <c:pt idx="37">
                  <c:v>27.4</c:v>
                </c:pt>
                <c:pt idx="38">
                  <c:v>28.2</c:v>
                </c:pt>
                <c:pt idx="39">
                  <c:v>29.4</c:v>
                </c:pt>
                <c:pt idx="40">
                  <c:v>27.4</c:v>
                </c:pt>
                <c:pt idx="41">
                  <c:v>26.5</c:v>
                </c:pt>
                <c:pt idx="42">
                  <c:v>24.6</c:v>
                </c:pt>
                <c:pt idx="43">
                  <c:v>26.3</c:v>
                </c:pt>
                <c:pt idx="44">
                  <c:v>28.4</c:v>
                </c:pt>
                <c:pt idx="45">
                  <c:v>25.5</c:v>
                </c:pt>
                <c:pt idx="46">
                  <c:v>28</c:v>
                </c:pt>
                <c:pt idx="47">
                  <c:v>25.5</c:v>
                </c:pt>
                <c:pt idx="48">
                  <c:v>26.1</c:v>
                </c:pt>
                <c:pt idx="49">
                  <c:v>25.9</c:v>
                </c:pt>
                <c:pt idx="50">
                  <c:v>24.1</c:v>
                </c:pt>
                <c:pt idx="51">
                  <c:v>26.2</c:v>
                </c:pt>
                <c:pt idx="52">
                  <c:v>26.9</c:v>
                </c:pt>
                <c:pt idx="53">
                  <c:v>26.1</c:v>
                </c:pt>
                <c:pt idx="54">
                  <c:v>24.6</c:v>
                </c:pt>
                <c:pt idx="55">
                  <c:v>25.3</c:v>
                </c:pt>
                <c:pt idx="56">
                  <c:v>27</c:v>
                </c:pt>
                <c:pt idx="57">
                  <c:v>24.2</c:v>
                </c:pt>
                <c:pt idx="58">
                  <c:v>23.6</c:v>
                </c:pt>
                <c:pt idx="59">
                  <c:v>24.7</c:v>
                </c:pt>
                <c:pt idx="60">
                  <c:v>25</c:v>
                </c:pt>
                <c:pt idx="61">
                  <c:v>24.7</c:v>
                </c:pt>
                <c:pt idx="62">
                  <c:v>24.1</c:v>
                </c:pt>
                <c:pt idx="63">
                  <c:v>25.5</c:v>
                </c:pt>
                <c:pt idx="64">
                  <c:v>25.6</c:v>
                </c:pt>
                <c:pt idx="65">
                  <c:v>24</c:v>
                </c:pt>
                <c:pt idx="66">
                  <c:v>25.8</c:v>
                </c:pt>
                <c:pt idx="67">
                  <c:v>25.1</c:v>
                </c:pt>
                <c:pt idx="68">
                  <c:v>24.9</c:v>
                </c:pt>
                <c:pt idx="69">
                  <c:v>23.9</c:v>
                </c:pt>
                <c:pt idx="70">
                  <c:v>22.7</c:v>
                </c:pt>
                <c:pt idx="71">
                  <c:v>21.9</c:v>
                </c:pt>
                <c:pt idx="72">
                  <c:v>21.5</c:v>
                </c:pt>
                <c:pt idx="73">
                  <c:v>21.5</c:v>
                </c:pt>
                <c:pt idx="74">
                  <c:v>25.3</c:v>
                </c:pt>
                <c:pt idx="75">
                  <c:v>22.4</c:v>
                </c:pt>
                <c:pt idx="76">
                  <c:v>22.8</c:v>
                </c:pt>
                <c:pt idx="77">
                  <c:v>23.1</c:v>
                </c:pt>
                <c:pt idx="78">
                  <c:v>23.29</c:v>
                </c:pt>
                <c:pt idx="79">
                  <c:v>23.48</c:v>
                </c:pt>
                <c:pt idx="80">
                  <c:v>22.56</c:v>
                </c:pt>
                <c:pt idx="81">
                  <c:v>22.45</c:v>
                </c:pt>
                <c:pt idx="82">
                  <c:v>22.03</c:v>
                </c:pt>
                <c:pt idx="83">
                  <c:v>22.14</c:v>
                </c:pt>
                <c:pt idx="84">
                  <c:v>22.61</c:v>
                </c:pt>
                <c:pt idx="85">
                  <c:v>21.99</c:v>
                </c:pt>
                <c:pt idx="86">
                  <c:v>21.88</c:v>
                </c:pt>
                <c:pt idx="87">
                  <c:v>21.05</c:v>
                </c:pt>
                <c:pt idx="88">
                  <c:v>21.47</c:v>
                </c:pt>
                <c:pt idx="89">
                  <c:v>21.13</c:v>
                </c:pt>
                <c:pt idx="90">
                  <c:v>21.3</c:v>
                </c:pt>
                <c:pt idx="91">
                  <c:v>21.14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Data2'!$G$25:$CT$25</c:f>
              <c:numCache>
                <c:formatCode>General</c:formatCode>
                <c:ptCount val="92"/>
                <c:pt idx="0">
                  <c:v>446</c:v>
                </c:pt>
                <c:pt idx="1">
                  <c:v>426</c:v>
                </c:pt>
                <c:pt idx="2">
                  <c:v>464</c:v>
                </c:pt>
                <c:pt idx="3">
                  <c:v>426</c:v>
                </c:pt>
                <c:pt idx="4">
                  <c:v>425</c:v>
                </c:pt>
                <c:pt idx="5">
                  <c:v>392</c:v>
                </c:pt>
                <c:pt idx="6">
                  <c:v>415</c:v>
                </c:pt>
                <c:pt idx="7">
                  <c:v>413</c:v>
                </c:pt>
                <c:pt idx="8">
                  <c:v>386</c:v>
                </c:pt>
                <c:pt idx="9">
                  <c:v>384</c:v>
                </c:pt>
                <c:pt idx="10">
                  <c:v>399</c:v>
                </c:pt>
                <c:pt idx="11">
                  <c:v>389</c:v>
                </c:pt>
                <c:pt idx="12">
                  <c:v>396</c:v>
                </c:pt>
                <c:pt idx="13">
                  <c:v>385</c:v>
                </c:pt>
                <c:pt idx="14">
                  <c:v>396</c:v>
                </c:pt>
                <c:pt idx="15">
                  <c:v>366</c:v>
                </c:pt>
                <c:pt idx="16">
                  <c:v>393</c:v>
                </c:pt>
                <c:pt idx="17">
                  <c:v>358</c:v>
                </c:pt>
                <c:pt idx="18">
                  <c:v>364</c:v>
                </c:pt>
                <c:pt idx="19">
                  <c:v>359</c:v>
                </c:pt>
                <c:pt idx="20">
                  <c:v>359.6</c:v>
                </c:pt>
                <c:pt idx="21">
                  <c:v>332.4</c:v>
                </c:pt>
                <c:pt idx="22">
                  <c:v>317.5</c:v>
                </c:pt>
                <c:pt idx="23">
                  <c:v>304.7</c:v>
                </c:pt>
                <c:pt idx="24">
                  <c:v>289.5</c:v>
                </c:pt>
                <c:pt idx="25">
                  <c:v>266</c:v>
                </c:pt>
                <c:pt idx="26">
                  <c:v>258</c:v>
                </c:pt>
                <c:pt idx="27">
                  <c:v>247.3</c:v>
                </c:pt>
                <c:pt idx="28">
                  <c:v>235</c:v>
                </c:pt>
                <c:pt idx="29">
                  <c:v>227.1</c:v>
                </c:pt>
                <c:pt idx="30">
                  <c:v>207.9</c:v>
                </c:pt>
                <c:pt idx="31">
                  <c:v>202.6</c:v>
                </c:pt>
                <c:pt idx="32">
                  <c:v>199.7</c:v>
                </c:pt>
                <c:pt idx="33">
                  <c:v>191.3</c:v>
                </c:pt>
                <c:pt idx="34">
                  <c:v>181.2</c:v>
                </c:pt>
                <c:pt idx="35">
                  <c:v>175.1</c:v>
                </c:pt>
                <c:pt idx="36">
                  <c:v>164.2</c:v>
                </c:pt>
                <c:pt idx="37">
                  <c:v>161</c:v>
                </c:pt>
                <c:pt idx="38">
                  <c:v>156</c:v>
                </c:pt>
                <c:pt idx="39">
                  <c:v>153</c:v>
                </c:pt>
                <c:pt idx="40">
                  <c:v>150.69999999999999</c:v>
                </c:pt>
                <c:pt idx="41">
                  <c:v>142.1</c:v>
                </c:pt>
                <c:pt idx="42">
                  <c:v>140</c:v>
                </c:pt>
                <c:pt idx="43">
                  <c:v>139.30000000000001</c:v>
                </c:pt>
                <c:pt idx="44">
                  <c:v>132</c:v>
                </c:pt>
                <c:pt idx="45">
                  <c:v>128.4</c:v>
                </c:pt>
                <c:pt idx="46">
                  <c:v>123.8</c:v>
                </c:pt>
                <c:pt idx="47">
                  <c:v>119.4</c:v>
                </c:pt>
                <c:pt idx="48">
                  <c:v>118.9</c:v>
                </c:pt>
                <c:pt idx="49">
                  <c:v>116.7</c:v>
                </c:pt>
                <c:pt idx="50">
                  <c:v>112.5</c:v>
                </c:pt>
                <c:pt idx="51">
                  <c:v>109.9</c:v>
                </c:pt>
                <c:pt idx="52">
                  <c:v>108.2</c:v>
                </c:pt>
                <c:pt idx="53">
                  <c:v>101.8</c:v>
                </c:pt>
                <c:pt idx="54">
                  <c:v>102.2</c:v>
                </c:pt>
                <c:pt idx="55">
                  <c:v>99</c:v>
                </c:pt>
                <c:pt idx="56">
                  <c:v>98.3</c:v>
                </c:pt>
                <c:pt idx="57">
                  <c:v>94.3</c:v>
                </c:pt>
                <c:pt idx="58">
                  <c:v>95.8</c:v>
                </c:pt>
                <c:pt idx="59">
                  <c:v>87.7</c:v>
                </c:pt>
                <c:pt idx="60">
                  <c:v>91.5</c:v>
                </c:pt>
                <c:pt idx="61">
                  <c:v>88.1</c:v>
                </c:pt>
                <c:pt idx="62">
                  <c:v>88</c:v>
                </c:pt>
                <c:pt idx="63">
                  <c:v>84.4</c:v>
                </c:pt>
                <c:pt idx="64">
                  <c:v>82.4</c:v>
                </c:pt>
                <c:pt idx="65">
                  <c:v>79.099999999999994</c:v>
                </c:pt>
                <c:pt idx="66">
                  <c:v>80.099999999999994</c:v>
                </c:pt>
                <c:pt idx="67">
                  <c:v>77.8</c:v>
                </c:pt>
                <c:pt idx="68">
                  <c:v>78.599999999999994</c:v>
                </c:pt>
                <c:pt idx="69">
                  <c:v>74.5</c:v>
                </c:pt>
                <c:pt idx="70">
                  <c:v>72.400000000000006</c:v>
                </c:pt>
                <c:pt idx="71">
                  <c:v>72.3</c:v>
                </c:pt>
                <c:pt idx="72">
                  <c:v>75.5</c:v>
                </c:pt>
                <c:pt idx="73">
                  <c:v>72.099999999999994</c:v>
                </c:pt>
                <c:pt idx="74">
                  <c:v>70.099999999999994</c:v>
                </c:pt>
                <c:pt idx="75">
                  <c:v>71</c:v>
                </c:pt>
                <c:pt idx="76">
                  <c:v>67.900000000000006</c:v>
                </c:pt>
                <c:pt idx="77">
                  <c:v>64.900000000000006</c:v>
                </c:pt>
                <c:pt idx="78">
                  <c:v>62.97</c:v>
                </c:pt>
                <c:pt idx="79">
                  <c:v>56.75</c:v>
                </c:pt>
                <c:pt idx="80">
                  <c:v>51.78</c:v>
                </c:pt>
                <c:pt idx="81">
                  <c:v>47.33</c:v>
                </c:pt>
                <c:pt idx="82">
                  <c:v>45.16</c:v>
                </c:pt>
                <c:pt idx="83">
                  <c:v>42.14</c:v>
                </c:pt>
                <c:pt idx="84">
                  <c:v>40.700000000000003</c:v>
                </c:pt>
                <c:pt idx="85">
                  <c:v>38.119999999999997</c:v>
                </c:pt>
                <c:pt idx="86">
                  <c:v>36.130000000000003</c:v>
                </c:pt>
                <c:pt idx="87">
                  <c:v>35.5</c:v>
                </c:pt>
                <c:pt idx="88">
                  <c:v>34.380000000000003</c:v>
                </c:pt>
                <c:pt idx="89">
                  <c:v>33.770000000000003</c:v>
                </c:pt>
                <c:pt idx="90">
                  <c:v>32.56</c:v>
                </c:pt>
                <c:pt idx="91">
                  <c:v>31.48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Data2'!$G$26:$CT$26</c:f>
              <c:numCache>
                <c:formatCode>General</c:formatCode>
                <c:ptCount val="92"/>
                <c:pt idx="0">
                  <c:v>848</c:v>
                </c:pt>
                <c:pt idx="1">
                  <c:v>921</c:v>
                </c:pt>
                <c:pt idx="2">
                  <c:v>918</c:v>
                </c:pt>
                <c:pt idx="3">
                  <c:v>863</c:v>
                </c:pt>
                <c:pt idx="4">
                  <c:v>897</c:v>
                </c:pt>
                <c:pt idx="5">
                  <c:v>872</c:v>
                </c:pt>
                <c:pt idx="6">
                  <c:v>876</c:v>
                </c:pt>
                <c:pt idx="7">
                  <c:v>865</c:v>
                </c:pt>
                <c:pt idx="8">
                  <c:v>853</c:v>
                </c:pt>
                <c:pt idx="9">
                  <c:v>693</c:v>
                </c:pt>
                <c:pt idx="10">
                  <c:v>853</c:v>
                </c:pt>
                <c:pt idx="11">
                  <c:v>815</c:v>
                </c:pt>
                <c:pt idx="12">
                  <c:v>834</c:v>
                </c:pt>
                <c:pt idx="13">
                  <c:v>801</c:v>
                </c:pt>
                <c:pt idx="14">
                  <c:v>827</c:v>
                </c:pt>
                <c:pt idx="15">
                  <c:v>825</c:v>
                </c:pt>
                <c:pt idx="16">
                  <c:v>838</c:v>
                </c:pt>
                <c:pt idx="17">
                  <c:v>789</c:v>
                </c:pt>
                <c:pt idx="18">
                  <c:v>802</c:v>
                </c:pt>
                <c:pt idx="19">
                  <c:v>771</c:v>
                </c:pt>
                <c:pt idx="20">
                  <c:v>760.4</c:v>
                </c:pt>
                <c:pt idx="21">
                  <c:v>695.2</c:v>
                </c:pt>
                <c:pt idx="22">
                  <c:v>654.9</c:v>
                </c:pt>
                <c:pt idx="23">
                  <c:v>620</c:v>
                </c:pt>
                <c:pt idx="24">
                  <c:v>579.4</c:v>
                </c:pt>
                <c:pt idx="25">
                  <c:v>550.5</c:v>
                </c:pt>
                <c:pt idx="26">
                  <c:v>533.29999999999995</c:v>
                </c:pt>
                <c:pt idx="27">
                  <c:v>499.5</c:v>
                </c:pt>
                <c:pt idx="28">
                  <c:v>481.7</c:v>
                </c:pt>
                <c:pt idx="29">
                  <c:v>452.4</c:v>
                </c:pt>
                <c:pt idx="30">
                  <c:v>433.7</c:v>
                </c:pt>
                <c:pt idx="31">
                  <c:v>418.7</c:v>
                </c:pt>
                <c:pt idx="32">
                  <c:v>398.4</c:v>
                </c:pt>
                <c:pt idx="33">
                  <c:v>379.2</c:v>
                </c:pt>
                <c:pt idx="34">
                  <c:v>362.3</c:v>
                </c:pt>
                <c:pt idx="35">
                  <c:v>352.3</c:v>
                </c:pt>
                <c:pt idx="36">
                  <c:v>328.4</c:v>
                </c:pt>
                <c:pt idx="37">
                  <c:v>320.5</c:v>
                </c:pt>
                <c:pt idx="38">
                  <c:v>339.1</c:v>
                </c:pt>
                <c:pt idx="39">
                  <c:v>304</c:v>
                </c:pt>
                <c:pt idx="40">
                  <c:v>290.7</c:v>
                </c:pt>
                <c:pt idx="41">
                  <c:v>287.39999999999998</c:v>
                </c:pt>
                <c:pt idx="42">
                  <c:v>275</c:v>
                </c:pt>
                <c:pt idx="43">
                  <c:v>261.8</c:v>
                </c:pt>
                <c:pt idx="44">
                  <c:v>257.39999999999998</c:v>
                </c:pt>
                <c:pt idx="45">
                  <c:v>241.8</c:v>
                </c:pt>
                <c:pt idx="46">
                  <c:v>240.5</c:v>
                </c:pt>
                <c:pt idx="47">
                  <c:v>228.9</c:v>
                </c:pt>
                <c:pt idx="48">
                  <c:v>222</c:v>
                </c:pt>
                <c:pt idx="49">
                  <c:v>220.1</c:v>
                </c:pt>
                <c:pt idx="50">
                  <c:v>210.1</c:v>
                </c:pt>
                <c:pt idx="51">
                  <c:v>206.1</c:v>
                </c:pt>
                <c:pt idx="52">
                  <c:v>203</c:v>
                </c:pt>
                <c:pt idx="53">
                  <c:v>191.5</c:v>
                </c:pt>
                <c:pt idx="54">
                  <c:v>192.6</c:v>
                </c:pt>
                <c:pt idx="55">
                  <c:v>184.7</c:v>
                </c:pt>
                <c:pt idx="56">
                  <c:v>152.80000000000001</c:v>
                </c:pt>
                <c:pt idx="57">
                  <c:v>180.4</c:v>
                </c:pt>
                <c:pt idx="58">
                  <c:v>170.4</c:v>
                </c:pt>
                <c:pt idx="59">
                  <c:v>164.8</c:v>
                </c:pt>
                <c:pt idx="60">
                  <c:v>167.9</c:v>
                </c:pt>
                <c:pt idx="61">
                  <c:v>159.6</c:v>
                </c:pt>
                <c:pt idx="62">
                  <c:v>157.4</c:v>
                </c:pt>
                <c:pt idx="63">
                  <c:v>152.6</c:v>
                </c:pt>
                <c:pt idx="64">
                  <c:v>150.4</c:v>
                </c:pt>
                <c:pt idx="65">
                  <c:v>144.5</c:v>
                </c:pt>
                <c:pt idx="66">
                  <c:v>142.19999999999999</c:v>
                </c:pt>
                <c:pt idx="67">
                  <c:v>144.4</c:v>
                </c:pt>
                <c:pt idx="68">
                  <c:v>142.9</c:v>
                </c:pt>
                <c:pt idx="69">
                  <c:v>135</c:v>
                </c:pt>
                <c:pt idx="70">
                  <c:v>134.30000000000001</c:v>
                </c:pt>
                <c:pt idx="71">
                  <c:v>127</c:v>
                </c:pt>
                <c:pt idx="72">
                  <c:v>134.9</c:v>
                </c:pt>
                <c:pt idx="73">
                  <c:v>128.6</c:v>
                </c:pt>
                <c:pt idx="74">
                  <c:v>126.8</c:v>
                </c:pt>
                <c:pt idx="75">
                  <c:v>121.4</c:v>
                </c:pt>
                <c:pt idx="76">
                  <c:v>118.5</c:v>
                </c:pt>
                <c:pt idx="77">
                  <c:v>118.1</c:v>
                </c:pt>
                <c:pt idx="78">
                  <c:v>108.71</c:v>
                </c:pt>
                <c:pt idx="79">
                  <c:v>94.3</c:v>
                </c:pt>
                <c:pt idx="80">
                  <c:v>83.42</c:v>
                </c:pt>
                <c:pt idx="81">
                  <c:v>76.84</c:v>
                </c:pt>
                <c:pt idx="82">
                  <c:v>69.239999999999995</c:v>
                </c:pt>
                <c:pt idx="83">
                  <c:v>65.290000000000006</c:v>
                </c:pt>
                <c:pt idx="84">
                  <c:v>60.02</c:v>
                </c:pt>
                <c:pt idx="85">
                  <c:v>56.23</c:v>
                </c:pt>
                <c:pt idx="86">
                  <c:v>53.3</c:v>
                </c:pt>
                <c:pt idx="87">
                  <c:v>50.82</c:v>
                </c:pt>
                <c:pt idx="88">
                  <c:v>47.63</c:v>
                </c:pt>
                <c:pt idx="89">
                  <c:v>46.49</c:v>
                </c:pt>
                <c:pt idx="90">
                  <c:v>45.46</c:v>
                </c:pt>
                <c:pt idx="91">
                  <c:v>43.51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Data2'!$G$27:$CT$27</c:f>
              <c:numCache>
                <c:formatCode>General</c:formatCode>
                <c:ptCount val="92"/>
                <c:pt idx="0">
                  <c:v>453</c:v>
                </c:pt>
                <c:pt idx="1">
                  <c:v>433</c:v>
                </c:pt>
                <c:pt idx="2">
                  <c:v>426</c:v>
                </c:pt>
                <c:pt idx="3">
                  <c:v>427</c:v>
                </c:pt>
                <c:pt idx="4">
                  <c:v>432</c:v>
                </c:pt>
                <c:pt idx="5">
                  <c:v>452</c:v>
                </c:pt>
                <c:pt idx="6">
                  <c:v>438</c:v>
                </c:pt>
                <c:pt idx="7">
                  <c:v>428</c:v>
                </c:pt>
                <c:pt idx="8">
                  <c:v>436</c:v>
                </c:pt>
                <c:pt idx="9">
                  <c:v>403</c:v>
                </c:pt>
                <c:pt idx="10">
                  <c:v>424</c:v>
                </c:pt>
                <c:pt idx="11">
                  <c:v>398</c:v>
                </c:pt>
                <c:pt idx="12">
                  <c:v>398</c:v>
                </c:pt>
                <c:pt idx="13">
                  <c:v>385</c:v>
                </c:pt>
                <c:pt idx="14">
                  <c:v>381</c:v>
                </c:pt>
                <c:pt idx="15">
                  <c:v>402</c:v>
                </c:pt>
                <c:pt idx="16">
                  <c:v>390</c:v>
                </c:pt>
                <c:pt idx="17">
                  <c:v>374</c:v>
                </c:pt>
                <c:pt idx="18">
                  <c:v>373</c:v>
                </c:pt>
                <c:pt idx="19">
                  <c:v>379</c:v>
                </c:pt>
                <c:pt idx="20">
                  <c:v>370.5</c:v>
                </c:pt>
                <c:pt idx="21">
                  <c:v>345.6</c:v>
                </c:pt>
                <c:pt idx="22">
                  <c:v>334.3</c:v>
                </c:pt>
                <c:pt idx="23">
                  <c:v>306.89999999999998</c:v>
                </c:pt>
                <c:pt idx="24">
                  <c:v>291.5</c:v>
                </c:pt>
                <c:pt idx="25">
                  <c:v>281.10000000000002</c:v>
                </c:pt>
                <c:pt idx="26">
                  <c:v>267.89999999999998</c:v>
                </c:pt>
                <c:pt idx="27">
                  <c:v>255.6</c:v>
                </c:pt>
                <c:pt idx="28">
                  <c:v>248.5</c:v>
                </c:pt>
                <c:pt idx="29">
                  <c:v>236.4</c:v>
                </c:pt>
                <c:pt idx="30">
                  <c:v>221.1</c:v>
                </c:pt>
                <c:pt idx="31">
                  <c:v>214.6</c:v>
                </c:pt>
                <c:pt idx="32">
                  <c:v>211.8</c:v>
                </c:pt>
                <c:pt idx="33">
                  <c:v>204.8</c:v>
                </c:pt>
                <c:pt idx="34">
                  <c:v>189.4</c:v>
                </c:pt>
                <c:pt idx="35">
                  <c:v>189.4</c:v>
                </c:pt>
                <c:pt idx="36">
                  <c:v>176.3</c:v>
                </c:pt>
                <c:pt idx="37">
                  <c:v>177.8</c:v>
                </c:pt>
                <c:pt idx="38">
                  <c:v>167.6</c:v>
                </c:pt>
                <c:pt idx="39">
                  <c:v>160.19999999999999</c:v>
                </c:pt>
                <c:pt idx="40">
                  <c:v>160.30000000000001</c:v>
                </c:pt>
                <c:pt idx="41">
                  <c:v>155.69999999999999</c:v>
                </c:pt>
                <c:pt idx="42">
                  <c:v>150.6</c:v>
                </c:pt>
                <c:pt idx="43">
                  <c:v>143.69999999999999</c:v>
                </c:pt>
                <c:pt idx="44">
                  <c:v>142.9</c:v>
                </c:pt>
                <c:pt idx="45">
                  <c:v>137.69999999999999</c:v>
                </c:pt>
                <c:pt idx="46">
                  <c:v>130.80000000000001</c:v>
                </c:pt>
                <c:pt idx="47">
                  <c:v>132.9</c:v>
                </c:pt>
                <c:pt idx="48">
                  <c:v>126.7</c:v>
                </c:pt>
                <c:pt idx="49">
                  <c:v>126.3</c:v>
                </c:pt>
                <c:pt idx="50">
                  <c:v>125.4</c:v>
                </c:pt>
                <c:pt idx="51">
                  <c:v>122.1</c:v>
                </c:pt>
                <c:pt idx="52">
                  <c:v>112.2</c:v>
                </c:pt>
                <c:pt idx="53">
                  <c:v>118.2</c:v>
                </c:pt>
                <c:pt idx="54">
                  <c:v>107.7</c:v>
                </c:pt>
                <c:pt idx="55">
                  <c:v>108.8</c:v>
                </c:pt>
                <c:pt idx="56">
                  <c:v>107</c:v>
                </c:pt>
                <c:pt idx="57">
                  <c:v>108.1</c:v>
                </c:pt>
                <c:pt idx="58">
                  <c:v>103.2</c:v>
                </c:pt>
                <c:pt idx="59">
                  <c:v>99.8</c:v>
                </c:pt>
                <c:pt idx="60">
                  <c:v>98.3</c:v>
                </c:pt>
                <c:pt idx="61">
                  <c:v>98</c:v>
                </c:pt>
                <c:pt idx="62">
                  <c:v>100</c:v>
                </c:pt>
                <c:pt idx="63">
                  <c:v>97.1</c:v>
                </c:pt>
                <c:pt idx="64">
                  <c:v>93.2</c:v>
                </c:pt>
                <c:pt idx="65">
                  <c:v>88.2</c:v>
                </c:pt>
                <c:pt idx="66">
                  <c:v>90.9</c:v>
                </c:pt>
                <c:pt idx="67">
                  <c:v>91.2</c:v>
                </c:pt>
                <c:pt idx="68">
                  <c:v>84.5</c:v>
                </c:pt>
                <c:pt idx="69">
                  <c:v>86.1</c:v>
                </c:pt>
                <c:pt idx="70">
                  <c:v>85</c:v>
                </c:pt>
                <c:pt idx="71">
                  <c:v>83.8</c:v>
                </c:pt>
                <c:pt idx="72">
                  <c:v>80.8</c:v>
                </c:pt>
                <c:pt idx="73">
                  <c:v>80.900000000000006</c:v>
                </c:pt>
                <c:pt idx="74">
                  <c:v>81.5</c:v>
                </c:pt>
                <c:pt idx="75">
                  <c:v>79.7</c:v>
                </c:pt>
                <c:pt idx="76">
                  <c:v>80</c:v>
                </c:pt>
                <c:pt idx="77">
                  <c:v>78.400000000000006</c:v>
                </c:pt>
                <c:pt idx="78">
                  <c:v>73.17</c:v>
                </c:pt>
                <c:pt idx="79">
                  <c:v>65.650000000000006</c:v>
                </c:pt>
                <c:pt idx="80">
                  <c:v>59.87</c:v>
                </c:pt>
                <c:pt idx="81">
                  <c:v>55.83</c:v>
                </c:pt>
                <c:pt idx="82">
                  <c:v>53.48</c:v>
                </c:pt>
                <c:pt idx="83">
                  <c:v>50.17</c:v>
                </c:pt>
                <c:pt idx="84">
                  <c:v>47.2</c:v>
                </c:pt>
                <c:pt idx="85">
                  <c:v>45.95</c:v>
                </c:pt>
                <c:pt idx="86">
                  <c:v>44.13</c:v>
                </c:pt>
                <c:pt idx="87">
                  <c:v>42.19</c:v>
                </c:pt>
                <c:pt idx="88">
                  <c:v>41.04</c:v>
                </c:pt>
                <c:pt idx="89">
                  <c:v>40.19</c:v>
                </c:pt>
                <c:pt idx="90">
                  <c:v>38.700000000000003</c:v>
                </c:pt>
                <c:pt idx="91">
                  <c:v>38.17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76000"/>
        <c:axId val="43382272"/>
      </c:scatterChart>
      <c:valAx>
        <c:axId val="4337600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382272"/>
        <c:crosses val="autoZero"/>
        <c:crossBetween val="midCat"/>
      </c:valAx>
      <c:valAx>
        <c:axId val="43382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3760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Data'!$A$305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8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Data2'!$G$28:$CT$28</c:f>
              <c:numCache>
                <c:formatCode>General</c:formatCode>
                <c:ptCount val="92"/>
                <c:pt idx="0">
                  <c:v>57</c:v>
                </c:pt>
                <c:pt idx="1">
                  <c:v>50</c:v>
                </c:pt>
                <c:pt idx="2">
                  <c:v>55</c:v>
                </c:pt>
                <c:pt idx="3">
                  <c:v>46</c:v>
                </c:pt>
                <c:pt idx="4">
                  <c:v>52</c:v>
                </c:pt>
                <c:pt idx="5">
                  <c:v>55</c:v>
                </c:pt>
                <c:pt idx="6">
                  <c:v>52</c:v>
                </c:pt>
                <c:pt idx="7">
                  <c:v>61</c:v>
                </c:pt>
                <c:pt idx="8">
                  <c:v>53</c:v>
                </c:pt>
                <c:pt idx="9">
                  <c:v>43</c:v>
                </c:pt>
                <c:pt idx="10">
                  <c:v>57</c:v>
                </c:pt>
                <c:pt idx="11">
                  <c:v>55</c:v>
                </c:pt>
                <c:pt idx="12">
                  <c:v>53</c:v>
                </c:pt>
                <c:pt idx="13">
                  <c:v>60</c:v>
                </c:pt>
                <c:pt idx="14">
                  <c:v>57</c:v>
                </c:pt>
                <c:pt idx="15">
                  <c:v>52</c:v>
                </c:pt>
                <c:pt idx="16">
                  <c:v>50</c:v>
                </c:pt>
                <c:pt idx="17">
                  <c:v>64</c:v>
                </c:pt>
                <c:pt idx="18">
                  <c:v>57</c:v>
                </c:pt>
                <c:pt idx="19">
                  <c:v>58</c:v>
                </c:pt>
                <c:pt idx="20">
                  <c:v>54.7</c:v>
                </c:pt>
                <c:pt idx="21">
                  <c:v>55.6</c:v>
                </c:pt>
                <c:pt idx="22">
                  <c:v>55.4</c:v>
                </c:pt>
                <c:pt idx="23">
                  <c:v>57.1</c:v>
                </c:pt>
                <c:pt idx="24">
                  <c:v>55.4</c:v>
                </c:pt>
                <c:pt idx="25">
                  <c:v>52.7</c:v>
                </c:pt>
                <c:pt idx="26">
                  <c:v>55.5</c:v>
                </c:pt>
                <c:pt idx="27">
                  <c:v>54.5</c:v>
                </c:pt>
                <c:pt idx="28">
                  <c:v>55.6</c:v>
                </c:pt>
                <c:pt idx="29">
                  <c:v>55.1</c:v>
                </c:pt>
                <c:pt idx="30">
                  <c:v>51.9</c:v>
                </c:pt>
                <c:pt idx="31">
                  <c:v>54.6</c:v>
                </c:pt>
                <c:pt idx="32">
                  <c:v>54</c:v>
                </c:pt>
                <c:pt idx="33">
                  <c:v>50.9</c:v>
                </c:pt>
                <c:pt idx="34">
                  <c:v>51.5</c:v>
                </c:pt>
                <c:pt idx="35">
                  <c:v>52.5</c:v>
                </c:pt>
                <c:pt idx="36">
                  <c:v>51.5</c:v>
                </c:pt>
                <c:pt idx="37">
                  <c:v>50.8</c:v>
                </c:pt>
                <c:pt idx="38">
                  <c:v>49</c:v>
                </c:pt>
                <c:pt idx="39">
                  <c:v>52.3</c:v>
                </c:pt>
                <c:pt idx="40">
                  <c:v>50.4</c:v>
                </c:pt>
                <c:pt idx="41">
                  <c:v>49.7</c:v>
                </c:pt>
                <c:pt idx="42">
                  <c:v>49.4</c:v>
                </c:pt>
                <c:pt idx="43">
                  <c:v>48.6</c:v>
                </c:pt>
                <c:pt idx="44">
                  <c:v>41.3</c:v>
                </c:pt>
                <c:pt idx="45">
                  <c:v>50.5</c:v>
                </c:pt>
                <c:pt idx="46">
                  <c:v>49.1</c:v>
                </c:pt>
                <c:pt idx="47">
                  <c:v>47.4</c:v>
                </c:pt>
                <c:pt idx="48">
                  <c:v>46.6</c:v>
                </c:pt>
                <c:pt idx="49">
                  <c:v>48.5</c:v>
                </c:pt>
                <c:pt idx="50">
                  <c:v>44.5</c:v>
                </c:pt>
                <c:pt idx="51">
                  <c:v>44</c:v>
                </c:pt>
                <c:pt idx="52">
                  <c:v>44.6</c:v>
                </c:pt>
                <c:pt idx="53">
                  <c:v>45</c:v>
                </c:pt>
                <c:pt idx="54">
                  <c:v>47.5</c:v>
                </c:pt>
                <c:pt idx="55">
                  <c:v>46.8</c:v>
                </c:pt>
                <c:pt idx="56">
                  <c:v>44.8</c:v>
                </c:pt>
                <c:pt idx="57">
                  <c:v>45.7</c:v>
                </c:pt>
                <c:pt idx="58">
                  <c:v>44.2</c:v>
                </c:pt>
                <c:pt idx="59">
                  <c:v>44.1</c:v>
                </c:pt>
                <c:pt idx="60">
                  <c:v>43.8</c:v>
                </c:pt>
                <c:pt idx="61">
                  <c:v>42.1</c:v>
                </c:pt>
                <c:pt idx="62">
                  <c:v>44.2</c:v>
                </c:pt>
                <c:pt idx="63">
                  <c:v>44</c:v>
                </c:pt>
                <c:pt idx="64">
                  <c:v>42.5</c:v>
                </c:pt>
                <c:pt idx="65">
                  <c:v>42.9</c:v>
                </c:pt>
                <c:pt idx="66">
                  <c:v>45</c:v>
                </c:pt>
                <c:pt idx="67">
                  <c:v>43.3</c:v>
                </c:pt>
                <c:pt idx="68">
                  <c:v>44.8</c:v>
                </c:pt>
                <c:pt idx="69">
                  <c:v>43.8</c:v>
                </c:pt>
                <c:pt idx="70">
                  <c:v>45.2</c:v>
                </c:pt>
                <c:pt idx="71">
                  <c:v>43.1</c:v>
                </c:pt>
                <c:pt idx="72">
                  <c:v>44.5</c:v>
                </c:pt>
                <c:pt idx="73">
                  <c:v>43.2</c:v>
                </c:pt>
                <c:pt idx="74">
                  <c:v>43.9</c:v>
                </c:pt>
                <c:pt idx="75">
                  <c:v>44.9</c:v>
                </c:pt>
                <c:pt idx="76">
                  <c:v>43.1</c:v>
                </c:pt>
                <c:pt idx="77">
                  <c:v>41.1</c:v>
                </c:pt>
                <c:pt idx="78">
                  <c:v>41.72</c:v>
                </c:pt>
                <c:pt idx="79">
                  <c:v>41.87</c:v>
                </c:pt>
                <c:pt idx="80">
                  <c:v>40.47</c:v>
                </c:pt>
                <c:pt idx="81">
                  <c:v>40.1</c:v>
                </c:pt>
                <c:pt idx="82">
                  <c:v>39.03</c:v>
                </c:pt>
                <c:pt idx="83">
                  <c:v>39.67</c:v>
                </c:pt>
                <c:pt idx="84">
                  <c:v>38.51</c:v>
                </c:pt>
                <c:pt idx="85">
                  <c:v>38.090000000000003</c:v>
                </c:pt>
                <c:pt idx="86">
                  <c:v>38.93</c:v>
                </c:pt>
                <c:pt idx="87">
                  <c:v>37.729999999999997</c:v>
                </c:pt>
                <c:pt idx="88">
                  <c:v>37.15</c:v>
                </c:pt>
                <c:pt idx="89">
                  <c:v>37.35</c:v>
                </c:pt>
                <c:pt idx="90">
                  <c:v>37.19</c:v>
                </c:pt>
                <c:pt idx="91">
                  <c:v>36.61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Data2'!$G$29:$CT$29</c:f>
              <c:numCache>
                <c:formatCode>General</c:formatCode>
                <c:ptCount val="92"/>
                <c:pt idx="0">
                  <c:v>38</c:v>
                </c:pt>
                <c:pt idx="1">
                  <c:v>31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42</c:v>
                </c:pt>
                <c:pt idx="7">
                  <c:v>41</c:v>
                </c:pt>
                <c:pt idx="8">
                  <c:v>39</c:v>
                </c:pt>
                <c:pt idx="9">
                  <c:v>30</c:v>
                </c:pt>
                <c:pt idx="10">
                  <c:v>39</c:v>
                </c:pt>
                <c:pt idx="11">
                  <c:v>38</c:v>
                </c:pt>
                <c:pt idx="12">
                  <c:v>44</c:v>
                </c:pt>
                <c:pt idx="13">
                  <c:v>39</c:v>
                </c:pt>
                <c:pt idx="14">
                  <c:v>39</c:v>
                </c:pt>
                <c:pt idx="15">
                  <c:v>43</c:v>
                </c:pt>
                <c:pt idx="16">
                  <c:v>43</c:v>
                </c:pt>
                <c:pt idx="17">
                  <c:v>32</c:v>
                </c:pt>
                <c:pt idx="18">
                  <c:v>38</c:v>
                </c:pt>
                <c:pt idx="19">
                  <c:v>31</c:v>
                </c:pt>
                <c:pt idx="20">
                  <c:v>38.5</c:v>
                </c:pt>
                <c:pt idx="21">
                  <c:v>38.700000000000003</c:v>
                </c:pt>
                <c:pt idx="22">
                  <c:v>39.700000000000003</c:v>
                </c:pt>
                <c:pt idx="23">
                  <c:v>39.200000000000003</c:v>
                </c:pt>
                <c:pt idx="24">
                  <c:v>41.5</c:v>
                </c:pt>
                <c:pt idx="25">
                  <c:v>40.700000000000003</c:v>
                </c:pt>
                <c:pt idx="26">
                  <c:v>38.5</c:v>
                </c:pt>
                <c:pt idx="27">
                  <c:v>36.9</c:v>
                </c:pt>
                <c:pt idx="28">
                  <c:v>36.299999999999997</c:v>
                </c:pt>
                <c:pt idx="29">
                  <c:v>38.1</c:v>
                </c:pt>
                <c:pt idx="30">
                  <c:v>41.7</c:v>
                </c:pt>
                <c:pt idx="31">
                  <c:v>31.7</c:v>
                </c:pt>
                <c:pt idx="32">
                  <c:v>35.5</c:v>
                </c:pt>
                <c:pt idx="33">
                  <c:v>37.1</c:v>
                </c:pt>
                <c:pt idx="34">
                  <c:v>37.299999999999997</c:v>
                </c:pt>
                <c:pt idx="35">
                  <c:v>36.4</c:v>
                </c:pt>
                <c:pt idx="36">
                  <c:v>38.5</c:v>
                </c:pt>
                <c:pt idx="37">
                  <c:v>37.200000000000003</c:v>
                </c:pt>
                <c:pt idx="38">
                  <c:v>38.200000000000003</c:v>
                </c:pt>
                <c:pt idx="39">
                  <c:v>34.9</c:v>
                </c:pt>
                <c:pt idx="40">
                  <c:v>33.799999999999997</c:v>
                </c:pt>
                <c:pt idx="41">
                  <c:v>35.1</c:v>
                </c:pt>
                <c:pt idx="42">
                  <c:v>37.299999999999997</c:v>
                </c:pt>
                <c:pt idx="43">
                  <c:v>36.799999999999997</c:v>
                </c:pt>
                <c:pt idx="44">
                  <c:v>33.1</c:v>
                </c:pt>
                <c:pt idx="45">
                  <c:v>34.299999999999997</c:v>
                </c:pt>
                <c:pt idx="46">
                  <c:v>34.299999999999997</c:v>
                </c:pt>
                <c:pt idx="47">
                  <c:v>32.700000000000003</c:v>
                </c:pt>
                <c:pt idx="48">
                  <c:v>34.200000000000003</c:v>
                </c:pt>
                <c:pt idx="49">
                  <c:v>33.6</c:v>
                </c:pt>
                <c:pt idx="50">
                  <c:v>34.9</c:v>
                </c:pt>
                <c:pt idx="51">
                  <c:v>31.6</c:v>
                </c:pt>
                <c:pt idx="52">
                  <c:v>32.9</c:v>
                </c:pt>
                <c:pt idx="53">
                  <c:v>33.6</c:v>
                </c:pt>
                <c:pt idx="54">
                  <c:v>31.3</c:v>
                </c:pt>
                <c:pt idx="55">
                  <c:v>33.4</c:v>
                </c:pt>
                <c:pt idx="56">
                  <c:v>33</c:v>
                </c:pt>
                <c:pt idx="57">
                  <c:v>32.9</c:v>
                </c:pt>
                <c:pt idx="58">
                  <c:v>31.5</c:v>
                </c:pt>
                <c:pt idx="59">
                  <c:v>32.700000000000003</c:v>
                </c:pt>
                <c:pt idx="60">
                  <c:v>31.1</c:v>
                </c:pt>
                <c:pt idx="61">
                  <c:v>31.4</c:v>
                </c:pt>
                <c:pt idx="62">
                  <c:v>33.200000000000003</c:v>
                </c:pt>
                <c:pt idx="63">
                  <c:v>31.6</c:v>
                </c:pt>
                <c:pt idx="64">
                  <c:v>32.9</c:v>
                </c:pt>
                <c:pt idx="65">
                  <c:v>32</c:v>
                </c:pt>
                <c:pt idx="66">
                  <c:v>31.4</c:v>
                </c:pt>
                <c:pt idx="67">
                  <c:v>28.5</c:v>
                </c:pt>
                <c:pt idx="68">
                  <c:v>30.8</c:v>
                </c:pt>
                <c:pt idx="69">
                  <c:v>30</c:v>
                </c:pt>
                <c:pt idx="70">
                  <c:v>29.8</c:v>
                </c:pt>
                <c:pt idx="71">
                  <c:v>32.299999999999997</c:v>
                </c:pt>
                <c:pt idx="72">
                  <c:v>29.4</c:v>
                </c:pt>
                <c:pt idx="73">
                  <c:v>32.6</c:v>
                </c:pt>
                <c:pt idx="74">
                  <c:v>31.4</c:v>
                </c:pt>
                <c:pt idx="75">
                  <c:v>34.299999999999997</c:v>
                </c:pt>
                <c:pt idx="76">
                  <c:v>31.9</c:v>
                </c:pt>
                <c:pt idx="77">
                  <c:v>30.4</c:v>
                </c:pt>
                <c:pt idx="78">
                  <c:v>31.61</c:v>
                </c:pt>
                <c:pt idx="79">
                  <c:v>30.35</c:v>
                </c:pt>
                <c:pt idx="80">
                  <c:v>30.69</c:v>
                </c:pt>
                <c:pt idx="81">
                  <c:v>29.39</c:v>
                </c:pt>
                <c:pt idx="82">
                  <c:v>29.54</c:v>
                </c:pt>
                <c:pt idx="83">
                  <c:v>29.29</c:v>
                </c:pt>
                <c:pt idx="84">
                  <c:v>29.42</c:v>
                </c:pt>
                <c:pt idx="85">
                  <c:v>29.66</c:v>
                </c:pt>
                <c:pt idx="86">
                  <c:v>28.22</c:v>
                </c:pt>
                <c:pt idx="87">
                  <c:v>28.32</c:v>
                </c:pt>
                <c:pt idx="88">
                  <c:v>28.31</c:v>
                </c:pt>
                <c:pt idx="89">
                  <c:v>27.82</c:v>
                </c:pt>
                <c:pt idx="90">
                  <c:v>28.39</c:v>
                </c:pt>
                <c:pt idx="91">
                  <c:v>27.83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Data2'!$G$30:$CT$30</c:f>
              <c:numCache>
                <c:formatCode>General</c:formatCode>
                <c:ptCount val="92"/>
                <c:pt idx="0">
                  <c:v>27</c:v>
                </c:pt>
                <c:pt idx="1">
                  <c:v>33</c:v>
                </c:pt>
                <c:pt idx="2">
                  <c:v>32</c:v>
                </c:pt>
                <c:pt idx="3">
                  <c:v>30</c:v>
                </c:pt>
                <c:pt idx="4">
                  <c:v>27</c:v>
                </c:pt>
                <c:pt idx="5">
                  <c:v>25</c:v>
                </c:pt>
                <c:pt idx="6">
                  <c:v>31</c:v>
                </c:pt>
                <c:pt idx="7">
                  <c:v>28</c:v>
                </c:pt>
                <c:pt idx="8">
                  <c:v>32</c:v>
                </c:pt>
                <c:pt idx="9">
                  <c:v>33</c:v>
                </c:pt>
                <c:pt idx="10">
                  <c:v>31</c:v>
                </c:pt>
                <c:pt idx="11">
                  <c:v>24</c:v>
                </c:pt>
                <c:pt idx="12">
                  <c:v>27</c:v>
                </c:pt>
                <c:pt idx="13">
                  <c:v>25</c:v>
                </c:pt>
                <c:pt idx="14">
                  <c:v>37</c:v>
                </c:pt>
                <c:pt idx="15">
                  <c:v>38</c:v>
                </c:pt>
                <c:pt idx="16">
                  <c:v>33</c:v>
                </c:pt>
                <c:pt idx="17">
                  <c:v>26</c:v>
                </c:pt>
                <c:pt idx="18">
                  <c:v>30</c:v>
                </c:pt>
                <c:pt idx="19">
                  <c:v>33</c:v>
                </c:pt>
                <c:pt idx="20">
                  <c:v>30.4</c:v>
                </c:pt>
                <c:pt idx="21">
                  <c:v>31.6</c:v>
                </c:pt>
                <c:pt idx="22">
                  <c:v>33.1</c:v>
                </c:pt>
                <c:pt idx="23">
                  <c:v>33.4</c:v>
                </c:pt>
                <c:pt idx="24">
                  <c:v>33.700000000000003</c:v>
                </c:pt>
                <c:pt idx="25">
                  <c:v>32.700000000000003</c:v>
                </c:pt>
                <c:pt idx="26">
                  <c:v>33.200000000000003</c:v>
                </c:pt>
                <c:pt idx="27">
                  <c:v>32.200000000000003</c:v>
                </c:pt>
                <c:pt idx="28">
                  <c:v>30.8</c:v>
                </c:pt>
                <c:pt idx="29">
                  <c:v>29.4</c:v>
                </c:pt>
                <c:pt idx="30">
                  <c:v>30.7</c:v>
                </c:pt>
                <c:pt idx="31">
                  <c:v>29.8</c:v>
                </c:pt>
                <c:pt idx="32">
                  <c:v>29</c:v>
                </c:pt>
                <c:pt idx="33">
                  <c:v>30.6</c:v>
                </c:pt>
                <c:pt idx="34">
                  <c:v>27.7</c:v>
                </c:pt>
                <c:pt idx="35">
                  <c:v>27.1</c:v>
                </c:pt>
                <c:pt idx="36">
                  <c:v>29.2</c:v>
                </c:pt>
                <c:pt idx="37">
                  <c:v>30.3</c:v>
                </c:pt>
                <c:pt idx="38">
                  <c:v>31.2</c:v>
                </c:pt>
                <c:pt idx="39">
                  <c:v>30.3</c:v>
                </c:pt>
                <c:pt idx="40">
                  <c:v>27.1</c:v>
                </c:pt>
                <c:pt idx="41">
                  <c:v>27.2</c:v>
                </c:pt>
                <c:pt idx="42">
                  <c:v>26.7</c:v>
                </c:pt>
                <c:pt idx="43">
                  <c:v>26.6</c:v>
                </c:pt>
                <c:pt idx="44">
                  <c:v>27</c:v>
                </c:pt>
                <c:pt idx="45">
                  <c:v>29.3</c:v>
                </c:pt>
                <c:pt idx="46">
                  <c:v>28.3</c:v>
                </c:pt>
                <c:pt idx="47">
                  <c:v>25.9</c:v>
                </c:pt>
                <c:pt idx="48">
                  <c:v>27.4</c:v>
                </c:pt>
                <c:pt idx="49">
                  <c:v>26.1</c:v>
                </c:pt>
                <c:pt idx="50">
                  <c:v>27</c:v>
                </c:pt>
                <c:pt idx="51">
                  <c:v>27.7</c:v>
                </c:pt>
                <c:pt idx="52">
                  <c:v>24.8</c:v>
                </c:pt>
                <c:pt idx="53">
                  <c:v>27.5</c:v>
                </c:pt>
                <c:pt idx="54">
                  <c:v>27.7</c:v>
                </c:pt>
                <c:pt idx="55">
                  <c:v>26.2</c:v>
                </c:pt>
                <c:pt idx="56">
                  <c:v>26.2</c:v>
                </c:pt>
                <c:pt idx="57">
                  <c:v>28.1</c:v>
                </c:pt>
                <c:pt idx="58">
                  <c:v>26</c:v>
                </c:pt>
                <c:pt idx="59">
                  <c:v>25.2</c:v>
                </c:pt>
                <c:pt idx="60">
                  <c:v>25.9</c:v>
                </c:pt>
                <c:pt idx="61">
                  <c:v>25.4</c:v>
                </c:pt>
                <c:pt idx="62">
                  <c:v>25.4</c:v>
                </c:pt>
                <c:pt idx="63">
                  <c:v>27</c:v>
                </c:pt>
                <c:pt idx="64">
                  <c:v>25</c:v>
                </c:pt>
                <c:pt idx="65">
                  <c:v>25.2</c:v>
                </c:pt>
                <c:pt idx="66">
                  <c:v>25.7</c:v>
                </c:pt>
                <c:pt idx="67">
                  <c:v>24.7</c:v>
                </c:pt>
                <c:pt idx="68">
                  <c:v>25.9</c:v>
                </c:pt>
                <c:pt idx="69">
                  <c:v>27.3</c:v>
                </c:pt>
                <c:pt idx="70">
                  <c:v>23.8</c:v>
                </c:pt>
                <c:pt idx="71">
                  <c:v>25.6</c:v>
                </c:pt>
                <c:pt idx="72">
                  <c:v>22.2</c:v>
                </c:pt>
                <c:pt idx="73">
                  <c:v>25</c:v>
                </c:pt>
                <c:pt idx="74">
                  <c:v>25.2</c:v>
                </c:pt>
                <c:pt idx="75">
                  <c:v>25.9</c:v>
                </c:pt>
                <c:pt idx="76">
                  <c:v>21.7</c:v>
                </c:pt>
                <c:pt idx="77">
                  <c:v>23.2</c:v>
                </c:pt>
                <c:pt idx="78">
                  <c:v>24.57</c:v>
                </c:pt>
                <c:pt idx="79">
                  <c:v>23.38</c:v>
                </c:pt>
                <c:pt idx="80">
                  <c:v>24.28</c:v>
                </c:pt>
                <c:pt idx="81">
                  <c:v>22.97</c:v>
                </c:pt>
                <c:pt idx="82">
                  <c:v>22.48</c:v>
                </c:pt>
                <c:pt idx="83">
                  <c:v>22.33</c:v>
                </c:pt>
                <c:pt idx="84">
                  <c:v>22.6</c:v>
                </c:pt>
                <c:pt idx="85">
                  <c:v>22.22</c:v>
                </c:pt>
                <c:pt idx="86">
                  <c:v>22.28</c:v>
                </c:pt>
                <c:pt idx="87">
                  <c:v>22.24</c:v>
                </c:pt>
                <c:pt idx="88">
                  <c:v>21.76</c:v>
                </c:pt>
                <c:pt idx="89">
                  <c:v>21.61</c:v>
                </c:pt>
                <c:pt idx="90">
                  <c:v>20.95</c:v>
                </c:pt>
                <c:pt idx="91">
                  <c:v>21.44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Data2'!$G$31:$CT$31</c:f>
              <c:numCache>
                <c:formatCode>General</c:formatCode>
                <c:ptCount val="92"/>
                <c:pt idx="0">
                  <c:v>23</c:v>
                </c:pt>
                <c:pt idx="1">
                  <c:v>28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25</c:v>
                </c:pt>
                <c:pt idx="6">
                  <c:v>28</c:v>
                </c:pt>
                <c:pt idx="7">
                  <c:v>24</c:v>
                </c:pt>
                <c:pt idx="8">
                  <c:v>26</c:v>
                </c:pt>
                <c:pt idx="9">
                  <c:v>28</c:v>
                </c:pt>
                <c:pt idx="10">
                  <c:v>31</c:v>
                </c:pt>
                <c:pt idx="11">
                  <c:v>33</c:v>
                </c:pt>
                <c:pt idx="12">
                  <c:v>34</c:v>
                </c:pt>
                <c:pt idx="13">
                  <c:v>27</c:v>
                </c:pt>
                <c:pt idx="14">
                  <c:v>26</c:v>
                </c:pt>
                <c:pt idx="15">
                  <c:v>27</c:v>
                </c:pt>
                <c:pt idx="16">
                  <c:v>27</c:v>
                </c:pt>
                <c:pt idx="17">
                  <c:v>28</c:v>
                </c:pt>
                <c:pt idx="18">
                  <c:v>24</c:v>
                </c:pt>
                <c:pt idx="19">
                  <c:v>27</c:v>
                </c:pt>
                <c:pt idx="20">
                  <c:v>28.3</c:v>
                </c:pt>
                <c:pt idx="21">
                  <c:v>29.5</c:v>
                </c:pt>
                <c:pt idx="22">
                  <c:v>28</c:v>
                </c:pt>
                <c:pt idx="23">
                  <c:v>28.6</c:v>
                </c:pt>
                <c:pt idx="24">
                  <c:v>28.3</c:v>
                </c:pt>
                <c:pt idx="25">
                  <c:v>28.6</c:v>
                </c:pt>
                <c:pt idx="26">
                  <c:v>27.2</c:v>
                </c:pt>
                <c:pt idx="27">
                  <c:v>25.9</c:v>
                </c:pt>
                <c:pt idx="28">
                  <c:v>27</c:v>
                </c:pt>
                <c:pt idx="29">
                  <c:v>27.5</c:v>
                </c:pt>
                <c:pt idx="30">
                  <c:v>25.6</c:v>
                </c:pt>
                <c:pt idx="31">
                  <c:v>24.9</c:v>
                </c:pt>
                <c:pt idx="32">
                  <c:v>28.7</c:v>
                </c:pt>
                <c:pt idx="33">
                  <c:v>25.8</c:v>
                </c:pt>
                <c:pt idx="34">
                  <c:v>27.2</c:v>
                </c:pt>
                <c:pt idx="35">
                  <c:v>24.6</c:v>
                </c:pt>
                <c:pt idx="36">
                  <c:v>24.9</c:v>
                </c:pt>
                <c:pt idx="37">
                  <c:v>24.9</c:v>
                </c:pt>
                <c:pt idx="38">
                  <c:v>25.1</c:v>
                </c:pt>
                <c:pt idx="39">
                  <c:v>25.4</c:v>
                </c:pt>
                <c:pt idx="40">
                  <c:v>23.7</c:v>
                </c:pt>
                <c:pt idx="41">
                  <c:v>22.9</c:v>
                </c:pt>
                <c:pt idx="42">
                  <c:v>22.7</c:v>
                </c:pt>
                <c:pt idx="43">
                  <c:v>24.2</c:v>
                </c:pt>
                <c:pt idx="44">
                  <c:v>23.3</c:v>
                </c:pt>
                <c:pt idx="45">
                  <c:v>25.4</c:v>
                </c:pt>
                <c:pt idx="46">
                  <c:v>24.3</c:v>
                </c:pt>
                <c:pt idx="47">
                  <c:v>23.7</c:v>
                </c:pt>
                <c:pt idx="48">
                  <c:v>23.9</c:v>
                </c:pt>
                <c:pt idx="49">
                  <c:v>22.8</c:v>
                </c:pt>
                <c:pt idx="50">
                  <c:v>23.5</c:v>
                </c:pt>
                <c:pt idx="51">
                  <c:v>21.5</c:v>
                </c:pt>
                <c:pt idx="52">
                  <c:v>21.7</c:v>
                </c:pt>
                <c:pt idx="53">
                  <c:v>22.2</c:v>
                </c:pt>
                <c:pt idx="54">
                  <c:v>22.1</c:v>
                </c:pt>
                <c:pt idx="55">
                  <c:v>21.9</c:v>
                </c:pt>
                <c:pt idx="56">
                  <c:v>21.9</c:v>
                </c:pt>
                <c:pt idx="57">
                  <c:v>21.9</c:v>
                </c:pt>
                <c:pt idx="58">
                  <c:v>21.2</c:v>
                </c:pt>
                <c:pt idx="59">
                  <c:v>21.5</c:v>
                </c:pt>
                <c:pt idx="60">
                  <c:v>23.3</c:v>
                </c:pt>
                <c:pt idx="61">
                  <c:v>24.4</c:v>
                </c:pt>
                <c:pt idx="62">
                  <c:v>21.9</c:v>
                </c:pt>
                <c:pt idx="63">
                  <c:v>22.3</c:v>
                </c:pt>
                <c:pt idx="64">
                  <c:v>20.6</c:v>
                </c:pt>
                <c:pt idx="65">
                  <c:v>21.1</c:v>
                </c:pt>
                <c:pt idx="66">
                  <c:v>22.6</c:v>
                </c:pt>
                <c:pt idx="67">
                  <c:v>22.7</c:v>
                </c:pt>
                <c:pt idx="68">
                  <c:v>23</c:v>
                </c:pt>
                <c:pt idx="69">
                  <c:v>21.1</c:v>
                </c:pt>
                <c:pt idx="70">
                  <c:v>21.1</c:v>
                </c:pt>
                <c:pt idx="71">
                  <c:v>22</c:v>
                </c:pt>
                <c:pt idx="72">
                  <c:v>22.1</c:v>
                </c:pt>
                <c:pt idx="73">
                  <c:v>21.2</c:v>
                </c:pt>
                <c:pt idx="74">
                  <c:v>23.5</c:v>
                </c:pt>
                <c:pt idx="75">
                  <c:v>20.5</c:v>
                </c:pt>
                <c:pt idx="76">
                  <c:v>21.8</c:v>
                </c:pt>
                <c:pt idx="77">
                  <c:v>21.9</c:v>
                </c:pt>
                <c:pt idx="78">
                  <c:v>21.06</c:v>
                </c:pt>
                <c:pt idx="79">
                  <c:v>20.97</c:v>
                </c:pt>
                <c:pt idx="80">
                  <c:v>20.98</c:v>
                </c:pt>
                <c:pt idx="81">
                  <c:v>20.91</c:v>
                </c:pt>
                <c:pt idx="82">
                  <c:v>20.23</c:v>
                </c:pt>
                <c:pt idx="83">
                  <c:v>19.79</c:v>
                </c:pt>
                <c:pt idx="84">
                  <c:v>20.079999999999998</c:v>
                </c:pt>
                <c:pt idx="85">
                  <c:v>19.43</c:v>
                </c:pt>
                <c:pt idx="86">
                  <c:v>19.45</c:v>
                </c:pt>
                <c:pt idx="87">
                  <c:v>19.05</c:v>
                </c:pt>
                <c:pt idx="88">
                  <c:v>19.05</c:v>
                </c:pt>
                <c:pt idx="89">
                  <c:v>19.32</c:v>
                </c:pt>
                <c:pt idx="90">
                  <c:v>19.45</c:v>
                </c:pt>
                <c:pt idx="91">
                  <c:v>19.53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Data2'!$G$32:$CT$32</c:f>
              <c:numCache>
                <c:formatCode>General</c:formatCode>
                <c:ptCount val="92"/>
                <c:pt idx="0">
                  <c:v>27</c:v>
                </c:pt>
                <c:pt idx="1">
                  <c:v>23</c:v>
                </c:pt>
                <c:pt idx="2">
                  <c:v>25</c:v>
                </c:pt>
                <c:pt idx="3">
                  <c:v>25</c:v>
                </c:pt>
                <c:pt idx="4">
                  <c:v>23</c:v>
                </c:pt>
                <c:pt idx="5">
                  <c:v>20</c:v>
                </c:pt>
                <c:pt idx="6">
                  <c:v>29</c:v>
                </c:pt>
                <c:pt idx="7">
                  <c:v>25</c:v>
                </c:pt>
                <c:pt idx="8">
                  <c:v>17</c:v>
                </c:pt>
                <c:pt idx="9">
                  <c:v>31</c:v>
                </c:pt>
                <c:pt idx="10">
                  <c:v>16</c:v>
                </c:pt>
                <c:pt idx="11">
                  <c:v>24</c:v>
                </c:pt>
                <c:pt idx="12">
                  <c:v>30</c:v>
                </c:pt>
                <c:pt idx="13">
                  <c:v>34</c:v>
                </c:pt>
                <c:pt idx="14">
                  <c:v>29</c:v>
                </c:pt>
                <c:pt idx="15">
                  <c:v>26</c:v>
                </c:pt>
                <c:pt idx="16">
                  <c:v>23</c:v>
                </c:pt>
                <c:pt idx="17">
                  <c:v>28</c:v>
                </c:pt>
                <c:pt idx="18">
                  <c:v>21</c:v>
                </c:pt>
                <c:pt idx="19">
                  <c:v>31</c:v>
                </c:pt>
                <c:pt idx="20">
                  <c:v>26.8</c:v>
                </c:pt>
                <c:pt idx="21">
                  <c:v>28.1</c:v>
                </c:pt>
                <c:pt idx="22">
                  <c:v>28.5</c:v>
                </c:pt>
                <c:pt idx="23">
                  <c:v>25.7</c:v>
                </c:pt>
                <c:pt idx="24">
                  <c:v>25.7</c:v>
                </c:pt>
                <c:pt idx="25">
                  <c:v>24.5</c:v>
                </c:pt>
                <c:pt idx="26">
                  <c:v>25.7</c:v>
                </c:pt>
                <c:pt idx="27">
                  <c:v>24.7</c:v>
                </c:pt>
                <c:pt idx="28">
                  <c:v>25.4</c:v>
                </c:pt>
                <c:pt idx="29">
                  <c:v>24.4</c:v>
                </c:pt>
                <c:pt idx="30">
                  <c:v>25.6</c:v>
                </c:pt>
                <c:pt idx="31">
                  <c:v>23.4</c:v>
                </c:pt>
                <c:pt idx="32">
                  <c:v>24.2</c:v>
                </c:pt>
                <c:pt idx="33">
                  <c:v>25.6</c:v>
                </c:pt>
                <c:pt idx="34">
                  <c:v>22.6</c:v>
                </c:pt>
                <c:pt idx="35">
                  <c:v>23.1</c:v>
                </c:pt>
                <c:pt idx="36">
                  <c:v>23.5</c:v>
                </c:pt>
                <c:pt idx="37">
                  <c:v>23.8</c:v>
                </c:pt>
                <c:pt idx="38">
                  <c:v>23.1</c:v>
                </c:pt>
                <c:pt idx="39">
                  <c:v>21.6</c:v>
                </c:pt>
                <c:pt idx="40">
                  <c:v>21.9</c:v>
                </c:pt>
                <c:pt idx="41">
                  <c:v>21</c:v>
                </c:pt>
                <c:pt idx="42">
                  <c:v>23</c:v>
                </c:pt>
                <c:pt idx="43">
                  <c:v>22.4</c:v>
                </c:pt>
                <c:pt idx="44">
                  <c:v>19.600000000000001</c:v>
                </c:pt>
                <c:pt idx="45">
                  <c:v>22.6</c:v>
                </c:pt>
                <c:pt idx="46">
                  <c:v>21</c:v>
                </c:pt>
                <c:pt idx="47">
                  <c:v>21.9</c:v>
                </c:pt>
                <c:pt idx="48">
                  <c:v>23.3</c:v>
                </c:pt>
                <c:pt idx="49">
                  <c:v>21.8</c:v>
                </c:pt>
                <c:pt idx="50">
                  <c:v>20.100000000000001</c:v>
                </c:pt>
                <c:pt idx="51">
                  <c:v>22.2</c:v>
                </c:pt>
                <c:pt idx="52">
                  <c:v>20</c:v>
                </c:pt>
                <c:pt idx="53">
                  <c:v>21.5</c:v>
                </c:pt>
                <c:pt idx="54">
                  <c:v>20.100000000000001</c:v>
                </c:pt>
                <c:pt idx="55">
                  <c:v>21.3</c:v>
                </c:pt>
                <c:pt idx="56">
                  <c:v>21.8</c:v>
                </c:pt>
                <c:pt idx="57">
                  <c:v>21.3</c:v>
                </c:pt>
                <c:pt idx="58">
                  <c:v>22.7</c:v>
                </c:pt>
                <c:pt idx="59">
                  <c:v>22</c:v>
                </c:pt>
                <c:pt idx="60">
                  <c:v>18.899999999999999</c:v>
                </c:pt>
                <c:pt idx="61">
                  <c:v>20.9</c:v>
                </c:pt>
                <c:pt idx="62">
                  <c:v>21.7</c:v>
                </c:pt>
                <c:pt idx="63">
                  <c:v>20.5</c:v>
                </c:pt>
                <c:pt idx="64">
                  <c:v>19.7</c:v>
                </c:pt>
                <c:pt idx="65">
                  <c:v>19.100000000000001</c:v>
                </c:pt>
                <c:pt idx="66">
                  <c:v>17.7</c:v>
                </c:pt>
                <c:pt idx="67">
                  <c:v>19.899999999999999</c:v>
                </c:pt>
                <c:pt idx="68">
                  <c:v>20.9</c:v>
                </c:pt>
                <c:pt idx="69">
                  <c:v>20</c:v>
                </c:pt>
                <c:pt idx="70">
                  <c:v>21.8</c:v>
                </c:pt>
                <c:pt idx="71">
                  <c:v>18.2</c:v>
                </c:pt>
                <c:pt idx="72">
                  <c:v>19.2</c:v>
                </c:pt>
                <c:pt idx="73">
                  <c:v>20.7</c:v>
                </c:pt>
                <c:pt idx="74">
                  <c:v>18.5</c:v>
                </c:pt>
                <c:pt idx="75">
                  <c:v>17.899999999999999</c:v>
                </c:pt>
                <c:pt idx="76">
                  <c:v>19.3</c:v>
                </c:pt>
                <c:pt idx="77">
                  <c:v>19.399999999999999</c:v>
                </c:pt>
                <c:pt idx="78">
                  <c:v>18.27</c:v>
                </c:pt>
                <c:pt idx="79">
                  <c:v>17.96</c:v>
                </c:pt>
                <c:pt idx="80">
                  <c:v>18.670000000000002</c:v>
                </c:pt>
                <c:pt idx="81">
                  <c:v>18.38</c:v>
                </c:pt>
                <c:pt idx="82">
                  <c:v>18.079999999999998</c:v>
                </c:pt>
                <c:pt idx="83">
                  <c:v>17.45</c:v>
                </c:pt>
                <c:pt idx="84">
                  <c:v>18.16</c:v>
                </c:pt>
                <c:pt idx="85">
                  <c:v>17.079999999999998</c:v>
                </c:pt>
                <c:pt idx="86">
                  <c:v>17.37</c:v>
                </c:pt>
                <c:pt idx="87">
                  <c:v>17.420000000000002</c:v>
                </c:pt>
                <c:pt idx="88">
                  <c:v>17.45</c:v>
                </c:pt>
                <c:pt idx="89">
                  <c:v>17.420000000000002</c:v>
                </c:pt>
                <c:pt idx="90">
                  <c:v>16.77</c:v>
                </c:pt>
                <c:pt idx="91">
                  <c:v>16.62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Data2'!$G$33:$CT$33</c:f>
              <c:numCache>
                <c:formatCode>General</c:formatCode>
                <c:ptCount val="92"/>
                <c:pt idx="0">
                  <c:v>17</c:v>
                </c:pt>
                <c:pt idx="1">
                  <c:v>17</c:v>
                </c:pt>
                <c:pt idx="2">
                  <c:v>24</c:v>
                </c:pt>
                <c:pt idx="3">
                  <c:v>19</c:v>
                </c:pt>
                <c:pt idx="4">
                  <c:v>24</c:v>
                </c:pt>
                <c:pt idx="5">
                  <c:v>27</c:v>
                </c:pt>
                <c:pt idx="6">
                  <c:v>21</c:v>
                </c:pt>
                <c:pt idx="7">
                  <c:v>20</c:v>
                </c:pt>
                <c:pt idx="8">
                  <c:v>25</c:v>
                </c:pt>
                <c:pt idx="9">
                  <c:v>25</c:v>
                </c:pt>
                <c:pt idx="10">
                  <c:v>22</c:v>
                </c:pt>
                <c:pt idx="11">
                  <c:v>19</c:v>
                </c:pt>
                <c:pt idx="12">
                  <c:v>20</c:v>
                </c:pt>
                <c:pt idx="13">
                  <c:v>24</c:v>
                </c:pt>
                <c:pt idx="14">
                  <c:v>25</c:v>
                </c:pt>
                <c:pt idx="15">
                  <c:v>24</c:v>
                </c:pt>
                <c:pt idx="16">
                  <c:v>18</c:v>
                </c:pt>
                <c:pt idx="17">
                  <c:v>21</c:v>
                </c:pt>
                <c:pt idx="18">
                  <c:v>21</c:v>
                </c:pt>
                <c:pt idx="19">
                  <c:v>24</c:v>
                </c:pt>
                <c:pt idx="20">
                  <c:v>22.8</c:v>
                </c:pt>
                <c:pt idx="21">
                  <c:v>25</c:v>
                </c:pt>
                <c:pt idx="22">
                  <c:v>23.3</c:v>
                </c:pt>
                <c:pt idx="23">
                  <c:v>25.1</c:v>
                </c:pt>
                <c:pt idx="24">
                  <c:v>25</c:v>
                </c:pt>
                <c:pt idx="25">
                  <c:v>23.9</c:v>
                </c:pt>
                <c:pt idx="26">
                  <c:v>22</c:v>
                </c:pt>
                <c:pt idx="27">
                  <c:v>20.7</c:v>
                </c:pt>
                <c:pt idx="28">
                  <c:v>21.5</c:v>
                </c:pt>
                <c:pt idx="29">
                  <c:v>21.1</c:v>
                </c:pt>
                <c:pt idx="30">
                  <c:v>24</c:v>
                </c:pt>
                <c:pt idx="31">
                  <c:v>21.4</c:v>
                </c:pt>
                <c:pt idx="32">
                  <c:v>21.8</c:v>
                </c:pt>
                <c:pt idx="33">
                  <c:v>22.7</c:v>
                </c:pt>
                <c:pt idx="34">
                  <c:v>24.4</c:v>
                </c:pt>
                <c:pt idx="35">
                  <c:v>21.2</c:v>
                </c:pt>
                <c:pt idx="36">
                  <c:v>20.399999999999999</c:v>
                </c:pt>
                <c:pt idx="37">
                  <c:v>21.4</c:v>
                </c:pt>
                <c:pt idx="38">
                  <c:v>21.1</c:v>
                </c:pt>
                <c:pt idx="39">
                  <c:v>21.4</c:v>
                </c:pt>
                <c:pt idx="40">
                  <c:v>19.3</c:v>
                </c:pt>
                <c:pt idx="41">
                  <c:v>21.8</c:v>
                </c:pt>
                <c:pt idx="42">
                  <c:v>20.8</c:v>
                </c:pt>
                <c:pt idx="43">
                  <c:v>21</c:v>
                </c:pt>
                <c:pt idx="44">
                  <c:v>20.5</c:v>
                </c:pt>
                <c:pt idx="45">
                  <c:v>21.7</c:v>
                </c:pt>
                <c:pt idx="46">
                  <c:v>20.9</c:v>
                </c:pt>
                <c:pt idx="47">
                  <c:v>19.8</c:v>
                </c:pt>
                <c:pt idx="48">
                  <c:v>16.600000000000001</c:v>
                </c:pt>
                <c:pt idx="49">
                  <c:v>19.100000000000001</c:v>
                </c:pt>
                <c:pt idx="50">
                  <c:v>19.3</c:v>
                </c:pt>
                <c:pt idx="51">
                  <c:v>18.7</c:v>
                </c:pt>
                <c:pt idx="52">
                  <c:v>19.899999999999999</c:v>
                </c:pt>
                <c:pt idx="53">
                  <c:v>19.399999999999999</c:v>
                </c:pt>
                <c:pt idx="54">
                  <c:v>19.600000000000001</c:v>
                </c:pt>
                <c:pt idx="55">
                  <c:v>18.2</c:v>
                </c:pt>
                <c:pt idx="56">
                  <c:v>21</c:v>
                </c:pt>
                <c:pt idx="57">
                  <c:v>18.100000000000001</c:v>
                </c:pt>
                <c:pt idx="58">
                  <c:v>16.7</c:v>
                </c:pt>
                <c:pt idx="59">
                  <c:v>19.899999999999999</c:v>
                </c:pt>
                <c:pt idx="60">
                  <c:v>18.3</c:v>
                </c:pt>
                <c:pt idx="61">
                  <c:v>19.100000000000001</c:v>
                </c:pt>
                <c:pt idx="62">
                  <c:v>19.7</c:v>
                </c:pt>
                <c:pt idx="63">
                  <c:v>17.7</c:v>
                </c:pt>
                <c:pt idx="64">
                  <c:v>19</c:v>
                </c:pt>
                <c:pt idx="65">
                  <c:v>18.7</c:v>
                </c:pt>
                <c:pt idx="66">
                  <c:v>19.399999999999999</c:v>
                </c:pt>
                <c:pt idx="67">
                  <c:v>18.100000000000001</c:v>
                </c:pt>
                <c:pt idx="68">
                  <c:v>16.899999999999999</c:v>
                </c:pt>
                <c:pt idx="69">
                  <c:v>17.3</c:v>
                </c:pt>
                <c:pt idx="70">
                  <c:v>18.100000000000001</c:v>
                </c:pt>
                <c:pt idx="71">
                  <c:v>18.8</c:v>
                </c:pt>
                <c:pt idx="72">
                  <c:v>19.600000000000001</c:v>
                </c:pt>
                <c:pt idx="73">
                  <c:v>17.3</c:v>
                </c:pt>
                <c:pt idx="74">
                  <c:v>18.7</c:v>
                </c:pt>
                <c:pt idx="75">
                  <c:v>16.899999999999999</c:v>
                </c:pt>
                <c:pt idx="76">
                  <c:v>17.7</c:v>
                </c:pt>
                <c:pt idx="77">
                  <c:v>19.600000000000001</c:v>
                </c:pt>
                <c:pt idx="78">
                  <c:v>17.84</c:v>
                </c:pt>
                <c:pt idx="79">
                  <c:v>17.149999999999999</c:v>
                </c:pt>
                <c:pt idx="80">
                  <c:v>16.96</c:v>
                </c:pt>
                <c:pt idx="81">
                  <c:v>16.600000000000001</c:v>
                </c:pt>
                <c:pt idx="82">
                  <c:v>16.579999999999998</c:v>
                </c:pt>
                <c:pt idx="83">
                  <c:v>16.940000000000001</c:v>
                </c:pt>
                <c:pt idx="84">
                  <c:v>16.989999999999998</c:v>
                </c:pt>
                <c:pt idx="85">
                  <c:v>16.11</c:v>
                </c:pt>
                <c:pt idx="86">
                  <c:v>16.82</c:v>
                </c:pt>
                <c:pt idx="87">
                  <c:v>16.18</c:v>
                </c:pt>
                <c:pt idx="88">
                  <c:v>16.309999999999999</c:v>
                </c:pt>
                <c:pt idx="89">
                  <c:v>15.98</c:v>
                </c:pt>
                <c:pt idx="90">
                  <c:v>15.9</c:v>
                </c:pt>
                <c:pt idx="91">
                  <c:v>16.43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Data2'!$G$34:$CT$34</c:f>
              <c:numCache>
                <c:formatCode>General</c:formatCode>
                <c:ptCount val="92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26</c:v>
                </c:pt>
                <c:pt idx="4">
                  <c:v>26</c:v>
                </c:pt>
                <c:pt idx="5">
                  <c:v>31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28</c:v>
                </c:pt>
                <c:pt idx="10">
                  <c:v>24</c:v>
                </c:pt>
                <c:pt idx="11">
                  <c:v>30</c:v>
                </c:pt>
                <c:pt idx="12">
                  <c:v>27</c:v>
                </c:pt>
                <c:pt idx="13">
                  <c:v>17</c:v>
                </c:pt>
                <c:pt idx="14">
                  <c:v>21</c:v>
                </c:pt>
                <c:pt idx="15">
                  <c:v>25</c:v>
                </c:pt>
                <c:pt idx="16">
                  <c:v>30</c:v>
                </c:pt>
                <c:pt idx="17">
                  <c:v>27</c:v>
                </c:pt>
                <c:pt idx="18">
                  <c:v>25</c:v>
                </c:pt>
                <c:pt idx="19">
                  <c:v>25</c:v>
                </c:pt>
                <c:pt idx="20">
                  <c:v>25.1</c:v>
                </c:pt>
                <c:pt idx="21">
                  <c:v>24.2</c:v>
                </c:pt>
                <c:pt idx="22">
                  <c:v>25.5</c:v>
                </c:pt>
                <c:pt idx="23">
                  <c:v>25.1</c:v>
                </c:pt>
                <c:pt idx="24">
                  <c:v>23.4</c:v>
                </c:pt>
                <c:pt idx="25">
                  <c:v>25.1</c:v>
                </c:pt>
                <c:pt idx="26">
                  <c:v>27.3</c:v>
                </c:pt>
                <c:pt idx="27">
                  <c:v>25.5</c:v>
                </c:pt>
                <c:pt idx="28">
                  <c:v>24.3</c:v>
                </c:pt>
                <c:pt idx="29">
                  <c:v>25.4</c:v>
                </c:pt>
                <c:pt idx="30">
                  <c:v>25.1</c:v>
                </c:pt>
                <c:pt idx="31">
                  <c:v>22.1</c:v>
                </c:pt>
                <c:pt idx="32">
                  <c:v>22.5</c:v>
                </c:pt>
                <c:pt idx="33">
                  <c:v>23.8</c:v>
                </c:pt>
                <c:pt idx="34">
                  <c:v>23.7</c:v>
                </c:pt>
                <c:pt idx="35">
                  <c:v>22.9</c:v>
                </c:pt>
                <c:pt idx="36">
                  <c:v>22.7</c:v>
                </c:pt>
                <c:pt idx="37">
                  <c:v>23.9</c:v>
                </c:pt>
                <c:pt idx="38">
                  <c:v>22.7</c:v>
                </c:pt>
                <c:pt idx="39">
                  <c:v>21.9</c:v>
                </c:pt>
                <c:pt idx="40">
                  <c:v>21.5</c:v>
                </c:pt>
                <c:pt idx="41">
                  <c:v>21.2</c:v>
                </c:pt>
                <c:pt idx="42">
                  <c:v>21.8</c:v>
                </c:pt>
                <c:pt idx="43">
                  <c:v>20.100000000000001</c:v>
                </c:pt>
                <c:pt idx="44">
                  <c:v>21.4</c:v>
                </c:pt>
                <c:pt idx="45">
                  <c:v>20.6</c:v>
                </c:pt>
                <c:pt idx="46">
                  <c:v>18.600000000000001</c:v>
                </c:pt>
                <c:pt idx="47">
                  <c:v>19.7</c:v>
                </c:pt>
                <c:pt idx="48">
                  <c:v>20.399999999999999</c:v>
                </c:pt>
                <c:pt idx="49">
                  <c:v>19.899999999999999</c:v>
                </c:pt>
                <c:pt idx="50">
                  <c:v>21.1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19.600000000000001</c:v>
                </c:pt>
                <c:pt idx="54">
                  <c:v>21.3</c:v>
                </c:pt>
                <c:pt idx="55">
                  <c:v>19.5</c:v>
                </c:pt>
                <c:pt idx="56">
                  <c:v>19.100000000000001</c:v>
                </c:pt>
                <c:pt idx="57">
                  <c:v>19</c:v>
                </c:pt>
                <c:pt idx="58">
                  <c:v>22.5</c:v>
                </c:pt>
                <c:pt idx="59">
                  <c:v>20.6</c:v>
                </c:pt>
                <c:pt idx="60">
                  <c:v>18.3</c:v>
                </c:pt>
                <c:pt idx="61">
                  <c:v>20.7</c:v>
                </c:pt>
                <c:pt idx="62">
                  <c:v>18.5</c:v>
                </c:pt>
                <c:pt idx="63">
                  <c:v>17.600000000000001</c:v>
                </c:pt>
                <c:pt idx="64">
                  <c:v>20.399999999999999</c:v>
                </c:pt>
                <c:pt idx="65">
                  <c:v>17.600000000000001</c:v>
                </c:pt>
                <c:pt idx="66">
                  <c:v>19.399999999999999</c:v>
                </c:pt>
                <c:pt idx="67">
                  <c:v>19.3</c:v>
                </c:pt>
                <c:pt idx="68">
                  <c:v>18.399999999999999</c:v>
                </c:pt>
                <c:pt idx="69">
                  <c:v>17.899999999999999</c:v>
                </c:pt>
                <c:pt idx="70">
                  <c:v>18.8</c:v>
                </c:pt>
                <c:pt idx="71">
                  <c:v>17.5</c:v>
                </c:pt>
                <c:pt idx="72">
                  <c:v>18</c:v>
                </c:pt>
                <c:pt idx="73">
                  <c:v>17.399999999999999</c:v>
                </c:pt>
                <c:pt idx="74">
                  <c:v>17.3</c:v>
                </c:pt>
                <c:pt idx="75">
                  <c:v>16.8</c:v>
                </c:pt>
                <c:pt idx="76">
                  <c:v>17.399999999999999</c:v>
                </c:pt>
                <c:pt idx="77">
                  <c:v>18.399999999999999</c:v>
                </c:pt>
                <c:pt idx="78">
                  <c:v>17.73</c:v>
                </c:pt>
                <c:pt idx="79">
                  <c:v>17.649999999999999</c:v>
                </c:pt>
                <c:pt idx="80">
                  <c:v>17.440000000000001</c:v>
                </c:pt>
                <c:pt idx="81">
                  <c:v>16.54</c:v>
                </c:pt>
                <c:pt idx="82">
                  <c:v>17.079999999999998</c:v>
                </c:pt>
                <c:pt idx="83">
                  <c:v>16.61</c:v>
                </c:pt>
                <c:pt idx="84">
                  <c:v>16.09</c:v>
                </c:pt>
                <c:pt idx="85">
                  <c:v>16.55</c:v>
                </c:pt>
                <c:pt idx="86">
                  <c:v>16.37</c:v>
                </c:pt>
                <c:pt idx="87">
                  <c:v>15.57</c:v>
                </c:pt>
                <c:pt idx="88">
                  <c:v>16.23</c:v>
                </c:pt>
                <c:pt idx="89">
                  <c:v>15.89</c:v>
                </c:pt>
                <c:pt idx="90">
                  <c:v>15.94</c:v>
                </c:pt>
                <c:pt idx="91">
                  <c:v>15.13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Data2'!$G$35:$CT$35</c:f>
              <c:numCache>
                <c:formatCode>General</c:formatCode>
                <c:ptCount val="92"/>
                <c:pt idx="0">
                  <c:v>26</c:v>
                </c:pt>
                <c:pt idx="1">
                  <c:v>19</c:v>
                </c:pt>
                <c:pt idx="2">
                  <c:v>22</c:v>
                </c:pt>
                <c:pt idx="3">
                  <c:v>20</c:v>
                </c:pt>
                <c:pt idx="4">
                  <c:v>23</c:v>
                </c:pt>
                <c:pt idx="5">
                  <c:v>24</c:v>
                </c:pt>
                <c:pt idx="6">
                  <c:v>19</c:v>
                </c:pt>
                <c:pt idx="7">
                  <c:v>21</c:v>
                </c:pt>
                <c:pt idx="8">
                  <c:v>22</c:v>
                </c:pt>
                <c:pt idx="9">
                  <c:v>17</c:v>
                </c:pt>
                <c:pt idx="10">
                  <c:v>19</c:v>
                </c:pt>
                <c:pt idx="11">
                  <c:v>18</c:v>
                </c:pt>
                <c:pt idx="12">
                  <c:v>22</c:v>
                </c:pt>
                <c:pt idx="13">
                  <c:v>18</c:v>
                </c:pt>
                <c:pt idx="14">
                  <c:v>14</c:v>
                </c:pt>
                <c:pt idx="15">
                  <c:v>18</c:v>
                </c:pt>
                <c:pt idx="16">
                  <c:v>24</c:v>
                </c:pt>
                <c:pt idx="17">
                  <c:v>21</c:v>
                </c:pt>
                <c:pt idx="18">
                  <c:v>22</c:v>
                </c:pt>
                <c:pt idx="19">
                  <c:v>26</c:v>
                </c:pt>
                <c:pt idx="20">
                  <c:v>21.6</c:v>
                </c:pt>
                <c:pt idx="21">
                  <c:v>22.5</c:v>
                </c:pt>
                <c:pt idx="22">
                  <c:v>21.5</c:v>
                </c:pt>
                <c:pt idx="23">
                  <c:v>19.7</c:v>
                </c:pt>
                <c:pt idx="24">
                  <c:v>23.4</c:v>
                </c:pt>
                <c:pt idx="25">
                  <c:v>20</c:v>
                </c:pt>
                <c:pt idx="26">
                  <c:v>20.8</c:v>
                </c:pt>
                <c:pt idx="27">
                  <c:v>22</c:v>
                </c:pt>
                <c:pt idx="28">
                  <c:v>20.2</c:v>
                </c:pt>
                <c:pt idx="29">
                  <c:v>20.6</c:v>
                </c:pt>
                <c:pt idx="30">
                  <c:v>19.100000000000001</c:v>
                </c:pt>
                <c:pt idx="31">
                  <c:v>18.600000000000001</c:v>
                </c:pt>
                <c:pt idx="32">
                  <c:v>21.4</c:v>
                </c:pt>
                <c:pt idx="33">
                  <c:v>19</c:v>
                </c:pt>
                <c:pt idx="34">
                  <c:v>19.899999999999999</c:v>
                </c:pt>
                <c:pt idx="35">
                  <c:v>18.600000000000001</c:v>
                </c:pt>
                <c:pt idx="36">
                  <c:v>16.100000000000001</c:v>
                </c:pt>
                <c:pt idx="37">
                  <c:v>17.600000000000001</c:v>
                </c:pt>
                <c:pt idx="38">
                  <c:v>19.7</c:v>
                </c:pt>
                <c:pt idx="39">
                  <c:v>18.100000000000001</c:v>
                </c:pt>
                <c:pt idx="40">
                  <c:v>17.600000000000001</c:v>
                </c:pt>
                <c:pt idx="41">
                  <c:v>19.600000000000001</c:v>
                </c:pt>
                <c:pt idx="42">
                  <c:v>18.399999999999999</c:v>
                </c:pt>
                <c:pt idx="43">
                  <c:v>19.600000000000001</c:v>
                </c:pt>
                <c:pt idx="44">
                  <c:v>17.7</c:v>
                </c:pt>
                <c:pt idx="45">
                  <c:v>17.2</c:v>
                </c:pt>
                <c:pt idx="46">
                  <c:v>17.899999999999999</c:v>
                </c:pt>
                <c:pt idx="47">
                  <c:v>18.2</c:v>
                </c:pt>
                <c:pt idx="48">
                  <c:v>19.5</c:v>
                </c:pt>
                <c:pt idx="49">
                  <c:v>17.7</c:v>
                </c:pt>
                <c:pt idx="50">
                  <c:v>16.600000000000001</c:v>
                </c:pt>
                <c:pt idx="51">
                  <c:v>18.2</c:v>
                </c:pt>
                <c:pt idx="52">
                  <c:v>16.2</c:v>
                </c:pt>
                <c:pt idx="53">
                  <c:v>19.2</c:v>
                </c:pt>
                <c:pt idx="54">
                  <c:v>19</c:v>
                </c:pt>
                <c:pt idx="55">
                  <c:v>18.399999999999999</c:v>
                </c:pt>
                <c:pt idx="56">
                  <c:v>16.5</c:v>
                </c:pt>
                <c:pt idx="57">
                  <c:v>16.2</c:v>
                </c:pt>
                <c:pt idx="58">
                  <c:v>16.5</c:v>
                </c:pt>
                <c:pt idx="59">
                  <c:v>17.600000000000001</c:v>
                </c:pt>
                <c:pt idx="60">
                  <c:v>16.5</c:v>
                </c:pt>
                <c:pt idx="61">
                  <c:v>17.399999999999999</c:v>
                </c:pt>
                <c:pt idx="62">
                  <c:v>16.899999999999999</c:v>
                </c:pt>
                <c:pt idx="63">
                  <c:v>17.8</c:v>
                </c:pt>
                <c:pt idx="64">
                  <c:v>16.899999999999999</c:v>
                </c:pt>
                <c:pt idx="65">
                  <c:v>17.100000000000001</c:v>
                </c:pt>
                <c:pt idx="66">
                  <c:v>17.899999999999999</c:v>
                </c:pt>
                <c:pt idx="67">
                  <c:v>15.9</c:v>
                </c:pt>
                <c:pt idx="68">
                  <c:v>17</c:v>
                </c:pt>
                <c:pt idx="69">
                  <c:v>16.5</c:v>
                </c:pt>
                <c:pt idx="70">
                  <c:v>17.100000000000001</c:v>
                </c:pt>
                <c:pt idx="71">
                  <c:v>16</c:v>
                </c:pt>
                <c:pt idx="72">
                  <c:v>16.8</c:v>
                </c:pt>
                <c:pt idx="73">
                  <c:v>17</c:v>
                </c:pt>
                <c:pt idx="74">
                  <c:v>16</c:v>
                </c:pt>
                <c:pt idx="75">
                  <c:v>14.8</c:v>
                </c:pt>
                <c:pt idx="76">
                  <c:v>14.8</c:v>
                </c:pt>
                <c:pt idx="77">
                  <c:v>15.7</c:v>
                </c:pt>
                <c:pt idx="78">
                  <c:v>15.77</c:v>
                </c:pt>
                <c:pt idx="79">
                  <c:v>15.68</c:v>
                </c:pt>
                <c:pt idx="80">
                  <c:v>15.24</c:v>
                </c:pt>
                <c:pt idx="81">
                  <c:v>14.69</c:v>
                </c:pt>
                <c:pt idx="82">
                  <c:v>14.84</c:v>
                </c:pt>
                <c:pt idx="83">
                  <c:v>15.22</c:v>
                </c:pt>
                <c:pt idx="84">
                  <c:v>14.52</c:v>
                </c:pt>
                <c:pt idx="85">
                  <c:v>14.16</c:v>
                </c:pt>
                <c:pt idx="86">
                  <c:v>14.48</c:v>
                </c:pt>
                <c:pt idx="87">
                  <c:v>14.28</c:v>
                </c:pt>
                <c:pt idx="88">
                  <c:v>14.34</c:v>
                </c:pt>
                <c:pt idx="89">
                  <c:v>14.09</c:v>
                </c:pt>
                <c:pt idx="90">
                  <c:v>14.27</c:v>
                </c:pt>
                <c:pt idx="91">
                  <c:v>14.57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Data2'!$G$36:$CT$36</c:f>
              <c:numCache>
                <c:formatCode>General</c:formatCode>
                <c:ptCount val="92"/>
                <c:pt idx="0">
                  <c:v>16</c:v>
                </c:pt>
                <c:pt idx="1">
                  <c:v>15</c:v>
                </c:pt>
                <c:pt idx="2">
                  <c:v>15</c:v>
                </c:pt>
                <c:pt idx="3">
                  <c:v>16</c:v>
                </c:pt>
                <c:pt idx="4">
                  <c:v>20</c:v>
                </c:pt>
                <c:pt idx="5">
                  <c:v>17</c:v>
                </c:pt>
                <c:pt idx="6">
                  <c:v>14</c:v>
                </c:pt>
                <c:pt idx="7">
                  <c:v>18</c:v>
                </c:pt>
                <c:pt idx="8">
                  <c:v>16</c:v>
                </c:pt>
                <c:pt idx="9">
                  <c:v>26</c:v>
                </c:pt>
                <c:pt idx="10">
                  <c:v>19</c:v>
                </c:pt>
                <c:pt idx="11">
                  <c:v>16</c:v>
                </c:pt>
                <c:pt idx="12">
                  <c:v>12</c:v>
                </c:pt>
                <c:pt idx="13">
                  <c:v>11</c:v>
                </c:pt>
                <c:pt idx="14">
                  <c:v>11</c:v>
                </c:pt>
                <c:pt idx="15">
                  <c:v>15</c:v>
                </c:pt>
                <c:pt idx="16">
                  <c:v>18</c:v>
                </c:pt>
                <c:pt idx="17">
                  <c:v>21</c:v>
                </c:pt>
                <c:pt idx="18">
                  <c:v>16</c:v>
                </c:pt>
                <c:pt idx="19">
                  <c:v>17</c:v>
                </c:pt>
                <c:pt idx="20">
                  <c:v>17.100000000000001</c:v>
                </c:pt>
                <c:pt idx="21">
                  <c:v>15.8</c:v>
                </c:pt>
                <c:pt idx="22">
                  <c:v>16.2</c:v>
                </c:pt>
                <c:pt idx="23">
                  <c:v>18.7</c:v>
                </c:pt>
                <c:pt idx="24">
                  <c:v>16.5</c:v>
                </c:pt>
                <c:pt idx="25">
                  <c:v>16.3</c:v>
                </c:pt>
                <c:pt idx="26">
                  <c:v>15.7</c:v>
                </c:pt>
                <c:pt idx="27">
                  <c:v>14.3</c:v>
                </c:pt>
                <c:pt idx="28">
                  <c:v>16.7</c:v>
                </c:pt>
                <c:pt idx="29">
                  <c:v>15</c:v>
                </c:pt>
                <c:pt idx="30">
                  <c:v>14.7</c:v>
                </c:pt>
                <c:pt idx="31">
                  <c:v>15.1</c:v>
                </c:pt>
                <c:pt idx="32">
                  <c:v>14.2</c:v>
                </c:pt>
                <c:pt idx="33">
                  <c:v>15.2</c:v>
                </c:pt>
                <c:pt idx="34">
                  <c:v>15.9</c:v>
                </c:pt>
                <c:pt idx="35">
                  <c:v>15.1</c:v>
                </c:pt>
                <c:pt idx="36">
                  <c:v>15.8</c:v>
                </c:pt>
                <c:pt idx="37">
                  <c:v>14</c:v>
                </c:pt>
                <c:pt idx="38">
                  <c:v>15</c:v>
                </c:pt>
                <c:pt idx="39">
                  <c:v>14.5</c:v>
                </c:pt>
                <c:pt idx="40">
                  <c:v>16.2</c:v>
                </c:pt>
                <c:pt idx="41">
                  <c:v>15.5</c:v>
                </c:pt>
                <c:pt idx="42">
                  <c:v>14</c:v>
                </c:pt>
                <c:pt idx="43">
                  <c:v>15.5</c:v>
                </c:pt>
                <c:pt idx="44">
                  <c:v>13.4</c:v>
                </c:pt>
                <c:pt idx="45">
                  <c:v>13.6</c:v>
                </c:pt>
                <c:pt idx="46">
                  <c:v>14.4</c:v>
                </c:pt>
                <c:pt idx="47">
                  <c:v>15.1</c:v>
                </c:pt>
                <c:pt idx="48">
                  <c:v>14.3</c:v>
                </c:pt>
                <c:pt idx="49">
                  <c:v>12.8</c:v>
                </c:pt>
                <c:pt idx="50">
                  <c:v>14.5</c:v>
                </c:pt>
                <c:pt idx="51">
                  <c:v>14.7</c:v>
                </c:pt>
                <c:pt idx="52">
                  <c:v>13</c:v>
                </c:pt>
                <c:pt idx="53">
                  <c:v>14.3</c:v>
                </c:pt>
                <c:pt idx="54">
                  <c:v>14</c:v>
                </c:pt>
                <c:pt idx="55">
                  <c:v>15.3</c:v>
                </c:pt>
                <c:pt idx="56">
                  <c:v>15</c:v>
                </c:pt>
                <c:pt idx="57">
                  <c:v>14</c:v>
                </c:pt>
                <c:pt idx="58">
                  <c:v>12.1</c:v>
                </c:pt>
                <c:pt idx="59">
                  <c:v>14</c:v>
                </c:pt>
                <c:pt idx="60">
                  <c:v>13.8</c:v>
                </c:pt>
                <c:pt idx="61">
                  <c:v>12.8</c:v>
                </c:pt>
                <c:pt idx="62">
                  <c:v>13.7</c:v>
                </c:pt>
                <c:pt idx="63">
                  <c:v>13.7</c:v>
                </c:pt>
                <c:pt idx="64">
                  <c:v>12.7</c:v>
                </c:pt>
                <c:pt idx="65">
                  <c:v>14.2</c:v>
                </c:pt>
                <c:pt idx="66">
                  <c:v>13.8</c:v>
                </c:pt>
                <c:pt idx="67">
                  <c:v>13.5</c:v>
                </c:pt>
                <c:pt idx="68">
                  <c:v>13.1</c:v>
                </c:pt>
                <c:pt idx="69">
                  <c:v>12.5</c:v>
                </c:pt>
                <c:pt idx="70">
                  <c:v>15</c:v>
                </c:pt>
                <c:pt idx="71">
                  <c:v>13.8</c:v>
                </c:pt>
                <c:pt idx="72">
                  <c:v>13.5</c:v>
                </c:pt>
                <c:pt idx="73">
                  <c:v>11.6</c:v>
                </c:pt>
                <c:pt idx="74">
                  <c:v>13.4</c:v>
                </c:pt>
                <c:pt idx="75">
                  <c:v>13.1</c:v>
                </c:pt>
                <c:pt idx="76">
                  <c:v>12.8</c:v>
                </c:pt>
                <c:pt idx="77">
                  <c:v>12.9</c:v>
                </c:pt>
                <c:pt idx="78">
                  <c:v>13.06</c:v>
                </c:pt>
                <c:pt idx="79">
                  <c:v>12.71</c:v>
                </c:pt>
                <c:pt idx="80">
                  <c:v>12.93</c:v>
                </c:pt>
                <c:pt idx="81">
                  <c:v>12.28</c:v>
                </c:pt>
                <c:pt idx="82">
                  <c:v>12.15</c:v>
                </c:pt>
                <c:pt idx="83">
                  <c:v>12.58</c:v>
                </c:pt>
                <c:pt idx="84">
                  <c:v>12.68</c:v>
                </c:pt>
                <c:pt idx="85">
                  <c:v>12.14</c:v>
                </c:pt>
                <c:pt idx="86">
                  <c:v>11.99</c:v>
                </c:pt>
                <c:pt idx="87">
                  <c:v>12.45</c:v>
                </c:pt>
                <c:pt idx="88">
                  <c:v>12.07</c:v>
                </c:pt>
                <c:pt idx="89">
                  <c:v>12.13</c:v>
                </c:pt>
                <c:pt idx="90">
                  <c:v>12.2</c:v>
                </c:pt>
                <c:pt idx="91">
                  <c:v>12.32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Data2'!$G$37:$CT$37</c:f>
              <c:numCache>
                <c:formatCode>General</c:formatCode>
                <c:ptCount val="92"/>
                <c:pt idx="0">
                  <c:v>17</c:v>
                </c:pt>
                <c:pt idx="1">
                  <c:v>18</c:v>
                </c:pt>
                <c:pt idx="2">
                  <c:v>9</c:v>
                </c:pt>
                <c:pt idx="3">
                  <c:v>13</c:v>
                </c:pt>
                <c:pt idx="4">
                  <c:v>13</c:v>
                </c:pt>
                <c:pt idx="5">
                  <c:v>22</c:v>
                </c:pt>
                <c:pt idx="6">
                  <c:v>20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  <c:pt idx="10">
                  <c:v>14</c:v>
                </c:pt>
                <c:pt idx="11">
                  <c:v>19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21</c:v>
                </c:pt>
                <c:pt idx="16">
                  <c:v>13</c:v>
                </c:pt>
                <c:pt idx="17">
                  <c:v>16</c:v>
                </c:pt>
                <c:pt idx="18">
                  <c:v>17</c:v>
                </c:pt>
                <c:pt idx="19">
                  <c:v>16</c:v>
                </c:pt>
                <c:pt idx="20">
                  <c:v>20.6</c:v>
                </c:pt>
                <c:pt idx="21">
                  <c:v>17.399999999999999</c:v>
                </c:pt>
                <c:pt idx="22">
                  <c:v>17.8</c:v>
                </c:pt>
                <c:pt idx="23">
                  <c:v>18.600000000000001</c:v>
                </c:pt>
                <c:pt idx="24">
                  <c:v>18.600000000000001</c:v>
                </c:pt>
                <c:pt idx="25">
                  <c:v>17.2</c:v>
                </c:pt>
                <c:pt idx="26">
                  <c:v>18</c:v>
                </c:pt>
                <c:pt idx="27">
                  <c:v>18.5</c:v>
                </c:pt>
                <c:pt idx="28">
                  <c:v>14.7</c:v>
                </c:pt>
                <c:pt idx="29">
                  <c:v>18.5</c:v>
                </c:pt>
                <c:pt idx="30">
                  <c:v>17.100000000000001</c:v>
                </c:pt>
                <c:pt idx="31">
                  <c:v>17.5</c:v>
                </c:pt>
                <c:pt idx="32">
                  <c:v>16.899999999999999</c:v>
                </c:pt>
                <c:pt idx="33">
                  <c:v>16.3</c:v>
                </c:pt>
                <c:pt idx="34">
                  <c:v>16.899999999999999</c:v>
                </c:pt>
                <c:pt idx="35">
                  <c:v>16.399999999999999</c:v>
                </c:pt>
                <c:pt idx="36">
                  <c:v>16.3</c:v>
                </c:pt>
                <c:pt idx="37">
                  <c:v>18.2</c:v>
                </c:pt>
                <c:pt idx="38">
                  <c:v>15.2</c:v>
                </c:pt>
                <c:pt idx="39">
                  <c:v>15.2</c:v>
                </c:pt>
                <c:pt idx="40">
                  <c:v>16</c:v>
                </c:pt>
                <c:pt idx="41">
                  <c:v>15.7</c:v>
                </c:pt>
                <c:pt idx="42">
                  <c:v>15.3</c:v>
                </c:pt>
                <c:pt idx="43">
                  <c:v>15.7</c:v>
                </c:pt>
                <c:pt idx="44">
                  <c:v>15.4</c:v>
                </c:pt>
                <c:pt idx="45">
                  <c:v>15</c:v>
                </c:pt>
                <c:pt idx="46">
                  <c:v>15.5</c:v>
                </c:pt>
                <c:pt idx="47">
                  <c:v>13.7</c:v>
                </c:pt>
                <c:pt idx="48">
                  <c:v>16.100000000000001</c:v>
                </c:pt>
                <c:pt idx="49">
                  <c:v>15.3</c:v>
                </c:pt>
                <c:pt idx="50">
                  <c:v>14.6</c:v>
                </c:pt>
                <c:pt idx="51">
                  <c:v>15</c:v>
                </c:pt>
                <c:pt idx="52">
                  <c:v>16.3</c:v>
                </c:pt>
                <c:pt idx="53">
                  <c:v>15</c:v>
                </c:pt>
                <c:pt idx="54">
                  <c:v>13.7</c:v>
                </c:pt>
                <c:pt idx="55">
                  <c:v>16.100000000000001</c:v>
                </c:pt>
                <c:pt idx="56">
                  <c:v>15.7</c:v>
                </c:pt>
                <c:pt idx="57">
                  <c:v>15</c:v>
                </c:pt>
                <c:pt idx="58">
                  <c:v>14.2</c:v>
                </c:pt>
                <c:pt idx="59">
                  <c:v>15.2</c:v>
                </c:pt>
                <c:pt idx="60">
                  <c:v>13.8</c:v>
                </c:pt>
                <c:pt idx="61">
                  <c:v>14.3</c:v>
                </c:pt>
                <c:pt idx="62">
                  <c:v>14.8</c:v>
                </c:pt>
                <c:pt idx="63">
                  <c:v>14.4</c:v>
                </c:pt>
                <c:pt idx="64">
                  <c:v>14</c:v>
                </c:pt>
                <c:pt idx="65">
                  <c:v>15</c:v>
                </c:pt>
                <c:pt idx="66">
                  <c:v>14.3</c:v>
                </c:pt>
                <c:pt idx="67">
                  <c:v>14.4</c:v>
                </c:pt>
                <c:pt idx="68">
                  <c:v>13.4</c:v>
                </c:pt>
                <c:pt idx="69">
                  <c:v>12.7</c:v>
                </c:pt>
                <c:pt idx="70">
                  <c:v>15</c:v>
                </c:pt>
                <c:pt idx="71">
                  <c:v>15.7</c:v>
                </c:pt>
                <c:pt idx="72">
                  <c:v>12.7</c:v>
                </c:pt>
                <c:pt idx="73">
                  <c:v>13.4</c:v>
                </c:pt>
                <c:pt idx="74">
                  <c:v>15.1</c:v>
                </c:pt>
                <c:pt idx="75">
                  <c:v>15.2</c:v>
                </c:pt>
                <c:pt idx="76">
                  <c:v>15.2</c:v>
                </c:pt>
                <c:pt idx="77">
                  <c:v>13.5</c:v>
                </c:pt>
                <c:pt idx="78">
                  <c:v>13.67</c:v>
                </c:pt>
                <c:pt idx="79">
                  <c:v>13.06</c:v>
                </c:pt>
                <c:pt idx="80">
                  <c:v>12.94</c:v>
                </c:pt>
                <c:pt idx="81">
                  <c:v>13.09</c:v>
                </c:pt>
                <c:pt idx="82">
                  <c:v>12.67</c:v>
                </c:pt>
                <c:pt idx="83">
                  <c:v>12.74</c:v>
                </c:pt>
                <c:pt idx="84">
                  <c:v>13.25</c:v>
                </c:pt>
                <c:pt idx="85">
                  <c:v>12.88</c:v>
                </c:pt>
                <c:pt idx="86">
                  <c:v>12.42</c:v>
                </c:pt>
                <c:pt idx="87">
                  <c:v>12.55</c:v>
                </c:pt>
                <c:pt idx="88">
                  <c:v>12.45</c:v>
                </c:pt>
                <c:pt idx="89">
                  <c:v>12.91</c:v>
                </c:pt>
                <c:pt idx="90">
                  <c:v>12.64</c:v>
                </c:pt>
                <c:pt idx="91">
                  <c:v>12.55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Data2'!$G$38:$CT$38</c:f>
              <c:numCache>
                <c:formatCode>General</c:formatCode>
                <c:ptCount val="92"/>
                <c:pt idx="0">
                  <c:v>13</c:v>
                </c:pt>
                <c:pt idx="1">
                  <c:v>20</c:v>
                </c:pt>
                <c:pt idx="2">
                  <c:v>12</c:v>
                </c:pt>
                <c:pt idx="3">
                  <c:v>19</c:v>
                </c:pt>
                <c:pt idx="4">
                  <c:v>16</c:v>
                </c:pt>
                <c:pt idx="5">
                  <c:v>17</c:v>
                </c:pt>
                <c:pt idx="6">
                  <c:v>16</c:v>
                </c:pt>
                <c:pt idx="7">
                  <c:v>17</c:v>
                </c:pt>
                <c:pt idx="8">
                  <c:v>15</c:v>
                </c:pt>
                <c:pt idx="9">
                  <c:v>15</c:v>
                </c:pt>
                <c:pt idx="10">
                  <c:v>18</c:v>
                </c:pt>
                <c:pt idx="11">
                  <c:v>19</c:v>
                </c:pt>
                <c:pt idx="12">
                  <c:v>18</c:v>
                </c:pt>
                <c:pt idx="13">
                  <c:v>21</c:v>
                </c:pt>
                <c:pt idx="14">
                  <c:v>12</c:v>
                </c:pt>
                <c:pt idx="15">
                  <c:v>27</c:v>
                </c:pt>
                <c:pt idx="16">
                  <c:v>15</c:v>
                </c:pt>
                <c:pt idx="17">
                  <c:v>18</c:v>
                </c:pt>
                <c:pt idx="18">
                  <c:v>14</c:v>
                </c:pt>
                <c:pt idx="19">
                  <c:v>20</c:v>
                </c:pt>
                <c:pt idx="20">
                  <c:v>17.399999999999999</c:v>
                </c:pt>
                <c:pt idx="21">
                  <c:v>18.100000000000001</c:v>
                </c:pt>
                <c:pt idx="22">
                  <c:v>16.5</c:v>
                </c:pt>
                <c:pt idx="23">
                  <c:v>17.8</c:v>
                </c:pt>
                <c:pt idx="24">
                  <c:v>19</c:v>
                </c:pt>
                <c:pt idx="25">
                  <c:v>15.8</c:v>
                </c:pt>
                <c:pt idx="26">
                  <c:v>17.3</c:v>
                </c:pt>
                <c:pt idx="27">
                  <c:v>15.5</c:v>
                </c:pt>
                <c:pt idx="28">
                  <c:v>17.7</c:v>
                </c:pt>
                <c:pt idx="29">
                  <c:v>17.100000000000001</c:v>
                </c:pt>
                <c:pt idx="30">
                  <c:v>17.7</c:v>
                </c:pt>
                <c:pt idx="31">
                  <c:v>15.6</c:v>
                </c:pt>
                <c:pt idx="32">
                  <c:v>13.7</c:v>
                </c:pt>
                <c:pt idx="33">
                  <c:v>17.100000000000001</c:v>
                </c:pt>
                <c:pt idx="34">
                  <c:v>15.3</c:v>
                </c:pt>
                <c:pt idx="35">
                  <c:v>15</c:v>
                </c:pt>
                <c:pt idx="36">
                  <c:v>16</c:v>
                </c:pt>
                <c:pt idx="37">
                  <c:v>15.4</c:v>
                </c:pt>
                <c:pt idx="38">
                  <c:v>15.4</c:v>
                </c:pt>
                <c:pt idx="39">
                  <c:v>15.4</c:v>
                </c:pt>
                <c:pt idx="40">
                  <c:v>13.7</c:v>
                </c:pt>
                <c:pt idx="41">
                  <c:v>15.6</c:v>
                </c:pt>
                <c:pt idx="42">
                  <c:v>15.9</c:v>
                </c:pt>
                <c:pt idx="43">
                  <c:v>15.1</c:v>
                </c:pt>
                <c:pt idx="44">
                  <c:v>15.8</c:v>
                </c:pt>
                <c:pt idx="45">
                  <c:v>13.5</c:v>
                </c:pt>
                <c:pt idx="46">
                  <c:v>13.6</c:v>
                </c:pt>
                <c:pt idx="47">
                  <c:v>14.6</c:v>
                </c:pt>
                <c:pt idx="48">
                  <c:v>13.9</c:v>
                </c:pt>
                <c:pt idx="49">
                  <c:v>15.7</c:v>
                </c:pt>
                <c:pt idx="50">
                  <c:v>14.7</c:v>
                </c:pt>
                <c:pt idx="51">
                  <c:v>13.1</c:v>
                </c:pt>
                <c:pt idx="52">
                  <c:v>14.7</c:v>
                </c:pt>
                <c:pt idx="53">
                  <c:v>13.8</c:v>
                </c:pt>
                <c:pt idx="54">
                  <c:v>12.4</c:v>
                </c:pt>
                <c:pt idx="55">
                  <c:v>13.2</c:v>
                </c:pt>
                <c:pt idx="56">
                  <c:v>12.4</c:v>
                </c:pt>
                <c:pt idx="57">
                  <c:v>14.3</c:v>
                </c:pt>
                <c:pt idx="58">
                  <c:v>13.9</c:v>
                </c:pt>
                <c:pt idx="59">
                  <c:v>14.5</c:v>
                </c:pt>
                <c:pt idx="60">
                  <c:v>14.3</c:v>
                </c:pt>
                <c:pt idx="61">
                  <c:v>13.5</c:v>
                </c:pt>
                <c:pt idx="62">
                  <c:v>14.6</c:v>
                </c:pt>
                <c:pt idx="63">
                  <c:v>13.1</c:v>
                </c:pt>
                <c:pt idx="64">
                  <c:v>12.8</c:v>
                </c:pt>
                <c:pt idx="65">
                  <c:v>12.1</c:v>
                </c:pt>
                <c:pt idx="66">
                  <c:v>14</c:v>
                </c:pt>
                <c:pt idx="67">
                  <c:v>14.5</c:v>
                </c:pt>
                <c:pt idx="68">
                  <c:v>13.2</c:v>
                </c:pt>
                <c:pt idx="69">
                  <c:v>15.1</c:v>
                </c:pt>
                <c:pt idx="70">
                  <c:v>12.6</c:v>
                </c:pt>
                <c:pt idx="71">
                  <c:v>14.4</c:v>
                </c:pt>
                <c:pt idx="72">
                  <c:v>14</c:v>
                </c:pt>
                <c:pt idx="73">
                  <c:v>13.8</c:v>
                </c:pt>
                <c:pt idx="74">
                  <c:v>13.3</c:v>
                </c:pt>
                <c:pt idx="75">
                  <c:v>12.7</c:v>
                </c:pt>
                <c:pt idx="76">
                  <c:v>12.9</c:v>
                </c:pt>
                <c:pt idx="77">
                  <c:v>12.3</c:v>
                </c:pt>
                <c:pt idx="78">
                  <c:v>12.37</c:v>
                </c:pt>
                <c:pt idx="79">
                  <c:v>12.34</c:v>
                </c:pt>
                <c:pt idx="80">
                  <c:v>12.67</c:v>
                </c:pt>
                <c:pt idx="81">
                  <c:v>12.54</c:v>
                </c:pt>
                <c:pt idx="82">
                  <c:v>12.08</c:v>
                </c:pt>
                <c:pt idx="83">
                  <c:v>12.27</c:v>
                </c:pt>
                <c:pt idx="84">
                  <c:v>12.33</c:v>
                </c:pt>
                <c:pt idx="85">
                  <c:v>11.65</c:v>
                </c:pt>
                <c:pt idx="86">
                  <c:v>11.93</c:v>
                </c:pt>
                <c:pt idx="87">
                  <c:v>11.74</c:v>
                </c:pt>
                <c:pt idx="88">
                  <c:v>12</c:v>
                </c:pt>
                <c:pt idx="89">
                  <c:v>11.43</c:v>
                </c:pt>
                <c:pt idx="90">
                  <c:v>11.58</c:v>
                </c:pt>
                <c:pt idx="91">
                  <c:v>11.5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Data2'!$G$39:$CT$39</c:f>
              <c:numCache>
                <c:formatCode>General</c:formatCode>
                <c:ptCount val="92"/>
                <c:pt idx="0">
                  <c:v>13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13</c:v>
                </c:pt>
                <c:pt idx="5">
                  <c:v>17</c:v>
                </c:pt>
                <c:pt idx="6">
                  <c:v>22</c:v>
                </c:pt>
                <c:pt idx="7">
                  <c:v>14</c:v>
                </c:pt>
                <c:pt idx="8">
                  <c:v>17</c:v>
                </c:pt>
                <c:pt idx="9">
                  <c:v>19</c:v>
                </c:pt>
                <c:pt idx="10">
                  <c:v>12</c:v>
                </c:pt>
                <c:pt idx="11">
                  <c:v>15</c:v>
                </c:pt>
                <c:pt idx="12">
                  <c:v>17</c:v>
                </c:pt>
                <c:pt idx="13">
                  <c:v>16</c:v>
                </c:pt>
                <c:pt idx="14">
                  <c:v>15</c:v>
                </c:pt>
                <c:pt idx="15">
                  <c:v>21</c:v>
                </c:pt>
                <c:pt idx="16">
                  <c:v>13</c:v>
                </c:pt>
                <c:pt idx="17">
                  <c:v>17</c:v>
                </c:pt>
                <c:pt idx="18">
                  <c:v>20</c:v>
                </c:pt>
                <c:pt idx="19">
                  <c:v>16</c:v>
                </c:pt>
                <c:pt idx="20">
                  <c:v>17.3</c:v>
                </c:pt>
                <c:pt idx="21">
                  <c:v>18.5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17.399999999999999</c:v>
                </c:pt>
                <c:pt idx="25">
                  <c:v>18.899999999999999</c:v>
                </c:pt>
                <c:pt idx="26">
                  <c:v>18.399999999999999</c:v>
                </c:pt>
                <c:pt idx="27">
                  <c:v>16.5</c:v>
                </c:pt>
                <c:pt idx="28">
                  <c:v>16</c:v>
                </c:pt>
                <c:pt idx="29">
                  <c:v>17.399999999999999</c:v>
                </c:pt>
                <c:pt idx="30">
                  <c:v>14.7</c:v>
                </c:pt>
                <c:pt idx="31">
                  <c:v>18.100000000000001</c:v>
                </c:pt>
                <c:pt idx="32">
                  <c:v>14.3</c:v>
                </c:pt>
                <c:pt idx="33">
                  <c:v>17.600000000000001</c:v>
                </c:pt>
                <c:pt idx="34">
                  <c:v>16.8</c:v>
                </c:pt>
                <c:pt idx="35">
                  <c:v>15.3</c:v>
                </c:pt>
                <c:pt idx="36">
                  <c:v>16.600000000000001</c:v>
                </c:pt>
                <c:pt idx="37">
                  <c:v>15.4</c:v>
                </c:pt>
                <c:pt idx="38">
                  <c:v>14.3</c:v>
                </c:pt>
                <c:pt idx="39">
                  <c:v>15</c:v>
                </c:pt>
                <c:pt idx="40">
                  <c:v>15</c:v>
                </c:pt>
                <c:pt idx="41">
                  <c:v>14.3</c:v>
                </c:pt>
                <c:pt idx="42">
                  <c:v>15.6</c:v>
                </c:pt>
                <c:pt idx="43">
                  <c:v>13.3</c:v>
                </c:pt>
                <c:pt idx="44">
                  <c:v>15.1</c:v>
                </c:pt>
                <c:pt idx="45">
                  <c:v>14.7</c:v>
                </c:pt>
                <c:pt idx="46">
                  <c:v>15.6</c:v>
                </c:pt>
                <c:pt idx="47">
                  <c:v>13.7</c:v>
                </c:pt>
                <c:pt idx="48">
                  <c:v>14</c:v>
                </c:pt>
                <c:pt idx="49">
                  <c:v>14.6</c:v>
                </c:pt>
                <c:pt idx="50">
                  <c:v>13.3</c:v>
                </c:pt>
                <c:pt idx="51">
                  <c:v>15.6</c:v>
                </c:pt>
                <c:pt idx="52">
                  <c:v>13.2</c:v>
                </c:pt>
                <c:pt idx="53">
                  <c:v>15</c:v>
                </c:pt>
                <c:pt idx="54">
                  <c:v>13.6</c:v>
                </c:pt>
                <c:pt idx="55">
                  <c:v>14.4</c:v>
                </c:pt>
                <c:pt idx="56">
                  <c:v>14</c:v>
                </c:pt>
                <c:pt idx="57">
                  <c:v>12.8</c:v>
                </c:pt>
                <c:pt idx="58">
                  <c:v>14.6</c:v>
                </c:pt>
                <c:pt idx="59">
                  <c:v>12.4</c:v>
                </c:pt>
                <c:pt idx="60">
                  <c:v>14</c:v>
                </c:pt>
                <c:pt idx="61">
                  <c:v>13.3</c:v>
                </c:pt>
                <c:pt idx="62">
                  <c:v>13.6</c:v>
                </c:pt>
                <c:pt idx="63">
                  <c:v>13.4</c:v>
                </c:pt>
                <c:pt idx="64">
                  <c:v>13.5</c:v>
                </c:pt>
                <c:pt idx="65">
                  <c:v>13.7</c:v>
                </c:pt>
                <c:pt idx="66">
                  <c:v>12.4</c:v>
                </c:pt>
                <c:pt idx="67">
                  <c:v>15.2</c:v>
                </c:pt>
                <c:pt idx="68">
                  <c:v>12.3</c:v>
                </c:pt>
                <c:pt idx="69">
                  <c:v>13.8</c:v>
                </c:pt>
                <c:pt idx="70">
                  <c:v>12.8</c:v>
                </c:pt>
                <c:pt idx="71">
                  <c:v>14</c:v>
                </c:pt>
                <c:pt idx="72">
                  <c:v>12.5</c:v>
                </c:pt>
                <c:pt idx="73">
                  <c:v>11.4</c:v>
                </c:pt>
                <c:pt idx="74">
                  <c:v>11.3</c:v>
                </c:pt>
                <c:pt idx="75">
                  <c:v>12.4</c:v>
                </c:pt>
                <c:pt idx="76">
                  <c:v>11.4</c:v>
                </c:pt>
                <c:pt idx="77">
                  <c:v>12</c:v>
                </c:pt>
                <c:pt idx="78">
                  <c:v>12.64</c:v>
                </c:pt>
                <c:pt idx="79">
                  <c:v>12.77</c:v>
                </c:pt>
                <c:pt idx="80">
                  <c:v>12.69</c:v>
                </c:pt>
                <c:pt idx="81">
                  <c:v>12.41</c:v>
                </c:pt>
                <c:pt idx="82">
                  <c:v>12.2</c:v>
                </c:pt>
                <c:pt idx="83">
                  <c:v>12.06</c:v>
                </c:pt>
                <c:pt idx="84">
                  <c:v>11.61</c:v>
                </c:pt>
                <c:pt idx="85">
                  <c:v>12.1</c:v>
                </c:pt>
                <c:pt idx="86">
                  <c:v>12</c:v>
                </c:pt>
                <c:pt idx="87">
                  <c:v>12.46</c:v>
                </c:pt>
                <c:pt idx="88">
                  <c:v>11.57</c:v>
                </c:pt>
                <c:pt idx="89">
                  <c:v>11.03</c:v>
                </c:pt>
                <c:pt idx="90">
                  <c:v>11.31</c:v>
                </c:pt>
                <c:pt idx="91">
                  <c:v>11.22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2176"/>
        <c:axId val="43444096"/>
      </c:scatterChart>
      <c:valAx>
        <c:axId val="4344217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444096"/>
        <c:crosses val="autoZero"/>
        <c:crossBetween val="midCat"/>
      </c:valAx>
      <c:valAx>
        <c:axId val="434440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4421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Data'!$A$306</c:f>
          <c:strCache>
            <c:ptCount val="1"/>
            <c:pt idx="0">
              <c:v>Disk 33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8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Data2'!$G$40:$CT$40</c:f>
              <c:numCache>
                <c:formatCode>General</c:formatCode>
                <c:ptCount val="92"/>
                <c:pt idx="0">
                  <c:v>6447</c:v>
                </c:pt>
                <c:pt idx="1">
                  <c:v>6421</c:v>
                </c:pt>
                <c:pt idx="2">
                  <c:v>6457</c:v>
                </c:pt>
                <c:pt idx="3">
                  <c:v>6368</c:v>
                </c:pt>
                <c:pt idx="4">
                  <c:v>6455</c:v>
                </c:pt>
                <c:pt idx="5">
                  <c:v>6381</c:v>
                </c:pt>
                <c:pt idx="6">
                  <c:v>6419</c:v>
                </c:pt>
                <c:pt idx="7">
                  <c:v>6322</c:v>
                </c:pt>
                <c:pt idx="8">
                  <c:v>6457</c:v>
                </c:pt>
                <c:pt idx="9">
                  <c:v>6210</c:v>
                </c:pt>
                <c:pt idx="10">
                  <c:v>6308</c:v>
                </c:pt>
                <c:pt idx="11">
                  <c:v>6226</c:v>
                </c:pt>
                <c:pt idx="12">
                  <c:v>6207</c:v>
                </c:pt>
                <c:pt idx="13">
                  <c:v>6399</c:v>
                </c:pt>
                <c:pt idx="14">
                  <c:v>6153</c:v>
                </c:pt>
                <c:pt idx="15">
                  <c:v>6163</c:v>
                </c:pt>
                <c:pt idx="16">
                  <c:v>6085</c:v>
                </c:pt>
                <c:pt idx="17">
                  <c:v>6089</c:v>
                </c:pt>
                <c:pt idx="18">
                  <c:v>6087</c:v>
                </c:pt>
                <c:pt idx="19">
                  <c:v>6046</c:v>
                </c:pt>
                <c:pt idx="20">
                  <c:v>5904.1</c:v>
                </c:pt>
                <c:pt idx="21">
                  <c:v>5593.1</c:v>
                </c:pt>
                <c:pt idx="22">
                  <c:v>5305.3</c:v>
                </c:pt>
                <c:pt idx="23">
                  <c:v>5020.3999999999996</c:v>
                </c:pt>
                <c:pt idx="24">
                  <c:v>4737.1000000000004</c:v>
                </c:pt>
                <c:pt idx="25">
                  <c:v>4543</c:v>
                </c:pt>
                <c:pt idx="26">
                  <c:v>4293.6000000000004</c:v>
                </c:pt>
                <c:pt idx="27">
                  <c:v>4054.8</c:v>
                </c:pt>
                <c:pt idx="28">
                  <c:v>3874.2</c:v>
                </c:pt>
                <c:pt idx="29">
                  <c:v>3689.5</c:v>
                </c:pt>
                <c:pt idx="30">
                  <c:v>3513.1</c:v>
                </c:pt>
                <c:pt idx="31">
                  <c:v>3390.2</c:v>
                </c:pt>
                <c:pt idx="32">
                  <c:v>3248.1</c:v>
                </c:pt>
                <c:pt idx="33">
                  <c:v>3053.9</c:v>
                </c:pt>
                <c:pt idx="34">
                  <c:v>2960.6</c:v>
                </c:pt>
                <c:pt idx="35">
                  <c:v>2827.4</c:v>
                </c:pt>
                <c:pt idx="36">
                  <c:v>2741.7</c:v>
                </c:pt>
                <c:pt idx="37">
                  <c:v>2643.3</c:v>
                </c:pt>
                <c:pt idx="38">
                  <c:v>2539.6</c:v>
                </c:pt>
                <c:pt idx="39">
                  <c:v>2456.5</c:v>
                </c:pt>
                <c:pt idx="40">
                  <c:v>2341.6999999999998</c:v>
                </c:pt>
                <c:pt idx="41">
                  <c:v>2273.4</c:v>
                </c:pt>
                <c:pt idx="42">
                  <c:v>2199</c:v>
                </c:pt>
                <c:pt idx="43">
                  <c:v>2119.4</c:v>
                </c:pt>
                <c:pt idx="44">
                  <c:v>2045.5</c:v>
                </c:pt>
                <c:pt idx="45">
                  <c:v>1993.2</c:v>
                </c:pt>
                <c:pt idx="46">
                  <c:v>1927.9</c:v>
                </c:pt>
                <c:pt idx="47">
                  <c:v>1861.5</c:v>
                </c:pt>
                <c:pt idx="48">
                  <c:v>1796.7</c:v>
                </c:pt>
                <c:pt idx="49">
                  <c:v>1794.2</c:v>
                </c:pt>
                <c:pt idx="50">
                  <c:v>1712.6</c:v>
                </c:pt>
                <c:pt idx="51">
                  <c:v>1661.1</c:v>
                </c:pt>
                <c:pt idx="52">
                  <c:v>1619.5</c:v>
                </c:pt>
                <c:pt idx="53">
                  <c:v>1560.9</c:v>
                </c:pt>
                <c:pt idx="54">
                  <c:v>1539.8</c:v>
                </c:pt>
                <c:pt idx="55">
                  <c:v>1488.9</c:v>
                </c:pt>
                <c:pt idx="56">
                  <c:v>1456.8</c:v>
                </c:pt>
                <c:pt idx="57">
                  <c:v>1419</c:v>
                </c:pt>
                <c:pt idx="58">
                  <c:v>1376</c:v>
                </c:pt>
                <c:pt idx="59">
                  <c:v>1351.4</c:v>
                </c:pt>
                <c:pt idx="60">
                  <c:v>1326</c:v>
                </c:pt>
                <c:pt idx="61">
                  <c:v>1288.5999999999999</c:v>
                </c:pt>
                <c:pt idx="62">
                  <c:v>1253.5</c:v>
                </c:pt>
                <c:pt idx="63">
                  <c:v>1248.8</c:v>
                </c:pt>
                <c:pt idx="64">
                  <c:v>1217.7</c:v>
                </c:pt>
                <c:pt idx="65">
                  <c:v>1178.2</c:v>
                </c:pt>
                <c:pt idx="66">
                  <c:v>1135.5</c:v>
                </c:pt>
                <c:pt idx="67">
                  <c:v>1124.9000000000001</c:v>
                </c:pt>
                <c:pt idx="68">
                  <c:v>1110</c:v>
                </c:pt>
                <c:pt idx="69">
                  <c:v>1070.5</c:v>
                </c:pt>
                <c:pt idx="70">
                  <c:v>1060.4000000000001</c:v>
                </c:pt>
                <c:pt idx="71">
                  <c:v>1033.5</c:v>
                </c:pt>
                <c:pt idx="72">
                  <c:v>1019.7</c:v>
                </c:pt>
                <c:pt idx="73">
                  <c:v>1004.8</c:v>
                </c:pt>
                <c:pt idx="74">
                  <c:v>982.1</c:v>
                </c:pt>
                <c:pt idx="75">
                  <c:v>957.2</c:v>
                </c:pt>
                <c:pt idx="76">
                  <c:v>946.5</c:v>
                </c:pt>
                <c:pt idx="77">
                  <c:v>932.9</c:v>
                </c:pt>
                <c:pt idx="78">
                  <c:v>847.75</c:v>
                </c:pt>
                <c:pt idx="79">
                  <c:v>723.44</c:v>
                </c:pt>
                <c:pt idx="80">
                  <c:v>631.15</c:v>
                </c:pt>
                <c:pt idx="81">
                  <c:v>561.64</c:v>
                </c:pt>
                <c:pt idx="82">
                  <c:v>499.54</c:v>
                </c:pt>
                <c:pt idx="83">
                  <c:v>453.92</c:v>
                </c:pt>
                <c:pt idx="84">
                  <c:v>414.19</c:v>
                </c:pt>
                <c:pt idx="85">
                  <c:v>383.22</c:v>
                </c:pt>
                <c:pt idx="86">
                  <c:v>355.7</c:v>
                </c:pt>
                <c:pt idx="87">
                  <c:v>329.2</c:v>
                </c:pt>
                <c:pt idx="88">
                  <c:v>308.54000000000002</c:v>
                </c:pt>
                <c:pt idx="89">
                  <c:v>289.64</c:v>
                </c:pt>
                <c:pt idx="90">
                  <c:v>274.77999999999997</c:v>
                </c:pt>
                <c:pt idx="91">
                  <c:v>260.87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Data2'!$G$41:$CT$41</c:f>
              <c:numCache>
                <c:formatCode>General</c:formatCode>
                <c:ptCount val="92"/>
                <c:pt idx="0">
                  <c:v>1931</c:v>
                </c:pt>
                <c:pt idx="1">
                  <c:v>1989</c:v>
                </c:pt>
                <c:pt idx="2">
                  <c:v>1958</c:v>
                </c:pt>
                <c:pt idx="3">
                  <c:v>1922</c:v>
                </c:pt>
                <c:pt idx="4">
                  <c:v>1935</c:v>
                </c:pt>
                <c:pt idx="5">
                  <c:v>1906</c:v>
                </c:pt>
                <c:pt idx="6">
                  <c:v>2014</c:v>
                </c:pt>
                <c:pt idx="7">
                  <c:v>1958</c:v>
                </c:pt>
                <c:pt idx="8">
                  <c:v>1926</c:v>
                </c:pt>
                <c:pt idx="9">
                  <c:v>1876</c:v>
                </c:pt>
                <c:pt idx="10">
                  <c:v>1895</c:v>
                </c:pt>
                <c:pt idx="11">
                  <c:v>1892</c:v>
                </c:pt>
                <c:pt idx="12">
                  <c:v>1937</c:v>
                </c:pt>
                <c:pt idx="13">
                  <c:v>1891</c:v>
                </c:pt>
                <c:pt idx="14">
                  <c:v>1914</c:v>
                </c:pt>
                <c:pt idx="15">
                  <c:v>1954</c:v>
                </c:pt>
                <c:pt idx="16">
                  <c:v>1902</c:v>
                </c:pt>
                <c:pt idx="17">
                  <c:v>1866</c:v>
                </c:pt>
                <c:pt idx="18">
                  <c:v>1861</c:v>
                </c:pt>
                <c:pt idx="19">
                  <c:v>1856</c:v>
                </c:pt>
                <c:pt idx="20">
                  <c:v>1820</c:v>
                </c:pt>
                <c:pt idx="21">
                  <c:v>1760.2</c:v>
                </c:pt>
                <c:pt idx="22">
                  <c:v>1684.5</c:v>
                </c:pt>
                <c:pt idx="23">
                  <c:v>1589.7</c:v>
                </c:pt>
                <c:pt idx="24">
                  <c:v>1519.2</c:v>
                </c:pt>
                <c:pt idx="25">
                  <c:v>1454.3</c:v>
                </c:pt>
                <c:pt idx="26">
                  <c:v>1400.8</c:v>
                </c:pt>
                <c:pt idx="27">
                  <c:v>1325.9</c:v>
                </c:pt>
                <c:pt idx="28">
                  <c:v>1285.9000000000001</c:v>
                </c:pt>
                <c:pt idx="29">
                  <c:v>1232.9000000000001</c:v>
                </c:pt>
                <c:pt idx="30">
                  <c:v>1177.5999999999999</c:v>
                </c:pt>
                <c:pt idx="31">
                  <c:v>1127.5</c:v>
                </c:pt>
                <c:pt idx="32">
                  <c:v>1098.4000000000001</c:v>
                </c:pt>
                <c:pt idx="33">
                  <c:v>1059.5999999999999</c:v>
                </c:pt>
                <c:pt idx="34">
                  <c:v>1009.8</c:v>
                </c:pt>
                <c:pt idx="35">
                  <c:v>973.9</c:v>
                </c:pt>
                <c:pt idx="36">
                  <c:v>943.6</c:v>
                </c:pt>
                <c:pt idx="37">
                  <c:v>918.4</c:v>
                </c:pt>
                <c:pt idx="38">
                  <c:v>891.9</c:v>
                </c:pt>
                <c:pt idx="39">
                  <c:v>862.9</c:v>
                </c:pt>
                <c:pt idx="40">
                  <c:v>832.3</c:v>
                </c:pt>
                <c:pt idx="41">
                  <c:v>797.2</c:v>
                </c:pt>
                <c:pt idx="42">
                  <c:v>790</c:v>
                </c:pt>
                <c:pt idx="43">
                  <c:v>759.3</c:v>
                </c:pt>
                <c:pt idx="44">
                  <c:v>739.6</c:v>
                </c:pt>
                <c:pt idx="45">
                  <c:v>727.8</c:v>
                </c:pt>
                <c:pt idx="46">
                  <c:v>700.5</c:v>
                </c:pt>
                <c:pt idx="47">
                  <c:v>682.4</c:v>
                </c:pt>
                <c:pt idx="48">
                  <c:v>664.5</c:v>
                </c:pt>
                <c:pt idx="49">
                  <c:v>664.6</c:v>
                </c:pt>
                <c:pt idx="50">
                  <c:v>640.6</c:v>
                </c:pt>
                <c:pt idx="51">
                  <c:v>628.4</c:v>
                </c:pt>
                <c:pt idx="52">
                  <c:v>608.79999999999995</c:v>
                </c:pt>
                <c:pt idx="53">
                  <c:v>585.5</c:v>
                </c:pt>
                <c:pt idx="54">
                  <c:v>586.79999999999995</c:v>
                </c:pt>
                <c:pt idx="55">
                  <c:v>549.4</c:v>
                </c:pt>
                <c:pt idx="56">
                  <c:v>566</c:v>
                </c:pt>
                <c:pt idx="57">
                  <c:v>544.6</c:v>
                </c:pt>
                <c:pt idx="58">
                  <c:v>540.6</c:v>
                </c:pt>
                <c:pt idx="59">
                  <c:v>518.9</c:v>
                </c:pt>
                <c:pt idx="60">
                  <c:v>508.8</c:v>
                </c:pt>
                <c:pt idx="61">
                  <c:v>513.70000000000005</c:v>
                </c:pt>
                <c:pt idx="62">
                  <c:v>493.6</c:v>
                </c:pt>
                <c:pt idx="63">
                  <c:v>500.3</c:v>
                </c:pt>
                <c:pt idx="64">
                  <c:v>470.6</c:v>
                </c:pt>
                <c:pt idx="65">
                  <c:v>474.7</c:v>
                </c:pt>
                <c:pt idx="66">
                  <c:v>463.1</c:v>
                </c:pt>
                <c:pt idx="67">
                  <c:v>441.8</c:v>
                </c:pt>
                <c:pt idx="68">
                  <c:v>450.1</c:v>
                </c:pt>
                <c:pt idx="69">
                  <c:v>435.9</c:v>
                </c:pt>
                <c:pt idx="70">
                  <c:v>427.2</c:v>
                </c:pt>
                <c:pt idx="71">
                  <c:v>426.6</c:v>
                </c:pt>
                <c:pt idx="72">
                  <c:v>422.5</c:v>
                </c:pt>
                <c:pt idx="73">
                  <c:v>408.8</c:v>
                </c:pt>
                <c:pt idx="74">
                  <c:v>410.6</c:v>
                </c:pt>
                <c:pt idx="75">
                  <c:v>397.5</c:v>
                </c:pt>
                <c:pt idx="76">
                  <c:v>388.2</c:v>
                </c:pt>
                <c:pt idx="77">
                  <c:v>390.6</c:v>
                </c:pt>
                <c:pt idx="78">
                  <c:v>364.24</c:v>
                </c:pt>
                <c:pt idx="79">
                  <c:v>321.08</c:v>
                </c:pt>
                <c:pt idx="80">
                  <c:v>290.2</c:v>
                </c:pt>
                <c:pt idx="81">
                  <c:v>266.94</c:v>
                </c:pt>
                <c:pt idx="82">
                  <c:v>244.91</c:v>
                </c:pt>
                <c:pt idx="83">
                  <c:v>226.36</c:v>
                </c:pt>
                <c:pt idx="84">
                  <c:v>213.95</c:v>
                </c:pt>
                <c:pt idx="85">
                  <c:v>202.01</c:v>
                </c:pt>
                <c:pt idx="86">
                  <c:v>189.17</c:v>
                </c:pt>
                <c:pt idx="87">
                  <c:v>181.15</c:v>
                </c:pt>
                <c:pt idx="88">
                  <c:v>172.83</c:v>
                </c:pt>
                <c:pt idx="89">
                  <c:v>166.24</c:v>
                </c:pt>
                <c:pt idx="90">
                  <c:v>159.08000000000001</c:v>
                </c:pt>
                <c:pt idx="91">
                  <c:v>152.72999999999999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Data2'!$G$42:$CT$42</c:f>
              <c:numCache>
                <c:formatCode>General</c:formatCode>
                <c:ptCount val="92"/>
                <c:pt idx="0">
                  <c:v>3243</c:v>
                </c:pt>
                <c:pt idx="1">
                  <c:v>3247</c:v>
                </c:pt>
                <c:pt idx="2">
                  <c:v>3282</c:v>
                </c:pt>
                <c:pt idx="3">
                  <c:v>3270</c:v>
                </c:pt>
                <c:pt idx="4">
                  <c:v>3145</c:v>
                </c:pt>
                <c:pt idx="5">
                  <c:v>3213</c:v>
                </c:pt>
                <c:pt idx="6">
                  <c:v>3201</c:v>
                </c:pt>
                <c:pt idx="7">
                  <c:v>3188</c:v>
                </c:pt>
                <c:pt idx="8">
                  <c:v>3163</c:v>
                </c:pt>
                <c:pt idx="9">
                  <c:v>3136</c:v>
                </c:pt>
                <c:pt idx="10">
                  <c:v>3163</c:v>
                </c:pt>
                <c:pt idx="11">
                  <c:v>3198</c:v>
                </c:pt>
                <c:pt idx="12">
                  <c:v>3133</c:v>
                </c:pt>
                <c:pt idx="13">
                  <c:v>3149</c:v>
                </c:pt>
                <c:pt idx="14">
                  <c:v>3165</c:v>
                </c:pt>
                <c:pt idx="15">
                  <c:v>3090</c:v>
                </c:pt>
                <c:pt idx="16">
                  <c:v>3091</c:v>
                </c:pt>
                <c:pt idx="17">
                  <c:v>3131</c:v>
                </c:pt>
                <c:pt idx="18">
                  <c:v>2971</c:v>
                </c:pt>
                <c:pt idx="19">
                  <c:v>3044</c:v>
                </c:pt>
                <c:pt idx="20">
                  <c:v>2971.6</c:v>
                </c:pt>
                <c:pt idx="21">
                  <c:v>2817.3</c:v>
                </c:pt>
                <c:pt idx="22">
                  <c:v>2701.7</c:v>
                </c:pt>
                <c:pt idx="23">
                  <c:v>2546.5</c:v>
                </c:pt>
                <c:pt idx="24">
                  <c:v>2405.5</c:v>
                </c:pt>
                <c:pt idx="25">
                  <c:v>2313.3000000000002</c:v>
                </c:pt>
                <c:pt idx="26">
                  <c:v>2206.5</c:v>
                </c:pt>
                <c:pt idx="27">
                  <c:v>2093.6</c:v>
                </c:pt>
                <c:pt idx="28">
                  <c:v>1979.8</c:v>
                </c:pt>
                <c:pt idx="29">
                  <c:v>1867.3</c:v>
                </c:pt>
                <c:pt idx="30">
                  <c:v>1786.1</c:v>
                </c:pt>
                <c:pt idx="31">
                  <c:v>1707.8</c:v>
                </c:pt>
                <c:pt idx="32">
                  <c:v>1648.4</c:v>
                </c:pt>
                <c:pt idx="33">
                  <c:v>1573.5</c:v>
                </c:pt>
                <c:pt idx="34">
                  <c:v>1531.5</c:v>
                </c:pt>
                <c:pt idx="35">
                  <c:v>1480.3</c:v>
                </c:pt>
                <c:pt idx="36">
                  <c:v>1395.3</c:v>
                </c:pt>
                <c:pt idx="37">
                  <c:v>1361.6</c:v>
                </c:pt>
                <c:pt idx="38">
                  <c:v>1289.0999999999999</c:v>
                </c:pt>
                <c:pt idx="39">
                  <c:v>1256.5999999999999</c:v>
                </c:pt>
                <c:pt idx="40">
                  <c:v>1194.7</c:v>
                </c:pt>
                <c:pt idx="41">
                  <c:v>1172.8</c:v>
                </c:pt>
                <c:pt idx="42">
                  <c:v>1128.9000000000001</c:v>
                </c:pt>
                <c:pt idx="43">
                  <c:v>1073.3</c:v>
                </c:pt>
                <c:pt idx="44">
                  <c:v>1048.8</c:v>
                </c:pt>
                <c:pt idx="45">
                  <c:v>1032.7</c:v>
                </c:pt>
                <c:pt idx="46">
                  <c:v>982.9</c:v>
                </c:pt>
                <c:pt idx="47">
                  <c:v>947.6</c:v>
                </c:pt>
                <c:pt idx="48">
                  <c:v>926.5</c:v>
                </c:pt>
                <c:pt idx="49">
                  <c:v>893</c:v>
                </c:pt>
                <c:pt idx="50">
                  <c:v>875.3</c:v>
                </c:pt>
                <c:pt idx="51">
                  <c:v>853.3</c:v>
                </c:pt>
                <c:pt idx="52">
                  <c:v>830.4</c:v>
                </c:pt>
                <c:pt idx="53">
                  <c:v>802</c:v>
                </c:pt>
                <c:pt idx="54">
                  <c:v>780.8</c:v>
                </c:pt>
                <c:pt idx="55">
                  <c:v>772.6</c:v>
                </c:pt>
                <c:pt idx="56">
                  <c:v>736.9</c:v>
                </c:pt>
                <c:pt idx="57">
                  <c:v>725.8</c:v>
                </c:pt>
                <c:pt idx="58">
                  <c:v>702</c:v>
                </c:pt>
                <c:pt idx="59">
                  <c:v>683.6</c:v>
                </c:pt>
                <c:pt idx="60">
                  <c:v>678.2</c:v>
                </c:pt>
                <c:pt idx="61">
                  <c:v>650.6</c:v>
                </c:pt>
                <c:pt idx="62">
                  <c:v>642.9</c:v>
                </c:pt>
                <c:pt idx="63">
                  <c:v>630.9</c:v>
                </c:pt>
                <c:pt idx="64">
                  <c:v>602</c:v>
                </c:pt>
                <c:pt idx="65">
                  <c:v>595.20000000000005</c:v>
                </c:pt>
                <c:pt idx="66">
                  <c:v>592.4</c:v>
                </c:pt>
                <c:pt idx="67">
                  <c:v>560.5</c:v>
                </c:pt>
                <c:pt idx="68">
                  <c:v>571.29999999999995</c:v>
                </c:pt>
                <c:pt idx="69">
                  <c:v>549.20000000000005</c:v>
                </c:pt>
                <c:pt idx="70">
                  <c:v>547.79999999999995</c:v>
                </c:pt>
                <c:pt idx="71">
                  <c:v>541.1</c:v>
                </c:pt>
                <c:pt idx="72">
                  <c:v>519</c:v>
                </c:pt>
                <c:pt idx="73">
                  <c:v>509.5</c:v>
                </c:pt>
                <c:pt idx="74">
                  <c:v>496.4</c:v>
                </c:pt>
                <c:pt idx="75">
                  <c:v>488.7</c:v>
                </c:pt>
                <c:pt idx="76">
                  <c:v>475.9</c:v>
                </c:pt>
                <c:pt idx="77">
                  <c:v>471.6</c:v>
                </c:pt>
                <c:pt idx="78">
                  <c:v>425.77</c:v>
                </c:pt>
                <c:pt idx="79">
                  <c:v>364.25</c:v>
                </c:pt>
                <c:pt idx="80">
                  <c:v>314.83999999999997</c:v>
                </c:pt>
                <c:pt idx="81">
                  <c:v>279.16000000000003</c:v>
                </c:pt>
                <c:pt idx="82">
                  <c:v>248.52</c:v>
                </c:pt>
                <c:pt idx="83">
                  <c:v>225.14</c:v>
                </c:pt>
                <c:pt idx="84">
                  <c:v>205.29</c:v>
                </c:pt>
                <c:pt idx="85">
                  <c:v>189.34</c:v>
                </c:pt>
                <c:pt idx="86">
                  <c:v>174.76</c:v>
                </c:pt>
                <c:pt idx="87">
                  <c:v>162.96</c:v>
                </c:pt>
                <c:pt idx="88">
                  <c:v>152.26</c:v>
                </c:pt>
                <c:pt idx="89">
                  <c:v>144.19999999999999</c:v>
                </c:pt>
                <c:pt idx="90">
                  <c:v>136.69999999999999</c:v>
                </c:pt>
                <c:pt idx="91">
                  <c:v>128.53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Data2'!$G$43:$CT$43</c:f>
              <c:numCache>
                <c:formatCode>General</c:formatCode>
                <c:ptCount val="92"/>
                <c:pt idx="0">
                  <c:v>1721</c:v>
                </c:pt>
                <c:pt idx="1">
                  <c:v>1679</c:v>
                </c:pt>
                <c:pt idx="2">
                  <c:v>1691</c:v>
                </c:pt>
                <c:pt idx="3">
                  <c:v>1711</c:v>
                </c:pt>
                <c:pt idx="4">
                  <c:v>1685</c:v>
                </c:pt>
                <c:pt idx="5">
                  <c:v>1671</c:v>
                </c:pt>
                <c:pt idx="6">
                  <c:v>1655</c:v>
                </c:pt>
                <c:pt idx="7">
                  <c:v>1678</c:v>
                </c:pt>
                <c:pt idx="8">
                  <c:v>1731</c:v>
                </c:pt>
                <c:pt idx="9">
                  <c:v>1610</c:v>
                </c:pt>
                <c:pt idx="10">
                  <c:v>1633</c:v>
                </c:pt>
                <c:pt idx="11">
                  <c:v>1609</c:v>
                </c:pt>
                <c:pt idx="12">
                  <c:v>1561</c:v>
                </c:pt>
                <c:pt idx="13">
                  <c:v>1650</c:v>
                </c:pt>
                <c:pt idx="14">
                  <c:v>1627</c:v>
                </c:pt>
                <c:pt idx="15">
                  <c:v>1595</c:v>
                </c:pt>
                <c:pt idx="16">
                  <c:v>1576</c:v>
                </c:pt>
                <c:pt idx="17">
                  <c:v>1576</c:v>
                </c:pt>
                <c:pt idx="18">
                  <c:v>1571</c:v>
                </c:pt>
                <c:pt idx="19">
                  <c:v>1622</c:v>
                </c:pt>
                <c:pt idx="20">
                  <c:v>1558</c:v>
                </c:pt>
                <c:pt idx="21">
                  <c:v>1477.4</c:v>
                </c:pt>
                <c:pt idx="22">
                  <c:v>1432.2</c:v>
                </c:pt>
                <c:pt idx="23">
                  <c:v>1354.3</c:v>
                </c:pt>
                <c:pt idx="24">
                  <c:v>1308.2</c:v>
                </c:pt>
                <c:pt idx="25">
                  <c:v>1240.3</c:v>
                </c:pt>
                <c:pt idx="26">
                  <c:v>1165.2</c:v>
                </c:pt>
                <c:pt idx="27">
                  <c:v>1120.0999999999999</c:v>
                </c:pt>
                <c:pt idx="28">
                  <c:v>1077</c:v>
                </c:pt>
                <c:pt idx="29">
                  <c:v>1026.2</c:v>
                </c:pt>
                <c:pt idx="30">
                  <c:v>990.4</c:v>
                </c:pt>
                <c:pt idx="31">
                  <c:v>955</c:v>
                </c:pt>
                <c:pt idx="32">
                  <c:v>910.4</c:v>
                </c:pt>
                <c:pt idx="33">
                  <c:v>881.3</c:v>
                </c:pt>
                <c:pt idx="34">
                  <c:v>835.6</c:v>
                </c:pt>
                <c:pt idx="35">
                  <c:v>816.6</c:v>
                </c:pt>
                <c:pt idx="36">
                  <c:v>787.5</c:v>
                </c:pt>
                <c:pt idx="37">
                  <c:v>765.7</c:v>
                </c:pt>
                <c:pt idx="38">
                  <c:v>744.8</c:v>
                </c:pt>
                <c:pt idx="39">
                  <c:v>718.7</c:v>
                </c:pt>
                <c:pt idx="40">
                  <c:v>691</c:v>
                </c:pt>
                <c:pt idx="41">
                  <c:v>672.8</c:v>
                </c:pt>
                <c:pt idx="42">
                  <c:v>652.5</c:v>
                </c:pt>
                <c:pt idx="43">
                  <c:v>620.4</c:v>
                </c:pt>
                <c:pt idx="44">
                  <c:v>605.29999999999995</c:v>
                </c:pt>
                <c:pt idx="45">
                  <c:v>593.29999999999995</c:v>
                </c:pt>
                <c:pt idx="46">
                  <c:v>570.9</c:v>
                </c:pt>
                <c:pt idx="47">
                  <c:v>562.79999999999995</c:v>
                </c:pt>
                <c:pt idx="48">
                  <c:v>536</c:v>
                </c:pt>
                <c:pt idx="49">
                  <c:v>517.4</c:v>
                </c:pt>
                <c:pt idx="50">
                  <c:v>513.5</c:v>
                </c:pt>
                <c:pt idx="51">
                  <c:v>489.9</c:v>
                </c:pt>
                <c:pt idx="52">
                  <c:v>493.4</c:v>
                </c:pt>
                <c:pt idx="53">
                  <c:v>481.2</c:v>
                </c:pt>
                <c:pt idx="54">
                  <c:v>470.1</c:v>
                </c:pt>
                <c:pt idx="55">
                  <c:v>455.5</c:v>
                </c:pt>
                <c:pt idx="56">
                  <c:v>433.2</c:v>
                </c:pt>
                <c:pt idx="57">
                  <c:v>432.7</c:v>
                </c:pt>
                <c:pt idx="58">
                  <c:v>422.9</c:v>
                </c:pt>
                <c:pt idx="59">
                  <c:v>417.9</c:v>
                </c:pt>
                <c:pt idx="60">
                  <c:v>409.8</c:v>
                </c:pt>
                <c:pt idx="61">
                  <c:v>397.7</c:v>
                </c:pt>
                <c:pt idx="62">
                  <c:v>389.8</c:v>
                </c:pt>
                <c:pt idx="63">
                  <c:v>385.3</c:v>
                </c:pt>
                <c:pt idx="64">
                  <c:v>371</c:v>
                </c:pt>
                <c:pt idx="65">
                  <c:v>379.5</c:v>
                </c:pt>
                <c:pt idx="66">
                  <c:v>361.2</c:v>
                </c:pt>
                <c:pt idx="67">
                  <c:v>348.8</c:v>
                </c:pt>
                <c:pt idx="68">
                  <c:v>344.6</c:v>
                </c:pt>
                <c:pt idx="69">
                  <c:v>348.6</c:v>
                </c:pt>
                <c:pt idx="70">
                  <c:v>339.1</c:v>
                </c:pt>
                <c:pt idx="71">
                  <c:v>329.3</c:v>
                </c:pt>
                <c:pt idx="72">
                  <c:v>318.89999999999998</c:v>
                </c:pt>
                <c:pt idx="73">
                  <c:v>321.3</c:v>
                </c:pt>
                <c:pt idx="74">
                  <c:v>312.7</c:v>
                </c:pt>
                <c:pt idx="75">
                  <c:v>311.7</c:v>
                </c:pt>
                <c:pt idx="76">
                  <c:v>298.2</c:v>
                </c:pt>
                <c:pt idx="77">
                  <c:v>293.7</c:v>
                </c:pt>
                <c:pt idx="78">
                  <c:v>278.08999999999997</c:v>
                </c:pt>
                <c:pt idx="79">
                  <c:v>241.62</c:v>
                </c:pt>
                <c:pt idx="80">
                  <c:v>214.65</c:v>
                </c:pt>
                <c:pt idx="81">
                  <c:v>192.98</c:v>
                </c:pt>
                <c:pt idx="82">
                  <c:v>176.95</c:v>
                </c:pt>
                <c:pt idx="83">
                  <c:v>162.19</c:v>
                </c:pt>
                <c:pt idx="84">
                  <c:v>150.69999999999999</c:v>
                </c:pt>
                <c:pt idx="85">
                  <c:v>142.11000000000001</c:v>
                </c:pt>
                <c:pt idx="86">
                  <c:v>135.62</c:v>
                </c:pt>
                <c:pt idx="87">
                  <c:v>125.66</c:v>
                </c:pt>
                <c:pt idx="88">
                  <c:v>120.67</c:v>
                </c:pt>
                <c:pt idx="89">
                  <c:v>114.03</c:v>
                </c:pt>
                <c:pt idx="90">
                  <c:v>108.35</c:v>
                </c:pt>
                <c:pt idx="91">
                  <c:v>106.07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Data2'!$G$44:$CT$44</c:f>
              <c:numCache>
                <c:formatCode>General</c:formatCode>
                <c:ptCount val="92"/>
                <c:pt idx="0">
                  <c:v>4641</c:v>
                </c:pt>
                <c:pt idx="1">
                  <c:v>4623</c:v>
                </c:pt>
                <c:pt idx="2">
                  <c:v>4653</c:v>
                </c:pt>
                <c:pt idx="3">
                  <c:v>4654</c:v>
                </c:pt>
                <c:pt idx="4">
                  <c:v>4681</c:v>
                </c:pt>
                <c:pt idx="5">
                  <c:v>4557</c:v>
                </c:pt>
                <c:pt idx="6">
                  <c:v>4539</c:v>
                </c:pt>
                <c:pt idx="7">
                  <c:v>4594</c:v>
                </c:pt>
                <c:pt idx="8">
                  <c:v>4471</c:v>
                </c:pt>
                <c:pt idx="9">
                  <c:v>4571</c:v>
                </c:pt>
                <c:pt idx="10">
                  <c:v>4437</c:v>
                </c:pt>
                <c:pt idx="11">
                  <c:v>4425</c:v>
                </c:pt>
                <c:pt idx="12">
                  <c:v>4399</c:v>
                </c:pt>
                <c:pt idx="13">
                  <c:v>4129</c:v>
                </c:pt>
                <c:pt idx="14">
                  <c:v>4407</c:v>
                </c:pt>
                <c:pt idx="15">
                  <c:v>4415</c:v>
                </c:pt>
                <c:pt idx="16">
                  <c:v>4363</c:v>
                </c:pt>
                <c:pt idx="17">
                  <c:v>4239</c:v>
                </c:pt>
                <c:pt idx="18">
                  <c:v>4246</c:v>
                </c:pt>
                <c:pt idx="19">
                  <c:v>4261</c:v>
                </c:pt>
                <c:pt idx="20">
                  <c:v>4219.1000000000004</c:v>
                </c:pt>
                <c:pt idx="21">
                  <c:v>3995.9</c:v>
                </c:pt>
                <c:pt idx="22">
                  <c:v>3780.5</c:v>
                </c:pt>
                <c:pt idx="23">
                  <c:v>3560.4</c:v>
                </c:pt>
                <c:pt idx="24">
                  <c:v>3395.1</c:v>
                </c:pt>
                <c:pt idx="25">
                  <c:v>3211.8</c:v>
                </c:pt>
                <c:pt idx="26">
                  <c:v>3039.2</c:v>
                </c:pt>
                <c:pt idx="27">
                  <c:v>2921.2</c:v>
                </c:pt>
                <c:pt idx="28">
                  <c:v>2760.5</c:v>
                </c:pt>
                <c:pt idx="29">
                  <c:v>2621</c:v>
                </c:pt>
                <c:pt idx="30">
                  <c:v>2491.1</c:v>
                </c:pt>
                <c:pt idx="31">
                  <c:v>2401.1999999999998</c:v>
                </c:pt>
                <c:pt idx="32">
                  <c:v>2337.5</c:v>
                </c:pt>
                <c:pt idx="33">
                  <c:v>2192.5</c:v>
                </c:pt>
                <c:pt idx="34">
                  <c:v>2125</c:v>
                </c:pt>
                <c:pt idx="35">
                  <c:v>2029.5</c:v>
                </c:pt>
                <c:pt idx="36">
                  <c:v>1948.9</c:v>
                </c:pt>
                <c:pt idx="37">
                  <c:v>1864.6</c:v>
                </c:pt>
                <c:pt idx="38">
                  <c:v>1799.7</c:v>
                </c:pt>
                <c:pt idx="39">
                  <c:v>1737.5</c:v>
                </c:pt>
                <c:pt idx="40">
                  <c:v>1662.7</c:v>
                </c:pt>
                <c:pt idx="41">
                  <c:v>1622.1</c:v>
                </c:pt>
                <c:pt idx="42">
                  <c:v>1561</c:v>
                </c:pt>
                <c:pt idx="43">
                  <c:v>1519.3</c:v>
                </c:pt>
                <c:pt idx="44">
                  <c:v>1444.2</c:v>
                </c:pt>
                <c:pt idx="45">
                  <c:v>1393.7</c:v>
                </c:pt>
                <c:pt idx="46">
                  <c:v>1371.2</c:v>
                </c:pt>
                <c:pt idx="47">
                  <c:v>1313.5</c:v>
                </c:pt>
                <c:pt idx="48">
                  <c:v>1277.4000000000001</c:v>
                </c:pt>
                <c:pt idx="49">
                  <c:v>1240.7</c:v>
                </c:pt>
                <c:pt idx="50">
                  <c:v>1201.3</c:v>
                </c:pt>
                <c:pt idx="51">
                  <c:v>1154.4000000000001</c:v>
                </c:pt>
                <c:pt idx="52">
                  <c:v>1126.7</c:v>
                </c:pt>
                <c:pt idx="53">
                  <c:v>1090.5</c:v>
                </c:pt>
                <c:pt idx="54">
                  <c:v>1067.5999999999999</c:v>
                </c:pt>
                <c:pt idx="55">
                  <c:v>1044.9000000000001</c:v>
                </c:pt>
                <c:pt idx="56">
                  <c:v>1020.2</c:v>
                </c:pt>
                <c:pt idx="57">
                  <c:v>979.1</c:v>
                </c:pt>
                <c:pt idx="58">
                  <c:v>953</c:v>
                </c:pt>
                <c:pt idx="59">
                  <c:v>930.1</c:v>
                </c:pt>
                <c:pt idx="60">
                  <c:v>923.7</c:v>
                </c:pt>
                <c:pt idx="61">
                  <c:v>887.6</c:v>
                </c:pt>
                <c:pt idx="62">
                  <c:v>863.7</c:v>
                </c:pt>
                <c:pt idx="63">
                  <c:v>846.5</c:v>
                </c:pt>
                <c:pt idx="64">
                  <c:v>828.8</c:v>
                </c:pt>
                <c:pt idx="65">
                  <c:v>809.7</c:v>
                </c:pt>
                <c:pt idx="66">
                  <c:v>784.4</c:v>
                </c:pt>
                <c:pt idx="67">
                  <c:v>767.2</c:v>
                </c:pt>
                <c:pt idx="68">
                  <c:v>758.4</c:v>
                </c:pt>
                <c:pt idx="69">
                  <c:v>740.9</c:v>
                </c:pt>
                <c:pt idx="70">
                  <c:v>722.9</c:v>
                </c:pt>
                <c:pt idx="71">
                  <c:v>719.7</c:v>
                </c:pt>
                <c:pt idx="72">
                  <c:v>695.5</c:v>
                </c:pt>
                <c:pt idx="73">
                  <c:v>691.6</c:v>
                </c:pt>
                <c:pt idx="74">
                  <c:v>654.5</c:v>
                </c:pt>
                <c:pt idx="75">
                  <c:v>652.6</c:v>
                </c:pt>
                <c:pt idx="76">
                  <c:v>645</c:v>
                </c:pt>
                <c:pt idx="77">
                  <c:v>617.9</c:v>
                </c:pt>
                <c:pt idx="78">
                  <c:v>568.62</c:v>
                </c:pt>
                <c:pt idx="79">
                  <c:v>480.19</c:v>
                </c:pt>
                <c:pt idx="80">
                  <c:v>412.4</c:v>
                </c:pt>
                <c:pt idx="81">
                  <c:v>361.25</c:v>
                </c:pt>
                <c:pt idx="82">
                  <c:v>317.74</c:v>
                </c:pt>
                <c:pt idx="83">
                  <c:v>291.08999999999997</c:v>
                </c:pt>
                <c:pt idx="84">
                  <c:v>265.07</c:v>
                </c:pt>
                <c:pt idx="85">
                  <c:v>241.27</c:v>
                </c:pt>
                <c:pt idx="86">
                  <c:v>221.76</c:v>
                </c:pt>
                <c:pt idx="87">
                  <c:v>207.3</c:v>
                </c:pt>
                <c:pt idx="88">
                  <c:v>191.81</c:v>
                </c:pt>
                <c:pt idx="89">
                  <c:v>181.91</c:v>
                </c:pt>
                <c:pt idx="90">
                  <c:v>168.33</c:v>
                </c:pt>
                <c:pt idx="91">
                  <c:v>160.74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Data2'!$G$45:$CT$45</c:f>
              <c:numCache>
                <c:formatCode>General</c:formatCode>
                <c:ptCount val="92"/>
                <c:pt idx="0">
                  <c:v>1647</c:v>
                </c:pt>
                <c:pt idx="1">
                  <c:v>1668</c:v>
                </c:pt>
                <c:pt idx="2">
                  <c:v>1720</c:v>
                </c:pt>
                <c:pt idx="3">
                  <c:v>1664</c:v>
                </c:pt>
                <c:pt idx="4">
                  <c:v>1652</c:v>
                </c:pt>
                <c:pt idx="5">
                  <c:v>1629</c:v>
                </c:pt>
                <c:pt idx="6">
                  <c:v>1608</c:v>
                </c:pt>
                <c:pt idx="7">
                  <c:v>1640</c:v>
                </c:pt>
                <c:pt idx="8">
                  <c:v>1617</c:v>
                </c:pt>
                <c:pt idx="9">
                  <c:v>1603</c:v>
                </c:pt>
                <c:pt idx="10">
                  <c:v>1601</c:v>
                </c:pt>
                <c:pt idx="11">
                  <c:v>1653</c:v>
                </c:pt>
                <c:pt idx="12">
                  <c:v>1623</c:v>
                </c:pt>
                <c:pt idx="13">
                  <c:v>1620</c:v>
                </c:pt>
                <c:pt idx="14">
                  <c:v>1569</c:v>
                </c:pt>
                <c:pt idx="15">
                  <c:v>1568</c:v>
                </c:pt>
                <c:pt idx="16">
                  <c:v>1571</c:v>
                </c:pt>
                <c:pt idx="17">
                  <c:v>1556</c:v>
                </c:pt>
                <c:pt idx="18">
                  <c:v>1555</c:v>
                </c:pt>
                <c:pt idx="19">
                  <c:v>1486</c:v>
                </c:pt>
                <c:pt idx="20">
                  <c:v>1531.4</c:v>
                </c:pt>
                <c:pt idx="21">
                  <c:v>1461</c:v>
                </c:pt>
                <c:pt idx="22">
                  <c:v>1394.4</c:v>
                </c:pt>
                <c:pt idx="23">
                  <c:v>1339.6</c:v>
                </c:pt>
                <c:pt idx="24">
                  <c:v>1275.5999999999999</c:v>
                </c:pt>
                <c:pt idx="25">
                  <c:v>1232.8</c:v>
                </c:pt>
                <c:pt idx="26">
                  <c:v>1165.5999999999999</c:v>
                </c:pt>
                <c:pt idx="27">
                  <c:v>1100.4000000000001</c:v>
                </c:pt>
                <c:pt idx="28">
                  <c:v>1054.5</c:v>
                </c:pt>
                <c:pt idx="29">
                  <c:v>1014.4</c:v>
                </c:pt>
                <c:pt idx="30">
                  <c:v>980</c:v>
                </c:pt>
                <c:pt idx="31">
                  <c:v>929.3</c:v>
                </c:pt>
                <c:pt idx="32">
                  <c:v>896.5</c:v>
                </c:pt>
                <c:pt idx="33">
                  <c:v>874.9</c:v>
                </c:pt>
                <c:pt idx="34">
                  <c:v>834.2</c:v>
                </c:pt>
                <c:pt idx="35">
                  <c:v>789.9</c:v>
                </c:pt>
                <c:pt idx="36">
                  <c:v>773.5</c:v>
                </c:pt>
                <c:pt idx="37">
                  <c:v>750.1</c:v>
                </c:pt>
                <c:pt idx="38">
                  <c:v>724</c:v>
                </c:pt>
                <c:pt idx="39">
                  <c:v>701.2</c:v>
                </c:pt>
                <c:pt idx="40">
                  <c:v>680.8</c:v>
                </c:pt>
                <c:pt idx="41">
                  <c:v>659.6</c:v>
                </c:pt>
                <c:pt idx="42">
                  <c:v>638.20000000000005</c:v>
                </c:pt>
                <c:pt idx="43">
                  <c:v>613.70000000000005</c:v>
                </c:pt>
                <c:pt idx="44">
                  <c:v>571.29999999999995</c:v>
                </c:pt>
                <c:pt idx="45">
                  <c:v>591.79999999999995</c:v>
                </c:pt>
                <c:pt idx="46">
                  <c:v>570.1</c:v>
                </c:pt>
                <c:pt idx="47">
                  <c:v>556.1</c:v>
                </c:pt>
                <c:pt idx="48">
                  <c:v>547.70000000000005</c:v>
                </c:pt>
                <c:pt idx="49">
                  <c:v>525.1</c:v>
                </c:pt>
                <c:pt idx="50">
                  <c:v>514.20000000000005</c:v>
                </c:pt>
                <c:pt idx="51">
                  <c:v>502.9</c:v>
                </c:pt>
                <c:pt idx="52">
                  <c:v>498.1</c:v>
                </c:pt>
                <c:pt idx="53">
                  <c:v>473</c:v>
                </c:pt>
                <c:pt idx="54">
                  <c:v>464.6</c:v>
                </c:pt>
                <c:pt idx="55">
                  <c:v>453.4</c:v>
                </c:pt>
                <c:pt idx="56">
                  <c:v>446.4</c:v>
                </c:pt>
                <c:pt idx="57">
                  <c:v>430.8</c:v>
                </c:pt>
                <c:pt idx="58">
                  <c:v>431.1</c:v>
                </c:pt>
                <c:pt idx="59">
                  <c:v>414.2</c:v>
                </c:pt>
                <c:pt idx="60">
                  <c:v>411.1</c:v>
                </c:pt>
                <c:pt idx="61">
                  <c:v>401.5</c:v>
                </c:pt>
                <c:pt idx="62">
                  <c:v>386.4</c:v>
                </c:pt>
                <c:pt idx="63">
                  <c:v>390.6</c:v>
                </c:pt>
                <c:pt idx="64">
                  <c:v>380.8</c:v>
                </c:pt>
                <c:pt idx="65">
                  <c:v>368.9</c:v>
                </c:pt>
                <c:pt idx="66">
                  <c:v>362.8</c:v>
                </c:pt>
                <c:pt idx="67">
                  <c:v>354.7</c:v>
                </c:pt>
                <c:pt idx="68">
                  <c:v>351.5</c:v>
                </c:pt>
                <c:pt idx="69">
                  <c:v>343.7</c:v>
                </c:pt>
                <c:pt idx="70">
                  <c:v>337.7</c:v>
                </c:pt>
                <c:pt idx="71">
                  <c:v>335.9</c:v>
                </c:pt>
                <c:pt idx="72">
                  <c:v>322.10000000000002</c:v>
                </c:pt>
                <c:pt idx="73">
                  <c:v>319.60000000000002</c:v>
                </c:pt>
                <c:pt idx="74">
                  <c:v>318.3</c:v>
                </c:pt>
                <c:pt idx="75">
                  <c:v>311.39999999999998</c:v>
                </c:pt>
                <c:pt idx="76">
                  <c:v>305.39999999999998</c:v>
                </c:pt>
                <c:pt idx="77">
                  <c:v>302.8</c:v>
                </c:pt>
                <c:pt idx="78">
                  <c:v>277.79000000000002</c:v>
                </c:pt>
                <c:pt idx="79">
                  <c:v>244.4</c:v>
                </c:pt>
                <c:pt idx="80">
                  <c:v>220.51</c:v>
                </c:pt>
                <c:pt idx="81">
                  <c:v>199.95</c:v>
                </c:pt>
                <c:pt idx="82">
                  <c:v>180.24</c:v>
                </c:pt>
                <c:pt idx="83">
                  <c:v>167.01</c:v>
                </c:pt>
                <c:pt idx="84">
                  <c:v>156.44999999999999</c:v>
                </c:pt>
                <c:pt idx="85">
                  <c:v>147.13999999999999</c:v>
                </c:pt>
                <c:pt idx="86">
                  <c:v>139.44999999999999</c:v>
                </c:pt>
                <c:pt idx="87">
                  <c:v>130.28</c:v>
                </c:pt>
                <c:pt idx="88">
                  <c:v>124.68</c:v>
                </c:pt>
                <c:pt idx="89">
                  <c:v>118.8</c:v>
                </c:pt>
                <c:pt idx="90">
                  <c:v>112.59</c:v>
                </c:pt>
                <c:pt idx="91">
                  <c:v>108.36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Data2'!$G$46:$CT$46</c:f>
              <c:numCache>
                <c:formatCode>General</c:formatCode>
                <c:ptCount val="92"/>
                <c:pt idx="0">
                  <c:v>5406</c:v>
                </c:pt>
                <c:pt idx="1">
                  <c:v>5397</c:v>
                </c:pt>
                <c:pt idx="2">
                  <c:v>5380</c:v>
                </c:pt>
                <c:pt idx="3">
                  <c:v>5358</c:v>
                </c:pt>
                <c:pt idx="4">
                  <c:v>5445</c:v>
                </c:pt>
                <c:pt idx="5">
                  <c:v>5382</c:v>
                </c:pt>
                <c:pt idx="6">
                  <c:v>5384</c:v>
                </c:pt>
                <c:pt idx="7">
                  <c:v>5407</c:v>
                </c:pt>
                <c:pt idx="8">
                  <c:v>5176</c:v>
                </c:pt>
                <c:pt idx="9">
                  <c:v>5267</c:v>
                </c:pt>
                <c:pt idx="10">
                  <c:v>5327</c:v>
                </c:pt>
                <c:pt idx="11">
                  <c:v>5244</c:v>
                </c:pt>
                <c:pt idx="12">
                  <c:v>5334</c:v>
                </c:pt>
                <c:pt idx="13">
                  <c:v>5218</c:v>
                </c:pt>
                <c:pt idx="14">
                  <c:v>5164</c:v>
                </c:pt>
                <c:pt idx="15">
                  <c:v>5155</c:v>
                </c:pt>
                <c:pt idx="16">
                  <c:v>5035</c:v>
                </c:pt>
                <c:pt idx="17">
                  <c:v>5117</c:v>
                </c:pt>
                <c:pt idx="18">
                  <c:v>5031</c:v>
                </c:pt>
                <c:pt idx="19">
                  <c:v>5130</c:v>
                </c:pt>
                <c:pt idx="20">
                  <c:v>4956.8999999999996</c:v>
                </c:pt>
                <c:pt idx="21">
                  <c:v>4694.1000000000004</c:v>
                </c:pt>
                <c:pt idx="22">
                  <c:v>4474.3999999999996</c:v>
                </c:pt>
                <c:pt idx="23">
                  <c:v>4210.1000000000004</c:v>
                </c:pt>
                <c:pt idx="24">
                  <c:v>4009.5</c:v>
                </c:pt>
                <c:pt idx="25">
                  <c:v>3804.1</c:v>
                </c:pt>
                <c:pt idx="26">
                  <c:v>3609.9</c:v>
                </c:pt>
                <c:pt idx="27">
                  <c:v>3418.9</c:v>
                </c:pt>
                <c:pt idx="28">
                  <c:v>3249.3</c:v>
                </c:pt>
                <c:pt idx="29">
                  <c:v>3113.6</c:v>
                </c:pt>
                <c:pt idx="30">
                  <c:v>2965.2</c:v>
                </c:pt>
                <c:pt idx="31">
                  <c:v>2827.1</c:v>
                </c:pt>
                <c:pt idx="32">
                  <c:v>2710.7</c:v>
                </c:pt>
                <c:pt idx="33">
                  <c:v>2586.5</c:v>
                </c:pt>
                <c:pt idx="34">
                  <c:v>2472</c:v>
                </c:pt>
                <c:pt idx="35">
                  <c:v>2383.6</c:v>
                </c:pt>
                <c:pt idx="36">
                  <c:v>2284.3000000000002</c:v>
                </c:pt>
                <c:pt idx="37">
                  <c:v>2186.8000000000002</c:v>
                </c:pt>
                <c:pt idx="38">
                  <c:v>2097.5</c:v>
                </c:pt>
                <c:pt idx="39">
                  <c:v>2029.5</c:v>
                </c:pt>
                <c:pt idx="40">
                  <c:v>1960.8</c:v>
                </c:pt>
                <c:pt idx="41">
                  <c:v>1895.1</c:v>
                </c:pt>
                <c:pt idx="42">
                  <c:v>1818.7</c:v>
                </c:pt>
                <c:pt idx="43">
                  <c:v>1752.9</c:v>
                </c:pt>
                <c:pt idx="44">
                  <c:v>1678</c:v>
                </c:pt>
                <c:pt idx="45">
                  <c:v>1653.7</c:v>
                </c:pt>
                <c:pt idx="46">
                  <c:v>1576.6</c:v>
                </c:pt>
                <c:pt idx="47">
                  <c:v>1522.7</c:v>
                </c:pt>
                <c:pt idx="48">
                  <c:v>1481.8</c:v>
                </c:pt>
                <c:pt idx="49">
                  <c:v>1436.5</c:v>
                </c:pt>
                <c:pt idx="50">
                  <c:v>1398.8</c:v>
                </c:pt>
                <c:pt idx="51">
                  <c:v>1375.2</c:v>
                </c:pt>
                <c:pt idx="52">
                  <c:v>1316.8</c:v>
                </c:pt>
                <c:pt idx="53">
                  <c:v>1279.4000000000001</c:v>
                </c:pt>
                <c:pt idx="54">
                  <c:v>1236.8</c:v>
                </c:pt>
                <c:pt idx="55">
                  <c:v>1215.8</c:v>
                </c:pt>
                <c:pt idx="56">
                  <c:v>1176.7</c:v>
                </c:pt>
                <c:pt idx="57">
                  <c:v>1141.5999999999999</c:v>
                </c:pt>
                <c:pt idx="58">
                  <c:v>1114.3</c:v>
                </c:pt>
                <c:pt idx="59">
                  <c:v>1085.4000000000001</c:v>
                </c:pt>
                <c:pt idx="60">
                  <c:v>1042.2</c:v>
                </c:pt>
                <c:pt idx="61">
                  <c:v>1051.4000000000001</c:v>
                </c:pt>
                <c:pt idx="62">
                  <c:v>1024.9000000000001</c:v>
                </c:pt>
                <c:pt idx="63">
                  <c:v>991.3</c:v>
                </c:pt>
                <c:pt idx="64">
                  <c:v>959.3</c:v>
                </c:pt>
                <c:pt idx="65">
                  <c:v>931.4</c:v>
                </c:pt>
                <c:pt idx="66">
                  <c:v>912.7</c:v>
                </c:pt>
                <c:pt idx="67">
                  <c:v>898</c:v>
                </c:pt>
                <c:pt idx="68">
                  <c:v>889.3</c:v>
                </c:pt>
                <c:pt idx="69">
                  <c:v>854.4</c:v>
                </c:pt>
                <c:pt idx="70">
                  <c:v>852.4</c:v>
                </c:pt>
                <c:pt idx="71">
                  <c:v>822.5</c:v>
                </c:pt>
                <c:pt idx="72">
                  <c:v>809.2</c:v>
                </c:pt>
                <c:pt idx="73">
                  <c:v>791</c:v>
                </c:pt>
                <c:pt idx="74">
                  <c:v>775.9</c:v>
                </c:pt>
                <c:pt idx="75">
                  <c:v>759</c:v>
                </c:pt>
                <c:pt idx="76">
                  <c:v>744.2</c:v>
                </c:pt>
                <c:pt idx="77">
                  <c:v>731.3</c:v>
                </c:pt>
                <c:pt idx="78">
                  <c:v>659.16</c:v>
                </c:pt>
                <c:pt idx="79">
                  <c:v>558.91</c:v>
                </c:pt>
                <c:pt idx="80">
                  <c:v>481.14</c:v>
                </c:pt>
                <c:pt idx="81">
                  <c:v>423.2</c:v>
                </c:pt>
                <c:pt idx="82">
                  <c:v>372.83</c:v>
                </c:pt>
                <c:pt idx="83">
                  <c:v>335.07</c:v>
                </c:pt>
                <c:pt idx="84">
                  <c:v>304.2</c:v>
                </c:pt>
                <c:pt idx="85">
                  <c:v>279.64</c:v>
                </c:pt>
                <c:pt idx="86">
                  <c:v>256.10000000000002</c:v>
                </c:pt>
                <c:pt idx="87">
                  <c:v>237.07</c:v>
                </c:pt>
                <c:pt idx="88">
                  <c:v>219.96</c:v>
                </c:pt>
                <c:pt idx="89">
                  <c:v>206.31</c:v>
                </c:pt>
                <c:pt idx="90">
                  <c:v>192.62</c:v>
                </c:pt>
                <c:pt idx="91">
                  <c:v>181.16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Data2'!$G$47:$CT$47</c:f>
              <c:numCache>
                <c:formatCode>General</c:formatCode>
                <c:ptCount val="92"/>
                <c:pt idx="0">
                  <c:v>1635</c:v>
                </c:pt>
                <c:pt idx="1">
                  <c:v>1683</c:v>
                </c:pt>
                <c:pt idx="2">
                  <c:v>1724</c:v>
                </c:pt>
                <c:pt idx="3">
                  <c:v>1635</c:v>
                </c:pt>
                <c:pt idx="4">
                  <c:v>1610</c:v>
                </c:pt>
                <c:pt idx="5">
                  <c:v>1625</c:v>
                </c:pt>
                <c:pt idx="6">
                  <c:v>1621</c:v>
                </c:pt>
                <c:pt idx="7">
                  <c:v>1628</c:v>
                </c:pt>
                <c:pt idx="8">
                  <c:v>1569</c:v>
                </c:pt>
                <c:pt idx="9">
                  <c:v>1611</c:v>
                </c:pt>
                <c:pt idx="10">
                  <c:v>1620</c:v>
                </c:pt>
                <c:pt idx="11">
                  <c:v>1650</c:v>
                </c:pt>
                <c:pt idx="12">
                  <c:v>1608</c:v>
                </c:pt>
                <c:pt idx="13">
                  <c:v>1600</c:v>
                </c:pt>
                <c:pt idx="14">
                  <c:v>1595</c:v>
                </c:pt>
                <c:pt idx="15">
                  <c:v>1602</c:v>
                </c:pt>
                <c:pt idx="16">
                  <c:v>1791</c:v>
                </c:pt>
                <c:pt idx="17">
                  <c:v>1567</c:v>
                </c:pt>
                <c:pt idx="18">
                  <c:v>1536</c:v>
                </c:pt>
                <c:pt idx="19">
                  <c:v>1576</c:v>
                </c:pt>
                <c:pt idx="20">
                  <c:v>1535.4</c:v>
                </c:pt>
                <c:pt idx="21">
                  <c:v>1470.9</c:v>
                </c:pt>
                <c:pt idx="22">
                  <c:v>1389.1</c:v>
                </c:pt>
                <c:pt idx="23">
                  <c:v>1336.8</c:v>
                </c:pt>
                <c:pt idx="24">
                  <c:v>1261.5999999999999</c:v>
                </c:pt>
                <c:pt idx="25">
                  <c:v>1225.4000000000001</c:v>
                </c:pt>
                <c:pt idx="26">
                  <c:v>1162.7</c:v>
                </c:pt>
                <c:pt idx="27">
                  <c:v>1133.0999999999999</c:v>
                </c:pt>
                <c:pt idx="28">
                  <c:v>1059.0999999999999</c:v>
                </c:pt>
                <c:pt idx="29">
                  <c:v>1015.1</c:v>
                </c:pt>
                <c:pt idx="30">
                  <c:v>979</c:v>
                </c:pt>
                <c:pt idx="31">
                  <c:v>938.4</c:v>
                </c:pt>
                <c:pt idx="32">
                  <c:v>914.9</c:v>
                </c:pt>
                <c:pt idx="33">
                  <c:v>873.6</c:v>
                </c:pt>
                <c:pt idx="34">
                  <c:v>845.4</c:v>
                </c:pt>
                <c:pt idx="35">
                  <c:v>811.4</c:v>
                </c:pt>
                <c:pt idx="36">
                  <c:v>794.7</c:v>
                </c:pt>
                <c:pt idx="37">
                  <c:v>764.2</c:v>
                </c:pt>
                <c:pt idx="38">
                  <c:v>729.8</c:v>
                </c:pt>
                <c:pt idx="39">
                  <c:v>697.4</c:v>
                </c:pt>
                <c:pt idx="40">
                  <c:v>684.4</c:v>
                </c:pt>
                <c:pt idx="41">
                  <c:v>658.7</c:v>
                </c:pt>
                <c:pt idx="42">
                  <c:v>647.4</c:v>
                </c:pt>
                <c:pt idx="43">
                  <c:v>618.70000000000005</c:v>
                </c:pt>
                <c:pt idx="44">
                  <c:v>612.79999999999995</c:v>
                </c:pt>
                <c:pt idx="45">
                  <c:v>604.70000000000005</c:v>
                </c:pt>
                <c:pt idx="46">
                  <c:v>575.70000000000005</c:v>
                </c:pt>
                <c:pt idx="47">
                  <c:v>567.20000000000005</c:v>
                </c:pt>
                <c:pt idx="48">
                  <c:v>554.9</c:v>
                </c:pt>
                <c:pt idx="49">
                  <c:v>550.29999999999995</c:v>
                </c:pt>
                <c:pt idx="50">
                  <c:v>524.6</c:v>
                </c:pt>
                <c:pt idx="51">
                  <c:v>511.3</c:v>
                </c:pt>
                <c:pt idx="52">
                  <c:v>504.2</c:v>
                </c:pt>
                <c:pt idx="53">
                  <c:v>476.8</c:v>
                </c:pt>
                <c:pt idx="54">
                  <c:v>461.7</c:v>
                </c:pt>
                <c:pt idx="55">
                  <c:v>461.8</c:v>
                </c:pt>
                <c:pt idx="56">
                  <c:v>448.2</c:v>
                </c:pt>
                <c:pt idx="57">
                  <c:v>453.7</c:v>
                </c:pt>
                <c:pt idx="58">
                  <c:v>434.9</c:v>
                </c:pt>
                <c:pt idx="59">
                  <c:v>431</c:v>
                </c:pt>
                <c:pt idx="60">
                  <c:v>413.6</c:v>
                </c:pt>
                <c:pt idx="61">
                  <c:v>403.7</c:v>
                </c:pt>
                <c:pt idx="62">
                  <c:v>405</c:v>
                </c:pt>
                <c:pt idx="63">
                  <c:v>398</c:v>
                </c:pt>
                <c:pt idx="64">
                  <c:v>383.5</c:v>
                </c:pt>
                <c:pt idx="65">
                  <c:v>375.8</c:v>
                </c:pt>
                <c:pt idx="66">
                  <c:v>374.9</c:v>
                </c:pt>
                <c:pt idx="67">
                  <c:v>364.7</c:v>
                </c:pt>
                <c:pt idx="68">
                  <c:v>359.4</c:v>
                </c:pt>
                <c:pt idx="69">
                  <c:v>357.4</c:v>
                </c:pt>
                <c:pt idx="70">
                  <c:v>343.8</c:v>
                </c:pt>
                <c:pt idx="71">
                  <c:v>345.4</c:v>
                </c:pt>
                <c:pt idx="72">
                  <c:v>335.3</c:v>
                </c:pt>
                <c:pt idx="73">
                  <c:v>328.9</c:v>
                </c:pt>
                <c:pt idx="74">
                  <c:v>325.2</c:v>
                </c:pt>
                <c:pt idx="75">
                  <c:v>317.2</c:v>
                </c:pt>
                <c:pt idx="76">
                  <c:v>314.2</c:v>
                </c:pt>
                <c:pt idx="77">
                  <c:v>314.7</c:v>
                </c:pt>
                <c:pt idx="78">
                  <c:v>288.91000000000003</c:v>
                </c:pt>
                <c:pt idx="79">
                  <c:v>253.97</c:v>
                </c:pt>
                <c:pt idx="80">
                  <c:v>226.15</c:v>
                </c:pt>
                <c:pt idx="81">
                  <c:v>206.93</c:v>
                </c:pt>
                <c:pt idx="82">
                  <c:v>190.22</c:v>
                </c:pt>
                <c:pt idx="83">
                  <c:v>174.34</c:v>
                </c:pt>
                <c:pt idx="84">
                  <c:v>163.65</c:v>
                </c:pt>
                <c:pt idx="85">
                  <c:v>153.75</c:v>
                </c:pt>
                <c:pt idx="86">
                  <c:v>145.22</c:v>
                </c:pt>
                <c:pt idx="87">
                  <c:v>136.66</c:v>
                </c:pt>
                <c:pt idx="88">
                  <c:v>128.91999999999999</c:v>
                </c:pt>
                <c:pt idx="89">
                  <c:v>125.13</c:v>
                </c:pt>
                <c:pt idx="90">
                  <c:v>119.92</c:v>
                </c:pt>
                <c:pt idx="91">
                  <c:v>114.23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Data2'!$G$48:$CT$48</c:f>
              <c:numCache>
                <c:formatCode>General</c:formatCode>
                <c:ptCount val="92"/>
                <c:pt idx="0">
                  <c:v>72</c:v>
                </c:pt>
                <c:pt idx="1">
                  <c:v>59</c:v>
                </c:pt>
                <c:pt idx="2">
                  <c:v>64</c:v>
                </c:pt>
                <c:pt idx="3">
                  <c:v>64</c:v>
                </c:pt>
                <c:pt idx="4">
                  <c:v>58</c:v>
                </c:pt>
                <c:pt idx="5">
                  <c:v>63</c:v>
                </c:pt>
                <c:pt idx="6">
                  <c:v>76</c:v>
                </c:pt>
                <c:pt idx="7">
                  <c:v>66</c:v>
                </c:pt>
                <c:pt idx="8">
                  <c:v>70</c:v>
                </c:pt>
                <c:pt idx="9">
                  <c:v>76</c:v>
                </c:pt>
                <c:pt idx="10">
                  <c:v>67</c:v>
                </c:pt>
                <c:pt idx="11">
                  <c:v>68</c:v>
                </c:pt>
                <c:pt idx="12">
                  <c:v>68</c:v>
                </c:pt>
                <c:pt idx="13">
                  <c:v>69</c:v>
                </c:pt>
                <c:pt idx="14">
                  <c:v>63</c:v>
                </c:pt>
                <c:pt idx="15">
                  <c:v>51</c:v>
                </c:pt>
                <c:pt idx="16">
                  <c:v>54</c:v>
                </c:pt>
                <c:pt idx="17">
                  <c:v>61</c:v>
                </c:pt>
                <c:pt idx="18">
                  <c:v>67</c:v>
                </c:pt>
                <c:pt idx="19">
                  <c:v>62</c:v>
                </c:pt>
                <c:pt idx="20">
                  <c:v>62.8</c:v>
                </c:pt>
                <c:pt idx="21">
                  <c:v>64.900000000000006</c:v>
                </c:pt>
                <c:pt idx="22">
                  <c:v>63.1</c:v>
                </c:pt>
                <c:pt idx="23">
                  <c:v>62.9</c:v>
                </c:pt>
                <c:pt idx="24">
                  <c:v>63.5</c:v>
                </c:pt>
                <c:pt idx="25">
                  <c:v>62.7</c:v>
                </c:pt>
                <c:pt idx="26">
                  <c:v>58.6</c:v>
                </c:pt>
                <c:pt idx="27">
                  <c:v>58.9</c:v>
                </c:pt>
                <c:pt idx="28">
                  <c:v>55.5</c:v>
                </c:pt>
                <c:pt idx="29">
                  <c:v>56.8</c:v>
                </c:pt>
                <c:pt idx="30">
                  <c:v>53.6</c:v>
                </c:pt>
                <c:pt idx="31">
                  <c:v>52.9</c:v>
                </c:pt>
                <c:pt idx="32">
                  <c:v>52.6</c:v>
                </c:pt>
                <c:pt idx="33">
                  <c:v>55</c:v>
                </c:pt>
                <c:pt idx="34">
                  <c:v>53.1</c:v>
                </c:pt>
                <c:pt idx="35">
                  <c:v>52.5</c:v>
                </c:pt>
                <c:pt idx="36">
                  <c:v>50</c:v>
                </c:pt>
                <c:pt idx="37">
                  <c:v>47.1</c:v>
                </c:pt>
                <c:pt idx="38">
                  <c:v>46.5</c:v>
                </c:pt>
                <c:pt idx="39">
                  <c:v>49.4</c:v>
                </c:pt>
                <c:pt idx="40">
                  <c:v>46.2</c:v>
                </c:pt>
                <c:pt idx="41">
                  <c:v>46.4</c:v>
                </c:pt>
                <c:pt idx="42">
                  <c:v>48.9</c:v>
                </c:pt>
                <c:pt idx="43">
                  <c:v>46.9</c:v>
                </c:pt>
                <c:pt idx="44">
                  <c:v>45.2</c:v>
                </c:pt>
                <c:pt idx="45">
                  <c:v>46.9</c:v>
                </c:pt>
                <c:pt idx="46">
                  <c:v>42.7</c:v>
                </c:pt>
                <c:pt idx="47">
                  <c:v>44</c:v>
                </c:pt>
                <c:pt idx="48">
                  <c:v>43.7</c:v>
                </c:pt>
                <c:pt idx="49">
                  <c:v>44.6</c:v>
                </c:pt>
                <c:pt idx="50">
                  <c:v>43.2</c:v>
                </c:pt>
                <c:pt idx="51">
                  <c:v>45</c:v>
                </c:pt>
                <c:pt idx="52">
                  <c:v>39</c:v>
                </c:pt>
                <c:pt idx="53">
                  <c:v>44.9</c:v>
                </c:pt>
                <c:pt idx="54">
                  <c:v>39.6</c:v>
                </c:pt>
                <c:pt idx="55">
                  <c:v>41.4</c:v>
                </c:pt>
                <c:pt idx="56">
                  <c:v>41.9</c:v>
                </c:pt>
                <c:pt idx="57">
                  <c:v>40.4</c:v>
                </c:pt>
                <c:pt idx="58">
                  <c:v>40.9</c:v>
                </c:pt>
                <c:pt idx="59">
                  <c:v>40.1</c:v>
                </c:pt>
                <c:pt idx="60">
                  <c:v>40.299999999999997</c:v>
                </c:pt>
                <c:pt idx="61">
                  <c:v>37.9</c:v>
                </c:pt>
                <c:pt idx="62">
                  <c:v>36.299999999999997</c:v>
                </c:pt>
                <c:pt idx="63">
                  <c:v>38</c:v>
                </c:pt>
                <c:pt idx="64">
                  <c:v>33.700000000000003</c:v>
                </c:pt>
                <c:pt idx="65">
                  <c:v>37.4</c:v>
                </c:pt>
                <c:pt idx="66">
                  <c:v>37.799999999999997</c:v>
                </c:pt>
                <c:pt idx="67">
                  <c:v>39.799999999999997</c:v>
                </c:pt>
                <c:pt idx="68">
                  <c:v>38</c:v>
                </c:pt>
                <c:pt idx="69">
                  <c:v>37.799999999999997</c:v>
                </c:pt>
                <c:pt idx="70">
                  <c:v>35.5</c:v>
                </c:pt>
                <c:pt idx="71">
                  <c:v>36.5</c:v>
                </c:pt>
                <c:pt idx="72">
                  <c:v>38</c:v>
                </c:pt>
                <c:pt idx="73">
                  <c:v>36.200000000000003</c:v>
                </c:pt>
                <c:pt idx="74">
                  <c:v>36.299999999999997</c:v>
                </c:pt>
                <c:pt idx="75">
                  <c:v>36.9</c:v>
                </c:pt>
                <c:pt idx="76">
                  <c:v>35.799999999999997</c:v>
                </c:pt>
                <c:pt idx="77">
                  <c:v>34.4</c:v>
                </c:pt>
                <c:pt idx="78">
                  <c:v>34.729999999999997</c:v>
                </c:pt>
                <c:pt idx="79">
                  <c:v>33.85</c:v>
                </c:pt>
                <c:pt idx="80">
                  <c:v>31.68</c:v>
                </c:pt>
                <c:pt idx="81">
                  <c:v>31.75</c:v>
                </c:pt>
                <c:pt idx="82">
                  <c:v>29.78</c:v>
                </c:pt>
                <c:pt idx="83">
                  <c:v>28.9</c:v>
                </c:pt>
                <c:pt idx="84">
                  <c:v>28.4</c:v>
                </c:pt>
                <c:pt idx="85">
                  <c:v>27.55</c:v>
                </c:pt>
                <c:pt idx="86">
                  <c:v>27.46</c:v>
                </c:pt>
                <c:pt idx="87">
                  <c:v>27.27</c:v>
                </c:pt>
                <c:pt idx="88">
                  <c:v>27.11</c:v>
                </c:pt>
                <c:pt idx="89">
                  <c:v>27.13</c:v>
                </c:pt>
                <c:pt idx="90">
                  <c:v>26.2</c:v>
                </c:pt>
                <c:pt idx="91">
                  <c:v>26.35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Data2'!$G$49:$CT$49</c:f>
              <c:numCache>
                <c:formatCode>General</c:formatCode>
                <c:ptCount val="92"/>
                <c:pt idx="0">
                  <c:v>1433</c:v>
                </c:pt>
                <c:pt idx="1">
                  <c:v>1427</c:v>
                </c:pt>
                <c:pt idx="2">
                  <c:v>1412</c:v>
                </c:pt>
                <c:pt idx="3">
                  <c:v>1415</c:v>
                </c:pt>
                <c:pt idx="4">
                  <c:v>1422</c:v>
                </c:pt>
                <c:pt idx="5">
                  <c:v>1443</c:v>
                </c:pt>
                <c:pt idx="6">
                  <c:v>1408</c:v>
                </c:pt>
                <c:pt idx="7">
                  <c:v>1389</c:v>
                </c:pt>
                <c:pt idx="8">
                  <c:v>1429</c:v>
                </c:pt>
                <c:pt idx="9">
                  <c:v>1397</c:v>
                </c:pt>
                <c:pt idx="10">
                  <c:v>1372</c:v>
                </c:pt>
                <c:pt idx="11">
                  <c:v>1382</c:v>
                </c:pt>
                <c:pt idx="12">
                  <c:v>1370</c:v>
                </c:pt>
                <c:pt idx="13">
                  <c:v>1376</c:v>
                </c:pt>
                <c:pt idx="14">
                  <c:v>1382</c:v>
                </c:pt>
                <c:pt idx="15">
                  <c:v>1336</c:v>
                </c:pt>
                <c:pt idx="16">
                  <c:v>1394</c:v>
                </c:pt>
                <c:pt idx="17">
                  <c:v>1334</c:v>
                </c:pt>
                <c:pt idx="18">
                  <c:v>1335</c:v>
                </c:pt>
                <c:pt idx="19">
                  <c:v>1289</c:v>
                </c:pt>
                <c:pt idx="20">
                  <c:v>1320</c:v>
                </c:pt>
                <c:pt idx="21">
                  <c:v>1242.0999999999999</c:v>
                </c:pt>
                <c:pt idx="22">
                  <c:v>1188</c:v>
                </c:pt>
                <c:pt idx="23">
                  <c:v>1131.5</c:v>
                </c:pt>
                <c:pt idx="24">
                  <c:v>1068.2</c:v>
                </c:pt>
                <c:pt idx="25">
                  <c:v>1020.9</c:v>
                </c:pt>
                <c:pt idx="26">
                  <c:v>981</c:v>
                </c:pt>
                <c:pt idx="27">
                  <c:v>910.6</c:v>
                </c:pt>
                <c:pt idx="28">
                  <c:v>880.4</c:v>
                </c:pt>
                <c:pt idx="29">
                  <c:v>837.4</c:v>
                </c:pt>
                <c:pt idx="30">
                  <c:v>813.1</c:v>
                </c:pt>
                <c:pt idx="31">
                  <c:v>764.2</c:v>
                </c:pt>
                <c:pt idx="32">
                  <c:v>732.7</c:v>
                </c:pt>
                <c:pt idx="33">
                  <c:v>704.6</c:v>
                </c:pt>
                <c:pt idx="34">
                  <c:v>683.5</c:v>
                </c:pt>
                <c:pt idx="35">
                  <c:v>654.1</c:v>
                </c:pt>
                <c:pt idx="36">
                  <c:v>638.9</c:v>
                </c:pt>
                <c:pt idx="37">
                  <c:v>598.9</c:v>
                </c:pt>
                <c:pt idx="38">
                  <c:v>578.1</c:v>
                </c:pt>
                <c:pt idx="39">
                  <c:v>563.4</c:v>
                </c:pt>
                <c:pt idx="40">
                  <c:v>549.1</c:v>
                </c:pt>
                <c:pt idx="41">
                  <c:v>531.29999999999995</c:v>
                </c:pt>
                <c:pt idx="42">
                  <c:v>511</c:v>
                </c:pt>
                <c:pt idx="43">
                  <c:v>489.6</c:v>
                </c:pt>
                <c:pt idx="44">
                  <c:v>473.6</c:v>
                </c:pt>
                <c:pt idx="45">
                  <c:v>473.4</c:v>
                </c:pt>
                <c:pt idx="46">
                  <c:v>443.1</c:v>
                </c:pt>
                <c:pt idx="47">
                  <c:v>435.3</c:v>
                </c:pt>
                <c:pt idx="48">
                  <c:v>426.7</c:v>
                </c:pt>
                <c:pt idx="49">
                  <c:v>420.5</c:v>
                </c:pt>
                <c:pt idx="50">
                  <c:v>394</c:v>
                </c:pt>
                <c:pt idx="51">
                  <c:v>391.9</c:v>
                </c:pt>
                <c:pt idx="52">
                  <c:v>380</c:v>
                </c:pt>
                <c:pt idx="53">
                  <c:v>367.7</c:v>
                </c:pt>
                <c:pt idx="54">
                  <c:v>354.4</c:v>
                </c:pt>
                <c:pt idx="55">
                  <c:v>342.5</c:v>
                </c:pt>
                <c:pt idx="56">
                  <c:v>337.3</c:v>
                </c:pt>
                <c:pt idx="57">
                  <c:v>335.9</c:v>
                </c:pt>
                <c:pt idx="58">
                  <c:v>324.39999999999998</c:v>
                </c:pt>
                <c:pt idx="59">
                  <c:v>318.39999999999998</c:v>
                </c:pt>
                <c:pt idx="60">
                  <c:v>310.10000000000002</c:v>
                </c:pt>
                <c:pt idx="61">
                  <c:v>298.60000000000002</c:v>
                </c:pt>
                <c:pt idx="62">
                  <c:v>296.10000000000002</c:v>
                </c:pt>
                <c:pt idx="63">
                  <c:v>298.5</c:v>
                </c:pt>
                <c:pt idx="64">
                  <c:v>277.5</c:v>
                </c:pt>
                <c:pt idx="65">
                  <c:v>281.2</c:v>
                </c:pt>
                <c:pt idx="66">
                  <c:v>272.5</c:v>
                </c:pt>
                <c:pt idx="67">
                  <c:v>260.89999999999998</c:v>
                </c:pt>
                <c:pt idx="68">
                  <c:v>254.7</c:v>
                </c:pt>
                <c:pt idx="69">
                  <c:v>252.4</c:v>
                </c:pt>
                <c:pt idx="70">
                  <c:v>251.1</c:v>
                </c:pt>
                <c:pt idx="71">
                  <c:v>244.4</c:v>
                </c:pt>
                <c:pt idx="72">
                  <c:v>237.6</c:v>
                </c:pt>
                <c:pt idx="73">
                  <c:v>235.5</c:v>
                </c:pt>
                <c:pt idx="74">
                  <c:v>226.9</c:v>
                </c:pt>
                <c:pt idx="75">
                  <c:v>225.9</c:v>
                </c:pt>
                <c:pt idx="76">
                  <c:v>224.8</c:v>
                </c:pt>
                <c:pt idx="77">
                  <c:v>215.1</c:v>
                </c:pt>
                <c:pt idx="78">
                  <c:v>197.3</c:v>
                </c:pt>
                <c:pt idx="79">
                  <c:v>171.27</c:v>
                </c:pt>
                <c:pt idx="80">
                  <c:v>150.65</c:v>
                </c:pt>
                <c:pt idx="81">
                  <c:v>132.4</c:v>
                </c:pt>
                <c:pt idx="82">
                  <c:v>119.63</c:v>
                </c:pt>
                <c:pt idx="83">
                  <c:v>110.04</c:v>
                </c:pt>
                <c:pt idx="84">
                  <c:v>98.8</c:v>
                </c:pt>
                <c:pt idx="85">
                  <c:v>92.05</c:v>
                </c:pt>
                <c:pt idx="86">
                  <c:v>85.77</c:v>
                </c:pt>
                <c:pt idx="87">
                  <c:v>81.34</c:v>
                </c:pt>
                <c:pt idx="88">
                  <c:v>76.08</c:v>
                </c:pt>
                <c:pt idx="89">
                  <c:v>71.459999999999994</c:v>
                </c:pt>
                <c:pt idx="90">
                  <c:v>68.78</c:v>
                </c:pt>
                <c:pt idx="91">
                  <c:v>65.95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Data2'!$G$50:$CT$50</c:f>
              <c:numCache>
                <c:formatCode>General</c:formatCode>
                <c:ptCount val="92"/>
                <c:pt idx="0">
                  <c:v>2838</c:v>
                </c:pt>
                <c:pt idx="1">
                  <c:v>2789</c:v>
                </c:pt>
                <c:pt idx="2">
                  <c:v>2772</c:v>
                </c:pt>
                <c:pt idx="3">
                  <c:v>2744</c:v>
                </c:pt>
                <c:pt idx="4">
                  <c:v>2727</c:v>
                </c:pt>
                <c:pt idx="5">
                  <c:v>2788</c:v>
                </c:pt>
                <c:pt idx="6">
                  <c:v>2813</c:v>
                </c:pt>
                <c:pt idx="7">
                  <c:v>2747</c:v>
                </c:pt>
                <c:pt idx="8">
                  <c:v>2744</c:v>
                </c:pt>
                <c:pt idx="9">
                  <c:v>2681</c:v>
                </c:pt>
                <c:pt idx="10">
                  <c:v>2675</c:v>
                </c:pt>
                <c:pt idx="11">
                  <c:v>2660</c:v>
                </c:pt>
                <c:pt idx="12">
                  <c:v>2625</c:v>
                </c:pt>
                <c:pt idx="13">
                  <c:v>2717</c:v>
                </c:pt>
                <c:pt idx="14">
                  <c:v>2617</c:v>
                </c:pt>
                <c:pt idx="15">
                  <c:v>2815</c:v>
                </c:pt>
                <c:pt idx="16">
                  <c:v>2633</c:v>
                </c:pt>
                <c:pt idx="17">
                  <c:v>2563</c:v>
                </c:pt>
                <c:pt idx="18">
                  <c:v>2566</c:v>
                </c:pt>
                <c:pt idx="19">
                  <c:v>2596</c:v>
                </c:pt>
                <c:pt idx="20">
                  <c:v>2535.1999999999998</c:v>
                </c:pt>
                <c:pt idx="21">
                  <c:v>2412.6</c:v>
                </c:pt>
                <c:pt idx="22">
                  <c:v>2291.4</c:v>
                </c:pt>
                <c:pt idx="23">
                  <c:v>2160.9</c:v>
                </c:pt>
                <c:pt idx="24">
                  <c:v>2075.5</c:v>
                </c:pt>
                <c:pt idx="25">
                  <c:v>1945.5</c:v>
                </c:pt>
                <c:pt idx="26">
                  <c:v>1855.2</c:v>
                </c:pt>
                <c:pt idx="27">
                  <c:v>1761.5</c:v>
                </c:pt>
                <c:pt idx="28">
                  <c:v>1679.4</c:v>
                </c:pt>
                <c:pt idx="29">
                  <c:v>1625.2</c:v>
                </c:pt>
                <c:pt idx="30">
                  <c:v>1523.1</c:v>
                </c:pt>
                <c:pt idx="31">
                  <c:v>1462.1</c:v>
                </c:pt>
                <c:pt idx="32">
                  <c:v>1406.1</c:v>
                </c:pt>
                <c:pt idx="33">
                  <c:v>1355.2</c:v>
                </c:pt>
                <c:pt idx="34">
                  <c:v>1288.0999999999999</c:v>
                </c:pt>
                <c:pt idx="35">
                  <c:v>1231.3</c:v>
                </c:pt>
                <c:pt idx="36">
                  <c:v>1202.9000000000001</c:v>
                </c:pt>
                <c:pt idx="37">
                  <c:v>1161.2</c:v>
                </c:pt>
                <c:pt idx="38">
                  <c:v>1104.5999999999999</c:v>
                </c:pt>
                <c:pt idx="39">
                  <c:v>1072.2</c:v>
                </c:pt>
                <c:pt idx="40">
                  <c:v>1027.9000000000001</c:v>
                </c:pt>
                <c:pt idx="41">
                  <c:v>992.5</c:v>
                </c:pt>
                <c:pt idx="42">
                  <c:v>961.5</c:v>
                </c:pt>
                <c:pt idx="43">
                  <c:v>925.8</c:v>
                </c:pt>
                <c:pt idx="44">
                  <c:v>892.5</c:v>
                </c:pt>
                <c:pt idx="45">
                  <c:v>866.4</c:v>
                </c:pt>
                <c:pt idx="46">
                  <c:v>824.6</c:v>
                </c:pt>
                <c:pt idx="47">
                  <c:v>812</c:v>
                </c:pt>
                <c:pt idx="48">
                  <c:v>796.2</c:v>
                </c:pt>
                <c:pt idx="49">
                  <c:v>764.9</c:v>
                </c:pt>
                <c:pt idx="50">
                  <c:v>736.3</c:v>
                </c:pt>
                <c:pt idx="51">
                  <c:v>712.2</c:v>
                </c:pt>
                <c:pt idx="52">
                  <c:v>696</c:v>
                </c:pt>
                <c:pt idx="53">
                  <c:v>675.5</c:v>
                </c:pt>
                <c:pt idx="54">
                  <c:v>667</c:v>
                </c:pt>
                <c:pt idx="55">
                  <c:v>643.20000000000005</c:v>
                </c:pt>
                <c:pt idx="56">
                  <c:v>620.4</c:v>
                </c:pt>
                <c:pt idx="57">
                  <c:v>606.4</c:v>
                </c:pt>
                <c:pt idx="58">
                  <c:v>599.20000000000005</c:v>
                </c:pt>
                <c:pt idx="59">
                  <c:v>583.4</c:v>
                </c:pt>
                <c:pt idx="60">
                  <c:v>559.5</c:v>
                </c:pt>
                <c:pt idx="61">
                  <c:v>555.9</c:v>
                </c:pt>
                <c:pt idx="62">
                  <c:v>543.9</c:v>
                </c:pt>
                <c:pt idx="63">
                  <c:v>530.1</c:v>
                </c:pt>
                <c:pt idx="64">
                  <c:v>516</c:v>
                </c:pt>
                <c:pt idx="65">
                  <c:v>502.5</c:v>
                </c:pt>
                <c:pt idx="66">
                  <c:v>493.5</c:v>
                </c:pt>
                <c:pt idx="67">
                  <c:v>490.7</c:v>
                </c:pt>
                <c:pt idx="68">
                  <c:v>474.5</c:v>
                </c:pt>
                <c:pt idx="69">
                  <c:v>463.7</c:v>
                </c:pt>
                <c:pt idx="70">
                  <c:v>458.2</c:v>
                </c:pt>
                <c:pt idx="71">
                  <c:v>446.8</c:v>
                </c:pt>
                <c:pt idx="72">
                  <c:v>428.6</c:v>
                </c:pt>
                <c:pt idx="73">
                  <c:v>428</c:v>
                </c:pt>
                <c:pt idx="74">
                  <c:v>415.9</c:v>
                </c:pt>
                <c:pt idx="75">
                  <c:v>407.5</c:v>
                </c:pt>
                <c:pt idx="76">
                  <c:v>406.4</c:v>
                </c:pt>
                <c:pt idx="77">
                  <c:v>383.4</c:v>
                </c:pt>
                <c:pt idx="78">
                  <c:v>354.24</c:v>
                </c:pt>
                <c:pt idx="79">
                  <c:v>300.51</c:v>
                </c:pt>
                <c:pt idx="80">
                  <c:v>260.27999999999997</c:v>
                </c:pt>
                <c:pt idx="81">
                  <c:v>228.31</c:v>
                </c:pt>
                <c:pt idx="82">
                  <c:v>203.06</c:v>
                </c:pt>
                <c:pt idx="83">
                  <c:v>184.74</c:v>
                </c:pt>
                <c:pt idx="84">
                  <c:v>166.24</c:v>
                </c:pt>
                <c:pt idx="85">
                  <c:v>152.01</c:v>
                </c:pt>
                <c:pt idx="86">
                  <c:v>142.08000000000001</c:v>
                </c:pt>
                <c:pt idx="87">
                  <c:v>131.85</c:v>
                </c:pt>
                <c:pt idx="88">
                  <c:v>121.5</c:v>
                </c:pt>
                <c:pt idx="89">
                  <c:v>114.37</c:v>
                </c:pt>
                <c:pt idx="90">
                  <c:v>109.53</c:v>
                </c:pt>
                <c:pt idx="91">
                  <c:v>102.81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Data2'!$G$51:$CT$51</c:f>
              <c:numCache>
                <c:formatCode>General</c:formatCode>
                <c:ptCount val="92"/>
                <c:pt idx="0">
                  <c:v>1462</c:v>
                </c:pt>
                <c:pt idx="1">
                  <c:v>1484</c:v>
                </c:pt>
                <c:pt idx="2">
                  <c:v>1520</c:v>
                </c:pt>
                <c:pt idx="3">
                  <c:v>1426</c:v>
                </c:pt>
                <c:pt idx="4">
                  <c:v>1442</c:v>
                </c:pt>
                <c:pt idx="5">
                  <c:v>1494</c:v>
                </c:pt>
                <c:pt idx="6">
                  <c:v>1410</c:v>
                </c:pt>
                <c:pt idx="7">
                  <c:v>1405</c:v>
                </c:pt>
                <c:pt idx="8">
                  <c:v>1458</c:v>
                </c:pt>
                <c:pt idx="9">
                  <c:v>1411</c:v>
                </c:pt>
                <c:pt idx="10">
                  <c:v>1410</c:v>
                </c:pt>
                <c:pt idx="11">
                  <c:v>1431</c:v>
                </c:pt>
                <c:pt idx="12">
                  <c:v>1410</c:v>
                </c:pt>
                <c:pt idx="13">
                  <c:v>1448</c:v>
                </c:pt>
                <c:pt idx="14">
                  <c:v>1371</c:v>
                </c:pt>
                <c:pt idx="15">
                  <c:v>1354</c:v>
                </c:pt>
                <c:pt idx="16">
                  <c:v>1376</c:v>
                </c:pt>
                <c:pt idx="17">
                  <c:v>1378</c:v>
                </c:pt>
                <c:pt idx="18">
                  <c:v>1377</c:v>
                </c:pt>
                <c:pt idx="19">
                  <c:v>1373</c:v>
                </c:pt>
                <c:pt idx="20">
                  <c:v>1358.3</c:v>
                </c:pt>
                <c:pt idx="21">
                  <c:v>1310.7</c:v>
                </c:pt>
                <c:pt idx="22">
                  <c:v>1240.7</c:v>
                </c:pt>
                <c:pt idx="23">
                  <c:v>1172.9000000000001</c:v>
                </c:pt>
                <c:pt idx="24">
                  <c:v>1116.0999999999999</c:v>
                </c:pt>
                <c:pt idx="25">
                  <c:v>1074.9000000000001</c:v>
                </c:pt>
                <c:pt idx="26">
                  <c:v>1028.0999999999999</c:v>
                </c:pt>
                <c:pt idx="27">
                  <c:v>982.2</c:v>
                </c:pt>
                <c:pt idx="28">
                  <c:v>924.2</c:v>
                </c:pt>
                <c:pt idx="29">
                  <c:v>898.1</c:v>
                </c:pt>
                <c:pt idx="30">
                  <c:v>854.9</c:v>
                </c:pt>
                <c:pt idx="31">
                  <c:v>812.2</c:v>
                </c:pt>
                <c:pt idx="32">
                  <c:v>793.3</c:v>
                </c:pt>
                <c:pt idx="33">
                  <c:v>735.1</c:v>
                </c:pt>
                <c:pt idx="34">
                  <c:v>731.7</c:v>
                </c:pt>
                <c:pt idx="35">
                  <c:v>696.5</c:v>
                </c:pt>
                <c:pt idx="36">
                  <c:v>682.8</c:v>
                </c:pt>
                <c:pt idx="37">
                  <c:v>642.29999999999995</c:v>
                </c:pt>
                <c:pt idx="38">
                  <c:v>624.9</c:v>
                </c:pt>
                <c:pt idx="39">
                  <c:v>603.20000000000005</c:v>
                </c:pt>
                <c:pt idx="40">
                  <c:v>585.70000000000005</c:v>
                </c:pt>
                <c:pt idx="41">
                  <c:v>566.6</c:v>
                </c:pt>
                <c:pt idx="42">
                  <c:v>553.29999999999995</c:v>
                </c:pt>
                <c:pt idx="43">
                  <c:v>546.4</c:v>
                </c:pt>
                <c:pt idx="44">
                  <c:v>515.9</c:v>
                </c:pt>
                <c:pt idx="45">
                  <c:v>503.3</c:v>
                </c:pt>
                <c:pt idx="46">
                  <c:v>499.4</c:v>
                </c:pt>
                <c:pt idx="47">
                  <c:v>478.1</c:v>
                </c:pt>
                <c:pt idx="48">
                  <c:v>464.9</c:v>
                </c:pt>
                <c:pt idx="49">
                  <c:v>456.3</c:v>
                </c:pt>
                <c:pt idx="50">
                  <c:v>435.6</c:v>
                </c:pt>
                <c:pt idx="51">
                  <c:v>417.1</c:v>
                </c:pt>
                <c:pt idx="52">
                  <c:v>423.1</c:v>
                </c:pt>
                <c:pt idx="53">
                  <c:v>411.9</c:v>
                </c:pt>
                <c:pt idx="54">
                  <c:v>403</c:v>
                </c:pt>
                <c:pt idx="55">
                  <c:v>382.8</c:v>
                </c:pt>
                <c:pt idx="56">
                  <c:v>378</c:v>
                </c:pt>
                <c:pt idx="57">
                  <c:v>373.3</c:v>
                </c:pt>
                <c:pt idx="58">
                  <c:v>362.7</c:v>
                </c:pt>
                <c:pt idx="59">
                  <c:v>352.8</c:v>
                </c:pt>
                <c:pt idx="60">
                  <c:v>347.4</c:v>
                </c:pt>
                <c:pt idx="61">
                  <c:v>345.2</c:v>
                </c:pt>
                <c:pt idx="62">
                  <c:v>329.3</c:v>
                </c:pt>
                <c:pt idx="63">
                  <c:v>328.4</c:v>
                </c:pt>
                <c:pt idx="64">
                  <c:v>321</c:v>
                </c:pt>
                <c:pt idx="65">
                  <c:v>311.39999999999998</c:v>
                </c:pt>
                <c:pt idx="66">
                  <c:v>311.8</c:v>
                </c:pt>
                <c:pt idx="67">
                  <c:v>305.5</c:v>
                </c:pt>
                <c:pt idx="68">
                  <c:v>291.10000000000002</c:v>
                </c:pt>
                <c:pt idx="69">
                  <c:v>289.39999999999998</c:v>
                </c:pt>
                <c:pt idx="70">
                  <c:v>288.3</c:v>
                </c:pt>
                <c:pt idx="71">
                  <c:v>277</c:v>
                </c:pt>
                <c:pt idx="72">
                  <c:v>278.39999999999998</c:v>
                </c:pt>
                <c:pt idx="73">
                  <c:v>264.89999999999998</c:v>
                </c:pt>
                <c:pt idx="74">
                  <c:v>263.60000000000002</c:v>
                </c:pt>
                <c:pt idx="75">
                  <c:v>262.3</c:v>
                </c:pt>
                <c:pt idx="76">
                  <c:v>253.2</c:v>
                </c:pt>
                <c:pt idx="77">
                  <c:v>251.3</c:v>
                </c:pt>
                <c:pt idx="78">
                  <c:v>235.51</c:v>
                </c:pt>
                <c:pt idx="79">
                  <c:v>202.54</c:v>
                </c:pt>
                <c:pt idx="80">
                  <c:v>181.04</c:v>
                </c:pt>
                <c:pt idx="81">
                  <c:v>161.02000000000001</c:v>
                </c:pt>
                <c:pt idx="82">
                  <c:v>148.56</c:v>
                </c:pt>
                <c:pt idx="83">
                  <c:v>136.55000000000001</c:v>
                </c:pt>
                <c:pt idx="84">
                  <c:v>125.8</c:v>
                </c:pt>
                <c:pt idx="85">
                  <c:v>118.15</c:v>
                </c:pt>
                <c:pt idx="86">
                  <c:v>110.12</c:v>
                </c:pt>
                <c:pt idx="87">
                  <c:v>104.73</c:v>
                </c:pt>
                <c:pt idx="88">
                  <c:v>99.64</c:v>
                </c:pt>
                <c:pt idx="89">
                  <c:v>93.24</c:v>
                </c:pt>
                <c:pt idx="90">
                  <c:v>89.12</c:v>
                </c:pt>
                <c:pt idx="91">
                  <c:v>85.19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04000"/>
        <c:axId val="43505920"/>
      </c:scatterChart>
      <c:valAx>
        <c:axId val="4350400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505920"/>
        <c:crosses val="autoZero"/>
        <c:crossBetween val="midCat"/>
      </c:valAx>
      <c:valAx>
        <c:axId val="43505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5040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Data'!$A$307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Data2'!$G$52:$CT$52</c:f>
              <c:numCache>
                <c:formatCode>General</c:formatCode>
                <c:ptCount val="92"/>
                <c:pt idx="0">
                  <c:v>28</c:v>
                </c:pt>
                <c:pt idx="1">
                  <c:v>31</c:v>
                </c:pt>
                <c:pt idx="2">
                  <c:v>30</c:v>
                </c:pt>
                <c:pt idx="3">
                  <c:v>29</c:v>
                </c:pt>
                <c:pt idx="4">
                  <c:v>24</c:v>
                </c:pt>
                <c:pt idx="5">
                  <c:v>31</c:v>
                </c:pt>
                <c:pt idx="6">
                  <c:v>26</c:v>
                </c:pt>
                <c:pt idx="7">
                  <c:v>27</c:v>
                </c:pt>
                <c:pt idx="8">
                  <c:v>31</c:v>
                </c:pt>
                <c:pt idx="9">
                  <c:v>26</c:v>
                </c:pt>
                <c:pt idx="10">
                  <c:v>36</c:v>
                </c:pt>
                <c:pt idx="11">
                  <c:v>28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31</c:v>
                </c:pt>
                <c:pt idx="16">
                  <c:v>37</c:v>
                </c:pt>
                <c:pt idx="17">
                  <c:v>37</c:v>
                </c:pt>
                <c:pt idx="18">
                  <c:v>27</c:v>
                </c:pt>
                <c:pt idx="19">
                  <c:v>30</c:v>
                </c:pt>
                <c:pt idx="20">
                  <c:v>30.6</c:v>
                </c:pt>
                <c:pt idx="21">
                  <c:v>29.4</c:v>
                </c:pt>
                <c:pt idx="22">
                  <c:v>30.8</c:v>
                </c:pt>
                <c:pt idx="23">
                  <c:v>28.9</c:v>
                </c:pt>
                <c:pt idx="24">
                  <c:v>31.2</c:v>
                </c:pt>
                <c:pt idx="25">
                  <c:v>30.3</c:v>
                </c:pt>
                <c:pt idx="26">
                  <c:v>30.7</c:v>
                </c:pt>
                <c:pt idx="27">
                  <c:v>29.9</c:v>
                </c:pt>
                <c:pt idx="28">
                  <c:v>26.9</c:v>
                </c:pt>
                <c:pt idx="29">
                  <c:v>29</c:v>
                </c:pt>
                <c:pt idx="30">
                  <c:v>26.3</c:v>
                </c:pt>
                <c:pt idx="31">
                  <c:v>25.9</c:v>
                </c:pt>
                <c:pt idx="32">
                  <c:v>26.7</c:v>
                </c:pt>
                <c:pt idx="33">
                  <c:v>28.2</c:v>
                </c:pt>
                <c:pt idx="34">
                  <c:v>28.6</c:v>
                </c:pt>
                <c:pt idx="35">
                  <c:v>29.4</c:v>
                </c:pt>
                <c:pt idx="36">
                  <c:v>28.8</c:v>
                </c:pt>
                <c:pt idx="37">
                  <c:v>27.4</c:v>
                </c:pt>
                <c:pt idx="38">
                  <c:v>28</c:v>
                </c:pt>
                <c:pt idx="39">
                  <c:v>26.1</c:v>
                </c:pt>
                <c:pt idx="40">
                  <c:v>27.3</c:v>
                </c:pt>
                <c:pt idx="41">
                  <c:v>26.5</c:v>
                </c:pt>
                <c:pt idx="42">
                  <c:v>25.2</c:v>
                </c:pt>
                <c:pt idx="43">
                  <c:v>25</c:v>
                </c:pt>
                <c:pt idx="44">
                  <c:v>24.5</c:v>
                </c:pt>
                <c:pt idx="45">
                  <c:v>26</c:v>
                </c:pt>
                <c:pt idx="46">
                  <c:v>26.4</c:v>
                </c:pt>
                <c:pt idx="47">
                  <c:v>23.7</c:v>
                </c:pt>
                <c:pt idx="48">
                  <c:v>25.4</c:v>
                </c:pt>
                <c:pt idx="49">
                  <c:v>27.2</c:v>
                </c:pt>
                <c:pt idx="50">
                  <c:v>24.7</c:v>
                </c:pt>
                <c:pt idx="51">
                  <c:v>25.5</c:v>
                </c:pt>
                <c:pt idx="52">
                  <c:v>22.7</c:v>
                </c:pt>
                <c:pt idx="53">
                  <c:v>24.7</c:v>
                </c:pt>
                <c:pt idx="54">
                  <c:v>22.4</c:v>
                </c:pt>
                <c:pt idx="55">
                  <c:v>24.8</c:v>
                </c:pt>
                <c:pt idx="56">
                  <c:v>21.8</c:v>
                </c:pt>
                <c:pt idx="57">
                  <c:v>23.5</c:v>
                </c:pt>
                <c:pt idx="58">
                  <c:v>23</c:v>
                </c:pt>
                <c:pt idx="59">
                  <c:v>23.3</c:v>
                </c:pt>
                <c:pt idx="60">
                  <c:v>24.8</c:v>
                </c:pt>
                <c:pt idx="61">
                  <c:v>25.2</c:v>
                </c:pt>
                <c:pt idx="62">
                  <c:v>22.4</c:v>
                </c:pt>
                <c:pt idx="63">
                  <c:v>23</c:v>
                </c:pt>
                <c:pt idx="64">
                  <c:v>24.8</c:v>
                </c:pt>
                <c:pt idx="65">
                  <c:v>22.3</c:v>
                </c:pt>
                <c:pt idx="66">
                  <c:v>24.9</c:v>
                </c:pt>
                <c:pt idx="67">
                  <c:v>22.9</c:v>
                </c:pt>
                <c:pt idx="68">
                  <c:v>22.3</c:v>
                </c:pt>
                <c:pt idx="69">
                  <c:v>21.8</c:v>
                </c:pt>
                <c:pt idx="70">
                  <c:v>23.2</c:v>
                </c:pt>
                <c:pt idx="71">
                  <c:v>23.6</c:v>
                </c:pt>
                <c:pt idx="72">
                  <c:v>20.399999999999999</c:v>
                </c:pt>
                <c:pt idx="73">
                  <c:v>21</c:v>
                </c:pt>
                <c:pt idx="74">
                  <c:v>23.4</c:v>
                </c:pt>
                <c:pt idx="75">
                  <c:v>22</c:v>
                </c:pt>
                <c:pt idx="76">
                  <c:v>24</c:v>
                </c:pt>
                <c:pt idx="77">
                  <c:v>21.7</c:v>
                </c:pt>
                <c:pt idx="78">
                  <c:v>21.63</c:v>
                </c:pt>
                <c:pt idx="79">
                  <c:v>21.58</c:v>
                </c:pt>
                <c:pt idx="80">
                  <c:v>20.74</c:v>
                </c:pt>
                <c:pt idx="81">
                  <c:v>20.95</c:v>
                </c:pt>
                <c:pt idx="82">
                  <c:v>20.65</c:v>
                </c:pt>
                <c:pt idx="83">
                  <c:v>19.920000000000002</c:v>
                </c:pt>
                <c:pt idx="84">
                  <c:v>19.149999999999999</c:v>
                </c:pt>
                <c:pt idx="85">
                  <c:v>19.78</c:v>
                </c:pt>
                <c:pt idx="86">
                  <c:v>19.47</c:v>
                </c:pt>
                <c:pt idx="87">
                  <c:v>19.239999999999998</c:v>
                </c:pt>
                <c:pt idx="88">
                  <c:v>19.14</c:v>
                </c:pt>
                <c:pt idx="89">
                  <c:v>18.579999999999998</c:v>
                </c:pt>
                <c:pt idx="90">
                  <c:v>18.420000000000002</c:v>
                </c:pt>
                <c:pt idx="91">
                  <c:v>18.25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Data2'!$G$53:$CT$53</c:f>
              <c:numCache>
                <c:formatCode>General</c:formatCode>
                <c:ptCount val="92"/>
                <c:pt idx="0">
                  <c:v>23</c:v>
                </c:pt>
                <c:pt idx="1">
                  <c:v>25</c:v>
                </c:pt>
                <c:pt idx="2">
                  <c:v>22</c:v>
                </c:pt>
                <c:pt idx="3">
                  <c:v>22</c:v>
                </c:pt>
                <c:pt idx="4">
                  <c:v>30</c:v>
                </c:pt>
                <c:pt idx="5">
                  <c:v>27</c:v>
                </c:pt>
                <c:pt idx="6">
                  <c:v>27</c:v>
                </c:pt>
                <c:pt idx="7">
                  <c:v>31</c:v>
                </c:pt>
                <c:pt idx="8">
                  <c:v>25</c:v>
                </c:pt>
                <c:pt idx="9">
                  <c:v>27</c:v>
                </c:pt>
                <c:pt idx="10">
                  <c:v>29</c:v>
                </c:pt>
                <c:pt idx="11">
                  <c:v>24</c:v>
                </c:pt>
                <c:pt idx="12">
                  <c:v>28</c:v>
                </c:pt>
                <c:pt idx="13">
                  <c:v>23</c:v>
                </c:pt>
                <c:pt idx="14">
                  <c:v>22</c:v>
                </c:pt>
                <c:pt idx="15">
                  <c:v>21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25.1</c:v>
                </c:pt>
                <c:pt idx="21">
                  <c:v>24.4</c:v>
                </c:pt>
                <c:pt idx="22">
                  <c:v>23.6</c:v>
                </c:pt>
                <c:pt idx="23">
                  <c:v>26.3</c:v>
                </c:pt>
                <c:pt idx="24">
                  <c:v>24.7</c:v>
                </c:pt>
                <c:pt idx="25">
                  <c:v>24.7</c:v>
                </c:pt>
                <c:pt idx="26">
                  <c:v>22.7</c:v>
                </c:pt>
                <c:pt idx="27">
                  <c:v>22.2</c:v>
                </c:pt>
                <c:pt idx="28">
                  <c:v>23</c:v>
                </c:pt>
                <c:pt idx="29">
                  <c:v>21.7</c:v>
                </c:pt>
                <c:pt idx="30">
                  <c:v>20.7</c:v>
                </c:pt>
                <c:pt idx="31">
                  <c:v>22.8</c:v>
                </c:pt>
                <c:pt idx="32">
                  <c:v>22.4</c:v>
                </c:pt>
                <c:pt idx="33">
                  <c:v>22</c:v>
                </c:pt>
                <c:pt idx="34">
                  <c:v>19.600000000000001</c:v>
                </c:pt>
                <c:pt idx="35">
                  <c:v>20.5</c:v>
                </c:pt>
                <c:pt idx="36">
                  <c:v>21.6</c:v>
                </c:pt>
                <c:pt idx="37">
                  <c:v>19.2</c:v>
                </c:pt>
                <c:pt idx="38">
                  <c:v>20</c:v>
                </c:pt>
                <c:pt idx="39">
                  <c:v>20</c:v>
                </c:pt>
                <c:pt idx="40">
                  <c:v>19.600000000000001</c:v>
                </c:pt>
                <c:pt idx="41">
                  <c:v>20.8</c:v>
                </c:pt>
                <c:pt idx="42">
                  <c:v>18</c:v>
                </c:pt>
                <c:pt idx="43">
                  <c:v>19</c:v>
                </c:pt>
                <c:pt idx="44">
                  <c:v>18.399999999999999</c:v>
                </c:pt>
                <c:pt idx="45">
                  <c:v>20.5</c:v>
                </c:pt>
                <c:pt idx="46">
                  <c:v>19</c:v>
                </c:pt>
                <c:pt idx="47">
                  <c:v>19.600000000000001</c:v>
                </c:pt>
                <c:pt idx="48">
                  <c:v>18.2</c:v>
                </c:pt>
                <c:pt idx="49">
                  <c:v>16.5</c:v>
                </c:pt>
                <c:pt idx="50">
                  <c:v>19.7</c:v>
                </c:pt>
                <c:pt idx="51">
                  <c:v>17.3</c:v>
                </c:pt>
                <c:pt idx="52">
                  <c:v>17.7</c:v>
                </c:pt>
                <c:pt idx="53">
                  <c:v>18.3</c:v>
                </c:pt>
                <c:pt idx="54">
                  <c:v>17.2</c:v>
                </c:pt>
                <c:pt idx="55">
                  <c:v>18.899999999999999</c:v>
                </c:pt>
                <c:pt idx="56">
                  <c:v>18.7</c:v>
                </c:pt>
                <c:pt idx="57">
                  <c:v>16.600000000000001</c:v>
                </c:pt>
                <c:pt idx="58">
                  <c:v>17.2</c:v>
                </c:pt>
                <c:pt idx="59">
                  <c:v>16.7</c:v>
                </c:pt>
                <c:pt idx="60">
                  <c:v>18.5</c:v>
                </c:pt>
                <c:pt idx="61">
                  <c:v>18.3</c:v>
                </c:pt>
                <c:pt idx="62">
                  <c:v>17.2</c:v>
                </c:pt>
                <c:pt idx="63">
                  <c:v>17.100000000000001</c:v>
                </c:pt>
                <c:pt idx="64">
                  <c:v>16.3</c:v>
                </c:pt>
                <c:pt idx="65">
                  <c:v>17.7</c:v>
                </c:pt>
                <c:pt idx="66">
                  <c:v>16.5</c:v>
                </c:pt>
                <c:pt idx="67">
                  <c:v>17</c:v>
                </c:pt>
                <c:pt idx="68">
                  <c:v>16.5</c:v>
                </c:pt>
                <c:pt idx="69">
                  <c:v>17.899999999999999</c:v>
                </c:pt>
                <c:pt idx="70">
                  <c:v>17</c:v>
                </c:pt>
                <c:pt idx="71">
                  <c:v>18.399999999999999</c:v>
                </c:pt>
                <c:pt idx="72">
                  <c:v>16.399999999999999</c:v>
                </c:pt>
                <c:pt idx="73">
                  <c:v>16.2</c:v>
                </c:pt>
                <c:pt idx="74">
                  <c:v>16.5</c:v>
                </c:pt>
                <c:pt idx="75">
                  <c:v>16.899999999999999</c:v>
                </c:pt>
                <c:pt idx="76">
                  <c:v>16.399999999999999</c:v>
                </c:pt>
                <c:pt idx="77">
                  <c:v>16.5</c:v>
                </c:pt>
                <c:pt idx="78">
                  <c:v>15.87</c:v>
                </c:pt>
                <c:pt idx="79">
                  <c:v>15.33</c:v>
                </c:pt>
                <c:pt idx="80">
                  <c:v>14.67</c:v>
                </c:pt>
                <c:pt idx="81">
                  <c:v>14.75</c:v>
                </c:pt>
                <c:pt idx="82">
                  <c:v>14.32</c:v>
                </c:pt>
                <c:pt idx="83">
                  <c:v>14.88</c:v>
                </c:pt>
                <c:pt idx="84">
                  <c:v>14.61</c:v>
                </c:pt>
                <c:pt idx="85">
                  <c:v>14.22</c:v>
                </c:pt>
                <c:pt idx="86">
                  <c:v>13.82</c:v>
                </c:pt>
                <c:pt idx="87">
                  <c:v>13.76</c:v>
                </c:pt>
                <c:pt idx="88">
                  <c:v>13.5</c:v>
                </c:pt>
                <c:pt idx="89">
                  <c:v>13.31</c:v>
                </c:pt>
                <c:pt idx="90">
                  <c:v>13.05</c:v>
                </c:pt>
                <c:pt idx="91">
                  <c:v>13.39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Data2'!$G$54:$CT$54</c:f>
              <c:numCache>
                <c:formatCode>General</c:formatCode>
                <c:ptCount val="92"/>
                <c:pt idx="0">
                  <c:v>23</c:v>
                </c:pt>
                <c:pt idx="1">
                  <c:v>15</c:v>
                </c:pt>
                <c:pt idx="2">
                  <c:v>18</c:v>
                </c:pt>
                <c:pt idx="3">
                  <c:v>19</c:v>
                </c:pt>
                <c:pt idx="4">
                  <c:v>17</c:v>
                </c:pt>
                <c:pt idx="5">
                  <c:v>16</c:v>
                </c:pt>
                <c:pt idx="6">
                  <c:v>18</c:v>
                </c:pt>
                <c:pt idx="7">
                  <c:v>11</c:v>
                </c:pt>
                <c:pt idx="8">
                  <c:v>19</c:v>
                </c:pt>
                <c:pt idx="9">
                  <c:v>22</c:v>
                </c:pt>
                <c:pt idx="10">
                  <c:v>15</c:v>
                </c:pt>
                <c:pt idx="11">
                  <c:v>18</c:v>
                </c:pt>
                <c:pt idx="12">
                  <c:v>19</c:v>
                </c:pt>
                <c:pt idx="13">
                  <c:v>14</c:v>
                </c:pt>
                <c:pt idx="14">
                  <c:v>14</c:v>
                </c:pt>
                <c:pt idx="15">
                  <c:v>17</c:v>
                </c:pt>
                <c:pt idx="16">
                  <c:v>13</c:v>
                </c:pt>
                <c:pt idx="17">
                  <c:v>22</c:v>
                </c:pt>
                <c:pt idx="18">
                  <c:v>17</c:v>
                </c:pt>
                <c:pt idx="19">
                  <c:v>18</c:v>
                </c:pt>
                <c:pt idx="20">
                  <c:v>19.600000000000001</c:v>
                </c:pt>
                <c:pt idx="21">
                  <c:v>16.899999999999999</c:v>
                </c:pt>
                <c:pt idx="22">
                  <c:v>17.5</c:v>
                </c:pt>
                <c:pt idx="23">
                  <c:v>17.3</c:v>
                </c:pt>
                <c:pt idx="24">
                  <c:v>16</c:v>
                </c:pt>
                <c:pt idx="25">
                  <c:v>16.399999999999999</c:v>
                </c:pt>
                <c:pt idx="26">
                  <c:v>15.7</c:v>
                </c:pt>
                <c:pt idx="27">
                  <c:v>17.7</c:v>
                </c:pt>
                <c:pt idx="28">
                  <c:v>16.3</c:v>
                </c:pt>
                <c:pt idx="29">
                  <c:v>15.3</c:v>
                </c:pt>
                <c:pt idx="30">
                  <c:v>13.9</c:v>
                </c:pt>
                <c:pt idx="31">
                  <c:v>15.3</c:v>
                </c:pt>
                <c:pt idx="32">
                  <c:v>16</c:v>
                </c:pt>
                <c:pt idx="33">
                  <c:v>14.9</c:v>
                </c:pt>
                <c:pt idx="34">
                  <c:v>13.1</c:v>
                </c:pt>
                <c:pt idx="35">
                  <c:v>14.1</c:v>
                </c:pt>
                <c:pt idx="36">
                  <c:v>13.9</c:v>
                </c:pt>
                <c:pt idx="37">
                  <c:v>15.5</c:v>
                </c:pt>
                <c:pt idx="38">
                  <c:v>14.7</c:v>
                </c:pt>
                <c:pt idx="39">
                  <c:v>14</c:v>
                </c:pt>
                <c:pt idx="40">
                  <c:v>15.2</c:v>
                </c:pt>
                <c:pt idx="41">
                  <c:v>15.1</c:v>
                </c:pt>
                <c:pt idx="42">
                  <c:v>13.8</c:v>
                </c:pt>
                <c:pt idx="43">
                  <c:v>12.5</c:v>
                </c:pt>
                <c:pt idx="44">
                  <c:v>14.6</c:v>
                </c:pt>
                <c:pt idx="45">
                  <c:v>13.7</c:v>
                </c:pt>
                <c:pt idx="46">
                  <c:v>12.2</c:v>
                </c:pt>
                <c:pt idx="47">
                  <c:v>13.4</c:v>
                </c:pt>
                <c:pt idx="48">
                  <c:v>11.5</c:v>
                </c:pt>
                <c:pt idx="49">
                  <c:v>12.5</c:v>
                </c:pt>
                <c:pt idx="50">
                  <c:v>13.7</c:v>
                </c:pt>
                <c:pt idx="51">
                  <c:v>13.4</c:v>
                </c:pt>
                <c:pt idx="52">
                  <c:v>11.3</c:v>
                </c:pt>
                <c:pt idx="53">
                  <c:v>12.3</c:v>
                </c:pt>
                <c:pt idx="54">
                  <c:v>12.2</c:v>
                </c:pt>
                <c:pt idx="55">
                  <c:v>12.1</c:v>
                </c:pt>
                <c:pt idx="56">
                  <c:v>13</c:v>
                </c:pt>
                <c:pt idx="57">
                  <c:v>12.5</c:v>
                </c:pt>
                <c:pt idx="58">
                  <c:v>12.1</c:v>
                </c:pt>
                <c:pt idx="59">
                  <c:v>12.6</c:v>
                </c:pt>
                <c:pt idx="60">
                  <c:v>12.7</c:v>
                </c:pt>
                <c:pt idx="61">
                  <c:v>11.4</c:v>
                </c:pt>
                <c:pt idx="62">
                  <c:v>11.4</c:v>
                </c:pt>
                <c:pt idx="63">
                  <c:v>12.2</c:v>
                </c:pt>
                <c:pt idx="64">
                  <c:v>12.7</c:v>
                </c:pt>
                <c:pt idx="65">
                  <c:v>11.7</c:v>
                </c:pt>
                <c:pt idx="66">
                  <c:v>12.3</c:v>
                </c:pt>
                <c:pt idx="67">
                  <c:v>11.9</c:v>
                </c:pt>
                <c:pt idx="68">
                  <c:v>12.2</c:v>
                </c:pt>
                <c:pt idx="69">
                  <c:v>10.6</c:v>
                </c:pt>
                <c:pt idx="70">
                  <c:v>11.3</c:v>
                </c:pt>
                <c:pt idx="71">
                  <c:v>11.8</c:v>
                </c:pt>
                <c:pt idx="72">
                  <c:v>11.4</c:v>
                </c:pt>
                <c:pt idx="73">
                  <c:v>10.9</c:v>
                </c:pt>
                <c:pt idx="74">
                  <c:v>11</c:v>
                </c:pt>
                <c:pt idx="75">
                  <c:v>11.6</c:v>
                </c:pt>
                <c:pt idx="76">
                  <c:v>11</c:v>
                </c:pt>
                <c:pt idx="77">
                  <c:v>11.9</c:v>
                </c:pt>
                <c:pt idx="78">
                  <c:v>11.35</c:v>
                </c:pt>
                <c:pt idx="79">
                  <c:v>10.86</c:v>
                </c:pt>
                <c:pt idx="80">
                  <c:v>10.050000000000001</c:v>
                </c:pt>
                <c:pt idx="81">
                  <c:v>9.7200000000000006</c:v>
                </c:pt>
                <c:pt idx="82">
                  <c:v>9.94</c:v>
                </c:pt>
                <c:pt idx="83">
                  <c:v>9.39</c:v>
                </c:pt>
                <c:pt idx="84">
                  <c:v>9.91</c:v>
                </c:pt>
                <c:pt idx="85">
                  <c:v>9.1999999999999993</c:v>
                </c:pt>
                <c:pt idx="86">
                  <c:v>9.39</c:v>
                </c:pt>
                <c:pt idx="87">
                  <c:v>9.33</c:v>
                </c:pt>
                <c:pt idx="88">
                  <c:v>9.19</c:v>
                </c:pt>
                <c:pt idx="89">
                  <c:v>9.5</c:v>
                </c:pt>
                <c:pt idx="90">
                  <c:v>9.25</c:v>
                </c:pt>
                <c:pt idx="91">
                  <c:v>8.6999999999999993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Data2'!$G$55:$CT$55</c:f>
              <c:numCache>
                <c:formatCode>General</c:formatCode>
                <c:ptCount val="92"/>
                <c:pt idx="0">
                  <c:v>19</c:v>
                </c:pt>
                <c:pt idx="1">
                  <c:v>23</c:v>
                </c:pt>
                <c:pt idx="2">
                  <c:v>19</c:v>
                </c:pt>
                <c:pt idx="3">
                  <c:v>17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21</c:v>
                </c:pt>
                <c:pt idx="8">
                  <c:v>24</c:v>
                </c:pt>
                <c:pt idx="9">
                  <c:v>15</c:v>
                </c:pt>
                <c:pt idx="10">
                  <c:v>22</c:v>
                </c:pt>
                <c:pt idx="11">
                  <c:v>15</c:v>
                </c:pt>
                <c:pt idx="12">
                  <c:v>17</c:v>
                </c:pt>
                <c:pt idx="13">
                  <c:v>21</c:v>
                </c:pt>
                <c:pt idx="14">
                  <c:v>21</c:v>
                </c:pt>
                <c:pt idx="15">
                  <c:v>17</c:v>
                </c:pt>
                <c:pt idx="16">
                  <c:v>18</c:v>
                </c:pt>
                <c:pt idx="17">
                  <c:v>13</c:v>
                </c:pt>
                <c:pt idx="18">
                  <c:v>16</c:v>
                </c:pt>
                <c:pt idx="19">
                  <c:v>20</c:v>
                </c:pt>
                <c:pt idx="20">
                  <c:v>20.5</c:v>
                </c:pt>
                <c:pt idx="21">
                  <c:v>19.399999999999999</c:v>
                </c:pt>
                <c:pt idx="22">
                  <c:v>20.3</c:v>
                </c:pt>
                <c:pt idx="23">
                  <c:v>17.600000000000001</c:v>
                </c:pt>
                <c:pt idx="24">
                  <c:v>18.7</c:v>
                </c:pt>
                <c:pt idx="25">
                  <c:v>17.600000000000001</c:v>
                </c:pt>
                <c:pt idx="26">
                  <c:v>15.8</c:v>
                </c:pt>
                <c:pt idx="27">
                  <c:v>16.399999999999999</c:v>
                </c:pt>
                <c:pt idx="28">
                  <c:v>18.5</c:v>
                </c:pt>
                <c:pt idx="29">
                  <c:v>17.2</c:v>
                </c:pt>
                <c:pt idx="30">
                  <c:v>15.7</c:v>
                </c:pt>
                <c:pt idx="31">
                  <c:v>16.899999999999999</c:v>
                </c:pt>
                <c:pt idx="32">
                  <c:v>16.100000000000001</c:v>
                </c:pt>
                <c:pt idx="33">
                  <c:v>15.5</c:v>
                </c:pt>
                <c:pt idx="34">
                  <c:v>14.9</c:v>
                </c:pt>
                <c:pt idx="35">
                  <c:v>14</c:v>
                </c:pt>
                <c:pt idx="36">
                  <c:v>13.9</c:v>
                </c:pt>
                <c:pt idx="37">
                  <c:v>14.2</c:v>
                </c:pt>
                <c:pt idx="38">
                  <c:v>14</c:v>
                </c:pt>
                <c:pt idx="39">
                  <c:v>14.3</c:v>
                </c:pt>
                <c:pt idx="40">
                  <c:v>14</c:v>
                </c:pt>
                <c:pt idx="41">
                  <c:v>13.1</c:v>
                </c:pt>
                <c:pt idx="42">
                  <c:v>12.9</c:v>
                </c:pt>
                <c:pt idx="43">
                  <c:v>14.4</c:v>
                </c:pt>
                <c:pt idx="44">
                  <c:v>0.7</c:v>
                </c:pt>
                <c:pt idx="45">
                  <c:v>13.7</c:v>
                </c:pt>
                <c:pt idx="46">
                  <c:v>14.6</c:v>
                </c:pt>
                <c:pt idx="47">
                  <c:v>14.1</c:v>
                </c:pt>
                <c:pt idx="48">
                  <c:v>11.6</c:v>
                </c:pt>
                <c:pt idx="49">
                  <c:v>13</c:v>
                </c:pt>
                <c:pt idx="50">
                  <c:v>13.6</c:v>
                </c:pt>
                <c:pt idx="51">
                  <c:v>11.9</c:v>
                </c:pt>
                <c:pt idx="52">
                  <c:v>12.4</c:v>
                </c:pt>
                <c:pt idx="53">
                  <c:v>12.5</c:v>
                </c:pt>
                <c:pt idx="54">
                  <c:v>12.9</c:v>
                </c:pt>
                <c:pt idx="55">
                  <c:v>12.3</c:v>
                </c:pt>
                <c:pt idx="56">
                  <c:v>11.3</c:v>
                </c:pt>
                <c:pt idx="57">
                  <c:v>11.8</c:v>
                </c:pt>
                <c:pt idx="58">
                  <c:v>13.9</c:v>
                </c:pt>
                <c:pt idx="59">
                  <c:v>11.5</c:v>
                </c:pt>
                <c:pt idx="60">
                  <c:v>10.8</c:v>
                </c:pt>
                <c:pt idx="61">
                  <c:v>11.3</c:v>
                </c:pt>
                <c:pt idx="62">
                  <c:v>11.5</c:v>
                </c:pt>
                <c:pt idx="63">
                  <c:v>11</c:v>
                </c:pt>
                <c:pt idx="64">
                  <c:v>11.3</c:v>
                </c:pt>
                <c:pt idx="65">
                  <c:v>12.4</c:v>
                </c:pt>
                <c:pt idx="66">
                  <c:v>11</c:v>
                </c:pt>
                <c:pt idx="67">
                  <c:v>12.1</c:v>
                </c:pt>
                <c:pt idx="68">
                  <c:v>12.7</c:v>
                </c:pt>
                <c:pt idx="69">
                  <c:v>12.5</c:v>
                </c:pt>
                <c:pt idx="70">
                  <c:v>10.199999999999999</c:v>
                </c:pt>
                <c:pt idx="71">
                  <c:v>11.3</c:v>
                </c:pt>
                <c:pt idx="72">
                  <c:v>11.4</c:v>
                </c:pt>
                <c:pt idx="73">
                  <c:v>10.199999999999999</c:v>
                </c:pt>
                <c:pt idx="74">
                  <c:v>9.9</c:v>
                </c:pt>
                <c:pt idx="75">
                  <c:v>10.199999999999999</c:v>
                </c:pt>
                <c:pt idx="76">
                  <c:v>11</c:v>
                </c:pt>
                <c:pt idx="77">
                  <c:v>11</c:v>
                </c:pt>
                <c:pt idx="78">
                  <c:v>10.58</c:v>
                </c:pt>
                <c:pt idx="79">
                  <c:v>10.18</c:v>
                </c:pt>
                <c:pt idx="80">
                  <c:v>9.7100000000000009</c:v>
                </c:pt>
                <c:pt idx="81">
                  <c:v>9.91</c:v>
                </c:pt>
                <c:pt idx="82">
                  <c:v>9.41</c:v>
                </c:pt>
                <c:pt idx="83">
                  <c:v>9.24</c:v>
                </c:pt>
                <c:pt idx="84">
                  <c:v>9.33</c:v>
                </c:pt>
                <c:pt idx="85">
                  <c:v>9.32</c:v>
                </c:pt>
                <c:pt idx="86">
                  <c:v>8.98</c:v>
                </c:pt>
                <c:pt idx="87">
                  <c:v>9.2799999999999994</c:v>
                </c:pt>
                <c:pt idx="88">
                  <c:v>8.85</c:v>
                </c:pt>
                <c:pt idx="89">
                  <c:v>8.31</c:v>
                </c:pt>
                <c:pt idx="90">
                  <c:v>8.44</c:v>
                </c:pt>
                <c:pt idx="91">
                  <c:v>8.8000000000000007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Data2'!$G$56:$CT$56</c:f>
              <c:numCache>
                <c:formatCode>General</c:formatCode>
                <c:ptCount val="92"/>
                <c:pt idx="0">
                  <c:v>17</c:v>
                </c:pt>
                <c:pt idx="1">
                  <c:v>16</c:v>
                </c:pt>
                <c:pt idx="2">
                  <c:v>23</c:v>
                </c:pt>
                <c:pt idx="3">
                  <c:v>19</c:v>
                </c:pt>
                <c:pt idx="4">
                  <c:v>26</c:v>
                </c:pt>
                <c:pt idx="5">
                  <c:v>21</c:v>
                </c:pt>
                <c:pt idx="6">
                  <c:v>23</c:v>
                </c:pt>
                <c:pt idx="7">
                  <c:v>19</c:v>
                </c:pt>
                <c:pt idx="8">
                  <c:v>27</c:v>
                </c:pt>
                <c:pt idx="9">
                  <c:v>16</c:v>
                </c:pt>
                <c:pt idx="10">
                  <c:v>27</c:v>
                </c:pt>
                <c:pt idx="11">
                  <c:v>19</c:v>
                </c:pt>
                <c:pt idx="12">
                  <c:v>24</c:v>
                </c:pt>
                <c:pt idx="13">
                  <c:v>17</c:v>
                </c:pt>
                <c:pt idx="14">
                  <c:v>22</c:v>
                </c:pt>
                <c:pt idx="15">
                  <c:v>27</c:v>
                </c:pt>
                <c:pt idx="16">
                  <c:v>18</c:v>
                </c:pt>
                <c:pt idx="17">
                  <c:v>24</c:v>
                </c:pt>
                <c:pt idx="18">
                  <c:v>22</c:v>
                </c:pt>
                <c:pt idx="19">
                  <c:v>17</c:v>
                </c:pt>
                <c:pt idx="20">
                  <c:v>19.2</c:v>
                </c:pt>
                <c:pt idx="21">
                  <c:v>21.2</c:v>
                </c:pt>
                <c:pt idx="22">
                  <c:v>18.5</c:v>
                </c:pt>
                <c:pt idx="23">
                  <c:v>19.5</c:v>
                </c:pt>
                <c:pt idx="24">
                  <c:v>18.7</c:v>
                </c:pt>
                <c:pt idx="25">
                  <c:v>20.100000000000001</c:v>
                </c:pt>
                <c:pt idx="26">
                  <c:v>17.2</c:v>
                </c:pt>
                <c:pt idx="27">
                  <c:v>18.600000000000001</c:v>
                </c:pt>
                <c:pt idx="28">
                  <c:v>16.899999999999999</c:v>
                </c:pt>
                <c:pt idx="29">
                  <c:v>16.3</c:v>
                </c:pt>
                <c:pt idx="30">
                  <c:v>16.7</c:v>
                </c:pt>
                <c:pt idx="31">
                  <c:v>17.3</c:v>
                </c:pt>
                <c:pt idx="32">
                  <c:v>16.8</c:v>
                </c:pt>
                <c:pt idx="33">
                  <c:v>15.4</c:v>
                </c:pt>
                <c:pt idx="34">
                  <c:v>13.8</c:v>
                </c:pt>
                <c:pt idx="35">
                  <c:v>14.2</c:v>
                </c:pt>
                <c:pt idx="36">
                  <c:v>14.7</c:v>
                </c:pt>
                <c:pt idx="37">
                  <c:v>15.2</c:v>
                </c:pt>
                <c:pt idx="38">
                  <c:v>15.9</c:v>
                </c:pt>
                <c:pt idx="39">
                  <c:v>14.8</c:v>
                </c:pt>
                <c:pt idx="40">
                  <c:v>15</c:v>
                </c:pt>
                <c:pt idx="41">
                  <c:v>13.5</c:v>
                </c:pt>
                <c:pt idx="42">
                  <c:v>12.7</c:v>
                </c:pt>
                <c:pt idx="43">
                  <c:v>14.2</c:v>
                </c:pt>
                <c:pt idx="44">
                  <c:v>13.5</c:v>
                </c:pt>
                <c:pt idx="45">
                  <c:v>13.2</c:v>
                </c:pt>
                <c:pt idx="46">
                  <c:v>13.9</c:v>
                </c:pt>
                <c:pt idx="47">
                  <c:v>13.3</c:v>
                </c:pt>
                <c:pt idx="48">
                  <c:v>13.1</c:v>
                </c:pt>
                <c:pt idx="49">
                  <c:v>13</c:v>
                </c:pt>
                <c:pt idx="50">
                  <c:v>12.5</c:v>
                </c:pt>
                <c:pt idx="51">
                  <c:v>12.8</c:v>
                </c:pt>
                <c:pt idx="52">
                  <c:v>13.3</c:v>
                </c:pt>
                <c:pt idx="53">
                  <c:v>12.9</c:v>
                </c:pt>
                <c:pt idx="54">
                  <c:v>13.2</c:v>
                </c:pt>
                <c:pt idx="55">
                  <c:v>12.9</c:v>
                </c:pt>
                <c:pt idx="56">
                  <c:v>11.7</c:v>
                </c:pt>
                <c:pt idx="57">
                  <c:v>11.8</c:v>
                </c:pt>
                <c:pt idx="58">
                  <c:v>11.7</c:v>
                </c:pt>
                <c:pt idx="59">
                  <c:v>12</c:v>
                </c:pt>
                <c:pt idx="60">
                  <c:v>11.9</c:v>
                </c:pt>
                <c:pt idx="61">
                  <c:v>11.8</c:v>
                </c:pt>
                <c:pt idx="62">
                  <c:v>12.6</c:v>
                </c:pt>
                <c:pt idx="63">
                  <c:v>10.4</c:v>
                </c:pt>
                <c:pt idx="64">
                  <c:v>12</c:v>
                </c:pt>
                <c:pt idx="65">
                  <c:v>11.2</c:v>
                </c:pt>
                <c:pt idx="66">
                  <c:v>12.3</c:v>
                </c:pt>
                <c:pt idx="67">
                  <c:v>11.3</c:v>
                </c:pt>
                <c:pt idx="68">
                  <c:v>11.4</c:v>
                </c:pt>
                <c:pt idx="69">
                  <c:v>10.6</c:v>
                </c:pt>
                <c:pt idx="70">
                  <c:v>10.3</c:v>
                </c:pt>
                <c:pt idx="71">
                  <c:v>11.9</c:v>
                </c:pt>
                <c:pt idx="72">
                  <c:v>9.9</c:v>
                </c:pt>
                <c:pt idx="73">
                  <c:v>9.6999999999999993</c:v>
                </c:pt>
                <c:pt idx="74">
                  <c:v>10.3</c:v>
                </c:pt>
                <c:pt idx="75">
                  <c:v>10</c:v>
                </c:pt>
                <c:pt idx="76">
                  <c:v>11.4</c:v>
                </c:pt>
                <c:pt idx="77">
                  <c:v>11.2</c:v>
                </c:pt>
                <c:pt idx="78">
                  <c:v>9.8699999999999992</c:v>
                </c:pt>
                <c:pt idx="79">
                  <c:v>9.8699999999999992</c:v>
                </c:pt>
                <c:pt idx="80">
                  <c:v>9.32</c:v>
                </c:pt>
                <c:pt idx="81">
                  <c:v>9.27</c:v>
                </c:pt>
                <c:pt idx="82">
                  <c:v>8.66</c:v>
                </c:pt>
                <c:pt idx="83">
                  <c:v>8.68</c:v>
                </c:pt>
                <c:pt idx="84">
                  <c:v>8.49</c:v>
                </c:pt>
                <c:pt idx="85">
                  <c:v>7.98</c:v>
                </c:pt>
                <c:pt idx="86">
                  <c:v>8.31</c:v>
                </c:pt>
                <c:pt idx="87">
                  <c:v>8.18</c:v>
                </c:pt>
                <c:pt idx="88">
                  <c:v>8.17</c:v>
                </c:pt>
                <c:pt idx="89">
                  <c:v>7.87</c:v>
                </c:pt>
                <c:pt idx="90">
                  <c:v>7.88</c:v>
                </c:pt>
                <c:pt idx="91">
                  <c:v>7.61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Data2'!$G$57:$CT$57</c:f>
              <c:numCache>
                <c:formatCode>General</c:formatCode>
                <c:ptCount val="92"/>
                <c:pt idx="0">
                  <c:v>16</c:v>
                </c:pt>
                <c:pt idx="1">
                  <c:v>19</c:v>
                </c:pt>
                <c:pt idx="2">
                  <c:v>23</c:v>
                </c:pt>
                <c:pt idx="3">
                  <c:v>18</c:v>
                </c:pt>
                <c:pt idx="4">
                  <c:v>20</c:v>
                </c:pt>
                <c:pt idx="5">
                  <c:v>18</c:v>
                </c:pt>
                <c:pt idx="6">
                  <c:v>16</c:v>
                </c:pt>
                <c:pt idx="7">
                  <c:v>20</c:v>
                </c:pt>
                <c:pt idx="8">
                  <c:v>16</c:v>
                </c:pt>
                <c:pt idx="9">
                  <c:v>15</c:v>
                </c:pt>
                <c:pt idx="10">
                  <c:v>25</c:v>
                </c:pt>
                <c:pt idx="11">
                  <c:v>26</c:v>
                </c:pt>
                <c:pt idx="12">
                  <c:v>17</c:v>
                </c:pt>
                <c:pt idx="13">
                  <c:v>21</c:v>
                </c:pt>
                <c:pt idx="14">
                  <c:v>22</c:v>
                </c:pt>
                <c:pt idx="15">
                  <c:v>16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15</c:v>
                </c:pt>
                <c:pt idx="20">
                  <c:v>20.8</c:v>
                </c:pt>
                <c:pt idx="21">
                  <c:v>17.600000000000001</c:v>
                </c:pt>
                <c:pt idx="22">
                  <c:v>18</c:v>
                </c:pt>
                <c:pt idx="23">
                  <c:v>16.3</c:v>
                </c:pt>
                <c:pt idx="24">
                  <c:v>15.6</c:v>
                </c:pt>
                <c:pt idx="25">
                  <c:v>17.600000000000001</c:v>
                </c:pt>
                <c:pt idx="26">
                  <c:v>18</c:v>
                </c:pt>
                <c:pt idx="27">
                  <c:v>15.5</c:v>
                </c:pt>
                <c:pt idx="28">
                  <c:v>16.399999999999999</c:v>
                </c:pt>
                <c:pt idx="29">
                  <c:v>15.3</c:v>
                </c:pt>
                <c:pt idx="30">
                  <c:v>17.2</c:v>
                </c:pt>
                <c:pt idx="31">
                  <c:v>13.5</c:v>
                </c:pt>
                <c:pt idx="32">
                  <c:v>16.3</c:v>
                </c:pt>
                <c:pt idx="33">
                  <c:v>14.2</c:v>
                </c:pt>
                <c:pt idx="34">
                  <c:v>13.5</c:v>
                </c:pt>
                <c:pt idx="35">
                  <c:v>13.3</c:v>
                </c:pt>
                <c:pt idx="36">
                  <c:v>14</c:v>
                </c:pt>
                <c:pt idx="37">
                  <c:v>13</c:v>
                </c:pt>
                <c:pt idx="38">
                  <c:v>12.4</c:v>
                </c:pt>
                <c:pt idx="39">
                  <c:v>13.5</c:v>
                </c:pt>
                <c:pt idx="40">
                  <c:v>13.5</c:v>
                </c:pt>
                <c:pt idx="41">
                  <c:v>13.6</c:v>
                </c:pt>
                <c:pt idx="42">
                  <c:v>13.7</c:v>
                </c:pt>
                <c:pt idx="43">
                  <c:v>10.9</c:v>
                </c:pt>
                <c:pt idx="44">
                  <c:v>12.2</c:v>
                </c:pt>
                <c:pt idx="45">
                  <c:v>11.1</c:v>
                </c:pt>
                <c:pt idx="46">
                  <c:v>13</c:v>
                </c:pt>
                <c:pt idx="47">
                  <c:v>12.9</c:v>
                </c:pt>
                <c:pt idx="48">
                  <c:v>13.8</c:v>
                </c:pt>
                <c:pt idx="49">
                  <c:v>12.5</c:v>
                </c:pt>
                <c:pt idx="50">
                  <c:v>11</c:v>
                </c:pt>
                <c:pt idx="51">
                  <c:v>12.2</c:v>
                </c:pt>
                <c:pt idx="52">
                  <c:v>11</c:v>
                </c:pt>
                <c:pt idx="53">
                  <c:v>12.8</c:v>
                </c:pt>
                <c:pt idx="54">
                  <c:v>12.4</c:v>
                </c:pt>
                <c:pt idx="55">
                  <c:v>13.4</c:v>
                </c:pt>
                <c:pt idx="56">
                  <c:v>10.7</c:v>
                </c:pt>
                <c:pt idx="57">
                  <c:v>11</c:v>
                </c:pt>
                <c:pt idx="58">
                  <c:v>12.5</c:v>
                </c:pt>
                <c:pt idx="59">
                  <c:v>9.9</c:v>
                </c:pt>
                <c:pt idx="60">
                  <c:v>10.6</c:v>
                </c:pt>
                <c:pt idx="61">
                  <c:v>10.4</c:v>
                </c:pt>
                <c:pt idx="62">
                  <c:v>10.4</c:v>
                </c:pt>
                <c:pt idx="63">
                  <c:v>11.5</c:v>
                </c:pt>
                <c:pt idx="64">
                  <c:v>10.5</c:v>
                </c:pt>
                <c:pt idx="65">
                  <c:v>12.3</c:v>
                </c:pt>
                <c:pt idx="66">
                  <c:v>11.1</c:v>
                </c:pt>
                <c:pt idx="67">
                  <c:v>9.5</c:v>
                </c:pt>
                <c:pt idx="68">
                  <c:v>11.2</c:v>
                </c:pt>
                <c:pt idx="69">
                  <c:v>9.3000000000000007</c:v>
                </c:pt>
                <c:pt idx="70">
                  <c:v>9.4</c:v>
                </c:pt>
                <c:pt idx="71">
                  <c:v>12</c:v>
                </c:pt>
                <c:pt idx="72">
                  <c:v>11</c:v>
                </c:pt>
                <c:pt idx="73">
                  <c:v>10.6</c:v>
                </c:pt>
                <c:pt idx="74">
                  <c:v>10.9</c:v>
                </c:pt>
                <c:pt idx="75">
                  <c:v>9.6</c:v>
                </c:pt>
                <c:pt idx="76">
                  <c:v>9.5</c:v>
                </c:pt>
                <c:pt idx="77">
                  <c:v>9.3000000000000007</c:v>
                </c:pt>
                <c:pt idx="78">
                  <c:v>9.69</c:v>
                </c:pt>
                <c:pt idx="79">
                  <c:v>8.99</c:v>
                </c:pt>
                <c:pt idx="80">
                  <c:v>9.11</c:v>
                </c:pt>
                <c:pt idx="81">
                  <c:v>8.76</c:v>
                </c:pt>
                <c:pt idx="82">
                  <c:v>8.4499999999999993</c:v>
                </c:pt>
                <c:pt idx="83">
                  <c:v>8.6</c:v>
                </c:pt>
                <c:pt idx="84">
                  <c:v>7.88</c:v>
                </c:pt>
                <c:pt idx="85">
                  <c:v>7.98</c:v>
                </c:pt>
                <c:pt idx="86">
                  <c:v>7.64</c:v>
                </c:pt>
                <c:pt idx="87">
                  <c:v>7.66</c:v>
                </c:pt>
                <c:pt idx="88">
                  <c:v>7.68</c:v>
                </c:pt>
                <c:pt idx="89">
                  <c:v>7.53</c:v>
                </c:pt>
                <c:pt idx="90">
                  <c:v>7.71</c:v>
                </c:pt>
                <c:pt idx="91">
                  <c:v>7.23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Data2'!$G$58:$CT$58</c:f>
              <c:numCache>
                <c:formatCode>General</c:formatCode>
                <c:ptCount val="92"/>
                <c:pt idx="0">
                  <c:v>30</c:v>
                </c:pt>
                <c:pt idx="1">
                  <c:v>37</c:v>
                </c:pt>
                <c:pt idx="2">
                  <c:v>30</c:v>
                </c:pt>
                <c:pt idx="3">
                  <c:v>36</c:v>
                </c:pt>
                <c:pt idx="4">
                  <c:v>36</c:v>
                </c:pt>
                <c:pt idx="5">
                  <c:v>38</c:v>
                </c:pt>
                <c:pt idx="6">
                  <c:v>28</c:v>
                </c:pt>
                <c:pt idx="7">
                  <c:v>33</c:v>
                </c:pt>
                <c:pt idx="8">
                  <c:v>29</c:v>
                </c:pt>
                <c:pt idx="9">
                  <c:v>34</c:v>
                </c:pt>
                <c:pt idx="10">
                  <c:v>39</c:v>
                </c:pt>
                <c:pt idx="11">
                  <c:v>36</c:v>
                </c:pt>
                <c:pt idx="12">
                  <c:v>33</c:v>
                </c:pt>
                <c:pt idx="13">
                  <c:v>22</c:v>
                </c:pt>
                <c:pt idx="14">
                  <c:v>27</c:v>
                </c:pt>
                <c:pt idx="15">
                  <c:v>31</c:v>
                </c:pt>
                <c:pt idx="16">
                  <c:v>39</c:v>
                </c:pt>
                <c:pt idx="17">
                  <c:v>42</c:v>
                </c:pt>
                <c:pt idx="18">
                  <c:v>30</c:v>
                </c:pt>
                <c:pt idx="19">
                  <c:v>34</c:v>
                </c:pt>
                <c:pt idx="20">
                  <c:v>30.3</c:v>
                </c:pt>
                <c:pt idx="21">
                  <c:v>31.7</c:v>
                </c:pt>
                <c:pt idx="22">
                  <c:v>30.2</c:v>
                </c:pt>
                <c:pt idx="23">
                  <c:v>29.4</c:v>
                </c:pt>
                <c:pt idx="24">
                  <c:v>29.5</c:v>
                </c:pt>
                <c:pt idx="25">
                  <c:v>29.5</c:v>
                </c:pt>
                <c:pt idx="26">
                  <c:v>27.1</c:v>
                </c:pt>
                <c:pt idx="27">
                  <c:v>26</c:v>
                </c:pt>
                <c:pt idx="28">
                  <c:v>26.7</c:v>
                </c:pt>
                <c:pt idx="29">
                  <c:v>26.8</c:v>
                </c:pt>
                <c:pt idx="30">
                  <c:v>26.3</c:v>
                </c:pt>
                <c:pt idx="31">
                  <c:v>26.1</c:v>
                </c:pt>
                <c:pt idx="32">
                  <c:v>23.6</c:v>
                </c:pt>
                <c:pt idx="33">
                  <c:v>22.6</c:v>
                </c:pt>
                <c:pt idx="34">
                  <c:v>23.8</c:v>
                </c:pt>
                <c:pt idx="35">
                  <c:v>23.3</c:v>
                </c:pt>
                <c:pt idx="36">
                  <c:v>22</c:v>
                </c:pt>
                <c:pt idx="37">
                  <c:v>20.7</c:v>
                </c:pt>
                <c:pt idx="38">
                  <c:v>20.2</c:v>
                </c:pt>
                <c:pt idx="39">
                  <c:v>19.8</c:v>
                </c:pt>
                <c:pt idx="40">
                  <c:v>20.8</c:v>
                </c:pt>
                <c:pt idx="41">
                  <c:v>19.899999999999999</c:v>
                </c:pt>
                <c:pt idx="42">
                  <c:v>21.6</c:v>
                </c:pt>
                <c:pt idx="43">
                  <c:v>19.600000000000001</c:v>
                </c:pt>
                <c:pt idx="44">
                  <c:v>18.5</c:v>
                </c:pt>
                <c:pt idx="45">
                  <c:v>18.100000000000001</c:v>
                </c:pt>
                <c:pt idx="46">
                  <c:v>18.7</c:v>
                </c:pt>
                <c:pt idx="47">
                  <c:v>18.5</c:v>
                </c:pt>
                <c:pt idx="48">
                  <c:v>17.899999999999999</c:v>
                </c:pt>
                <c:pt idx="49">
                  <c:v>17.5</c:v>
                </c:pt>
                <c:pt idx="50">
                  <c:v>18</c:v>
                </c:pt>
                <c:pt idx="51">
                  <c:v>16.899999999999999</c:v>
                </c:pt>
                <c:pt idx="52">
                  <c:v>16.2</c:v>
                </c:pt>
                <c:pt idx="53">
                  <c:v>14.8</c:v>
                </c:pt>
                <c:pt idx="54">
                  <c:v>17.5</c:v>
                </c:pt>
                <c:pt idx="55">
                  <c:v>15.3</c:v>
                </c:pt>
                <c:pt idx="56">
                  <c:v>14.5</c:v>
                </c:pt>
                <c:pt idx="57">
                  <c:v>15.7</c:v>
                </c:pt>
                <c:pt idx="58">
                  <c:v>14.7</c:v>
                </c:pt>
                <c:pt idx="59">
                  <c:v>14.4</c:v>
                </c:pt>
                <c:pt idx="60">
                  <c:v>14.4</c:v>
                </c:pt>
                <c:pt idx="61">
                  <c:v>13.6</c:v>
                </c:pt>
                <c:pt idx="62">
                  <c:v>12.6</c:v>
                </c:pt>
                <c:pt idx="63">
                  <c:v>15.6</c:v>
                </c:pt>
                <c:pt idx="64">
                  <c:v>15.2</c:v>
                </c:pt>
                <c:pt idx="65">
                  <c:v>11.5</c:v>
                </c:pt>
                <c:pt idx="66">
                  <c:v>14.9</c:v>
                </c:pt>
                <c:pt idx="67">
                  <c:v>13.7</c:v>
                </c:pt>
                <c:pt idx="68">
                  <c:v>13.2</c:v>
                </c:pt>
                <c:pt idx="69">
                  <c:v>13.8</c:v>
                </c:pt>
                <c:pt idx="70">
                  <c:v>14.9</c:v>
                </c:pt>
                <c:pt idx="71">
                  <c:v>15</c:v>
                </c:pt>
                <c:pt idx="72">
                  <c:v>13.2</c:v>
                </c:pt>
                <c:pt idx="73">
                  <c:v>12.5</c:v>
                </c:pt>
                <c:pt idx="74">
                  <c:v>13</c:v>
                </c:pt>
                <c:pt idx="75">
                  <c:v>13.3</c:v>
                </c:pt>
                <c:pt idx="76">
                  <c:v>11.2</c:v>
                </c:pt>
                <c:pt idx="77">
                  <c:v>13.2</c:v>
                </c:pt>
                <c:pt idx="78">
                  <c:v>12.17</c:v>
                </c:pt>
                <c:pt idx="79">
                  <c:v>11.24</c:v>
                </c:pt>
                <c:pt idx="80">
                  <c:v>10.74</c:v>
                </c:pt>
                <c:pt idx="81">
                  <c:v>10.33</c:v>
                </c:pt>
                <c:pt idx="82">
                  <c:v>10.26</c:v>
                </c:pt>
                <c:pt idx="83">
                  <c:v>9.5399999999999991</c:v>
                </c:pt>
                <c:pt idx="84">
                  <c:v>9.3800000000000008</c:v>
                </c:pt>
                <c:pt idx="85">
                  <c:v>8.92</c:v>
                </c:pt>
                <c:pt idx="86">
                  <c:v>8.35</c:v>
                </c:pt>
                <c:pt idx="87">
                  <c:v>8.6999999999999993</c:v>
                </c:pt>
                <c:pt idx="88">
                  <c:v>8.1199999999999992</c:v>
                </c:pt>
                <c:pt idx="89">
                  <c:v>8.1199999999999992</c:v>
                </c:pt>
                <c:pt idx="90">
                  <c:v>8.34</c:v>
                </c:pt>
                <c:pt idx="91">
                  <c:v>8.33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Data2'!$G$59:$CT$59</c:f>
              <c:numCache>
                <c:formatCode>General</c:formatCode>
                <c:ptCount val="92"/>
                <c:pt idx="0">
                  <c:v>17</c:v>
                </c:pt>
                <c:pt idx="1">
                  <c:v>16</c:v>
                </c:pt>
                <c:pt idx="2">
                  <c:v>20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25</c:v>
                </c:pt>
                <c:pt idx="7">
                  <c:v>24</c:v>
                </c:pt>
                <c:pt idx="8">
                  <c:v>20</c:v>
                </c:pt>
                <c:pt idx="9">
                  <c:v>24</c:v>
                </c:pt>
                <c:pt idx="10">
                  <c:v>20</c:v>
                </c:pt>
                <c:pt idx="11">
                  <c:v>15</c:v>
                </c:pt>
                <c:pt idx="12">
                  <c:v>19</c:v>
                </c:pt>
                <c:pt idx="13">
                  <c:v>16</c:v>
                </c:pt>
                <c:pt idx="14">
                  <c:v>25</c:v>
                </c:pt>
                <c:pt idx="15">
                  <c:v>19</c:v>
                </c:pt>
                <c:pt idx="16">
                  <c:v>21</c:v>
                </c:pt>
                <c:pt idx="17">
                  <c:v>19</c:v>
                </c:pt>
                <c:pt idx="18">
                  <c:v>21</c:v>
                </c:pt>
                <c:pt idx="19">
                  <c:v>18</c:v>
                </c:pt>
                <c:pt idx="20">
                  <c:v>17.899999999999999</c:v>
                </c:pt>
                <c:pt idx="21">
                  <c:v>20.5</c:v>
                </c:pt>
                <c:pt idx="22">
                  <c:v>18.600000000000001</c:v>
                </c:pt>
                <c:pt idx="23">
                  <c:v>17.3</c:v>
                </c:pt>
                <c:pt idx="24">
                  <c:v>18.399999999999999</c:v>
                </c:pt>
                <c:pt idx="25">
                  <c:v>18.100000000000001</c:v>
                </c:pt>
                <c:pt idx="26">
                  <c:v>17.8</c:v>
                </c:pt>
                <c:pt idx="27">
                  <c:v>18.3</c:v>
                </c:pt>
                <c:pt idx="28">
                  <c:v>17.5</c:v>
                </c:pt>
                <c:pt idx="29">
                  <c:v>16.899999999999999</c:v>
                </c:pt>
                <c:pt idx="30">
                  <c:v>16.600000000000001</c:v>
                </c:pt>
                <c:pt idx="31">
                  <c:v>14.7</c:v>
                </c:pt>
                <c:pt idx="32">
                  <c:v>15.5</c:v>
                </c:pt>
                <c:pt idx="33">
                  <c:v>14.6</c:v>
                </c:pt>
                <c:pt idx="34">
                  <c:v>15.2</c:v>
                </c:pt>
                <c:pt idx="35">
                  <c:v>15.3</c:v>
                </c:pt>
                <c:pt idx="36">
                  <c:v>15.6</c:v>
                </c:pt>
                <c:pt idx="37">
                  <c:v>14.2</c:v>
                </c:pt>
                <c:pt idx="38">
                  <c:v>13.9</c:v>
                </c:pt>
                <c:pt idx="39">
                  <c:v>14</c:v>
                </c:pt>
                <c:pt idx="40">
                  <c:v>14.9</c:v>
                </c:pt>
                <c:pt idx="41">
                  <c:v>12.8</c:v>
                </c:pt>
                <c:pt idx="42">
                  <c:v>13.8</c:v>
                </c:pt>
                <c:pt idx="43">
                  <c:v>13</c:v>
                </c:pt>
                <c:pt idx="44">
                  <c:v>13.2</c:v>
                </c:pt>
                <c:pt idx="45">
                  <c:v>13.1</c:v>
                </c:pt>
                <c:pt idx="46">
                  <c:v>12.5</c:v>
                </c:pt>
                <c:pt idx="47">
                  <c:v>13.8</c:v>
                </c:pt>
                <c:pt idx="48">
                  <c:v>13.6</c:v>
                </c:pt>
                <c:pt idx="49">
                  <c:v>12.1</c:v>
                </c:pt>
                <c:pt idx="50">
                  <c:v>13.4</c:v>
                </c:pt>
                <c:pt idx="51">
                  <c:v>12.2</c:v>
                </c:pt>
                <c:pt idx="52">
                  <c:v>11.7</c:v>
                </c:pt>
                <c:pt idx="53">
                  <c:v>11.5</c:v>
                </c:pt>
                <c:pt idx="54">
                  <c:v>12.4</c:v>
                </c:pt>
                <c:pt idx="55">
                  <c:v>11.3</c:v>
                </c:pt>
                <c:pt idx="56">
                  <c:v>11.4</c:v>
                </c:pt>
                <c:pt idx="57">
                  <c:v>12</c:v>
                </c:pt>
                <c:pt idx="58">
                  <c:v>10.6</c:v>
                </c:pt>
                <c:pt idx="59">
                  <c:v>12.6</c:v>
                </c:pt>
                <c:pt idx="60">
                  <c:v>10.9</c:v>
                </c:pt>
                <c:pt idx="61">
                  <c:v>10.5</c:v>
                </c:pt>
                <c:pt idx="62">
                  <c:v>11.1</c:v>
                </c:pt>
                <c:pt idx="63">
                  <c:v>11.8</c:v>
                </c:pt>
                <c:pt idx="64">
                  <c:v>10.3</c:v>
                </c:pt>
                <c:pt idx="65">
                  <c:v>9.6999999999999993</c:v>
                </c:pt>
                <c:pt idx="66">
                  <c:v>8.8000000000000007</c:v>
                </c:pt>
                <c:pt idx="67">
                  <c:v>9.8000000000000007</c:v>
                </c:pt>
                <c:pt idx="68">
                  <c:v>11.1</c:v>
                </c:pt>
                <c:pt idx="69">
                  <c:v>9.4</c:v>
                </c:pt>
                <c:pt idx="70">
                  <c:v>10.6</c:v>
                </c:pt>
                <c:pt idx="71">
                  <c:v>10.6</c:v>
                </c:pt>
                <c:pt idx="72">
                  <c:v>11.2</c:v>
                </c:pt>
                <c:pt idx="73">
                  <c:v>10.4</c:v>
                </c:pt>
                <c:pt idx="74">
                  <c:v>12.5</c:v>
                </c:pt>
                <c:pt idx="75">
                  <c:v>10</c:v>
                </c:pt>
                <c:pt idx="76">
                  <c:v>10.8</c:v>
                </c:pt>
                <c:pt idx="77">
                  <c:v>9.4</c:v>
                </c:pt>
                <c:pt idx="78">
                  <c:v>9.86</c:v>
                </c:pt>
                <c:pt idx="79">
                  <c:v>9.31</c:v>
                </c:pt>
                <c:pt idx="80">
                  <c:v>9.5399999999999991</c:v>
                </c:pt>
                <c:pt idx="81">
                  <c:v>8.85</c:v>
                </c:pt>
                <c:pt idx="82">
                  <c:v>8.5299999999999994</c:v>
                </c:pt>
                <c:pt idx="83">
                  <c:v>8.56</c:v>
                </c:pt>
                <c:pt idx="84">
                  <c:v>7.96</c:v>
                </c:pt>
                <c:pt idx="85">
                  <c:v>8.2799999999999994</c:v>
                </c:pt>
                <c:pt idx="86">
                  <c:v>7.96</c:v>
                </c:pt>
                <c:pt idx="87">
                  <c:v>7.71</c:v>
                </c:pt>
                <c:pt idx="88">
                  <c:v>7.44</c:v>
                </c:pt>
                <c:pt idx="89">
                  <c:v>7.48</c:v>
                </c:pt>
                <c:pt idx="90">
                  <c:v>7.6</c:v>
                </c:pt>
                <c:pt idx="91">
                  <c:v>7.19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Data2'!$G$60:$CT$60</c:f>
              <c:numCache>
                <c:formatCode>General</c:formatCode>
                <c:ptCount val="92"/>
                <c:pt idx="0">
                  <c:v>8</c:v>
                </c:pt>
                <c:pt idx="1">
                  <c:v>6</c:v>
                </c:pt>
                <c:pt idx="2">
                  <c:v>10</c:v>
                </c:pt>
                <c:pt idx="3">
                  <c:v>11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9</c:v>
                </c:pt>
                <c:pt idx="16">
                  <c:v>5</c:v>
                </c:pt>
                <c:pt idx="17">
                  <c:v>9</c:v>
                </c:pt>
                <c:pt idx="18">
                  <c:v>10</c:v>
                </c:pt>
                <c:pt idx="19">
                  <c:v>6</c:v>
                </c:pt>
                <c:pt idx="20">
                  <c:v>7.3</c:v>
                </c:pt>
                <c:pt idx="21">
                  <c:v>7.4</c:v>
                </c:pt>
                <c:pt idx="22">
                  <c:v>6.9</c:v>
                </c:pt>
                <c:pt idx="23">
                  <c:v>7.5</c:v>
                </c:pt>
                <c:pt idx="24">
                  <c:v>7.5</c:v>
                </c:pt>
                <c:pt idx="25">
                  <c:v>6.9</c:v>
                </c:pt>
                <c:pt idx="26">
                  <c:v>7.3</c:v>
                </c:pt>
                <c:pt idx="27">
                  <c:v>6.5</c:v>
                </c:pt>
                <c:pt idx="28">
                  <c:v>6.8</c:v>
                </c:pt>
                <c:pt idx="29">
                  <c:v>6.5</c:v>
                </c:pt>
                <c:pt idx="30">
                  <c:v>6.7</c:v>
                </c:pt>
                <c:pt idx="31">
                  <c:v>6.5</c:v>
                </c:pt>
                <c:pt idx="32">
                  <c:v>6.5</c:v>
                </c:pt>
                <c:pt idx="33">
                  <c:v>6.9</c:v>
                </c:pt>
                <c:pt idx="34">
                  <c:v>8.1</c:v>
                </c:pt>
                <c:pt idx="35">
                  <c:v>7.8</c:v>
                </c:pt>
                <c:pt idx="36">
                  <c:v>6.1</c:v>
                </c:pt>
                <c:pt idx="37">
                  <c:v>6.9</c:v>
                </c:pt>
                <c:pt idx="38">
                  <c:v>7.2</c:v>
                </c:pt>
                <c:pt idx="39">
                  <c:v>6.5</c:v>
                </c:pt>
                <c:pt idx="40">
                  <c:v>6.4</c:v>
                </c:pt>
                <c:pt idx="41">
                  <c:v>6</c:v>
                </c:pt>
                <c:pt idx="42">
                  <c:v>6</c:v>
                </c:pt>
                <c:pt idx="43">
                  <c:v>7.3</c:v>
                </c:pt>
                <c:pt idx="44">
                  <c:v>5.5</c:v>
                </c:pt>
                <c:pt idx="45">
                  <c:v>6.7</c:v>
                </c:pt>
                <c:pt idx="46">
                  <c:v>8.4</c:v>
                </c:pt>
                <c:pt idx="47">
                  <c:v>6.1</c:v>
                </c:pt>
                <c:pt idx="48">
                  <c:v>6.5</c:v>
                </c:pt>
                <c:pt idx="49">
                  <c:v>5.9</c:v>
                </c:pt>
                <c:pt idx="50">
                  <c:v>6</c:v>
                </c:pt>
                <c:pt idx="51">
                  <c:v>6.1</c:v>
                </c:pt>
                <c:pt idx="52">
                  <c:v>6.5</c:v>
                </c:pt>
                <c:pt idx="53">
                  <c:v>6.3</c:v>
                </c:pt>
                <c:pt idx="54">
                  <c:v>6.4</c:v>
                </c:pt>
                <c:pt idx="55">
                  <c:v>6.3</c:v>
                </c:pt>
                <c:pt idx="56">
                  <c:v>6.2</c:v>
                </c:pt>
                <c:pt idx="57">
                  <c:v>5.7</c:v>
                </c:pt>
                <c:pt idx="58">
                  <c:v>5.3</c:v>
                </c:pt>
                <c:pt idx="59">
                  <c:v>5.7</c:v>
                </c:pt>
                <c:pt idx="60">
                  <c:v>5.5</c:v>
                </c:pt>
                <c:pt idx="61">
                  <c:v>6.6</c:v>
                </c:pt>
                <c:pt idx="62">
                  <c:v>6.9</c:v>
                </c:pt>
                <c:pt idx="63">
                  <c:v>5.8</c:v>
                </c:pt>
                <c:pt idx="64">
                  <c:v>6.7</c:v>
                </c:pt>
                <c:pt idx="65">
                  <c:v>6.9</c:v>
                </c:pt>
                <c:pt idx="66">
                  <c:v>5.7</c:v>
                </c:pt>
                <c:pt idx="67">
                  <c:v>5.8</c:v>
                </c:pt>
                <c:pt idx="68">
                  <c:v>7.1</c:v>
                </c:pt>
                <c:pt idx="69">
                  <c:v>6</c:v>
                </c:pt>
                <c:pt idx="70">
                  <c:v>5.5</c:v>
                </c:pt>
                <c:pt idx="71">
                  <c:v>6.9</c:v>
                </c:pt>
                <c:pt idx="72">
                  <c:v>6.3</c:v>
                </c:pt>
                <c:pt idx="73">
                  <c:v>7.2</c:v>
                </c:pt>
                <c:pt idx="74">
                  <c:v>5.3</c:v>
                </c:pt>
                <c:pt idx="75">
                  <c:v>5.7</c:v>
                </c:pt>
                <c:pt idx="76">
                  <c:v>7.5</c:v>
                </c:pt>
                <c:pt idx="77">
                  <c:v>6.4</c:v>
                </c:pt>
                <c:pt idx="78">
                  <c:v>5.74</c:v>
                </c:pt>
                <c:pt idx="79">
                  <c:v>5.85</c:v>
                </c:pt>
                <c:pt idx="80">
                  <c:v>5.45</c:v>
                </c:pt>
                <c:pt idx="81">
                  <c:v>5.91</c:v>
                </c:pt>
                <c:pt idx="82">
                  <c:v>5.65</c:v>
                </c:pt>
                <c:pt idx="83">
                  <c:v>5.55</c:v>
                </c:pt>
                <c:pt idx="84">
                  <c:v>5.68</c:v>
                </c:pt>
                <c:pt idx="85">
                  <c:v>5.73</c:v>
                </c:pt>
                <c:pt idx="86">
                  <c:v>5.66</c:v>
                </c:pt>
                <c:pt idx="87">
                  <c:v>5.62</c:v>
                </c:pt>
                <c:pt idx="88">
                  <c:v>5.34</c:v>
                </c:pt>
                <c:pt idx="89">
                  <c:v>5.56</c:v>
                </c:pt>
                <c:pt idx="90">
                  <c:v>5.43</c:v>
                </c:pt>
                <c:pt idx="91">
                  <c:v>5.53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Data2'!$G$61:$CT$61</c:f>
              <c:numCache>
                <c:formatCode>General</c:formatCode>
                <c:ptCount val="92"/>
                <c:pt idx="0">
                  <c:v>21</c:v>
                </c:pt>
                <c:pt idx="1">
                  <c:v>18</c:v>
                </c:pt>
                <c:pt idx="2">
                  <c:v>21</c:v>
                </c:pt>
                <c:pt idx="3">
                  <c:v>26</c:v>
                </c:pt>
                <c:pt idx="4">
                  <c:v>16</c:v>
                </c:pt>
                <c:pt idx="5">
                  <c:v>21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21</c:v>
                </c:pt>
                <c:pt idx="10">
                  <c:v>24</c:v>
                </c:pt>
                <c:pt idx="11">
                  <c:v>19</c:v>
                </c:pt>
                <c:pt idx="12">
                  <c:v>25</c:v>
                </c:pt>
                <c:pt idx="13">
                  <c:v>22</c:v>
                </c:pt>
                <c:pt idx="14">
                  <c:v>19</c:v>
                </c:pt>
                <c:pt idx="15">
                  <c:v>19</c:v>
                </c:pt>
                <c:pt idx="16">
                  <c:v>23</c:v>
                </c:pt>
                <c:pt idx="17">
                  <c:v>20</c:v>
                </c:pt>
                <c:pt idx="18">
                  <c:v>15</c:v>
                </c:pt>
                <c:pt idx="19">
                  <c:v>21</c:v>
                </c:pt>
                <c:pt idx="20">
                  <c:v>18.7</c:v>
                </c:pt>
                <c:pt idx="21">
                  <c:v>21.1</c:v>
                </c:pt>
                <c:pt idx="22">
                  <c:v>18.7</c:v>
                </c:pt>
                <c:pt idx="23">
                  <c:v>19.100000000000001</c:v>
                </c:pt>
                <c:pt idx="24">
                  <c:v>20.9</c:v>
                </c:pt>
                <c:pt idx="25">
                  <c:v>18.100000000000001</c:v>
                </c:pt>
                <c:pt idx="26">
                  <c:v>16.2</c:v>
                </c:pt>
                <c:pt idx="27">
                  <c:v>16.600000000000001</c:v>
                </c:pt>
                <c:pt idx="28">
                  <c:v>18</c:v>
                </c:pt>
                <c:pt idx="29">
                  <c:v>16.2</c:v>
                </c:pt>
                <c:pt idx="30">
                  <c:v>15.5</c:v>
                </c:pt>
                <c:pt idx="31">
                  <c:v>14.1</c:v>
                </c:pt>
                <c:pt idx="32">
                  <c:v>15.5</c:v>
                </c:pt>
                <c:pt idx="33">
                  <c:v>15.5</c:v>
                </c:pt>
                <c:pt idx="34">
                  <c:v>14.1</c:v>
                </c:pt>
                <c:pt idx="35">
                  <c:v>16.2</c:v>
                </c:pt>
                <c:pt idx="36">
                  <c:v>12.7</c:v>
                </c:pt>
                <c:pt idx="37">
                  <c:v>13.6</c:v>
                </c:pt>
                <c:pt idx="38">
                  <c:v>13.1</c:v>
                </c:pt>
                <c:pt idx="39">
                  <c:v>14.5</c:v>
                </c:pt>
                <c:pt idx="40">
                  <c:v>13.7</c:v>
                </c:pt>
                <c:pt idx="41">
                  <c:v>13.2</c:v>
                </c:pt>
                <c:pt idx="42">
                  <c:v>15.5</c:v>
                </c:pt>
                <c:pt idx="43">
                  <c:v>13.3</c:v>
                </c:pt>
                <c:pt idx="44">
                  <c:v>13.1</c:v>
                </c:pt>
                <c:pt idx="45">
                  <c:v>12.7</c:v>
                </c:pt>
                <c:pt idx="46">
                  <c:v>12.6</c:v>
                </c:pt>
                <c:pt idx="47">
                  <c:v>12.3</c:v>
                </c:pt>
                <c:pt idx="48">
                  <c:v>12.5</c:v>
                </c:pt>
                <c:pt idx="49">
                  <c:v>12.9</c:v>
                </c:pt>
                <c:pt idx="50">
                  <c:v>12.1</c:v>
                </c:pt>
                <c:pt idx="51">
                  <c:v>11.2</c:v>
                </c:pt>
                <c:pt idx="52">
                  <c:v>10.1</c:v>
                </c:pt>
                <c:pt idx="53">
                  <c:v>11.1</c:v>
                </c:pt>
                <c:pt idx="54">
                  <c:v>11.6</c:v>
                </c:pt>
                <c:pt idx="55">
                  <c:v>11.7</c:v>
                </c:pt>
                <c:pt idx="56">
                  <c:v>11.3</c:v>
                </c:pt>
                <c:pt idx="57">
                  <c:v>11.8</c:v>
                </c:pt>
                <c:pt idx="58">
                  <c:v>11.4</c:v>
                </c:pt>
                <c:pt idx="59">
                  <c:v>9.6999999999999993</c:v>
                </c:pt>
                <c:pt idx="60">
                  <c:v>10.9</c:v>
                </c:pt>
                <c:pt idx="61">
                  <c:v>10.1</c:v>
                </c:pt>
                <c:pt idx="62">
                  <c:v>10.3</c:v>
                </c:pt>
                <c:pt idx="63">
                  <c:v>9.5</c:v>
                </c:pt>
                <c:pt idx="64">
                  <c:v>10.5</c:v>
                </c:pt>
                <c:pt idx="65">
                  <c:v>10.5</c:v>
                </c:pt>
                <c:pt idx="66">
                  <c:v>10</c:v>
                </c:pt>
                <c:pt idx="67">
                  <c:v>10.1</c:v>
                </c:pt>
                <c:pt idx="68">
                  <c:v>11.1</c:v>
                </c:pt>
                <c:pt idx="69">
                  <c:v>10</c:v>
                </c:pt>
                <c:pt idx="70">
                  <c:v>9.3000000000000007</c:v>
                </c:pt>
                <c:pt idx="71">
                  <c:v>8.9</c:v>
                </c:pt>
                <c:pt idx="72">
                  <c:v>9.3000000000000007</c:v>
                </c:pt>
                <c:pt idx="73">
                  <c:v>9.6999999999999993</c:v>
                </c:pt>
                <c:pt idx="74">
                  <c:v>10.9</c:v>
                </c:pt>
                <c:pt idx="75">
                  <c:v>10.6</c:v>
                </c:pt>
                <c:pt idx="76">
                  <c:v>9.3000000000000007</c:v>
                </c:pt>
                <c:pt idx="77">
                  <c:v>9.5</c:v>
                </c:pt>
                <c:pt idx="78">
                  <c:v>9.61</c:v>
                </c:pt>
                <c:pt idx="79">
                  <c:v>8.61</c:v>
                </c:pt>
                <c:pt idx="80">
                  <c:v>8.2899999999999991</c:v>
                </c:pt>
                <c:pt idx="81">
                  <c:v>8.35</c:v>
                </c:pt>
                <c:pt idx="82">
                  <c:v>7.83</c:v>
                </c:pt>
                <c:pt idx="83">
                  <c:v>7.87</c:v>
                </c:pt>
                <c:pt idx="84">
                  <c:v>7.73</c:v>
                </c:pt>
                <c:pt idx="85">
                  <c:v>7.65</c:v>
                </c:pt>
                <c:pt idx="86">
                  <c:v>7.22</c:v>
                </c:pt>
                <c:pt idx="87">
                  <c:v>6.84</c:v>
                </c:pt>
                <c:pt idx="88">
                  <c:v>7.14</c:v>
                </c:pt>
                <c:pt idx="89">
                  <c:v>6.92</c:v>
                </c:pt>
                <c:pt idx="90">
                  <c:v>7.45</c:v>
                </c:pt>
                <c:pt idx="91">
                  <c:v>6.94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Data2'!$G$62:$CT$62</c:f>
              <c:numCache>
                <c:formatCode>General</c:formatCode>
                <c:ptCount val="92"/>
                <c:pt idx="0">
                  <c:v>18</c:v>
                </c:pt>
                <c:pt idx="1">
                  <c:v>14</c:v>
                </c:pt>
                <c:pt idx="2">
                  <c:v>18</c:v>
                </c:pt>
                <c:pt idx="3">
                  <c:v>19</c:v>
                </c:pt>
                <c:pt idx="4">
                  <c:v>15</c:v>
                </c:pt>
                <c:pt idx="5">
                  <c:v>14</c:v>
                </c:pt>
                <c:pt idx="6">
                  <c:v>9</c:v>
                </c:pt>
                <c:pt idx="7">
                  <c:v>15</c:v>
                </c:pt>
                <c:pt idx="8">
                  <c:v>16</c:v>
                </c:pt>
                <c:pt idx="9">
                  <c:v>15</c:v>
                </c:pt>
                <c:pt idx="10">
                  <c:v>19</c:v>
                </c:pt>
                <c:pt idx="11">
                  <c:v>18</c:v>
                </c:pt>
                <c:pt idx="12">
                  <c:v>12</c:v>
                </c:pt>
                <c:pt idx="13">
                  <c:v>17</c:v>
                </c:pt>
                <c:pt idx="14">
                  <c:v>14</c:v>
                </c:pt>
                <c:pt idx="15">
                  <c:v>14</c:v>
                </c:pt>
                <c:pt idx="16">
                  <c:v>13</c:v>
                </c:pt>
                <c:pt idx="17">
                  <c:v>15</c:v>
                </c:pt>
                <c:pt idx="18">
                  <c:v>19</c:v>
                </c:pt>
                <c:pt idx="19">
                  <c:v>13</c:v>
                </c:pt>
                <c:pt idx="20">
                  <c:v>17.100000000000001</c:v>
                </c:pt>
                <c:pt idx="21">
                  <c:v>13.9</c:v>
                </c:pt>
                <c:pt idx="22">
                  <c:v>14.5</c:v>
                </c:pt>
                <c:pt idx="23">
                  <c:v>13.5</c:v>
                </c:pt>
                <c:pt idx="24">
                  <c:v>13.9</c:v>
                </c:pt>
                <c:pt idx="25">
                  <c:v>14</c:v>
                </c:pt>
                <c:pt idx="26">
                  <c:v>12.2</c:v>
                </c:pt>
                <c:pt idx="27">
                  <c:v>12.9</c:v>
                </c:pt>
                <c:pt idx="28">
                  <c:v>14.1</c:v>
                </c:pt>
                <c:pt idx="29">
                  <c:v>11.4</c:v>
                </c:pt>
                <c:pt idx="30">
                  <c:v>13.1</c:v>
                </c:pt>
                <c:pt idx="31">
                  <c:v>11.3</c:v>
                </c:pt>
                <c:pt idx="32">
                  <c:v>12.2</c:v>
                </c:pt>
                <c:pt idx="33">
                  <c:v>11.9</c:v>
                </c:pt>
                <c:pt idx="34">
                  <c:v>12</c:v>
                </c:pt>
                <c:pt idx="35">
                  <c:v>11.3</c:v>
                </c:pt>
                <c:pt idx="36">
                  <c:v>10.7</c:v>
                </c:pt>
                <c:pt idx="37">
                  <c:v>11.2</c:v>
                </c:pt>
                <c:pt idx="38">
                  <c:v>9.5</c:v>
                </c:pt>
                <c:pt idx="39">
                  <c:v>10.7</c:v>
                </c:pt>
                <c:pt idx="40">
                  <c:v>10.9</c:v>
                </c:pt>
                <c:pt idx="41">
                  <c:v>9.5</c:v>
                </c:pt>
                <c:pt idx="42">
                  <c:v>11.4</c:v>
                </c:pt>
                <c:pt idx="43">
                  <c:v>10.4</c:v>
                </c:pt>
                <c:pt idx="44">
                  <c:v>10</c:v>
                </c:pt>
                <c:pt idx="45">
                  <c:v>9.1</c:v>
                </c:pt>
                <c:pt idx="46">
                  <c:v>8.8000000000000007</c:v>
                </c:pt>
                <c:pt idx="47">
                  <c:v>11.1</c:v>
                </c:pt>
                <c:pt idx="48">
                  <c:v>8.8000000000000007</c:v>
                </c:pt>
                <c:pt idx="49">
                  <c:v>9.6999999999999993</c:v>
                </c:pt>
                <c:pt idx="50">
                  <c:v>9.6</c:v>
                </c:pt>
                <c:pt idx="51">
                  <c:v>9.5</c:v>
                </c:pt>
                <c:pt idx="52">
                  <c:v>8.9</c:v>
                </c:pt>
                <c:pt idx="53">
                  <c:v>9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8.1</c:v>
                </c:pt>
                <c:pt idx="57">
                  <c:v>8.9</c:v>
                </c:pt>
                <c:pt idx="58">
                  <c:v>9</c:v>
                </c:pt>
                <c:pt idx="59">
                  <c:v>7.7</c:v>
                </c:pt>
                <c:pt idx="60">
                  <c:v>8.1</c:v>
                </c:pt>
                <c:pt idx="61">
                  <c:v>8.5</c:v>
                </c:pt>
                <c:pt idx="62">
                  <c:v>9.1999999999999993</c:v>
                </c:pt>
                <c:pt idx="63">
                  <c:v>9.6999999999999993</c:v>
                </c:pt>
                <c:pt idx="64">
                  <c:v>9.4</c:v>
                </c:pt>
                <c:pt idx="65">
                  <c:v>7.6</c:v>
                </c:pt>
                <c:pt idx="66">
                  <c:v>8.6999999999999993</c:v>
                </c:pt>
                <c:pt idx="67">
                  <c:v>9.8000000000000007</c:v>
                </c:pt>
                <c:pt idx="68">
                  <c:v>9.5</c:v>
                </c:pt>
                <c:pt idx="69">
                  <c:v>7.8</c:v>
                </c:pt>
                <c:pt idx="70">
                  <c:v>7.6</c:v>
                </c:pt>
                <c:pt idx="71">
                  <c:v>8.5</c:v>
                </c:pt>
                <c:pt idx="72">
                  <c:v>5.6</c:v>
                </c:pt>
                <c:pt idx="73">
                  <c:v>8.4</c:v>
                </c:pt>
                <c:pt idx="74">
                  <c:v>7.9</c:v>
                </c:pt>
                <c:pt idx="75">
                  <c:v>8.1</c:v>
                </c:pt>
                <c:pt idx="76">
                  <c:v>7.5</c:v>
                </c:pt>
                <c:pt idx="77">
                  <c:v>8.1</c:v>
                </c:pt>
                <c:pt idx="78">
                  <c:v>7.54</c:v>
                </c:pt>
                <c:pt idx="79">
                  <c:v>7.44</c:v>
                </c:pt>
                <c:pt idx="80">
                  <c:v>6.99</c:v>
                </c:pt>
                <c:pt idx="81">
                  <c:v>7.29</c:v>
                </c:pt>
                <c:pt idx="82">
                  <c:v>6.98</c:v>
                </c:pt>
                <c:pt idx="83">
                  <c:v>6.65</c:v>
                </c:pt>
                <c:pt idx="84">
                  <c:v>6.14</c:v>
                </c:pt>
                <c:pt idx="85">
                  <c:v>6.55</c:v>
                </c:pt>
                <c:pt idx="86">
                  <c:v>6.09</c:v>
                </c:pt>
                <c:pt idx="87">
                  <c:v>5.75</c:v>
                </c:pt>
                <c:pt idx="88">
                  <c:v>6.25</c:v>
                </c:pt>
                <c:pt idx="89">
                  <c:v>6.34</c:v>
                </c:pt>
                <c:pt idx="90">
                  <c:v>5.86</c:v>
                </c:pt>
                <c:pt idx="91">
                  <c:v>6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Data2'!$G$63:$CT$63</c:f>
              <c:numCache>
                <c:formatCode>General</c:formatCode>
                <c:ptCount val="92"/>
                <c:pt idx="0">
                  <c:v>23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17</c:v>
                </c:pt>
                <c:pt idx="5">
                  <c:v>18</c:v>
                </c:pt>
                <c:pt idx="6">
                  <c:v>20</c:v>
                </c:pt>
                <c:pt idx="7">
                  <c:v>17</c:v>
                </c:pt>
                <c:pt idx="8">
                  <c:v>19</c:v>
                </c:pt>
                <c:pt idx="9">
                  <c:v>17</c:v>
                </c:pt>
                <c:pt idx="10">
                  <c:v>22</c:v>
                </c:pt>
                <c:pt idx="11">
                  <c:v>18</c:v>
                </c:pt>
                <c:pt idx="12">
                  <c:v>17</c:v>
                </c:pt>
                <c:pt idx="13">
                  <c:v>18</c:v>
                </c:pt>
                <c:pt idx="14">
                  <c:v>21</c:v>
                </c:pt>
                <c:pt idx="15">
                  <c:v>18</c:v>
                </c:pt>
                <c:pt idx="16">
                  <c:v>19</c:v>
                </c:pt>
                <c:pt idx="17">
                  <c:v>14</c:v>
                </c:pt>
                <c:pt idx="18">
                  <c:v>18</c:v>
                </c:pt>
                <c:pt idx="19">
                  <c:v>25</c:v>
                </c:pt>
                <c:pt idx="20">
                  <c:v>18.600000000000001</c:v>
                </c:pt>
                <c:pt idx="21">
                  <c:v>17.399999999999999</c:v>
                </c:pt>
                <c:pt idx="22">
                  <c:v>18.3</c:v>
                </c:pt>
                <c:pt idx="23">
                  <c:v>16.899999999999999</c:v>
                </c:pt>
                <c:pt idx="24">
                  <c:v>16</c:v>
                </c:pt>
                <c:pt idx="25">
                  <c:v>16.100000000000001</c:v>
                </c:pt>
                <c:pt idx="26">
                  <c:v>18.3</c:v>
                </c:pt>
                <c:pt idx="27">
                  <c:v>17.3</c:v>
                </c:pt>
                <c:pt idx="28">
                  <c:v>17</c:v>
                </c:pt>
                <c:pt idx="29">
                  <c:v>16.7</c:v>
                </c:pt>
                <c:pt idx="30">
                  <c:v>15.2</c:v>
                </c:pt>
                <c:pt idx="31">
                  <c:v>15.3</c:v>
                </c:pt>
                <c:pt idx="32">
                  <c:v>15</c:v>
                </c:pt>
                <c:pt idx="33">
                  <c:v>14.6</c:v>
                </c:pt>
                <c:pt idx="34">
                  <c:v>15.4</c:v>
                </c:pt>
                <c:pt idx="35">
                  <c:v>12.9</c:v>
                </c:pt>
                <c:pt idx="36">
                  <c:v>13.7</c:v>
                </c:pt>
                <c:pt idx="37">
                  <c:v>14.1</c:v>
                </c:pt>
                <c:pt idx="38">
                  <c:v>13.1</c:v>
                </c:pt>
                <c:pt idx="39">
                  <c:v>11.2</c:v>
                </c:pt>
                <c:pt idx="40">
                  <c:v>12.8</c:v>
                </c:pt>
                <c:pt idx="41">
                  <c:v>11.3</c:v>
                </c:pt>
                <c:pt idx="42">
                  <c:v>12.8</c:v>
                </c:pt>
                <c:pt idx="43">
                  <c:v>12.5</c:v>
                </c:pt>
                <c:pt idx="44">
                  <c:v>10.5</c:v>
                </c:pt>
                <c:pt idx="45">
                  <c:v>12</c:v>
                </c:pt>
                <c:pt idx="46">
                  <c:v>12.2</c:v>
                </c:pt>
                <c:pt idx="47">
                  <c:v>11.6</c:v>
                </c:pt>
                <c:pt idx="48">
                  <c:v>11.4</c:v>
                </c:pt>
                <c:pt idx="49">
                  <c:v>12.4</c:v>
                </c:pt>
                <c:pt idx="50">
                  <c:v>10.3</c:v>
                </c:pt>
                <c:pt idx="51">
                  <c:v>11.2</c:v>
                </c:pt>
                <c:pt idx="52">
                  <c:v>10.5</c:v>
                </c:pt>
                <c:pt idx="53">
                  <c:v>11</c:v>
                </c:pt>
                <c:pt idx="54">
                  <c:v>11.7</c:v>
                </c:pt>
                <c:pt idx="55">
                  <c:v>10.7</c:v>
                </c:pt>
                <c:pt idx="56">
                  <c:v>10.3</c:v>
                </c:pt>
                <c:pt idx="57">
                  <c:v>10.7</c:v>
                </c:pt>
                <c:pt idx="58">
                  <c:v>10.8</c:v>
                </c:pt>
                <c:pt idx="59">
                  <c:v>12.9</c:v>
                </c:pt>
                <c:pt idx="60">
                  <c:v>9.4</c:v>
                </c:pt>
                <c:pt idx="61">
                  <c:v>10.7</c:v>
                </c:pt>
                <c:pt idx="62">
                  <c:v>10.8</c:v>
                </c:pt>
                <c:pt idx="63">
                  <c:v>9.6999999999999993</c:v>
                </c:pt>
                <c:pt idx="64">
                  <c:v>9.4</c:v>
                </c:pt>
                <c:pt idx="65">
                  <c:v>8.4</c:v>
                </c:pt>
                <c:pt idx="66">
                  <c:v>8.9</c:v>
                </c:pt>
                <c:pt idx="67">
                  <c:v>8.6</c:v>
                </c:pt>
                <c:pt idx="68">
                  <c:v>9.8000000000000007</c:v>
                </c:pt>
                <c:pt idx="69">
                  <c:v>9.1999999999999993</c:v>
                </c:pt>
                <c:pt idx="70">
                  <c:v>8.8000000000000007</c:v>
                </c:pt>
                <c:pt idx="71">
                  <c:v>8.1</c:v>
                </c:pt>
                <c:pt idx="72">
                  <c:v>8.1999999999999993</c:v>
                </c:pt>
                <c:pt idx="73">
                  <c:v>9.5</c:v>
                </c:pt>
                <c:pt idx="74">
                  <c:v>10</c:v>
                </c:pt>
                <c:pt idx="75">
                  <c:v>8.6</c:v>
                </c:pt>
                <c:pt idx="76">
                  <c:v>8.5</c:v>
                </c:pt>
                <c:pt idx="77">
                  <c:v>8.3000000000000007</c:v>
                </c:pt>
                <c:pt idx="78">
                  <c:v>8.43</c:v>
                </c:pt>
                <c:pt idx="79">
                  <c:v>8.1999999999999993</c:v>
                </c:pt>
                <c:pt idx="80">
                  <c:v>7.55</c:v>
                </c:pt>
                <c:pt idx="81">
                  <c:v>7.03</c:v>
                </c:pt>
                <c:pt idx="82">
                  <c:v>7.28</c:v>
                </c:pt>
                <c:pt idx="83">
                  <c:v>7.14</c:v>
                </c:pt>
                <c:pt idx="84">
                  <c:v>6.86</c:v>
                </c:pt>
                <c:pt idx="85">
                  <c:v>6.87</c:v>
                </c:pt>
                <c:pt idx="86">
                  <c:v>6.35</c:v>
                </c:pt>
                <c:pt idx="87">
                  <c:v>6.92</c:v>
                </c:pt>
                <c:pt idx="88">
                  <c:v>6.53</c:v>
                </c:pt>
                <c:pt idx="89">
                  <c:v>6.59</c:v>
                </c:pt>
                <c:pt idx="90">
                  <c:v>6.64</c:v>
                </c:pt>
                <c:pt idx="91">
                  <c:v>6.14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00992"/>
        <c:axId val="43702912"/>
      </c:scatterChart>
      <c:valAx>
        <c:axId val="4370099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702912"/>
        <c:crosses val="autoZero"/>
        <c:crossBetween val="midCat"/>
      </c:valAx>
      <c:valAx>
        <c:axId val="437029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37009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Data2'!$G$64:$CT$64</c:f>
              <c:numCache>
                <c:formatCode>General</c:formatCode>
                <c:ptCount val="92"/>
                <c:pt idx="0">
                  <c:v>903</c:v>
                </c:pt>
                <c:pt idx="1">
                  <c:v>933</c:v>
                </c:pt>
                <c:pt idx="2">
                  <c:v>935</c:v>
                </c:pt>
                <c:pt idx="3">
                  <c:v>876</c:v>
                </c:pt>
                <c:pt idx="4">
                  <c:v>889</c:v>
                </c:pt>
                <c:pt idx="5">
                  <c:v>916</c:v>
                </c:pt>
                <c:pt idx="6">
                  <c:v>901</c:v>
                </c:pt>
                <c:pt idx="7">
                  <c:v>888</c:v>
                </c:pt>
                <c:pt idx="8">
                  <c:v>862</c:v>
                </c:pt>
                <c:pt idx="9">
                  <c:v>878</c:v>
                </c:pt>
                <c:pt idx="10">
                  <c:v>889</c:v>
                </c:pt>
                <c:pt idx="11">
                  <c:v>894</c:v>
                </c:pt>
                <c:pt idx="12">
                  <c:v>854</c:v>
                </c:pt>
                <c:pt idx="13">
                  <c:v>868</c:v>
                </c:pt>
                <c:pt idx="14">
                  <c:v>883</c:v>
                </c:pt>
                <c:pt idx="15">
                  <c:v>888</c:v>
                </c:pt>
                <c:pt idx="16">
                  <c:v>842</c:v>
                </c:pt>
                <c:pt idx="17">
                  <c:v>867</c:v>
                </c:pt>
                <c:pt idx="18">
                  <c:v>885</c:v>
                </c:pt>
                <c:pt idx="19">
                  <c:v>873</c:v>
                </c:pt>
                <c:pt idx="20">
                  <c:v>830.8</c:v>
                </c:pt>
                <c:pt idx="21">
                  <c:v>788.7</c:v>
                </c:pt>
                <c:pt idx="22">
                  <c:v>749.7</c:v>
                </c:pt>
                <c:pt idx="23">
                  <c:v>708.8</c:v>
                </c:pt>
                <c:pt idx="24">
                  <c:v>675.7</c:v>
                </c:pt>
                <c:pt idx="25">
                  <c:v>637.4</c:v>
                </c:pt>
                <c:pt idx="26">
                  <c:v>605.4</c:v>
                </c:pt>
                <c:pt idx="27">
                  <c:v>565.29999999999995</c:v>
                </c:pt>
                <c:pt idx="28">
                  <c:v>542.20000000000005</c:v>
                </c:pt>
                <c:pt idx="29">
                  <c:v>523.79999999999995</c:v>
                </c:pt>
                <c:pt idx="30">
                  <c:v>488.4</c:v>
                </c:pt>
                <c:pt idx="31">
                  <c:v>477.7</c:v>
                </c:pt>
                <c:pt idx="32">
                  <c:v>457</c:v>
                </c:pt>
                <c:pt idx="33">
                  <c:v>438.4</c:v>
                </c:pt>
                <c:pt idx="34">
                  <c:v>421.6</c:v>
                </c:pt>
                <c:pt idx="35">
                  <c:v>403</c:v>
                </c:pt>
                <c:pt idx="36">
                  <c:v>382.1</c:v>
                </c:pt>
                <c:pt idx="37">
                  <c:v>376.7</c:v>
                </c:pt>
                <c:pt idx="38">
                  <c:v>355.1</c:v>
                </c:pt>
                <c:pt idx="39">
                  <c:v>345.1</c:v>
                </c:pt>
                <c:pt idx="40">
                  <c:v>329.9</c:v>
                </c:pt>
                <c:pt idx="41">
                  <c:v>320.10000000000002</c:v>
                </c:pt>
                <c:pt idx="42">
                  <c:v>307.3</c:v>
                </c:pt>
                <c:pt idx="43">
                  <c:v>294.7</c:v>
                </c:pt>
                <c:pt idx="44">
                  <c:v>290.2</c:v>
                </c:pt>
                <c:pt idx="45">
                  <c:v>275.89999999999998</c:v>
                </c:pt>
                <c:pt idx="46">
                  <c:v>264.7</c:v>
                </c:pt>
                <c:pt idx="47">
                  <c:v>261.10000000000002</c:v>
                </c:pt>
                <c:pt idx="48">
                  <c:v>251.7</c:v>
                </c:pt>
                <c:pt idx="49">
                  <c:v>250.2</c:v>
                </c:pt>
                <c:pt idx="50">
                  <c:v>241.4</c:v>
                </c:pt>
                <c:pt idx="51">
                  <c:v>232.1</c:v>
                </c:pt>
                <c:pt idx="52">
                  <c:v>225.2</c:v>
                </c:pt>
                <c:pt idx="53">
                  <c:v>215.2</c:v>
                </c:pt>
                <c:pt idx="54">
                  <c:v>211.5</c:v>
                </c:pt>
                <c:pt idx="55">
                  <c:v>204.9</c:v>
                </c:pt>
                <c:pt idx="56">
                  <c:v>200.3</c:v>
                </c:pt>
                <c:pt idx="57">
                  <c:v>192.1</c:v>
                </c:pt>
                <c:pt idx="58">
                  <c:v>186.5</c:v>
                </c:pt>
                <c:pt idx="59">
                  <c:v>185.2</c:v>
                </c:pt>
                <c:pt idx="60">
                  <c:v>184.3</c:v>
                </c:pt>
                <c:pt idx="61">
                  <c:v>180.4</c:v>
                </c:pt>
                <c:pt idx="62">
                  <c:v>177.3</c:v>
                </c:pt>
                <c:pt idx="63">
                  <c:v>171.5</c:v>
                </c:pt>
                <c:pt idx="64">
                  <c:v>166.4</c:v>
                </c:pt>
                <c:pt idx="65">
                  <c:v>162.69999999999999</c:v>
                </c:pt>
                <c:pt idx="66">
                  <c:v>157</c:v>
                </c:pt>
                <c:pt idx="67">
                  <c:v>156.4</c:v>
                </c:pt>
                <c:pt idx="68">
                  <c:v>146</c:v>
                </c:pt>
                <c:pt idx="69">
                  <c:v>149.30000000000001</c:v>
                </c:pt>
                <c:pt idx="70">
                  <c:v>151.6</c:v>
                </c:pt>
                <c:pt idx="71">
                  <c:v>144.19999999999999</c:v>
                </c:pt>
                <c:pt idx="72">
                  <c:v>138</c:v>
                </c:pt>
                <c:pt idx="73">
                  <c:v>140.30000000000001</c:v>
                </c:pt>
                <c:pt idx="74">
                  <c:v>136.5</c:v>
                </c:pt>
                <c:pt idx="75">
                  <c:v>131.80000000000001</c:v>
                </c:pt>
                <c:pt idx="76">
                  <c:v>123.5</c:v>
                </c:pt>
                <c:pt idx="77">
                  <c:v>131.30000000000001</c:v>
                </c:pt>
                <c:pt idx="78">
                  <c:v>118.56</c:v>
                </c:pt>
                <c:pt idx="79">
                  <c:v>101.89</c:v>
                </c:pt>
                <c:pt idx="80">
                  <c:v>90.06</c:v>
                </c:pt>
                <c:pt idx="81">
                  <c:v>80.75</c:v>
                </c:pt>
                <c:pt idx="82">
                  <c:v>74.59</c:v>
                </c:pt>
                <c:pt idx="83">
                  <c:v>65.13</c:v>
                </c:pt>
                <c:pt idx="84">
                  <c:v>62.87</c:v>
                </c:pt>
                <c:pt idx="85">
                  <c:v>58.33</c:v>
                </c:pt>
                <c:pt idx="86">
                  <c:v>55.5</c:v>
                </c:pt>
                <c:pt idx="87">
                  <c:v>51.9</c:v>
                </c:pt>
                <c:pt idx="88">
                  <c:v>49.31</c:v>
                </c:pt>
                <c:pt idx="89">
                  <c:v>47.75</c:v>
                </c:pt>
                <c:pt idx="90">
                  <c:v>45.36</c:v>
                </c:pt>
                <c:pt idx="91">
                  <c:v>43.7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Data2'!$G$65:$CT$65</c:f>
              <c:numCache>
                <c:formatCode>General</c:formatCode>
                <c:ptCount val="92"/>
                <c:pt idx="0">
                  <c:v>1308</c:v>
                </c:pt>
                <c:pt idx="1">
                  <c:v>1298</c:v>
                </c:pt>
                <c:pt idx="2">
                  <c:v>1242</c:v>
                </c:pt>
                <c:pt idx="3">
                  <c:v>1309</c:v>
                </c:pt>
                <c:pt idx="4">
                  <c:v>1233</c:v>
                </c:pt>
                <c:pt idx="5">
                  <c:v>1234</c:v>
                </c:pt>
                <c:pt idx="6">
                  <c:v>1272</c:v>
                </c:pt>
                <c:pt idx="7">
                  <c:v>1193</c:v>
                </c:pt>
                <c:pt idx="8">
                  <c:v>1244</c:v>
                </c:pt>
                <c:pt idx="9">
                  <c:v>1233</c:v>
                </c:pt>
                <c:pt idx="10">
                  <c:v>1254</c:v>
                </c:pt>
                <c:pt idx="11">
                  <c:v>1269</c:v>
                </c:pt>
                <c:pt idx="12">
                  <c:v>1187</c:v>
                </c:pt>
                <c:pt idx="13">
                  <c:v>1179</c:v>
                </c:pt>
                <c:pt idx="14">
                  <c:v>1207</c:v>
                </c:pt>
                <c:pt idx="15">
                  <c:v>1211</c:v>
                </c:pt>
                <c:pt idx="16">
                  <c:v>1211</c:v>
                </c:pt>
                <c:pt idx="17">
                  <c:v>1152</c:v>
                </c:pt>
                <c:pt idx="18">
                  <c:v>1225</c:v>
                </c:pt>
                <c:pt idx="19">
                  <c:v>1188</c:v>
                </c:pt>
                <c:pt idx="20">
                  <c:v>1169.5999999999999</c:v>
                </c:pt>
                <c:pt idx="21">
                  <c:v>1101.2</c:v>
                </c:pt>
                <c:pt idx="22">
                  <c:v>1042.5</c:v>
                </c:pt>
                <c:pt idx="23">
                  <c:v>989.3</c:v>
                </c:pt>
                <c:pt idx="24">
                  <c:v>930.6</c:v>
                </c:pt>
                <c:pt idx="25">
                  <c:v>890.9</c:v>
                </c:pt>
                <c:pt idx="26">
                  <c:v>850.5</c:v>
                </c:pt>
                <c:pt idx="27">
                  <c:v>802.9</c:v>
                </c:pt>
                <c:pt idx="28">
                  <c:v>756.5</c:v>
                </c:pt>
                <c:pt idx="29">
                  <c:v>726.4</c:v>
                </c:pt>
                <c:pt idx="30">
                  <c:v>695.8</c:v>
                </c:pt>
                <c:pt idx="31">
                  <c:v>664.9</c:v>
                </c:pt>
                <c:pt idx="32">
                  <c:v>646</c:v>
                </c:pt>
                <c:pt idx="33">
                  <c:v>604.1</c:v>
                </c:pt>
                <c:pt idx="34">
                  <c:v>584</c:v>
                </c:pt>
                <c:pt idx="35">
                  <c:v>557.79999999999995</c:v>
                </c:pt>
                <c:pt idx="36">
                  <c:v>537.70000000000005</c:v>
                </c:pt>
                <c:pt idx="37">
                  <c:v>506.5</c:v>
                </c:pt>
                <c:pt idx="38">
                  <c:v>494.8</c:v>
                </c:pt>
                <c:pt idx="39">
                  <c:v>473.6</c:v>
                </c:pt>
                <c:pt idx="40">
                  <c:v>458.5</c:v>
                </c:pt>
                <c:pt idx="41">
                  <c:v>440.4</c:v>
                </c:pt>
                <c:pt idx="42">
                  <c:v>425.9</c:v>
                </c:pt>
                <c:pt idx="43">
                  <c:v>409.5</c:v>
                </c:pt>
                <c:pt idx="44">
                  <c:v>393.8</c:v>
                </c:pt>
                <c:pt idx="45">
                  <c:v>385.8</c:v>
                </c:pt>
                <c:pt idx="46">
                  <c:v>372.9</c:v>
                </c:pt>
                <c:pt idx="47">
                  <c:v>368.5</c:v>
                </c:pt>
                <c:pt idx="48">
                  <c:v>358.6</c:v>
                </c:pt>
                <c:pt idx="49">
                  <c:v>342.7</c:v>
                </c:pt>
                <c:pt idx="50">
                  <c:v>330.1</c:v>
                </c:pt>
                <c:pt idx="51">
                  <c:v>319.8</c:v>
                </c:pt>
                <c:pt idx="52">
                  <c:v>320.39999999999998</c:v>
                </c:pt>
                <c:pt idx="53">
                  <c:v>312.8</c:v>
                </c:pt>
                <c:pt idx="54">
                  <c:v>298.7</c:v>
                </c:pt>
                <c:pt idx="55">
                  <c:v>289.39999999999998</c:v>
                </c:pt>
                <c:pt idx="56">
                  <c:v>282.3</c:v>
                </c:pt>
                <c:pt idx="57">
                  <c:v>283.7</c:v>
                </c:pt>
                <c:pt idx="58">
                  <c:v>276.2</c:v>
                </c:pt>
                <c:pt idx="59">
                  <c:v>269.89999999999998</c:v>
                </c:pt>
                <c:pt idx="60">
                  <c:v>254.4</c:v>
                </c:pt>
                <c:pt idx="61">
                  <c:v>253.1</c:v>
                </c:pt>
                <c:pt idx="62">
                  <c:v>250.3</c:v>
                </c:pt>
                <c:pt idx="63">
                  <c:v>242.3</c:v>
                </c:pt>
                <c:pt idx="64">
                  <c:v>234.3</c:v>
                </c:pt>
                <c:pt idx="65">
                  <c:v>231.1</c:v>
                </c:pt>
                <c:pt idx="66">
                  <c:v>230.9</c:v>
                </c:pt>
                <c:pt idx="67">
                  <c:v>221</c:v>
                </c:pt>
                <c:pt idx="68">
                  <c:v>211.5</c:v>
                </c:pt>
                <c:pt idx="69">
                  <c:v>212.4</c:v>
                </c:pt>
                <c:pt idx="70">
                  <c:v>203.1</c:v>
                </c:pt>
                <c:pt idx="71">
                  <c:v>201.3</c:v>
                </c:pt>
                <c:pt idx="72">
                  <c:v>201.6</c:v>
                </c:pt>
                <c:pt idx="73">
                  <c:v>195.9</c:v>
                </c:pt>
                <c:pt idx="74">
                  <c:v>191.4</c:v>
                </c:pt>
                <c:pt idx="75">
                  <c:v>188.9</c:v>
                </c:pt>
                <c:pt idx="76">
                  <c:v>182.3</c:v>
                </c:pt>
                <c:pt idx="77">
                  <c:v>187.6</c:v>
                </c:pt>
                <c:pt idx="78">
                  <c:v>170.83</c:v>
                </c:pt>
                <c:pt idx="79">
                  <c:v>147.78</c:v>
                </c:pt>
                <c:pt idx="80">
                  <c:v>130.56</c:v>
                </c:pt>
                <c:pt idx="81">
                  <c:v>116.52</c:v>
                </c:pt>
                <c:pt idx="82">
                  <c:v>107.23</c:v>
                </c:pt>
                <c:pt idx="83">
                  <c:v>99.37</c:v>
                </c:pt>
                <c:pt idx="84">
                  <c:v>92.82</c:v>
                </c:pt>
                <c:pt idx="85">
                  <c:v>86.76</c:v>
                </c:pt>
                <c:pt idx="86">
                  <c:v>81.5</c:v>
                </c:pt>
                <c:pt idx="87">
                  <c:v>76.8</c:v>
                </c:pt>
                <c:pt idx="88">
                  <c:v>74.09</c:v>
                </c:pt>
                <c:pt idx="89">
                  <c:v>69.39</c:v>
                </c:pt>
                <c:pt idx="90">
                  <c:v>66.819999999999993</c:v>
                </c:pt>
                <c:pt idx="91">
                  <c:v>65.02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Data2'!$G$66:$CT$66</c:f>
              <c:numCache>
                <c:formatCode>General</c:formatCode>
                <c:ptCount val="92"/>
                <c:pt idx="0">
                  <c:v>855</c:v>
                </c:pt>
                <c:pt idx="1">
                  <c:v>831</c:v>
                </c:pt>
                <c:pt idx="2">
                  <c:v>860</c:v>
                </c:pt>
                <c:pt idx="3">
                  <c:v>897</c:v>
                </c:pt>
                <c:pt idx="4">
                  <c:v>880</c:v>
                </c:pt>
                <c:pt idx="5">
                  <c:v>842</c:v>
                </c:pt>
                <c:pt idx="6">
                  <c:v>851</c:v>
                </c:pt>
                <c:pt idx="7">
                  <c:v>824</c:v>
                </c:pt>
                <c:pt idx="8">
                  <c:v>837</c:v>
                </c:pt>
                <c:pt idx="9">
                  <c:v>829</c:v>
                </c:pt>
                <c:pt idx="10">
                  <c:v>832</c:v>
                </c:pt>
                <c:pt idx="11">
                  <c:v>831</c:v>
                </c:pt>
                <c:pt idx="12">
                  <c:v>786</c:v>
                </c:pt>
                <c:pt idx="13">
                  <c:v>795</c:v>
                </c:pt>
                <c:pt idx="14">
                  <c:v>837</c:v>
                </c:pt>
                <c:pt idx="15">
                  <c:v>836</c:v>
                </c:pt>
                <c:pt idx="16">
                  <c:v>820</c:v>
                </c:pt>
                <c:pt idx="17">
                  <c:v>794</c:v>
                </c:pt>
                <c:pt idx="18">
                  <c:v>817</c:v>
                </c:pt>
                <c:pt idx="19">
                  <c:v>814</c:v>
                </c:pt>
                <c:pt idx="20">
                  <c:v>781.1</c:v>
                </c:pt>
                <c:pt idx="21">
                  <c:v>741.5</c:v>
                </c:pt>
                <c:pt idx="22">
                  <c:v>694.9</c:v>
                </c:pt>
                <c:pt idx="23">
                  <c:v>670.1</c:v>
                </c:pt>
                <c:pt idx="24">
                  <c:v>632</c:v>
                </c:pt>
                <c:pt idx="25">
                  <c:v>599.29999999999995</c:v>
                </c:pt>
                <c:pt idx="26">
                  <c:v>560.29999999999995</c:v>
                </c:pt>
                <c:pt idx="27">
                  <c:v>537</c:v>
                </c:pt>
                <c:pt idx="28">
                  <c:v>508.7</c:v>
                </c:pt>
                <c:pt idx="29">
                  <c:v>489.5</c:v>
                </c:pt>
                <c:pt idx="30">
                  <c:v>463.9</c:v>
                </c:pt>
                <c:pt idx="31">
                  <c:v>445.1</c:v>
                </c:pt>
                <c:pt idx="32">
                  <c:v>427.9</c:v>
                </c:pt>
                <c:pt idx="33">
                  <c:v>413.6</c:v>
                </c:pt>
                <c:pt idx="34">
                  <c:v>395</c:v>
                </c:pt>
                <c:pt idx="35">
                  <c:v>373.6</c:v>
                </c:pt>
                <c:pt idx="36">
                  <c:v>358.4</c:v>
                </c:pt>
                <c:pt idx="37">
                  <c:v>345.5</c:v>
                </c:pt>
                <c:pt idx="38">
                  <c:v>333.5</c:v>
                </c:pt>
                <c:pt idx="39">
                  <c:v>327.60000000000002</c:v>
                </c:pt>
                <c:pt idx="40">
                  <c:v>308.8</c:v>
                </c:pt>
                <c:pt idx="41">
                  <c:v>294.2</c:v>
                </c:pt>
                <c:pt idx="42">
                  <c:v>296.2</c:v>
                </c:pt>
                <c:pt idx="43">
                  <c:v>286.2</c:v>
                </c:pt>
                <c:pt idx="44">
                  <c:v>270</c:v>
                </c:pt>
                <c:pt idx="45">
                  <c:v>260.39999999999998</c:v>
                </c:pt>
                <c:pt idx="46">
                  <c:v>248.1</c:v>
                </c:pt>
                <c:pt idx="47">
                  <c:v>241.1</c:v>
                </c:pt>
                <c:pt idx="48">
                  <c:v>239.1</c:v>
                </c:pt>
                <c:pt idx="49">
                  <c:v>232.1</c:v>
                </c:pt>
                <c:pt idx="50">
                  <c:v>218.7</c:v>
                </c:pt>
                <c:pt idx="51">
                  <c:v>217.8</c:v>
                </c:pt>
                <c:pt idx="52">
                  <c:v>211.8</c:v>
                </c:pt>
                <c:pt idx="53">
                  <c:v>198.5</c:v>
                </c:pt>
                <c:pt idx="54">
                  <c:v>201.9</c:v>
                </c:pt>
                <c:pt idx="55">
                  <c:v>198.2</c:v>
                </c:pt>
                <c:pt idx="56">
                  <c:v>192.9</c:v>
                </c:pt>
                <c:pt idx="57">
                  <c:v>183.1</c:v>
                </c:pt>
                <c:pt idx="58">
                  <c:v>182.5</c:v>
                </c:pt>
                <c:pt idx="59">
                  <c:v>174.6</c:v>
                </c:pt>
                <c:pt idx="60">
                  <c:v>169.8</c:v>
                </c:pt>
                <c:pt idx="61">
                  <c:v>165.3</c:v>
                </c:pt>
                <c:pt idx="62">
                  <c:v>164.3</c:v>
                </c:pt>
                <c:pt idx="63">
                  <c:v>157.30000000000001</c:v>
                </c:pt>
                <c:pt idx="64">
                  <c:v>159.80000000000001</c:v>
                </c:pt>
                <c:pt idx="65">
                  <c:v>154.6</c:v>
                </c:pt>
                <c:pt idx="66">
                  <c:v>148.30000000000001</c:v>
                </c:pt>
                <c:pt idx="67">
                  <c:v>147.9</c:v>
                </c:pt>
                <c:pt idx="68">
                  <c:v>152</c:v>
                </c:pt>
                <c:pt idx="69">
                  <c:v>144.4</c:v>
                </c:pt>
                <c:pt idx="70">
                  <c:v>141.30000000000001</c:v>
                </c:pt>
                <c:pt idx="71">
                  <c:v>137.80000000000001</c:v>
                </c:pt>
                <c:pt idx="72">
                  <c:v>139.9</c:v>
                </c:pt>
                <c:pt idx="73">
                  <c:v>134.6</c:v>
                </c:pt>
                <c:pt idx="74">
                  <c:v>131.9</c:v>
                </c:pt>
                <c:pt idx="75">
                  <c:v>129.30000000000001</c:v>
                </c:pt>
                <c:pt idx="76">
                  <c:v>126.3</c:v>
                </c:pt>
                <c:pt idx="77">
                  <c:v>125.5</c:v>
                </c:pt>
                <c:pt idx="78">
                  <c:v>115.35</c:v>
                </c:pt>
                <c:pt idx="79">
                  <c:v>99.17</c:v>
                </c:pt>
                <c:pt idx="80">
                  <c:v>88.51</c:v>
                </c:pt>
                <c:pt idx="81">
                  <c:v>80.180000000000007</c:v>
                </c:pt>
                <c:pt idx="82">
                  <c:v>72.709999999999994</c:v>
                </c:pt>
                <c:pt idx="83">
                  <c:v>67.55</c:v>
                </c:pt>
                <c:pt idx="84">
                  <c:v>62.59</c:v>
                </c:pt>
                <c:pt idx="85">
                  <c:v>59.69</c:v>
                </c:pt>
                <c:pt idx="86">
                  <c:v>55.91</c:v>
                </c:pt>
                <c:pt idx="87">
                  <c:v>53.14</c:v>
                </c:pt>
                <c:pt idx="88">
                  <c:v>50.5</c:v>
                </c:pt>
                <c:pt idx="89">
                  <c:v>48.29</c:v>
                </c:pt>
                <c:pt idx="90">
                  <c:v>46.41</c:v>
                </c:pt>
                <c:pt idx="91">
                  <c:v>44.54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Data2'!$G$67:$CT$67</c:f>
              <c:numCache>
                <c:formatCode>General</c:formatCode>
                <c:ptCount val="92"/>
                <c:pt idx="0">
                  <c:v>1352</c:v>
                </c:pt>
                <c:pt idx="1">
                  <c:v>1384</c:v>
                </c:pt>
                <c:pt idx="2">
                  <c:v>1368</c:v>
                </c:pt>
                <c:pt idx="3">
                  <c:v>1383</c:v>
                </c:pt>
                <c:pt idx="4">
                  <c:v>1291</c:v>
                </c:pt>
                <c:pt idx="5">
                  <c:v>1341</c:v>
                </c:pt>
                <c:pt idx="6">
                  <c:v>1316</c:v>
                </c:pt>
                <c:pt idx="7">
                  <c:v>1337</c:v>
                </c:pt>
                <c:pt idx="8">
                  <c:v>1331</c:v>
                </c:pt>
                <c:pt idx="9">
                  <c:v>1341</c:v>
                </c:pt>
                <c:pt idx="10">
                  <c:v>1301</c:v>
                </c:pt>
                <c:pt idx="11">
                  <c:v>1303</c:v>
                </c:pt>
                <c:pt idx="12">
                  <c:v>1313</c:v>
                </c:pt>
                <c:pt idx="13">
                  <c:v>1311</c:v>
                </c:pt>
                <c:pt idx="14">
                  <c:v>1296</c:v>
                </c:pt>
                <c:pt idx="15">
                  <c:v>1285</c:v>
                </c:pt>
                <c:pt idx="16">
                  <c:v>1314</c:v>
                </c:pt>
                <c:pt idx="17">
                  <c:v>1351</c:v>
                </c:pt>
                <c:pt idx="18">
                  <c:v>1243</c:v>
                </c:pt>
                <c:pt idx="19">
                  <c:v>1288</c:v>
                </c:pt>
                <c:pt idx="20">
                  <c:v>1258</c:v>
                </c:pt>
                <c:pt idx="21">
                  <c:v>1173.3</c:v>
                </c:pt>
                <c:pt idx="22">
                  <c:v>1135.9000000000001</c:v>
                </c:pt>
                <c:pt idx="23">
                  <c:v>1059.9000000000001</c:v>
                </c:pt>
                <c:pt idx="24">
                  <c:v>1005</c:v>
                </c:pt>
                <c:pt idx="25">
                  <c:v>967.1</c:v>
                </c:pt>
                <c:pt idx="26">
                  <c:v>909.7</c:v>
                </c:pt>
                <c:pt idx="27">
                  <c:v>868.7</c:v>
                </c:pt>
                <c:pt idx="28">
                  <c:v>833.8</c:v>
                </c:pt>
                <c:pt idx="29">
                  <c:v>797.4</c:v>
                </c:pt>
                <c:pt idx="30">
                  <c:v>752.8</c:v>
                </c:pt>
                <c:pt idx="31">
                  <c:v>725</c:v>
                </c:pt>
                <c:pt idx="32">
                  <c:v>686.7</c:v>
                </c:pt>
                <c:pt idx="33">
                  <c:v>664.2</c:v>
                </c:pt>
                <c:pt idx="34">
                  <c:v>635.79999999999995</c:v>
                </c:pt>
                <c:pt idx="35">
                  <c:v>617.70000000000005</c:v>
                </c:pt>
                <c:pt idx="36">
                  <c:v>593.5</c:v>
                </c:pt>
                <c:pt idx="37">
                  <c:v>565.1</c:v>
                </c:pt>
                <c:pt idx="38">
                  <c:v>541.70000000000005</c:v>
                </c:pt>
                <c:pt idx="39">
                  <c:v>518.9</c:v>
                </c:pt>
                <c:pt idx="40">
                  <c:v>503.2</c:v>
                </c:pt>
                <c:pt idx="41">
                  <c:v>499.1</c:v>
                </c:pt>
                <c:pt idx="42">
                  <c:v>471.1</c:v>
                </c:pt>
                <c:pt idx="43">
                  <c:v>458.4</c:v>
                </c:pt>
                <c:pt idx="44">
                  <c:v>432.2</c:v>
                </c:pt>
                <c:pt idx="45">
                  <c:v>420.8</c:v>
                </c:pt>
                <c:pt idx="46">
                  <c:v>416</c:v>
                </c:pt>
                <c:pt idx="47">
                  <c:v>408</c:v>
                </c:pt>
                <c:pt idx="48">
                  <c:v>397.4</c:v>
                </c:pt>
                <c:pt idx="49">
                  <c:v>380.4</c:v>
                </c:pt>
                <c:pt idx="50">
                  <c:v>378.7</c:v>
                </c:pt>
                <c:pt idx="51">
                  <c:v>365.4</c:v>
                </c:pt>
                <c:pt idx="52">
                  <c:v>353.6</c:v>
                </c:pt>
                <c:pt idx="53">
                  <c:v>345.6</c:v>
                </c:pt>
                <c:pt idx="54">
                  <c:v>336.4</c:v>
                </c:pt>
                <c:pt idx="55">
                  <c:v>326.10000000000002</c:v>
                </c:pt>
                <c:pt idx="56">
                  <c:v>321.39999999999998</c:v>
                </c:pt>
                <c:pt idx="57">
                  <c:v>308.89999999999998</c:v>
                </c:pt>
                <c:pt idx="58">
                  <c:v>300.89999999999998</c:v>
                </c:pt>
                <c:pt idx="59">
                  <c:v>286.5</c:v>
                </c:pt>
                <c:pt idx="60">
                  <c:v>289.5</c:v>
                </c:pt>
                <c:pt idx="61">
                  <c:v>278.8</c:v>
                </c:pt>
                <c:pt idx="62">
                  <c:v>273.3</c:v>
                </c:pt>
                <c:pt idx="63">
                  <c:v>273.10000000000002</c:v>
                </c:pt>
                <c:pt idx="64">
                  <c:v>261.89999999999998</c:v>
                </c:pt>
                <c:pt idx="65">
                  <c:v>258</c:v>
                </c:pt>
                <c:pt idx="66">
                  <c:v>250.6</c:v>
                </c:pt>
                <c:pt idx="67">
                  <c:v>247</c:v>
                </c:pt>
                <c:pt idx="68">
                  <c:v>244.2</c:v>
                </c:pt>
                <c:pt idx="69">
                  <c:v>241.2</c:v>
                </c:pt>
                <c:pt idx="70">
                  <c:v>238.5</c:v>
                </c:pt>
                <c:pt idx="71">
                  <c:v>234.1</c:v>
                </c:pt>
                <c:pt idx="72">
                  <c:v>228.4</c:v>
                </c:pt>
                <c:pt idx="73">
                  <c:v>225.9</c:v>
                </c:pt>
                <c:pt idx="74">
                  <c:v>218.3</c:v>
                </c:pt>
                <c:pt idx="75">
                  <c:v>215.6</c:v>
                </c:pt>
                <c:pt idx="76">
                  <c:v>205.8</c:v>
                </c:pt>
                <c:pt idx="77">
                  <c:v>209</c:v>
                </c:pt>
                <c:pt idx="78">
                  <c:v>193.34</c:v>
                </c:pt>
                <c:pt idx="79">
                  <c:v>168.1</c:v>
                </c:pt>
                <c:pt idx="80">
                  <c:v>147.82</c:v>
                </c:pt>
                <c:pt idx="81">
                  <c:v>134.25</c:v>
                </c:pt>
                <c:pt idx="82">
                  <c:v>123.6</c:v>
                </c:pt>
                <c:pt idx="83">
                  <c:v>113.39</c:v>
                </c:pt>
                <c:pt idx="84">
                  <c:v>106.25</c:v>
                </c:pt>
                <c:pt idx="85">
                  <c:v>99.02</c:v>
                </c:pt>
                <c:pt idx="86">
                  <c:v>93.54</c:v>
                </c:pt>
                <c:pt idx="87">
                  <c:v>87.64</c:v>
                </c:pt>
                <c:pt idx="88">
                  <c:v>84.43</c:v>
                </c:pt>
                <c:pt idx="89">
                  <c:v>80.14</c:v>
                </c:pt>
                <c:pt idx="90">
                  <c:v>76.02</c:v>
                </c:pt>
                <c:pt idx="91">
                  <c:v>74.78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Data2'!$G$68:$CT$68</c:f>
              <c:numCache>
                <c:formatCode>General</c:formatCode>
                <c:ptCount val="92"/>
                <c:pt idx="0">
                  <c:v>1859</c:v>
                </c:pt>
                <c:pt idx="1">
                  <c:v>1866</c:v>
                </c:pt>
                <c:pt idx="2">
                  <c:v>1919</c:v>
                </c:pt>
                <c:pt idx="3">
                  <c:v>1919</c:v>
                </c:pt>
                <c:pt idx="4">
                  <c:v>1895</c:v>
                </c:pt>
                <c:pt idx="5">
                  <c:v>1928</c:v>
                </c:pt>
                <c:pt idx="6">
                  <c:v>1811</c:v>
                </c:pt>
                <c:pt idx="7">
                  <c:v>1897</c:v>
                </c:pt>
                <c:pt idx="8">
                  <c:v>1820</c:v>
                </c:pt>
                <c:pt idx="9">
                  <c:v>1856</c:v>
                </c:pt>
                <c:pt idx="10">
                  <c:v>1839</c:v>
                </c:pt>
                <c:pt idx="11">
                  <c:v>1820</c:v>
                </c:pt>
                <c:pt idx="12">
                  <c:v>1820</c:v>
                </c:pt>
                <c:pt idx="13">
                  <c:v>1763</c:v>
                </c:pt>
                <c:pt idx="14">
                  <c:v>1813</c:v>
                </c:pt>
                <c:pt idx="15">
                  <c:v>1763</c:v>
                </c:pt>
                <c:pt idx="16">
                  <c:v>1806</c:v>
                </c:pt>
                <c:pt idx="17">
                  <c:v>1760</c:v>
                </c:pt>
                <c:pt idx="18">
                  <c:v>1728</c:v>
                </c:pt>
                <c:pt idx="19">
                  <c:v>1762</c:v>
                </c:pt>
                <c:pt idx="20">
                  <c:v>1719.1</c:v>
                </c:pt>
                <c:pt idx="21">
                  <c:v>1626.6</c:v>
                </c:pt>
                <c:pt idx="22">
                  <c:v>1558</c:v>
                </c:pt>
                <c:pt idx="23">
                  <c:v>1474.8</c:v>
                </c:pt>
                <c:pt idx="24">
                  <c:v>1409.1</c:v>
                </c:pt>
                <c:pt idx="25">
                  <c:v>1326.4</c:v>
                </c:pt>
                <c:pt idx="26">
                  <c:v>1251.7</c:v>
                </c:pt>
                <c:pt idx="27">
                  <c:v>1186.8</c:v>
                </c:pt>
                <c:pt idx="28">
                  <c:v>1135</c:v>
                </c:pt>
                <c:pt idx="29">
                  <c:v>1084.3</c:v>
                </c:pt>
                <c:pt idx="30">
                  <c:v>1039.9000000000001</c:v>
                </c:pt>
                <c:pt idx="31">
                  <c:v>990.8</c:v>
                </c:pt>
                <c:pt idx="32">
                  <c:v>942.2</c:v>
                </c:pt>
                <c:pt idx="33">
                  <c:v>897.5</c:v>
                </c:pt>
                <c:pt idx="34">
                  <c:v>876.5</c:v>
                </c:pt>
                <c:pt idx="35">
                  <c:v>831</c:v>
                </c:pt>
                <c:pt idx="36">
                  <c:v>794.1</c:v>
                </c:pt>
                <c:pt idx="37">
                  <c:v>769</c:v>
                </c:pt>
                <c:pt idx="38">
                  <c:v>746.2</c:v>
                </c:pt>
                <c:pt idx="39">
                  <c:v>706.5</c:v>
                </c:pt>
                <c:pt idx="40">
                  <c:v>690.4</c:v>
                </c:pt>
                <c:pt idx="41">
                  <c:v>658.4</c:v>
                </c:pt>
                <c:pt idx="42">
                  <c:v>633.9</c:v>
                </c:pt>
                <c:pt idx="43">
                  <c:v>608.6</c:v>
                </c:pt>
                <c:pt idx="44">
                  <c:v>601.6</c:v>
                </c:pt>
                <c:pt idx="45">
                  <c:v>574.9</c:v>
                </c:pt>
                <c:pt idx="46">
                  <c:v>551.4</c:v>
                </c:pt>
                <c:pt idx="47">
                  <c:v>538.79999999999995</c:v>
                </c:pt>
                <c:pt idx="48">
                  <c:v>526.20000000000005</c:v>
                </c:pt>
                <c:pt idx="49">
                  <c:v>497</c:v>
                </c:pt>
                <c:pt idx="50">
                  <c:v>497.4</c:v>
                </c:pt>
                <c:pt idx="51">
                  <c:v>475.7</c:v>
                </c:pt>
                <c:pt idx="52">
                  <c:v>463</c:v>
                </c:pt>
                <c:pt idx="53">
                  <c:v>447</c:v>
                </c:pt>
                <c:pt idx="54">
                  <c:v>444.4</c:v>
                </c:pt>
                <c:pt idx="55">
                  <c:v>420.9</c:v>
                </c:pt>
                <c:pt idx="56">
                  <c:v>417.5</c:v>
                </c:pt>
                <c:pt idx="57">
                  <c:v>393.3</c:v>
                </c:pt>
                <c:pt idx="58">
                  <c:v>391.3</c:v>
                </c:pt>
                <c:pt idx="59">
                  <c:v>386.3</c:v>
                </c:pt>
                <c:pt idx="60">
                  <c:v>372.9</c:v>
                </c:pt>
                <c:pt idx="61">
                  <c:v>370.8</c:v>
                </c:pt>
                <c:pt idx="62">
                  <c:v>362.6</c:v>
                </c:pt>
                <c:pt idx="63">
                  <c:v>353.7</c:v>
                </c:pt>
                <c:pt idx="64">
                  <c:v>340.1</c:v>
                </c:pt>
                <c:pt idx="65">
                  <c:v>332.8</c:v>
                </c:pt>
                <c:pt idx="66">
                  <c:v>331.2</c:v>
                </c:pt>
                <c:pt idx="67">
                  <c:v>321.89999999999998</c:v>
                </c:pt>
                <c:pt idx="68">
                  <c:v>315.2</c:v>
                </c:pt>
                <c:pt idx="69">
                  <c:v>315.10000000000002</c:v>
                </c:pt>
                <c:pt idx="70">
                  <c:v>304.10000000000002</c:v>
                </c:pt>
                <c:pt idx="71">
                  <c:v>298.60000000000002</c:v>
                </c:pt>
                <c:pt idx="72">
                  <c:v>289.7</c:v>
                </c:pt>
                <c:pt idx="73">
                  <c:v>286</c:v>
                </c:pt>
                <c:pt idx="74">
                  <c:v>286.8</c:v>
                </c:pt>
                <c:pt idx="75">
                  <c:v>273.7</c:v>
                </c:pt>
                <c:pt idx="76">
                  <c:v>270.5</c:v>
                </c:pt>
                <c:pt idx="77">
                  <c:v>266</c:v>
                </c:pt>
                <c:pt idx="78">
                  <c:v>242.69</c:v>
                </c:pt>
                <c:pt idx="79">
                  <c:v>209.39</c:v>
                </c:pt>
                <c:pt idx="80">
                  <c:v>186.56</c:v>
                </c:pt>
                <c:pt idx="81">
                  <c:v>165.79</c:v>
                </c:pt>
                <c:pt idx="82">
                  <c:v>150.78</c:v>
                </c:pt>
                <c:pt idx="83">
                  <c:v>136.87</c:v>
                </c:pt>
                <c:pt idx="84">
                  <c:v>127.55</c:v>
                </c:pt>
                <c:pt idx="85">
                  <c:v>118.07</c:v>
                </c:pt>
                <c:pt idx="86">
                  <c:v>112.16</c:v>
                </c:pt>
                <c:pt idx="87">
                  <c:v>104.46</c:v>
                </c:pt>
                <c:pt idx="88">
                  <c:v>100.76</c:v>
                </c:pt>
                <c:pt idx="89">
                  <c:v>96.34</c:v>
                </c:pt>
                <c:pt idx="90">
                  <c:v>90.59</c:v>
                </c:pt>
                <c:pt idx="91">
                  <c:v>86.48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Data2'!$G$69:$CT$69</c:f>
              <c:numCache>
                <c:formatCode>General</c:formatCode>
                <c:ptCount val="92"/>
                <c:pt idx="0">
                  <c:v>1636</c:v>
                </c:pt>
                <c:pt idx="1">
                  <c:v>1648</c:v>
                </c:pt>
                <c:pt idx="2">
                  <c:v>1626</c:v>
                </c:pt>
                <c:pt idx="3">
                  <c:v>1590</c:v>
                </c:pt>
                <c:pt idx="4">
                  <c:v>1674</c:v>
                </c:pt>
                <c:pt idx="5">
                  <c:v>1624</c:v>
                </c:pt>
                <c:pt idx="6">
                  <c:v>1539</c:v>
                </c:pt>
                <c:pt idx="7">
                  <c:v>1588</c:v>
                </c:pt>
                <c:pt idx="8">
                  <c:v>1588</c:v>
                </c:pt>
                <c:pt idx="9">
                  <c:v>1574</c:v>
                </c:pt>
                <c:pt idx="10">
                  <c:v>1555</c:v>
                </c:pt>
                <c:pt idx="11">
                  <c:v>1549</c:v>
                </c:pt>
                <c:pt idx="12">
                  <c:v>1583</c:v>
                </c:pt>
                <c:pt idx="13">
                  <c:v>1487</c:v>
                </c:pt>
                <c:pt idx="14">
                  <c:v>1525</c:v>
                </c:pt>
                <c:pt idx="15">
                  <c:v>1515</c:v>
                </c:pt>
                <c:pt idx="16">
                  <c:v>1506</c:v>
                </c:pt>
                <c:pt idx="17">
                  <c:v>1513</c:v>
                </c:pt>
                <c:pt idx="18">
                  <c:v>1484</c:v>
                </c:pt>
                <c:pt idx="19">
                  <c:v>1418</c:v>
                </c:pt>
                <c:pt idx="20">
                  <c:v>1476.7</c:v>
                </c:pt>
                <c:pt idx="21">
                  <c:v>1395.7</c:v>
                </c:pt>
                <c:pt idx="22">
                  <c:v>1350.8</c:v>
                </c:pt>
                <c:pt idx="23">
                  <c:v>1280.4000000000001</c:v>
                </c:pt>
                <c:pt idx="24">
                  <c:v>1204.2</c:v>
                </c:pt>
                <c:pt idx="25">
                  <c:v>1136.3</c:v>
                </c:pt>
                <c:pt idx="26">
                  <c:v>1096.8</c:v>
                </c:pt>
                <c:pt idx="27">
                  <c:v>1047.5999999999999</c:v>
                </c:pt>
                <c:pt idx="28">
                  <c:v>999.5</c:v>
                </c:pt>
                <c:pt idx="29">
                  <c:v>949.8</c:v>
                </c:pt>
                <c:pt idx="30">
                  <c:v>902.3</c:v>
                </c:pt>
                <c:pt idx="31">
                  <c:v>869.7</c:v>
                </c:pt>
                <c:pt idx="32">
                  <c:v>825.1</c:v>
                </c:pt>
                <c:pt idx="33">
                  <c:v>791.9</c:v>
                </c:pt>
                <c:pt idx="34">
                  <c:v>777</c:v>
                </c:pt>
                <c:pt idx="35">
                  <c:v>746.9</c:v>
                </c:pt>
                <c:pt idx="36">
                  <c:v>710.6</c:v>
                </c:pt>
                <c:pt idx="37">
                  <c:v>681</c:v>
                </c:pt>
                <c:pt idx="38">
                  <c:v>666</c:v>
                </c:pt>
                <c:pt idx="39">
                  <c:v>639.20000000000005</c:v>
                </c:pt>
                <c:pt idx="40">
                  <c:v>610.5</c:v>
                </c:pt>
                <c:pt idx="41">
                  <c:v>596.1</c:v>
                </c:pt>
                <c:pt idx="42">
                  <c:v>579.70000000000005</c:v>
                </c:pt>
                <c:pt idx="43">
                  <c:v>565</c:v>
                </c:pt>
                <c:pt idx="44">
                  <c:v>554.1</c:v>
                </c:pt>
                <c:pt idx="45">
                  <c:v>521.20000000000005</c:v>
                </c:pt>
                <c:pt idx="46">
                  <c:v>510.2</c:v>
                </c:pt>
                <c:pt idx="47">
                  <c:v>503.5</c:v>
                </c:pt>
                <c:pt idx="48">
                  <c:v>481.4</c:v>
                </c:pt>
                <c:pt idx="49">
                  <c:v>455.6</c:v>
                </c:pt>
                <c:pt idx="50">
                  <c:v>456.2</c:v>
                </c:pt>
                <c:pt idx="51">
                  <c:v>437.7</c:v>
                </c:pt>
                <c:pt idx="52">
                  <c:v>423.5</c:v>
                </c:pt>
                <c:pt idx="53">
                  <c:v>420.8</c:v>
                </c:pt>
                <c:pt idx="54">
                  <c:v>408.8</c:v>
                </c:pt>
                <c:pt idx="55">
                  <c:v>396.5</c:v>
                </c:pt>
                <c:pt idx="56">
                  <c:v>398</c:v>
                </c:pt>
                <c:pt idx="57">
                  <c:v>388.7</c:v>
                </c:pt>
                <c:pt idx="58">
                  <c:v>354.7</c:v>
                </c:pt>
                <c:pt idx="59">
                  <c:v>366.1</c:v>
                </c:pt>
                <c:pt idx="60">
                  <c:v>361.5</c:v>
                </c:pt>
                <c:pt idx="61">
                  <c:v>352.2</c:v>
                </c:pt>
                <c:pt idx="62">
                  <c:v>341.5</c:v>
                </c:pt>
                <c:pt idx="63">
                  <c:v>339</c:v>
                </c:pt>
                <c:pt idx="64">
                  <c:v>334.5</c:v>
                </c:pt>
                <c:pt idx="65">
                  <c:v>325.2</c:v>
                </c:pt>
                <c:pt idx="66">
                  <c:v>315.2</c:v>
                </c:pt>
                <c:pt idx="67">
                  <c:v>314.39999999999998</c:v>
                </c:pt>
                <c:pt idx="68">
                  <c:v>315.2</c:v>
                </c:pt>
                <c:pt idx="69">
                  <c:v>302.5</c:v>
                </c:pt>
                <c:pt idx="70">
                  <c:v>298.8</c:v>
                </c:pt>
                <c:pt idx="71">
                  <c:v>291.7</c:v>
                </c:pt>
                <c:pt idx="72">
                  <c:v>279.10000000000002</c:v>
                </c:pt>
                <c:pt idx="73">
                  <c:v>278</c:v>
                </c:pt>
                <c:pt idx="74">
                  <c:v>278</c:v>
                </c:pt>
                <c:pt idx="75">
                  <c:v>275.39999999999998</c:v>
                </c:pt>
                <c:pt idx="76">
                  <c:v>267.89999999999998</c:v>
                </c:pt>
                <c:pt idx="77">
                  <c:v>263</c:v>
                </c:pt>
                <c:pt idx="78">
                  <c:v>244.02</c:v>
                </c:pt>
                <c:pt idx="79">
                  <c:v>215.45</c:v>
                </c:pt>
                <c:pt idx="80">
                  <c:v>194.31</c:v>
                </c:pt>
                <c:pt idx="81">
                  <c:v>174.62</c:v>
                </c:pt>
                <c:pt idx="82">
                  <c:v>159.71</c:v>
                </c:pt>
                <c:pt idx="83">
                  <c:v>149.24</c:v>
                </c:pt>
                <c:pt idx="84">
                  <c:v>139.74</c:v>
                </c:pt>
                <c:pt idx="85">
                  <c:v>132.82</c:v>
                </c:pt>
                <c:pt idx="86">
                  <c:v>124.98</c:v>
                </c:pt>
                <c:pt idx="87">
                  <c:v>120.06</c:v>
                </c:pt>
                <c:pt idx="88">
                  <c:v>111.11</c:v>
                </c:pt>
                <c:pt idx="89">
                  <c:v>108.64</c:v>
                </c:pt>
                <c:pt idx="90">
                  <c:v>105.32</c:v>
                </c:pt>
                <c:pt idx="91">
                  <c:v>102.19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Data2'!$G$70:$CT$70</c:f>
              <c:numCache>
                <c:formatCode>General</c:formatCode>
                <c:ptCount val="92"/>
                <c:pt idx="0">
                  <c:v>4180</c:v>
                </c:pt>
                <c:pt idx="1">
                  <c:v>4056</c:v>
                </c:pt>
                <c:pt idx="2">
                  <c:v>4172</c:v>
                </c:pt>
                <c:pt idx="3">
                  <c:v>4192</c:v>
                </c:pt>
                <c:pt idx="4">
                  <c:v>4015</c:v>
                </c:pt>
                <c:pt idx="5">
                  <c:v>4087</c:v>
                </c:pt>
                <c:pt idx="6">
                  <c:v>4132</c:v>
                </c:pt>
                <c:pt idx="7">
                  <c:v>3944</c:v>
                </c:pt>
                <c:pt idx="8">
                  <c:v>3937</c:v>
                </c:pt>
                <c:pt idx="9">
                  <c:v>3949</c:v>
                </c:pt>
                <c:pt idx="10">
                  <c:v>4080</c:v>
                </c:pt>
                <c:pt idx="11">
                  <c:v>4037</c:v>
                </c:pt>
                <c:pt idx="12">
                  <c:v>3976</c:v>
                </c:pt>
                <c:pt idx="13">
                  <c:v>3935</c:v>
                </c:pt>
                <c:pt idx="14">
                  <c:v>3914</c:v>
                </c:pt>
                <c:pt idx="15">
                  <c:v>3863</c:v>
                </c:pt>
                <c:pt idx="16">
                  <c:v>3893</c:v>
                </c:pt>
                <c:pt idx="17">
                  <c:v>3899</c:v>
                </c:pt>
                <c:pt idx="18">
                  <c:v>3877</c:v>
                </c:pt>
                <c:pt idx="19">
                  <c:v>3831</c:v>
                </c:pt>
                <c:pt idx="20">
                  <c:v>3734.1</c:v>
                </c:pt>
                <c:pt idx="21">
                  <c:v>3549.3</c:v>
                </c:pt>
                <c:pt idx="22">
                  <c:v>3356.6</c:v>
                </c:pt>
                <c:pt idx="23">
                  <c:v>3224.8</c:v>
                </c:pt>
                <c:pt idx="24">
                  <c:v>3034.6</c:v>
                </c:pt>
                <c:pt idx="25">
                  <c:v>2882.8</c:v>
                </c:pt>
                <c:pt idx="26">
                  <c:v>2752.5</c:v>
                </c:pt>
                <c:pt idx="27">
                  <c:v>2592</c:v>
                </c:pt>
                <c:pt idx="28">
                  <c:v>2482</c:v>
                </c:pt>
                <c:pt idx="29">
                  <c:v>2362.9</c:v>
                </c:pt>
                <c:pt idx="30">
                  <c:v>2247</c:v>
                </c:pt>
                <c:pt idx="31">
                  <c:v>2131.5</c:v>
                </c:pt>
                <c:pt idx="32">
                  <c:v>2043.7</c:v>
                </c:pt>
                <c:pt idx="33">
                  <c:v>1946.6</c:v>
                </c:pt>
                <c:pt idx="34">
                  <c:v>1866.9</c:v>
                </c:pt>
                <c:pt idx="35">
                  <c:v>1817.9</c:v>
                </c:pt>
                <c:pt idx="36">
                  <c:v>1728.2</c:v>
                </c:pt>
                <c:pt idx="37">
                  <c:v>1664</c:v>
                </c:pt>
                <c:pt idx="38">
                  <c:v>1591.3</c:v>
                </c:pt>
                <c:pt idx="39">
                  <c:v>1524.5</c:v>
                </c:pt>
                <c:pt idx="40">
                  <c:v>1483.1</c:v>
                </c:pt>
                <c:pt idx="41">
                  <c:v>1441.2</c:v>
                </c:pt>
                <c:pt idx="42">
                  <c:v>1375.3</c:v>
                </c:pt>
                <c:pt idx="43">
                  <c:v>1319.6</c:v>
                </c:pt>
                <c:pt idx="44">
                  <c:v>1278.5</c:v>
                </c:pt>
                <c:pt idx="45">
                  <c:v>1251.3</c:v>
                </c:pt>
                <c:pt idx="46">
                  <c:v>1181.5</c:v>
                </c:pt>
                <c:pt idx="47">
                  <c:v>1165.3</c:v>
                </c:pt>
                <c:pt idx="48">
                  <c:v>1136.9000000000001</c:v>
                </c:pt>
                <c:pt idx="49">
                  <c:v>1097.5</c:v>
                </c:pt>
                <c:pt idx="50">
                  <c:v>1065.4000000000001</c:v>
                </c:pt>
                <c:pt idx="51">
                  <c:v>1022.7</c:v>
                </c:pt>
                <c:pt idx="52">
                  <c:v>983.4</c:v>
                </c:pt>
                <c:pt idx="53">
                  <c:v>972.3</c:v>
                </c:pt>
                <c:pt idx="54">
                  <c:v>944.4</c:v>
                </c:pt>
                <c:pt idx="55">
                  <c:v>935.8</c:v>
                </c:pt>
                <c:pt idx="56">
                  <c:v>896.1</c:v>
                </c:pt>
                <c:pt idx="57">
                  <c:v>877.1</c:v>
                </c:pt>
                <c:pt idx="58">
                  <c:v>850.4</c:v>
                </c:pt>
                <c:pt idx="59">
                  <c:v>836.1</c:v>
                </c:pt>
                <c:pt idx="60">
                  <c:v>809.2</c:v>
                </c:pt>
                <c:pt idx="61">
                  <c:v>787</c:v>
                </c:pt>
                <c:pt idx="62">
                  <c:v>772.3</c:v>
                </c:pt>
                <c:pt idx="63">
                  <c:v>751.5</c:v>
                </c:pt>
                <c:pt idx="64">
                  <c:v>742.5</c:v>
                </c:pt>
                <c:pt idx="65">
                  <c:v>712.1</c:v>
                </c:pt>
                <c:pt idx="66">
                  <c:v>707.1</c:v>
                </c:pt>
                <c:pt idx="67">
                  <c:v>672.8</c:v>
                </c:pt>
                <c:pt idx="68">
                  <c:v>682.4</c:v>
                </c:pt>
                <c:pt idx="69">
                  <c:v>660.1</c:v>
                </c:pt>
                <c:pt idx="70">
                  <c:v>642</c:v>
                </c:pt>
                <c:pt idx="71">
                  <c:v>638.5</c:v>
                </c:pt>
                <c:pt idx="72">
                  <c:v>623.1</c:v>
                </c:pt>
                <c:pt idx="73">
                  <c:v>610.29999999999995</c:v>
                </c:pt>
                <c:pt idx="74">
                  <c:v>602.1</c:v>
                </c:pt>
                <c:pt idx="75">
                  <c:v>583.4</c:v>
                </c:pt>
                <c:pt idx="76">
                  <c:v>582.70000000000005</c:v>
                </c:pt>
                <c:pt idx="77">
                  <c:v>571.5</c:v>
                </c:pt>
                <c:pt idx="78">
                  <c:v>514.5</c:v>
                </c:pt>
                <c:pt idx="79">
                  <c:v>443.94</c:v>
                </c:pt>
                <c:pt idx="80">
                  <c:v>386.06</c:v>
                </c:pt>
                <c:pt idx="81">
                  <c:v>342.83</c:v>
                </c:pt>
                <c:pt idx="82">
                  <c:v>313.44</c:v>
                </c:pt>
                <c:pt idx="83">
                  <c:v>286.68</c:v>
                </c:pt>
                <c:pt idx="84">
                  <c:v>262.77999999999997</c:v>
                </c:pt>
                <c:pt idx="85">
                  <c:v>243.01</c:v>
                </c:pt>
                <c:pt idx="86">
                  <c:v>228.93</c:v>
                </c:pt>
                <c:pt idx="87">
                  <c:v>213.02</c:v>
                </c:pt>
                <c:pt idx="88">
                  <c:v>199.6</c:v>
                </c:pt>
                <c:pt idx="89">
                  <c:v>190.38</c:v>
                </c:pt>
                <c:pt idx="90">
                  <c:v>181.55</c:v>
                </c:pt>
                <c:pt idx="91">
                  <c:v>173.07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Data2'!$G$71:$CT$71</c:f>
              <c:numCache>
                <c:formatCode>General</c:formatCode>
                <c:ptCount val="92"/>
                <c:pt idx="0">
                  <c:v>1891</c:v>
                </c:pt>
                <c:pt idx="1">
                  <c:v>1881</c:v>
                </c:pt>
                <c:pt idx="2">
                  <c:v>1842</c:v>
                </c:pt>
                <c:pt idx="3">
                  <c:v>1911</c:v>
                </c:pt>
                <c:pt idx="4">
                  <c:v>1863</c:v>
                </c:pt>
                <c:pt idx="5">
                  <c:v>1896</c:v>
                </c:pt>
                <c:pt idx="6">
                  <c:v>1860</c:v>
                </c:pt>
                <c:pt idx="7">
                  <c:v>1868</c:v>
                </c:pt>
                <c:pt idx="8">
                  <c:v>1876</c:v>
                </c:pt>
                <c:pt idx="9">
                  <c:v>1807</c:v>
                </c:pt>
                <c:pt idx="10">
                  <c:v>1813</c:v>
                </c:pt>
                <c:pt idx="11">
                  <c:v>1797</c:v>
                </c:pt>
                <c:pt idx="12">
                  <c:v>1823</c:v>
                </c:pt>
                <c:pt idx="13">
                  <c:v>1875</c:v>
                </c:pt>
                <c:pt idx="14">
                  <c:v>1779</c:v>
                </c:pt>
                <c:pt idx="15">
                  <c:v>1830</c:v>
                </c:pt>
                <c:pt idx="16">
                  <c:v>1808</c:v>
                </c:pt>
                <c:pt idx="17">
                  <c:v>1834</c:v>
                </c:pt>
                <c:pt idx="18">
                  <c:v>1784</c:v>
                </c:pt>
                <c:pt idx="19">
                  <c:v>1809</c:v>
                </c:pt>
                <c:pt idx="20">
                  <c:v>1735.1</c:v>
                </c:pt>
                <c:pt idx="21">
                  <c:v>1675.7</c:v>
                </c:pt>
                <c:pt idx="22">
                  <c:v>1591.2</c:v>
                </c:pt>
                <c:pt idx="23">
                  <c:v>1515.7</c:v>
                </c:pt>
                <c:pt idx="24">
                  <c:v>1444.6</c:v>
                </c:pt>
                <c:pt idx="25">
                  <c:v>1380.6</c:v>
                </c:pt>
                <c:pt idx="26">
                  <c:v>1302.4000000000001</c:v>
                </c:pt>
                <c:pt idx="27">
                  <c:v>1241.5999999999999</c:v>
                </c:pt>
                <c:pt idx="28">
                  <c:v>1196.4000000000001</c:v>
                </c:pt>
                <c:pt idx="29">
                  <c:v>1145</c:v>
                </c:pt>
                <c:pt idx="30">
                  <c:v>1098.7</c:v>
                </c:pt>
                <c:pt idx="31">
                  <c:v>1055.8</c:v>
                </c:pt>
                <c:pt idx="32">
                  <c:v>1012.2</c:v>
                </c:pt>
                <c:pt idx="33">
                  <c:v>977</c:v>
                </c:pt>
                <c:pt idx="34">
                  <c:v>936.3</c:v>
                </c:pt>
                <c:pt idx="35">
                  <c:v>909.3</c:v>
                </c:pt>
                <c:pt idx="36">
                  <c:v>863.8</c:v>
                </c:pt>
                <c:pt idx="37">
                  <c:v>849.9</c:v>
                </c:pt>
                <c:pt idx="38">
                  <c:v>817.7</c:v>
                </c:pt>
                <c:pt idx="39">
                  <c:v>776.6</c:v>
                </c:pt>
                <c:pt idx="40">
                  <c:v>758.9</c:v>
                </c:pt>
                <c:pt idx="41">
                  <c:v>742</c:v>
                </c:pt>
                <c:pt idx="42">
                  <c:v>712.4</c:v>
                </c:pt>
                <c:pt idx="43">
                  <c:v>691.8</c:v>
                </c:pt>
                <c:pt idx="44">
                  <c:v>667.6</c:v>
                </c:pt>
                <c:pt idx="45">
                  <c:v>654.6</c:v>
                </c:pt>
                <c:pt idx="46">
                  <c:v>631.5</c:v>
                </c:pt>
                <c:pt idx="47">
                  <c:v>623.6</c:v>
                </c:pt>
                <c:pt idx="48">
                  <c:v>597.29999999999995</c:v>
                </c:pt>
                <c:pt idx="49">
                  <c:v>578</c:v>
                </c:pt>
                <c:pt idx="50">
                  <c:v>570.70000000000005</c:v>
                </c:pt>
                <c:pt idx="51">
                  <c:v>559.1</c:v>
                </c:pt>
                <c:pt idx="52">
                  <c:v>544.6</c:v>
                </c:pt>
                <c:pt idx="53">
                  <c:v>531.6</c:v>
                </c:pt>
                <c:pt idx="54">
                  <c:v>512.70000000000005</c:v>
                </c:pt>
                <c:pt idx="55">
                  <c:v>512.5</c:v>
                </c:pt>
                <c:pt idx="56">
                  <c:v>502.6</c:v>
                </c:pt>
                <c:pt idx="57">
                  <c:v>485.3</c:v>
                </c:pt>
                <c:pt idx="58">
                  <c:v>477.1</c:v>
                </c:pt>
                <c:pt idx="59">
                  <c:v>467.6</c:v>
                </c:pt>
                <c:pt idx="60">
                  <c:v>460</c:v>
                </c:pt>
                <c:pt idx="61">
                  <c:v>449.1</c:v>
                </c:pt>
                <c:pt idx="62">
                  <c:v>441.7</c:v>
                </c:pt>
                <c:pt idx="63">
                  <c:v>429.4</c:v>
                </c:pt>
                <c:pt idx="64">
                  <c:v>427.3</c:v>
                </c:pt>
                <c:pt idx="65">
                  <c:v>428.6</c:v>
                </c:pt>
                <c:pt idx="66">
                  <c:v>402.2</c:v>
                </c:pt>
                <c:pt idx="67">
                  <c:v>405.8</c:v>
                </c:pt>
                <c:pt idx="68">
                  <c:v>403.9</c:v>
                </c:pt>
                <c:pt idx="69">
                  <c:v>398</c:v>
                </c:pt>
                <c:pt idx="70">
                  <c:v>388.2</c:v>
                </c:pt>
                <c:pt idx="71">
                  <c:v>374.2</c:v>
                </c:pt>
                <c:pt idx="72">
                  <c:v>385.1</c:v>
                </c:pt>
                <c:pt idx="73">
                  <c:v>372.7</c:v>
                </c:pt>
                <c:pt idx="74">
                  <c:v>356.3</c:v>
                </c:pt>
                <c:pt idx="75">
                  <c:v>357.1</c:v>
                </c:pt>
                <c:pt idx="76">
                  <c:v>359.1</c:v>
                </c:pt>
                <c:pt idx="77">
                  <c:v>348.5</c:v>
                </c:pt>
                <c:pt idx="78">
                  <c:v>322.64999999999998</c:v>
                </c:pt>
                <c:pt idx="79">
                  <c:v>287.32</c:v>
                </c:pt>
                <c:pt idx="80">
                  <c:v>261.99</c:v>
                </c:pt>
                <c:pt idx="81">
                  <c:v>237.76</c:v>
                </c:pt>
                <c:pt idx="82">
                  <c:v>222.05</c:v>
                </c:pt>
                <c:pt idx="83">
                  <c:v>207.85</c:v>
                </c:pt>
                <c:pt idx="84">
                  <c:v>195.99</c:v>
                </c:pt>
                <c:pt idx="85">
                  <c:v>185.1</c:v>
                </c:pt>
                <c:pt idx="86">
                  <c:v>177.35</c:v>
                </c:pt>
                <c:pt idx="87">
                  <c:v>169.5</c:v>
                </c:pt>
                <c:pt idx="88">
                  <c:v>163.16999999999999</c:v>
                </c:pt>
                <c:pt idx="89">
                  <c:v>155.41999999999999</c:v>
                </c:pt>
                <c:pt idx="90">
                  <c:v>150.06</c:v>
                </c:pt>
                <c:pt idx="91">
                  <c:v>145.53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Data2'!$G$72:$CT$72</c:f>
              <c:numCache>
                <c:formatCode>General</c:formatCode>
                <c:ptCount val="92"/>
                <c:pt idx="0">
                  <c:v>42</c:v>
                </c:pt>
                <c:pt idx="1">
                  <c:v>44</c:v>
                </c:pt>
                <c:pt idx="2">
                  <c:v>52</c:v>
                </c:pt>
                <c:pt idx="3">
                  <c:v>37</c:v>
                </c:pt>
                <c:pt idx="4">
                  <c:v>41</c:v>
                </c:pt>
                <c:pt idx="5">
                  <c:v>42</c:v>
                </c:pt>
                <c:pt idx="6">
                  <c:v>44</c:v>
                </c:pt>
                <c:pt idx="7">
                  <c:v>42</c:v>
                </c:pt>
                <c:pt idx="8">
                  <c:v>45</c:v>
                </c:pt>
                <c:pt idx="9">
                  <c:v>49</c:v>
                </c:pt>
                <c:pt idx="10">
                  <c:v>50</c:v>
                </c:pt>
                <c:pt idx="11">
                  <c:v>41</c:v>
                </c:pt>
                <c:pt idx="12">
                  <c:v>52</c:v>
                </c:pt>
                <c:pt idx="13">
                  <c:v>48</c:v>
                </c:pt>
                <c:pt idx="14">
                  <c:v>41</c:v>
                </c:pt>
                <c:pt idx="15">
                  <c:v>46</c:v>
                </c:pt>
                <c:pt idx="16">
                  <c:v>48</c:v>
                </c:pt>
                <c:pt idx="17">
                  <c:v>49</c:v>
                </c:pt>
                <c:pt idx="18">
                  <c:v>35</c:v>
                </c:pt>
                <c:pt idx="19">
                  <c:v>48</c:v>
                </c:pt>
                <c:pt idx="20">
                  <c:v>48.3</c:v>
                </c:pt>
                <c:pt idx="21">
                  <c:v>49</c:v>
                </c:pt>
                <c:pt idx="22">
                  <c:v>49.5</c:v>
                </c:pt>
                <c:pt idx="23">
                  <c:v>47.9</c:v>
                </c:pt>
                <c:pt idx="24">
                  <c:v>47.3</c:v>
                </c:pt>
                <c:pt idx="25">
                  <c:v>48.9</c:v>
                </c:pt>
                <c:pt idx="26">
                  <c:v>50</c:v>
                </c:pt>
                <c:pt idx="27">
                  <c:v>46.3</c:v>
                </c:pt>
                <c:pt idx="28">
                  <c:v>48.7</c:v>
                </c:pt>
                <c:pt idx="29">
                  <c:v>47.1</c:v>
                </c:pt>
                <c:pt idx="30">
                  <c:v>48.6</c:v>
                </c:pt>
                <c:pt idx="31">
                  <c:v>46.2</c:v>
                </c:pt>
                <c:pt idx="32">
                  <c:v>44.3</c:v>
                </c:pt>
                <c:pt idx="33">
                  <c:v>46.6</c:v>
                </c:pt>
                <c:pt idx="34">
                  <c:v>48.6</c:v>
                </c:pt>
                <c:pt idx="35">
                  <c:v>42.8</c:v>
                </c:pt>
                <c:pt idx="36">
                  <c:v>46.6</c:v>
                </c:pt>
                <c:pt idx="37">
                  <c:v>43</c:v>
                </c:pt>
                <c:pt idx="38">
                  <c:v>43.7</c:v>
                </c:pt>
                <c:pt idx="39">
                  <c:v>43.7</c:v>
                </c:pt>
                <c:pt idx="40">
                  <c:v>41.6</c:v>
                </c:pt>
                <c:pt idx="41">
                  <c:v>41.9</c:v>
                </c:pt>
                <c:pt idx="42">
                  <c:v>42.2</c:v>
                </c:pt>
                <c:pt idx="43">
                  <c:v>43.5</c:v>
                </c:pt>
                <c:pt idx="44">
                  <c:v>43.1</c:v>
                </c:pt>
                <c:pt idx="45">
                  <c:v>40.700000000000003</c:v>
                </c:pt>
                <c:pt idx="46">
                  <c:v>42.1</c:v>
                </c:pt>
                <c:pt idx="47">
                  <c:v>42.6</c:v>
                </c:pt>
                <c:pt idx="48">
                  <c:v>39.5</c:v>
                </c:pt>
                <c:pt idx="49">
                  <c:v>42.6</c:v>
                </c:pt>
                <c:pt idx="50">
                  <c:v>40.799999999999997</c:v>
                </c:pt>
                <c:pt idx="51">
                  <c:v>42.5</c:v>
                </c:pt>
                <c:pt idx="52">
                  <c:v>41.8</c:v>
                </c:pt>
                <c:pt idx="53">
                  <c:v>39.700000000000003</c:v>
                </c:pt>
                <c:pt idx="54">
                  <c:v>41.2</c:v>
                </c:pt>
                <c:pt idx="55">
                  <c:v>38.6</c:v>
                </c:pt>
                <c:pt idx="56">
                  <c:v>41.7</c:v>
                </c:pt>
                <c:pt idx="57">
                  <c:v>40.4</c:v>
                </c:pt>
                <c:pt idx="58">
                  <c:v>42.5</c:v>
                </c:pt>
                <c:pt idx="59">
                  <c:v>37.4</c:v>
                </c:pt>
                <c:pt idx="60">
                  <c:v>41.9</c:v>
                </c:pt>
                <c:pt idx="61">
                  <c:v>40.299999999999997</c:v>
                </c:pt>
                <c:pt idx="62">
                  <c:v>39.700000000000003</c:v>
                </c:pt>
                <c:pt idx="63">
                  <c:v>39.200000000000003</c:v>
                </c:pt>
                <c:pt idx="64">
                  <c:v>37</c:v>
                </c:pt>
                <c:pt idx="65">
                  <c:v>41.2</c:v>
                </c:pt>
                <c:pt idx="66">
                  <c:v>43.6</c:v>
                </c:pt>
                <c:pt idx="67">
                  <c:v>42.4</c:v>
                </c:pt>
                <c:pt idx="68">
                  <c:v>40.9</c:v>
                </c:pt>
                <c:pt idx="69">
                  <c:v>37</c:v>
                </c:pt>
                <c:pt idx="70">
                  <c:v>37.700000000000003</c:v>
                </c:pt>
                <c:pt idx="71">
                  <c:v>38.799999999999997</c:v>
                </c:pt>
                <c:pt idx="72">
                  <c:v>36.5</c:v>
                </c:pt>
                <c:pt idx="73">
                  <c:v>39.4</c:v>
                </c:pt>
                <c:pt idx="74">
                  <c:v>39.200000000000003</c:v>
                </c:pt>
                <c:pt idx="75">
                  <c:v>37.799999999999997</c:v>
                </c:pt>
                <c:pt idx="76">
                  <c:v>39.5</c:v>
                </c:pt>
                <c:pt idx="77">
                  <c:v>36.799999999999997</c:v>
                </c:pt>
                <c:pt idx="78">
                  <c:v>38.49</c:v>
                </c:pt>
                <c:pt idx="79">
                  <c:v>36.520000000000003</c:v>
                </c:pt>
                <c:pt idx="80">
                  <c:v>36.14</c:v>
                </c:pt>
                <c:pt idx="81">
                  <c:v>36.549999999999997</c:v>
                </c:pt>
                <c:pt idx="82">
                  <c:v>35.43</c:v>
                </c:pt>
                <c:pt idx="83">
                  <c:v>35.450000000000003</c:v>
                </c:pt>
                <c:pt idx="84">
                  <c:v>35.31</c:v>
                </c:pt>
                <c:pt idx="85">
                  <c:v>34.380000000000003</c:v>
                </c:pt>
                <c:pt idx="86">
                  <c:v>34.409999999999997</c:v>
                </c:pt>
                <c:pt idx="87">
                  <c:v>34.380000000000003</c:v>
                </c:pt>
                <c:pt idx="88">
                  <c:v>33.75</c:v>
                </c:pt>
                <c:pt idx="89">
                  <c:v>32.76</c:v>
                </c:pt>
                <c:pt idx="90">
                  <c:v>32.950000000000003</c:v>
                </c:pt>
                <c:pt idx="91">
                  <c:v>32.47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Data2'!$G$73:$CT$73</c:f>
              <c:numCache>
                <c:formatCode>General</c:formatCode>
                <c:ptCount val="92"/>
                <c:pt idx="0">
                  <c:v>1781</c:v>
                </c:pt>
                <c:pt idx="1">
                  <c:v>1745</c:v>
                </c:pt>
                <c:pt idx="2">
                  <c:v>2047</c:v>
                </c:pt>
                <c:pt idx="3">
                  <c:v>1747</c:v>
                </c:pt>
                <c:pt idx="4">
                  <c:v>1771</c:v>
                </c:pt>
                <c:pt idx="5">
                  <c:v>1839</c:v>
                </c:pt>
                <c:pt idx="6">
                  <c:v>1798</c:v>
                </c:pt>
                <c:pt idx="7">
                  <c:v>1718</c:v>
                </c:pt>
                <c:pt idx="8">
                  <c:v>1781</c:v>
                </c:pt>
                <c:pt idx="9">
                  <c:v>1757</c:v>
                </c:pt>
                <c:pt idx="10">
                  <c:v>1727</c:v>
                </c:pt>
                <c:pt idx="11">
                  <c:v>1777</c:v>
                </c:pt>
                <c:pt idx="12">
                  <c:v>1675</c:v>
                </c:pt>
                <c:pt idx="13">
                  <c:v>1697</c:v>
                </c:pt>
                <c:pt idx="14">
                  <c:v>1727</c:v>
                </c:pt>
                <c:pt idx="15">
                  <c:v>1685</c:v>
                </c:pt>
                <c:pt idx="16">
                  <c:v>1636</c:v>
                </c:pt>
                <c:pt idx="17">
                  <c:v>1715</c:v>
                </c:pt>
                <c:pt idx="18">
                  <c:v>1701</c:v>
                </c:pt>
                <c:pt idx="19">
                  <c:v>1612</c:v>
                </c:pt>
                <c:pt idx="20">
                  <c:v>1614.2</c:v>
                </c:pt>
                <c:pt idx="21">
                  <c:v>1543.9</c:v>
                </c:pt>
                <c:pt idx="22">
                  <c:v>1474.1</c:v>
                </c:pt>
                <c:pt idx="23">
                  <c:v>1404.9</c:v>
                </c:pt>
                <c:pt idx="24">
                  <c:v>1337.8</c:v>
                </c:pt>
                <c:pt idx="25">
                  <c:v>1268.7</c:v>
                </c:pt>
                <c:pt idx="26">
                  <c:v>1189.3</c:v>
                </c:pt>
                <c:pt idx="27">
                  <c:v>1142.7</c:v>
                </c:pt>
                <c:pt idx="28">
                  <c:v>1073.5999999999999</c:v>
                </c:pt>
                <c:pt idx="29">
                  <c:v>1044.5</c:v>
                </c:pt>
                <c:pt idx="30">
                  <c:v>986.7</c:v>
                </c:pt>
                <c:pt idx="31">
                  <c:v>923.4</c:v>
                </c:pt>
                <c:pt idx="32">
                  <c:v>907.2</c:v>
                </c:pt>
                <c:pt idx="33">
                  <c:v>858</c:v>
                </c:pt>
                <c:pt idx="34">
                  <c:v>837.9</c:v>
                </c:pt>
                <c:pt idx="35">
                  <c:v>809.1</c:v>
                </c:pt>
                <c:pt idx="36">
                  <c:v>764.2</c:v>
                </c:pt>
                <c:pt idx="37">
                  <c:v>734.2</c:v>
                </c:pt>
                <c:pt idx="38">
                  <c:v>718.9</c:v>
                </c:pt>
                <c:pt idx="39">
                  <c:v>681.7</c:v>
                </c:pt>
                <c:pt idx="40">
                  <c:v>664</c:v>
                </c:pt>
                <c:pt idx="41">
                  <c:v>634.29999999999995</c:v>
                </c:pt>
                <c:pt idx="42">
                  <c:v>595</c:v>
                </c:pt>
                <c:pt idx="43">
                  <c:v>577</c:v>
                </c:pt>
                <c:pt idx="44">
                  <c:v>581.79999999999995</c:v>
                </c:pt>
                <c:pt idx="45">
                  <c:v>554.6</c:v>
                </c:pt>
                <c:pt idx="46">
                  <c:v>544.1</c:v>
                </c:pt>
                <c:pt idx="47">
                  <c:v>521.70000000000005</c:v>
                </c:pt>
                <c:pt idx="48">
                  <c:v>509.6</c:v>
                </c:pt>
                <c:pt idx="49">
                  <c:v>491.3</c:v>
                </c:pt>
                <c:pt idx="50">
                  <c:v>477.2</c:v>
                </c:pt>
                <c:pt idx="51">
                  <c:v>462</c:v>
                </c:pt>
                <c:pt idx="52">
                  <c:v>464.5</c:v>
                </c:pt>
                <c:pt idx="53">
                  <c:v>436.5</c:v>
                </c:pt>
                <c:pt idx="54">
                  <c:v>430</c:v>
                </c:pt>
                <c:pt idx="55">
                  <c:v>418.7</c:v>
                </c:pt>
                <c:pt idx="56">
                  <c:v>411.2</c:v>
                </c:pt>
                <c:pt idx="57">
                  <c:v>401</c:v>
                </c:pt>
                <c:pt idx="58">
                  <c:v>389.3</c:v>
                </c:pt>
                <c:pt idx="59">
                  <c:v>373.2</c:v>
                </c:pt>
                <c:pt idx="60">
                  <c:v>370.9</c:v>
                </c:pt>
                <c:pt idx="61">
                  <c:v>369.1</c:v>
                </c:pt>
                <c:pt idx="62">
                  <c:v>353.4</c:v>
                </c:pt>
                <c:pt idx="63">
                  <c:v>342.8</c:v>
                </c:pt>
                <c:pt idx="64">
                  <c:v>345.9</c:v>
                </c:pt>
                <c:pt idx="65">
                  <c:v>333.8</c:v>
                </c:pt>
                <c:pt idx="66">
                  <c:v>321.2</c:v>
                </c:pt>
                <c:pt idx="67">
                  <c:v>316.89999999999998</c:v>
                </c:pt>
                <c:pt idx="68">
                  <c:v>306.3</c:v>
                </c:pt>
                <c:pt idx="69">
                  <c:v>307.2</c:v>
                </c:pt>
                <c:pt idx="70">
                  <c:v>305.3</c:v>
                </c:pt>
                <c:pt idx="71">
                  <c:v>298.60000000000002</c:v>
                </c:pt>
                <c:pt idx="72">
                  <c:v>290.8</c:v>
                </c:pt>
                <c:pt idx="73">
                  <c:v>280.5</c:v>
                </c:pt>
                <c:pt idx="74">
                  <c:v>285.60000000000002</c:v>
                </c:pt>
                <c:pt idx="75">
                  <c:v>274.5</c:v>
                </c:pt>
                <c:pt idx="76">
                  <c:v>272.2</c:v>
                </c:pt>
                <c:pt idx="77">
                  <c:v>272.5</c:v>
                </c:pt>
                <c:pt idx="78">
                  <c:v>244.74</c:v>
                </c:pt>
                <c:pt idx="79">
                  <c:v>210.79</c:v>
                </c:pt>
                <c:pt idx="80">
                  <c:v>187.38</c:v>
                </c:pt>
                <c:pt idx="81">
                  <c:v>170.16</c:v>
                </c:pt>
                <c:pt idx="82">
                  <c:v>154.51</c:v>
                </c:pt>
                <c:pt idx="83">
                  <c:v>143.16</c:v>
                </c:pt>
                <c:pt idx="84">
                  <c:v>130.19</c:v>
                </c:pt>
                <c:pt idx="85">
                  <c:v>126.13</c:v>
                </c:pt>
                <c:pt idx="86">
                  <c:v>117.31</c:v>
                </c:pt>
                <c:pt idx="87">
                  <c:v>112.53</c:v>
                </c:pt>
                <c:pt idx="88">
                  <c:v>106.39</c:v>
                </c:pt>
                <c:pt idx="89">
                  <c:v>101.18</c:v>
                </c:pt>
                <c:pt idx="90">
                  <c:v>97.34</c:v>
                </c:pt>
                <c:pt idx="91">
                  <c:v>93.39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Data2'!$G$74:$CT$74</c:f>
              <c:numCache>
                <c:formatCode>General</c:formatCode>
                <c:ptCount val="92"/>
                <c:pt idx="0">
                  <c:v>1227</c:v>
                </c:pt>
                <c:pt idx="1">
                  <c:v>1179</c:v>
                </c:pt>
                <c:pt idx="2">
                  <c:v>1237</c:v>
                </c:pt>
                <c:pt idx="3">
                  <c:v>1253</c:v>
                </c:pt>
                <c:pt idx="4">
                  <c:v>1196</c:v>
                </c:pt>
                <c:pt idx="5">
                  <c:v>1208</c:v>
                </c:pt>
                <c:pt idx="6">
                  <c:v>1194</c:v>
                </c:pt>
                <c:pt idx="7">
                  <c:v>1239</c:v>
                </c:pt>
                <c:pt idx="8">
                  <c:v>1194</c:v>
                </c:pt>
                <c:pt idx="9">
                  <c:v>1149</c:v>
                </c:pt>
                <c:pt idx="10">
                  <c:v>1184</c:v>
                </c:pt>
                <c:pt idx="11">
                  <c:v>1170</c:v>
                </c:pt>
                <c:pt idx="12">
                  <c:v>1172</c:v>
                </c:pt>
                <c:pt idx="13">
                  <c:v>1148</c:v>
                </c:pt>
                <c:pt idx="14">
                  <c:v>1131</c:v>
                </c:pt>
                <c:pt idx="15">
                  <c:v>1157</c:v>
                </c:pt>
                <c:pt idx="16">
                  <c:v>1151</c:v>
                </c:pt>
                <c:pt idx="17">
                  <c:v>1152</c:v>
                </c:pt>
                <c:pt idx="18">
                  <c:v>1161</c:v>
                </c:pt>
                <c:pt idx="19">
                  <c:v>1118</c:v>
                </c:pt>
                <c:pt idx="20">
                  <c:v>1101.5</c:v>
                </c:pt>
                <c:pt idx="21">
                  <c:v>1061</c:v>
                </c:pt>
                <c:pt idx="22">
                  <c:v>1004</c:v>
                </c:pt>
                <c:pt idx="23">
                  <c:v>946.3</c:v>
                </c:pt>
                <c:pt idx="24">
                  <c:v>888.8</c:v>
                </c:pt>
                <c:pt idx="25">
                  <c:v>864.9</c:v>
                </c:pt>
                <c:pt idx="26">
                  <c:v>820.7</c:v>
                </c:pt>
                <c:pt idx="27">
                  <c:v>781.4</c:v>
                </c:pt>
                <c:pt idx="28">
                  <c:v>740.8</c:v>
                </c:pt>
                <c:pt idx="29">
                  <c:v>712.1</c:v>
                </c:pt>
                <c:pt idx="30">
                  <c:v>690.7</c:v>
                </c:pt>
                <c:pt idx="31">
                  <c:v>641.79999999999995</c:v>
                </c:pt>
                <c:pt idx="32">
                  <c:v>625.5</c:v>
                </c:pt>
                <c:pt idx="33">
                  <c:v>593</c:v>
                </c:pt>
                <c:pt idx="34">
                  <c:v>562.5</c:v>
                </c:pt>
                <c:pt idx="35">
                  <c:v>543.5</c:v>
                </c:pt>
                <c:pt idx="36">
                  <c:v>535.70000000000005</c:v>
                </c:pt>
                <c:pt idx="37">
                  <c:v>501.8</c:v>
                </c:pt>
                <c:pt idx="38">
                  <c:v>493</c:v>
                </c:pt>
                <c:pt idx="39">
                  <c:v>468.8</c:v>
                </c:pt>
                <c:pt idx="40">
                  <c:v>457.7</c:v>
                </c:pt>
                <c:pt idx="41">
                  <c:v>436.9</c:v>
                </c:pt>
                <c:pt idx="42">
                  <c:v>426.8</c:v>
                </c:pt>
                <c:pt idx="43">
                  <c:v>411.7</c:v>
                </c:pt>
                <c:pt idx="44">
                  <c:v>395.7</c:v>
                </c:pt>
                <c:pt idx="45">
                  <c:v>391.6</c:v>
                </c:pt>
                <c:pt idx="46">
                  <c:v>366.7</c:v>
                </c:pt>
                <c:pt idx="47">
                  <c:v>359</c:v>
                </c:pt>
                <c:pt idx="48">
                  <c:v>349</c:v>
                </c:pt>
                <c:pt idx="49">
                  <c:v>335.6</c:v>
                </c:pt>
                <c:pt idx="50">
                  <c:v>325.89999999999998</c:v>
                </c:pt>
                <c:pt idx="51">
                  <c:v>326.5</c:v>
                </c:pt>
                <c:pt idx="52">
                  <c:v>308.7</c:v>
                </c:pt>
                <c:pt idx="53">
                  <c:v>306.2</c:v>
                </c:pt>
                <c:pt idx="54">
                  <c:v>296.2</c:v>
                </c:pt>
                <c:pt idx="55">
                  <c:v>289</c:v>
                </c:pt>
                <c:pt idx="56">
                  <c:v>276.2</c:v>
                </c:pt>
                <c:pt idx="57">
                  <c:v>272.7</c:v>
                </c:pt>
                <c:pt idx="58">
                  <c:v>272.7</c:v>
                </c:pt>
                <c:pt idx="59">
                  <c:v>257.3</c:v>
                </c:pt>
                <c:pt idx="60">
                  <c:v>258.7</c:v>
                </c:pt>
                <c:pt idx="61">
                  <c:v>251.4</c:v>
                </c:pt>
                <c:pt idx="62">
                  <c:v>251.4</c:v>
                </c:pt>
                <c:pt idx="63">
                  <c:v>243</c:v>
                </c:pt>
                <c:pt idx="64">
                  <c:v>241.2</c:v>
                </c:pt>
                <c:pt idx="65">
                  <c:v>229.7</c:v>
                </c:pt>
                <c:pt idx="66">
                  <c:v>229.1</c:v>
                </c:pt>
                <c:pt idx="67">
                  <c:v>224.1</c:v>
                </c:pt>
                <c:pt idx="68">
                  <c:v>218.4</c:v>
                </c:pt>
                <c:pt idx="69">
                  <c:v>214.3</c:v>
                </c:pt>
                <c:pt idx="70">
                  <c:v>209.8</c:v>
                </c:pt>
                <c:pt idx="71">
                  <c:v>206.2</c:v>
                </c:pt>
                <c:pt idx="72">
                  <c:v>205.6</c:v>
                </c:pt>
                <c:pt idx="73">
                  <c:v>201.5</c:v>
                </c:pt>
                <c:pt idx="74">
                  <c:v>197.4</c:v>
                </c:pt>
                <c:pt idx="75">
                  <c:v>194.4</c:v>
                </c:pt>
                <c:pt idx="76">
                  <c:v>185.7</c:v>
                </c:pt>
                <c:pt idx="77">
                  <c:v>188.2</c:v>
                </c:pt>
                <c:pt idx="78">
                  <c:v>173.39</c:v>
                </c:pt>
                <c:pt idx="79">
                  <c:v>151.38</c:v>
                </c:pt>
                <c:pt idx="80">
                  <c:v>131.78</c:v>
                </c:pt>
                <c:pt idx="81">
                  <c:v>120.04</c:v>
                </c:pt>
                <c:pt idx="82">
                  <c:v>111.84</c:v>
                </c:pt>
                <c:pt idx="83">
                  <c:v>102.88</c:v>
                </c:pt>
                <c:pt idx="84">
                  <c:v>97.59</c:v>
                </c:pt>
                <c:pt idx="85">
                  <c:v>90.38</c:v>
                </c:pt>
                <c:pt idx="86">
                  <c:v>85.71</c:v>
                </c:pt>
                <c:pt idx="87">
                  <c:v>81.569999999999993</c:v>
                </c:pt>
                <c:pt idx="88">
                  <c:v>76.010000000000005</c:v>
                </c:pt>
                <c:pt idx="89">
                  <c:v>75.209999999999994</c:v>
                </c:pt>
                <c:pt idx="90">
                  <c:v>71.069999999999993</c:v>
                </c:pt>
                <c:pt idx="91">
                  <c:v>68.86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Data2'!$G$75:$CT$75</c:f>
              <c:numCache>
                <c:formatCode>General</c:formatCode>
                <c:ptCount val="92"/>
                <c:pt idx="0">
                  <c:v>1841</c:v>
                </c:pt>
                <c:pt idx="1">
                  <c:v>1810</c:v>
                </c:pt>
                <c:pt idx="2">
                  <c:v>1812</c:v>
                </c:pt>
                <c:pt idx="3">
                  <c:v>1813</c:v>
                </c:pt>
                <c:pt idx="4">
                  <c:v>1653</c:v>
                </c:pt>
                <c:pt idx="5">
                  <c:v>1805</c:v>
                </c:pt>
                <c:pt idx="6">
                  <c:v>1823</c:v>
                </c:pt>
                <c:pt idx="7">
                  <c:v>1744</c:v>
                </c:pt>
                <c:pt idx="8">
                  <c:v>1736</c:v>
                </c:pt>
                <c:pt idx="9">
                  <c:v>1812</c:v>
                </c:pt>
                <c:pt idx="10">
                  <c:v>1735</c:v>
                </c:pt>
                <c:pt idx="11">
                  <c:v>1862</c:v>
                </c:pt>
                <c:pt idx="12">
                  <c:v>1752</c:v>
                </c:pt>
                <c:pt idx="13">
                  <c:v>1760</c:v>
                </c:pt>
                <c:pt idx="14">
                  <c:v>1697</c:v>
                </c:pt>
                <c:pt idx="15">
                  <c:v>1707</c:v>
                </c:pt>
                <c:pt idx="16">
                  <c:v>1675</c:v>
                </c:pt>
                <c:pt idx="17">
                  <c:v>1639</c:v>
                </c:pt>
                <c:pt idx="18">
                  <c:v>1723</c:v>
                </c:pt>
                <c:pt idx="19">
                  <c:v>1697</c:v>
                </c:pt>
                <c:pt idx="20">
                  <c:v>1667.3</c:v>
                </c:pt>
                <c:pt idx="21">
                  <c:v>1583.9</c:v>
                </c:pt>
                <c:pt idx="22">
                  <c:v>1500.6</c:v>
                </c:pt>
                <c:pt idx="23">
                  <c:v>1429.1</c:v>
                </c:pt>
                <c:pt idx="24">
                  <c:v>1355.1</c:v>
                </c:pt>
                <c:pt idx="25">
                  <c:v>1287.3</c:v>
                </c:pt>
                <c:pt idx="26">
                  <c:v>1225.4000000000001</c:v>
                </c:pt>
                <c:pt idx="27">
                  <c:v>1163.2</c:v>
                </c:pt>
                <c:pt idx="28">
                  <c:v>1101.5</c:v>
                </c:pt>
                <c:pt idx="29">
                  <c:v>1048.3</c:v>
                </c:pt>
                <c:pt idx="30">
                  <c:v>1020.7</c:v>
                </c:pt>
                <c:pt idx="31">
                  <c:v>972.6</c:v>
                </c:pt>
                <c:pt idx="32">
                  <c:v>919.3</c:v>
                </c:pt>
                <c:pt idx="33">
                  <c:v>883.9</c:v>
                </c:pt>
                <c:pt idx="34">
                  <c:v>853.3</c:v>
                </c:pt>
                <c:pt idx="35">
                  <c:v>818.3</c:v>
                </c:pt>
                <c:pt idx="36">
                  <c:v>784.8</c:v>
                </c:pt>
                <c:pt idx="37">
                  <c:v>760.8</c:v>
                </c:pt>
                <c:pt idx="38">
                  <c:v>729.9</c:v>
                </c:pt>
                <c:pt idx="39">
                  <c:v>714.4</c:v>
                </c:pt>
                <c:pt idx="40">
                  <c:v>688.1</c:v>
                </c:pt>
                <c:pt idx="41">
                  <c:v>659.2</c:v>
                </c:pt>
                <c:pt idx="42">
                  <c:v>638</c:v>
                </c:pt>
                <c:pt idx="43">
                  <c:v>620.9</c:v>
                </c:pt>
                <c:pt idx="44">
                  <c:v>599.9</c:v>
                </c:pt>
                <c:pt idx="45">
                  <c:v>573.9</c:v>
                </c:pt>
                <c:pt idx="46">
                  <c:v>564.4</c:v>
                </c:pt>
                <c:pt idx="47">
                  <c:v>548.6</c:v>
                </c:pt>
                <c:pt idx="48">
                  <c:v>526.6</c:v>
                </c:pt>
                <c:pt idx="49">
                  <c:v>495.3</c:v>
                </c:pt>
                <c:pt idx="50">
                  <c:v>501.1</c:v>
                </c:pt>
                <c:pt idx="51">
                  <c:v>496.5</c:v>
                </c:pt>
                <c:pt idx="52">
                  <c:v>473.7</c:v>
                </c:pt>
                <c:pt idx="53">
                  <c:v>465.7</c:v>
                </c:pt>
                <c:pt idx="54">
                  <c:v>452.5</c:v>
                </c:pt>
                <c:pt idx="55">
                  <c:v>437.7</c:v>
                </c:pt>
                <c:pt idx="56">
                  <c:v>427.9</c:v>
                </c:pt>
                <c:pt idx="57">
                  <c:v>420.2</c:v>
                </c:pt>
                <c:pt idx="58">
                  <c:v>404.7</c:v>
                </c:pt>
                <c:pt idx="59">
                  <c:v>399.5</c:v>
                </c:pt>
                <c:pt idx="60">
                  <c:v>392.6</c:v>
                </c:pt>
                <c:pt idx="61">
                  <c:v>379.7</c:v>
                </c:pt>
                <c:pt idx="62">
                  <c:v>379</c:v>
                </c:pt>
                <c:pt idx="63">
                  <c:v>369.9</c:v>
                </c:pt>
                <c:pt idx="64">
                  <c:v>361.8</c:v>
                </c:pt>
                <c:pt idx="65">
                  <c:v>355.3</c:v>
                </c:pt>
                <c:pt idx="66">
                  <c:v>351.8</c:v>
                </c:pt>
                <c:pt idx="67">
                  <c:v>344</c:v>
                </c:pt>
                <c:pt idx="68">
                  <c:v>339.6</c:v>
                </c:pt>
                <c:pt idx="69">
                  <c:v>327.9</c:v>
                </c:pt>
                <c:pt idx="70">
                  <c:v>326.60000000000002</c:v>
                </c:pt>
                <c:pt idx="71">
                  <c:v>318.3</c:v>
                </c:pt>
                <c:pt idx="72">
                  <c:v>312.89999999999998</c:v>
                </c:pt>
                <c:pt idx="73">
                  <c:v>306.39999999999998</c:v>
                </c:pt>
                <c:pt idx="74">
                  <c:v>301.2</c:v>
                </c:pt>
                <c:pt idx="75">
                  <c:v>293.89999999999998</c:v>
                </c:pt>
                <c:pt idx="76">
                  <c:v>293.3</c:v>
                </c:pt>
                <c:pt idx="77">
                  <c:v>283.39999999999998</c:v>
                </c:pt>
                <c:pt idx="78">
                  <c:v>262.52999999999997</c:v>
                </c:pt>
                <c:pt idx="79">
                  <c:v>229.01</c:v>
                </c:pt>
                <c:pt idx="80">
                  <c:v>205.73</c:v>
                </c:pt>
                <c:pt idx="81">
                  <c:v>185.85</c:v>
                </c:pt>
                <c:pt idx="82">
                  <c:v>170.9</c:v>
                </c:pt>
                <c:pt idx="83">
                  <c:v>158.5</c:v>
                </c:pt>
                <c:pt idx="84">
                  <c:v>148.94</c:v>
                </c:pt>
                <c:pt idx="85">
                  <c:v>139.19</c:v>
                </c:pt>
                <c:pt idx="86">
                  <c:v>132.06</c:v>
                </c:pt>
                <c:pt idx="87">
                  <c:v>124.9</c:v>
                </c:pt>
                <c:pt idx="88">
                  <c:v>120.01</c:v>
                </c:pt>
                <c:pt idx="89">
                  <c:v>114.46</c:v>
                </c:pt>
                <c:pt idx="90">
                  <c:v>108.97</c:v>
                </c:pt>
                <c:pt idx="91">
                  <c:v>104.28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84576"/>
        <c:axId val="46586496"/>
      </c:scatterChart>
      <c:valAx>
        <c:axId val="4658457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586496"/>
        <c:crosses val="autoZero"/>
        <c:crossBetween val="midCat"/>
      </c:valAx>
      <c:valAx>
        <c:axId val="46586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5845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Data'!$A$309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Data2'!$G$76:$CT$76</c:f>
              <c:numCache>
                <c:formatCode>General</c:formatCode>
                <c:ptCount val="92"/>
                <c:pt idx="0">
                  <c:v>2034</c:v>
                </c:pt>
                <c:pt idx="1">
                  <c:v>2019</c:v>
                </c:pt>
                <c:pt idx="2">
                  <c:v>2026</c:v>
                </c:pt>
                <c:pt idx="3">
                  <c:v>2056</c:v>
                </c:pt>
                <c:pt idx="4">
                  <c:v>2049</c:v>
                </c:pt>
                <c:pt idx="5">
                  <c:v>2011</c:v>
                </c:pt>
                <c:pt idx="6">
                  <c:v>1973</c:v>
                </c:pt>
                <c:pt idx="7">
                  <c:v>1947</c:v>
                </c:pt>
                <c:pt idx="8">
                  <c:v>1985</c:v>
                </c:pt>
                <c:pt idx="9">
                  <c:v>1987</c:v>
                </c:pt>
                <c:pt idx="10">
                  <c:v>1959</c:v>
                </c:pt>
                <c:pt idx="11">
                  <c:v>1987</c:v>
                </c:pt>
                <c:pt idx="12">
                  <c:v>1902</c:v>
                </c:pt>
                <c:pt idx="13">
                  <c:v>1956</c:v>
                </c:pt>
                <c:pt idx="14">
                  <c:v>1976</c:v>
                </c:pt>
                <c:pt idx="15">
                  <c:v>1906</c:v>
                </c:pt>
                <c:pt idx="16">
                  <c:v>1981</c:v>
                </c:pt>
                <c:pt idx="17">
                  <c:v>1954</c:v>
                </c:pt>
                <c:pt idx="18">
                  <c:v>1980</c:v>
                </c:pt>
                <c:pt idx="19">
                  <c:v>1867</c:v>
                </c:pt>
                <c:pt idx="20">
                  <c:v>1889.3</c:v>
                </c:pt>
                <c:pt idx="21">
                  <c:v>1818</c:v>
                </c:pt>
                <c:pt idx="22">
                  <c:v>1731.4</c:v>
                </c:pt>
                <c:pt idx="23">
                  <c:v>1643.5</c:v>
                </c:pt>
                <c:pt idx="24">
                  <c:v>1577.2</c:v>
                </c:pt>
                <c:pt idx="25">
                  <c:v>1503.6</c:v>
                </c:pt>
                <c:pt idx="26">
                  <c:v>1427.9</c:v>
                </c:pt>
                <c:pt idx="27">
                  <c:v>1373.5</c:v>
                </c:pt>
                <c:pt idx="28">
                  <c:v>1335</c:v>
                </c:pt>
                <c:pt idx="29">
                  <c:v>1259.7</c:v>
                </c:pt>
                <c:pt idx="30">
                  <c:v>1215.4000000000001</c:v>
                </c:pt>
                <c:pt idx="31">
                  <c:v>1162.8</c:v>
                </c:pt>
                <c:pt idx="32">
                  <c:v>1099.5999999999999</c:v>
                </c:pt>
                <c:pt idx="33">
                  <c:v>1080.5999999999999</c:v>
                </c:pt>
                <c:pt idx="34">
                  <c:v>1025.5999999999999</c:v>
                </c:pt>
                <c:pt idx="35">
                  <c:v>994.4</c:v>
                </c:pt>
                <c:pt idx="36">
                  <c:v>957.7</c:v>
                </c:pt>
                <c:pt idx="37">
                  <c:v>937.4</c:v>
                </c:pt>
                <c:pt idx="38">
                  <c:v>893.1</c:v>
                </c:pt>
                <c:pt idx="39">
                  <c:v>873.8</c:v>
                </c:pt>
                <c:pt idx="40">
                  <c:v>843.2</c:v>
                </c:pt>
                <c:pt idx="41">
                  <c:v>804.7</c:v>
                </c:pt>
                <c:pt idx="42">
                  <c:v>782</c:v>
                </c:pt>
                <c:pt idx="43">
                  <c:v>772.9</c:v>
                </c:pt>
                <c:pt idx="44">
                  <c:v>737</c:v>
                </c:pt>
                <c:pt idx="45">
                  <c:v>711</c:v>
                </c:pt>
                <c:pt idx="46">
                  <c:v>695.9</c:v>
                </c:pt>
                <c:pt idx="47">
                  <c:v>682.2</c:v>
                </c:pt>
                <c:pt idx="48">
                  <c:v>675.5</c:v>
                </c:pt>
                <c:pt idx="49">
                  <c:v>636.4</c:v>
                </c:pt>
                <c:pt idx="50">
                  <c:v>609.20000000000005</c:v>
                </c:pt>
                <c:pt idx="51">
                  <c:v>609.29999999999995</c:v>
                </c:pt>
                <c:pt idx="52">
                  <c:v>597.4</c:v>
                </c:pt>
                <c:pt idx="53">
                  <c:v>580.4</c:v>
                </c:pt>
                <c:pt idx="54">
                  <c:v>554.4</c:v>
                </c:pt>
                <c:pt idx="55">
                  <c:v>556.6</c:v>
                </c:pt>
                <c:pt idx="56">
                  <c:v>543.6</c:v>
                </c:pt>
                <c:pt idx="57">
                  <c:v>525.9</c:v>
                </c:pt>
                <c:pt idx="58">
                  <c:v>527.1</c:v>
                </c:pt>
                <c:pt idx="59">
                  <c:v>505.6</c:v>
                </c:pt>
                <c:pt idx="60">
                  <c:v>505.8</c:v>
                </c:pt>
                <c:pt idx="61">
                  <c:v>490.3</c:v>
                </c:pt>
                <c:pt idx="62">
                  <c:v>471.7</c:v>
                </c:pt>
                <c:pt idx="63">
                  <c:v>466.7</c:v>
                </c:pt>
                <c:pt idx="64">
                  <c:v>455.6</c:v>
                </c:pt>
                <c:pt idx="65">
                  <c:v>455.8</c:v>
                </c:pt>
                <c:pt idx="66">
                  <c:v>439.9</c:v>
                </c:pt>
                <c:pt idx="67">
                  <c:v>437.7</c:v>
                </c:pt>
                <c:pt idx="68">
                  <c:v>426.8</c:v>
                </c:pt>
                <c:pt idx="69">
                  <c:v>421.9</c:v>
                </c:pt>
                <c:pt idx="70">
                  <c:v>414.2</c:v>
                </c:pt>
                <c:pt idx="71">
                  <c:v>402.3</c:v>
                </c:pt>
                <c:pt idx="72">
                  <c:v>399</c:v>
                </c:pt>
                <c:pt idx="73">
                  <c:v>380.6</c:v>
                </c:pt>
                <c:pt idx="74">
                  <c:v>379.7</c:v>
                </c:pt>
                <c:pt idx="75">
                  <c:v>374.8</c:v>
                </c:pt>
                <c:pt idx="76">
                  <c:v>373.4</c:v>
                </c:pt>
                <c:pt idx="77">
                  <c:v>365.5</c:v>
                </c:pt>
                <c:pt idx="78">
                  <c:v>334.18</c:v>
                </c:pt>
                <c:pt idx="79">
                  <c:v>291.23</c:v>
                </c:pt>
                <c:pt idx="80">
                  <c:v>260.56</c:v>
                </c:pt>
                <c:pt idx="81">
                  <c:v>234.96</c:v>
                </c:pt>
                <c:pt idx="82">
                  <c:v>213.48</c:v>
                </c:pt>
                <c:pt idx="83">
                  <c:v>197.84</c:v>
                </c:pt>
                <c:pt idx="84">
                  <c:v>185.38</c:v>
                </c:pt>
                <c:pt idx="85">
                  <c:v>172.55</c:v>
                </c:pt>
                <c:pt idx="86">
                  <c:v>160.63</c:v>
                </c:pt>
                <c:pt idx="87">
                  <c:v>152.97</c:v>
                </c:pt>
                <c:pt idx="88">
                  <c:v>146.08000000000001</c:v>
                </c:pt>
                <c:pt idx="89">
                  <c:v>138.61000000000001</c:v>
                </c:pt>
                <c:pt idx="90">
                  <c:v>133.12</c:v>
                </c:pt>
                <c:pt idx="91">
                  <c:v>127.02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Data2'!$G$77:$CT$77</c:f>
              <c:numCache>
                <c:formatCode>General</c:formatCode>
                <c:ptCount val="92"/>
                <c:pt idx="0">
                  <c:v>1438</c:v>
                </c:pt>
                <c:pt idx="1">
                  <c:v>1476</c:v>
                </c:pt>
                <c:pt idx="2">
                  <c:v>1444</c:v>
                </c:pt>
                <c:pt idx="3">
                  <c:v>1493</c:v>
                </c:pt>
                <c:pt idx="4">
                  <c:v>1484</c:v>
                </c:pt>
                <c:pt idx="5">
                  <c:v>1428</c:v>
                </c:pt>
                <c:pt idx="6">
                  <c:v>1464</c:v>
                </c:pt>
                <c:pt idx="7">
                  <c:v>1477</c:v>
                </c:pt>
                <c:pt idx="8">
                  <c:v>1435</c:v>
                </c:pt>
                <c:pt idx="9">
                  <c:v>1452</c:v>
                </c:pt>
                <c:pt idx="10">
                  <c:v>1445</c:v>
                </c:pt>
                <c:pt idx="11">
                  <c:v>1445</c:v>
                </c:pt>
                <c:pt idx="12">
                  <c:v>1413</c:v>
                </c:pt>
                <c:pt idx="13">
                  <c:v>1387</c:v>
                </c:pt>
                <c:pt idx="14">
                  <c:v>1452</c:v>
                </c:pt>
                <c:pt idx="15">
                  <c:v>1368</c:v>
                </c:pt>
                <c:pt idx="16">
                  <c:v>1429</c:v>
                </c:pt>
                <c:pt idx="17">
                  <c:v>1393</c:v>
                </c:pt>
                <c:pt idx="18">
                  <c:v>1421</c:v>
                </c:pt>
                <c:pt idx="19">
                  <c:v>1422</c:v>
                </c:pt>
                <c:pt idx="20">
                  <c:v>1385.1</c:v>
                </c:pt>
                <c:pt idx="21">
                  <c:v>1324.8</c:v>
                </c:pt>
                <c:pt idx="22">
                  <c:v>1274.9000000000001</c:v>
                </c:pt>
                <c:pt idx="23">
                  <c:v>1229.5999999999999</c:v>
                </c:pt>
                <c:pt idx="24">
                  <c:v>1172.9000000000001</c:v>
                </c:pt>
                <c:pt idx="25">
                  <c:v>1129.5</c:v>
                </c:pt>
                <c:pt idx="26">
                  <c:v>1068.8</c:v>
                </c:pt>
                <c:pt idx="27">
                  <c:v>1034.9000000000001</c:v>
                </c:pt>
                <c:pt idx="28">
                  <c:v>985.3</c:v>
                </c:pt>
                <c:pt idx="29">
                  <c:v>931.4</c:v>
                </c:pt>
                <c:pt idx="30">
                  <c:v>906.9</c:v>
                </c:pt>
                <c:pt idx="31">
                  <c:v>868.4</c:v>
                </c:pt>
                <c:pt idx="32">
                  <c:v>836.1</c:v>
                </c:pt>
                <c:pt idx="33">
                  <c:v>812.5</c:v>
                </c:pt>
                <c:pt idx="34">
                  <c:v>758.9</c:v>
                </c:pt>
                <c:pt idx="35">
                  <c:v>740.1</c:v>
                </c:pt>
                <c:pt idx="36">
                  <c:v>718.4</c:v>
                </c:pt>
                <c:pt idx="37">
                  <c:v>683.3</c:v>
                </c:pt>
                <c:pt idx="38">
                  <c:v>668.2</c:v>
                </c:pt>
                <c:pt idx="39">
                  <c:v>643.9</c:v>
                </c:pt>
                <c:pt idx="40">
                  <c:v>644.6</c:v>
                </c:pt>
                <c:pt idx="41">
                  <c:v>615</c:v>
                </c:pt>
                <c:pt idx="42">
                  <c:v>594.4</c:v>
                </c:pt>
                <c:pt idx="43">
                  <c:v>588.29999999999995</c:v>
                </c:pt>
                <c:pt idx="44">
                  <c:v>568.29999999999995</c:v>
                </c:pt>
                <c:pt idx="45">
                  <c:v>551.4</c:v>
                </c:pt>
                <c:pt idx="46">
                  <c:v>537.1</c:v>
                </c:pt>
                <c:pt idx="47">
                  <c:v>522</c:v>
                </c:pt>
                <c:pt idx="48">
                  <c:v>503.8</c:v>
                </c:pt>
                <c:pt idx="49">
                  <c:v>490.7</c:v>
                </c:pt>
                <c:pt idx="50">
                  <c:v>475.8</c:v>
                </c:pt>
                <c:pt idx="51">
                  <c:v>474.3</c:v>
                </c:pt>
                <c:pt idx="52">
                  <c:v>452.5</c:v>
                </c:pt>
                <c:pt idx="53">
                  <c:v>443</c:v>
                </c:pt>
                <c:pt idx="54">
                  <c:v>450.5</c:v>
                </c:pt>
                <c:pt idx="55">
                  <c:v>427.8</c:v>
                </c:pt>
                <c:pt idx="56">
                  <c:v>412.9</c:v>
                </c:pt>
                <c:pt idx="57">
                  <c:v>399.5</c:v>
                </c:pt>
                <c:pt idx="58">
                  <c:v>398.8</c:v>
                </c:pt>
                <c:pt idx="59">
                  <c:v>382.2</c:v>
                </c:pt>
                <c:pt idx="60">
                  <c:v>386.4</c:v>
                </c:pt>
                <c:pt idx="61">
                  <c:v>370.8</c:v>
                </c:pt>
                <c:pt idx="62">
                  <c:v>364.1</c:v>
                </c:pt>
                <c:pt idx="63">
                  <c:v>364.5</c:v>
                </c:pt>
                <c:pt idx="64">
                  <c:v>363</c:v>
                </c:pt>
                <c:pt idx="65">
                  <c:v>348.3</c:v>
                </c:pt>
                <c:pt idx="66">
                  <c:v>345.7</c:v>
                </c:pt>
                <c:pt idx="67">
                  <c:v>335.9</c:v>
                </c:pt>
                <c:pt idx="68">
                  <c:v>328.7</c:v>
                </c:pt>
                <c:pt idx="69">
                  <c:v>322.3</c:v>
                </c:pt>
                <c:pt idx="70">
                  <c:v>321</c:v>
                </c:pt>
                <c:pt idx="71">
                  <c:v>307.60000000000002</c:v>
                </c:pt>
                <c:pt idx="72">
                  <c:v>308.89999999999998</c:v>
                </c:pt>
                <c:pt idx="73">
                  <c:v>304.5</c:v>
                </c:pt>
                <c:pt idx="74">
                  <c:v>296.60000000000002</c:v>
                </c:pt>
                <c:pt idx="75">
                  <c:v>295.5</c:v>
                </c:pt>
                <c:pt idx="76">
                  <c:v>294.60000000000002</c:v>
                </c:pt>
                <c:pt idx="77">
                  <c:v>287.2</c:v>
                </c:pt>
                <c:pt idx="78">
                  <c:v>266.25</c:v>
                </c:pt>
                <c:pt idx="79">
                  <c:v>236.5</c:v>
                </c:pt>
                <c:pt idx="80">
                  <c:v>213.35</c:v>
                </c:pt>
                <c:pt idx="81">
                  <c:v>194.03</c:v>
                </c:pt>
                <c:pt idx="82">
                  <c:v>178.68</c:v>
                </c:pt>
                <c:pt idx="83">
                  <c:v>167.87</c:v>
                </c:pt>
                <c:pt idx="84">
                  <c:v>155.29</c:v>
                </c:pt>
                <c:pt idx="85">
                  <c:v>145.28</c:v>
                </c:pt>
                <c:pt idx="86">
                  <c:v>139.13</c:v>
                </c:pt>
                <c:pt idx="87">
                  <c:v>131.59</c:v>
                </c:pt>
                <c:pt idx="88">
                  <c:v>127.19</c:v>
                </c:pt>
                <c:pt idx="89">
                  <c:v>122.19</c:v>
                </c:pt>
                <c:pt idx="90">
                  <c:v>118.65</c:v>
                </c:pt>
                <c:pt idx="91">
                  <c:v>114.24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Data2'!$G$78:$CT$78</c:f>
              <c:numCache>
                <c:formatCode>General</c:formatCode>
                <c:ptCount val="92"/>
                <c:pt idx="0">
                  <c:v>912</c:v>
                </c:pt>
                <c:pt idx="1">
                  <c:v>895</c:v>
                </c:pt>
                <c:pt idx="2">
                  <c:v>966</c:v>
                </c:pt>
                <c:pt idx="3">
                  <c:v>946</c:v>
                </c:pt>
                <c:pt idx="4">
                  <c:v>918</c:v>
                </c:pt>
                <c:pt idx="5">
                  <c:v>905</c:v>
                </c:pt>
                <c:pt idx="6">
                  <c:v>910</c:v>
                </c:pt>
                <c:pt idx="7">
                  <c:v>966</c:v>
                </c:pt>
                <c:pt idx="8">
                  <c:v>978</c:v>
                </c:pt>
                <c:pt idx="9">
                  <c:v>926</c:v>
                </c:pt>
                <c:pt idx="10">
                  <c:v>930</c:v>
                </c:pt>
                <c:pt idx="11">
                  <c:v>904</c:v>
                </c:pt>
                <c:pt idx="12">
                  <c:v>914</c:v>
                </c:pt>
                <c:pt idx="13">
                  <c:v>890</c:v>
                </c:pt>
                <c:pt idx="14">
                  <c:v>910</c:v>
                </c:pt>
                <c:pt idx="15">
                  <c:v>894</c:v>
                </c:pt>
                <c:pt idx="16">
                  <c:v>879</c:v>
                </c:pt>
                <c:pt idx="17">
                  <c:v>879</c:v>
                </c:pt>
                <c:pt idx="18">
                  <c:v>887</c:v>
                </c:pt>
                <c:pt idx="19">
                  <c:v>929</c:v>
                </c:pt>
                <c:pt idx="20">
                  <c:v>882.3</c:v>
                </c:pt>
                <c:pt idx="21">
                  <c:v>870.3</c:v>
                </c:pt>
                <c:pt idx="22">
                  <c:v>812.7</c:v>
                </c:pt>
                <c:pt idx="23">
                  <c:v>773.1</c:v>
                </c:pt>
                <c:pt idx="24">
                  <c:v>748.5</c:v>
                </c:pt>
                <c:pt idx="25">
                  <c:v>706</c:v>
                </c:pt>
                <c:pt idx="26">
                  <c:v>667.6</c:v>
                </c:pt>
                <c:pt idx="27">
                  <c:v>648.70000000000005</c:v>
                </c:pt>
                <c:pt idx="28">
                  <c:v>622.6</c:v>
                </c:pt>
                <c:pt idx="29">
                  <c:v>597.5</c:v>
                </c:pt>
                <c:pt idx="30">
                  <c:v>561</c:v>
                </c:pt>
                <c:pt idx="31">
                  <c:v>540.4</c:v>
                </c:pt>
                <c:pt idx="32">
                  <c:v>521.1</c:v>
                </c:pt>
                <c:pt idx="33">
                  <c:v>501.9</c:v>
                </c:pt>
                <c:pt idx="34">
                  <c:v>491.1</c:v>
                </c:pt>
                <c:pt idx="35">
                  <c:v>467.7</c:v>
                </c:pt>
                <c:pt idx="36">
                  <c:v>454.7</c:v>
                </c:pt>
                <c:pt idx="37">
                  <c:v>432.1</c:v>
                </c:pt>
                <c:pt idx="38">
                  <c:v>419.7</c:v>
                </c:pt>
                <c:pt idx="39">
                  <c:v>395.1</c:v>
                </c:pt>
                <c:pt idx="40">
                  <c:v>395</c:v>
                </c:pt>
                <c:pt idx="41">
                  <c:v>384.3</c:v>
                </c:pt>
                <c:pt idx="42">
                  <c:v>360.5</c:v>
                </c:pt>
                <c:pt idx="43">
                  <c:v>352.3</c:v>
                </c:pt>
                <c:pt idx="44">
                  <c:v>348.3</c:v>
                </c:pt>
                <c:pt idx="45">
                  <c:v>340.6</c:v>
                </c:pt>
                <c:pt idx="46">
                  <c:v>329.3</c:v>
                </c:pt>
                <c:pt idx="47">
                  <c:v>326.10000000000002</c:v>
                </c:pt>
                <c:pt idx="48">
                  <c:v>306</c:v>
                </c:pt>
                <c:pt idx="49">
                  <c:v>332.7</c:v>
                </c:pt>
                <c:pt idx="50">
                  <c:v>288.5</c:v>
                </c:pt>
                <c:pt idx="51">
                  <c:v>287.10000000000002</c:v>
                </c:pt>
                <c:pt idx="52">
                  <c:v>279.2</c:v>
                </c:pt>
                <c:pt idx="53">
                  <c:v>282.7</c:v>
                </c:pt>
                <c:pt idx="54">
                  <c:v>261</c:v>
                </c:pt>
                <c:pt idx="55">
                  <c:v>261.60000000000002</c:v>
                </c:pt>
                <c:pt idx="56">
                  <c:v>253.3</c:v>
                </c:pt>
                <c:pt idx="57">
                  <c:v>246</c:v>
                </c:pt>
                <c:pt idx="58">
                  <c:v>245.4</c:v>
                </c:pt>
                <c:pt idx="59">
                  <c:v>237.1</c:v>
                </c:pt>
                <c:pt idx="60">
                  <c:v>233.9</c:v>
                </c:pt>
                <c:pt idx="61">
                  <c:v>226.8</c:v>
                </c:pt>
                <c:pt idx="62">
                  <c:v>227.6</c:v>
                </c:pt>
                <c:pt idx="63">
                  <c:v>220.3</c:v>
                </c:pt>
                <c:pt idx="64">
                  <c:v>210.4</c:v>
                </c:pt>
                <c:pt idx="65">
                  <c:v>212.2</c:v>
                </c:pt>
                <c:pt idx="66">
                  <c:v>213.3</c:v>
                </c:pt>
                <c:pt idx="67">
                  <c:v>205.5</c:v>
                </c:pt>
                <c:pt idx="68">
                  <c:v>202.5</c:v>
                </c:pt>
                <c:pt idx="69">
                  <c:v>203</c:v>
                </c:pt>
                <c:pt idx="70">
                  <c:v>196.1</c:v>
                </c:pt>
                <c:pt idx="71">
                  <c:v>188.5</c:v>
                </c:pt>
                <c:pt idx="72">
                  <c:v>190</c:v>
                </c:pt>
                <c:pt idx="73">
                  <c:v>182</c:v>
                </c:pt>
                <c:pt idx="74">
                  <c:v>179.6</c:v>
                </c:pt>
                <c:pt idx="75">
                  <c:v>179.6</c:v>
                </c:pt>
                <c:pt idx="76">
                  <c:v>176.8</c:v>
                </c:pt>
                <c:pt idx="77">
                  <c:v>177.5</c:v>
                </c:pt>
                <c:pt idx="78">
                  <c:v>160.08000000000001</c:v>
                </c:pt>
                <c:pt idx="79">
                  <c:v>139.16</c:v>
                </c:pt>
                <c:pt idx="80">
                  <c:v>125.68</c:v>
                </c:pt>
                <c:pt idx="81">
                  <c:v>114.41</c:v>
                </c:pt>
                <c:pt idx="82">
                  <c:v>107.29</c:v>
                </c:pt>
                <c:pt idx="83">
                  <c:v>97.93</c:v>
                </c:pt>
                <c:pt idx="84">
                  <c:v>91.33</c:v>
                </c:pt>
                <c:pt idx="85">
                  <c:v>86.41</c:v>
                </c:pt>
                <c:pt idx="86">
                  <c:v>81.400000000000006</c:v>
                </c:pt>
                <c:pt idx="87">
                  <c:v>79.010000000000005</c:v>
                </c:pt>
                <c:pt idx="88">
                  <c:v>74.63</c:v>
                </c:pt>
                <c:pt idx="89">
                  <c:v>72.48</c:v>
                </c:pt>
                <c:pt idx="90">
                  <c:v>69.83</c:v>
                </c:pt>
                <c:pt idx="91">
                  <c:v>67.87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Data2'!$G$79:$CT$79</c:f>
              <c:numCache>
                <c:formatCode>General</c:formatCode>
                <c:ptCount val="92"/>
                <c:pt idx="0">
                  <c:v>1325</c:v>
                </c:pt>
                <c:pt idx="1">
                  <c:v>1330</c:v>
                </c:pt>
                <c:pt idx="2">
                  <c:v>1301</c:v>
                </c:pt>
                <c:pt idx="3">
                  <c:v>1304</c:v>
                </c:pt>
                <c:pt idx="4">
                  <c:v>1308</c:v>
                </c:pt>
                <c:pt idx="5">
                  <c:v>1322</c:v>
                </c:pt>
                <c:pt idx="6">
                  <c:v>1283</c:v>
                </c:pt>
                <c:pt idx="7">
                  <c:v>1326</c:v>
                </c:pt>
                <c:pt idx="8">
                  <c:v>1287</c:v>
                </c:pt>
                <c:pt idx="9">
                  <c:v>1282</c:v>
                </c:pt>
                <c:pt idx="10">
                  <c:v>1248</c:v>
                </c:pt>
                <c:pt idx="11">
                  <c:v>1277</c:v>
                </c:pt>
                <c:pt idx="12">
                  <c:v>1263</c:v>
                </c:pt>
                <c:pt idx="13">
                  <c:v>1259</c:v>
                </c:pt>
                <c:pt idx="14">
                  <c:v>1277</c:v>
                </c:pt>
                <c:pt idx="15">
                  <c:v>1275</c:v>
                </c:pt>
                <c:pt idx="16">
                  <c:v>1241</c:v>
                </c:pt>
                <c:pt idx="17">
                  <c:v>1255</c:v>
                </c:pt>
                <c:pt idx="18">
                  <c:v>1286</c:v>
                </c:pt>
                <c:pt idx="19">
                  <c:v>1315</c:v>
                </c:pt>
                <c:pt idx="20">
                  <c:v>1236.2</c:v>
                </c:pt>
                <c:pt idx="21">
                  <c:v>1185.2</c:v>
                </c:pt>
                <c:pt idx="22">
                  <c:v>1130.8</c:v>
                </c:pt>
                <c:pt idx="23">
                  <c:v>1089.2</c:v>
                </c:pt>
                <c:pt idx="24">
                  <c:v>1040.5</c:v>
                </c:pt>
                <c:pt idx="25">
                  <c:v>987.1</c:v>
                </c:pt>
                <c:pt idx="26">
                  <c:v>946.4</c:v>
                </c:pt>
                <c:pt idx="27">
                  <c:v>901.6</c:v>
                </c:pt>
                <c:pt idx="28">
                  <c:v>862.4</c:v>
                </c:pt>
                <c:pt idx="29">
                  <c:v>848.9</c:v>
                </c:pt>
                <c:pt idx="30">
                  <c:v>800.7</c:v>
                </c:pt>
                <c:pt idx="31">
                  <c:v>751.9</c:v>
                </c:pt>
                <c:pt idx="32">
                  <c:v>747</c:v>
                </c:pt>
                <c:pt idx="33">
                  <c:v>715.1</c:v>
                </c:pt>
                <c:pt idx="34">
                  <c:v>689.2</c:v>
                </c:pt>
                <c:pt idx="35">
                  <c:v>658.7</c:v>
                </c:pt>
                <c:pt idx="36">
                  <c:v>626.6</c:v>
                </c:pt>
                <c:pt idx="37">
                  <c:v>608.20000000000005</c:v>
                </c:pt>
                <c:pt idx="38">
                  <c:v>580.79999999999995</c:v>
                </c:pt>
                <c:pt idx="39">
                  <c:v>579.9</c:v>
                </c:pt>
                <c:pt idx="40">
                  <c:v>556.79999999999995</c:v>
                </c:pt>
                <c:pt idx="41">
                  <c:v>538.70000000000005</c:v>
                </c:pt>
                <c:pt idx="42">
                  <c:v>513.4</c:v>
                </c:pt>
                <c:pt idx="43">
                  <c:v>495.6</c:v>
                </c:pt>
                <c:pt idx="44">
                  <c:v>488.1</c:v>
                </c:pt>
                <c:pt idx="45">
                  <c:v>465.4</c:v>
                </c:pt>
                <c:pt idx="46">
                  <c:v>461.6</c:v>
                </c:pt>
                <c:pt idx="47">
                  <c:v>440.2</c:v>
                </c:pt>
                <c:pt idx="48">
                  <c:v>420.5</c:v>
                </c:pt>
                <c:pt idx="49">
                  <c:v>420.8</c:v>
                </c:pt>
                <c:pt idx="50">
                  <c:v>415.5</c:v>
                </c:pt>
                <c:pt idx="51">
                  <c:v>403.2</c:v>
                </c:pt>
                <c:pt idx="52">
                  <c:v>392</c:v>
                </c:pt>
                <c:pt idx="53">
                  <c:v>378.3</c:v>
                </c:pt>
                <c:pt idx="54">
                  <c:v>376.5</c:v>
                </c:pt>
                <c:pt idx="55">
                  <c:v>364.4</c:v>
                </c:pt>
                <c:pt idx="56">
                  <c:v>358</c:v>
                </c:pt>
                <c:pt idx="57">
                  <c:v>352.4</c:v>
                </c:pt>
                <c:pt idx="58">
                  <c:v>348</c:v>
                </c:pt>
                <c:pt idx="59">
                  <c:v>332.6</c:v>
                </c:pt>
                <c:pt idx="60">
                  <c:v>321.7</c:v>
                </c:pt>
                <c:pt idx="61">
                  <c:v>318.39999999999998</c:v>
                </c:pt>
                <c:pt idx="62">
                  <c:v>308.8</c:v>
                </c:pt>
                <c:pt idx="63">
                  <c:v>303.5</c:v>
                </c:pt>
                <c:pt idx="64">
                  <c:v>301.5</c:v>
                </c:pt>
                <c:pt idx="65">
                  <c:v>293.10000000000002</c:v>
                </c:pt>
                <c:pt idx="66">
                  <c:v>284.89999999999998</c:v>
                </c:pt>
                <c:pt idx="67">
                  <c:v>290.39999999999998</c:v>
                </c:pt>
                <c:pt idx="68">
                  <c:v>281.2</c:v>
                </c:pt>
                <c:pt idx="69">
                  <c:v>274.60000000000002</c:v>
                </c:pt>
                <c:pt idx="70">
                  <c:v>271.39999999999998</c:v>
                </c:pt>
                <c:pt idx="71">
                  <c:v>266.2</c:v>
                </c:pt>
                <c:pt idx="72">
                  <c:v>257.5</c:v>
                </c:pt>
                <c:pt idx="73">
                  <c:v>250.4</c:v>
                </c:pt>
                <c:pt idx="74">
                  <c:v>249.3</c:v>
                </c:pt>
                <c:pt idx="75">
                  <c:v>241</c:v>
                </c:pt>
                <c:pt idx="76">
                  <c:v>248.1</c:v>
                </c:pt>
                <c:pt idx="77">
                  <c:v>238.8</c:v>
                </c:pt>
                <c:pt idx="78">
                  <c:v>221.66</c:v>
                </c:pt>
                <c:pt idx="79">
                  <c:v>194.33</c:v>
                </c:pt>
                <c:pt idx="80">
                  <c:v>173.59</c:v>
                </c:pt>
                <c:pt idx="81">
                  <c:v>158.68</c:v>
                </c:pt>
                <c:pt idx="82">
                  <c:v>142.96</c:v>
                </c:pt>
                <c:pt idx="83">
                  <c:v>133.06</c:v>
                </c:pt>
                <c:pt idx="84">
                  <c:v>123.62</c:v>
                </c:pt>
                <c:pt idx="85">
                  <c:v>118.26</c:v>
                </c:pt>
                <c:pt idx="86">
                  <c:v>112.04</c:v>
                </c:pt>
                <c:pt idx="87">
                  <c:v>105.19</c:v>
                </c:pt>
                <c:pt idx="88">
                  <c:v>101.07</c:v>
                </c:pt>
                <c:pt idx="89">
                  <c:v>96.45</c:v>
                </c:pt>
                <c:pt idx="90">
                  <c:v>91.16</c:v>
                </c:pt>
                <c:pt idx="91">
                  <c:v>89.57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Data2'!$G$80:$CT$80</c:f>
              <c:numCache>
                <c:formatCode>General</c:formatCode>
                <c:ptCount val="92"/>
                <c:pt idx="0">
                  <c:v>1543</c:v>
                </c:pt>
                <c:pt idx="1">
                  <c:v>1599</c:v>
                </c:pt>
                <c:pt idx="2">
                  <c:v>1601</c:v>
                </c:pt>
                <c:pt idx="3">
                  <c:v>1561</c:v>
                </c:pt>
                <c:pt idx="4">
                  <c:v>1547</c:v>
                </c:pt>
                <c:pt idx="5">
                  <c:v>1569</c:v>
                </c:pt>
                <c:pt idx="6">
                  <c:v>1570</c:v>
                </c:pt>
                <c:pt idx="7">
                  <c:v>1555</c:v>
                </c:pt>
                <c:pt idx="8">
                  <c:v>1791</c:v>
                </c:pt>
                <c:pt idx="9">
                  <c:v>1539</c:v>
                </c:pt>
                <c:pt idx="10">
                  <c:v>1551</c:v>
                </c:pt>
                <c:pt idx="11">
                  <c:v>1570</c:v>
                </c:pt>
                <c:pt idx="12">
                  <c:v>1477</c:v>
                </c:pt>
                <c:pt idx="13">
                  <c:v>1503</c:v>
                </c:pt>
                <c:pt idx="14">
                  <c:v>1485</c:v>
                </c:pt>
                <c:pt idx="15">
                  <c:v>1511</c:v>
                </c:pt>
                <c:pt idx="16">
                  <c:v>1523</c:v>
                </c:pt>
                <c:pt idx="17">
                  <c:v>1556</c:v>
                </c:pt>
                <c:pt idx="18">
                  <c:v>1513</c:v>
                </c:pt>
                <c:pt idx="19">
                  <c:v>1532</c:v>
                </c:pt>
                <c:pt idx="20">
                  <c:v>1463.4</c:v>
                </c:pt>
                <c:pt idx="21">
                  <c:v>1400.6</c:v>
                </c:pt>
                <c:pt idx="22">
                  <c:v>1342.6</c:v>
                </c:pt>
                <c:pt idx="23">
                  <c:v>1278.8</c:v>
                </c:pt>
                <c:pt idx="24">
                  <c:v>1238.9000000000001</c:v>
                </c:pt>
                <c:pt idx="25">
                  <c:v>1165.2</c:v>
                </c:pt>
                <c:pt idx="26">
                  <c:v>1122.5</c:v>
                </c:pt>
                <c:pt idx="27">
                  <c:v>1066.7</c:v>
                </c:pt>
                <c:pt idx="28">
                  <c:v>1027.4000000000001</c:v>
                </c:pt>
                <c:pt idx="29">
                  <c:v>972.6</c:v>
                </c:pt>
                <c:pt idx="30">
                  <c:v>934.5</c:v>
                </c:pt>
                <c:pt idx="31">
                  <c:v>896.1</c:v>
                </c:pt>
                <c:pt idx="32">
                  <c:v>861.9</c:v>
                </c:pt>
                <c:pt idx="33">
                  <c:v>828.5</c:v>
                </c:pt>
                <c:pt idx="34">
                  <c:v>782.7</c:v>
                </c:pt>
                <c:pt idx="35">
                  <c:v>752.6</c:v>
                </c:pt>
                <c:pt idx="36">
                  <c:v>729.9</c:v>
                </c:pt>
                <c:pt idx="37">
                  <c:v>700.8</c:v>
                </c:pt>
                <c:pt idx="38">
                  <c:v>678</c:v>
                </c:pt>
                <c:pt idx="39">
                  <c:v>662.9</c:v>
                </c:pt>
                <c:pt idx="40">
                  <c:v>634.1</c:v>
                </c:pt>
                <c:pt idx="41">
                  <c:v>610.79999999999995</c:v>
                </c:pt>
                <c:pt idx="42">
                  <c:v>594.29999999999995</c:v>
                </c:pt>
                <c:pt idx="43">
                  <c:v>576.5</c:v>
                </c:pt>
                <c:pt idx="44">
                  <c:v>556.9</c:v>
                </c:pt>
                <c:pt idx="45">
                  <c:v>533.20000000000005</c:v>
                </c:pt>
                <c:pt idx="46">
                  <c:v>530.29999999999995</c:v>
                </c:pt>
                <c:pt idx="47">
                  <c:v>512.9</c:v>
                </c:pt>
                <c:pt idx="48">
                  <c:v>506</c:v>
                </c:pt>
                <c:pt idx="49">
                  <c:v>479.9</c:v>
                </c:pt>
                <c:pt idx="50">
                  <c:v>468.7</c:v>
                </c:pt>
                <c:pt idx="51">
                  <c:v>464</c:v>
                </c:pt>
                <c:pt idx="52">
                  <c:v>442.3</c:v>
                </c:pt>
                <c:pt idx="53">
                  <c:v>432.7</c:v>
                </c:pt>
                <c:pt idx="54">
                  <c:v>426.5</c:v>
                </c:pt>
                <c:pt idx="55">
                  <c:v>408.7</c:v>
                </c:pt>
                <c:pt idx="56">
                  <c:v>396.1</c:v>
                </c:pt>
                <c:pt idx="57">
                  <c:v>392</c:v>
                </c:pt>
                <c:pt idx="58">
                  <c:v>382.5</c:v>
                </c:pt>
                <c:pt idx="59">
                  <c:v>369.5</c:v>
                </c:pt>
                <c:pt idx="60">
                  <c:v>364.9</c:v>
                </c:pt>
                <c:pt idx="61">
                  <c:v>353</c:v>
                </c:pt>
                <c:pt idx="62">
                  <c:v>348.8</c:v>
                </c:pt>
                <c:pt idx="63">
                  <c:v>339.9</c:v>
                </c:pt>
                <c:pt idx="64">
                  <c:v>332</c:v>
                </c:pt>
                <c:pt idx="65">
                  <c:v>320.60000000000002</c:v>
                </c:pt>
                <c:pt idx="66">
                  <c:v>324.5</c:v>
                </c:pt>
                <c:pt idx="67">
                  <c:v>314</c:v>
                </c:pt>
                <c:pt idx="68">
                  <c:v>306.60000000000002</c:v>
                </c:pt>
                <c:pt idx="69">
                  <c:v>301.60000000000002</c:v>
                </c:pt>
                <c:pt idx="70">
                  <c:v>301.5</c:v>
                </c:pt>
                <c:pt idx="71">
                  <c:v>300.7</c:v>
                </c:pt>
                <c:pt idx="72">
                  <c:v>280.5</c:v>
                </c:pt>
                <c:pt idx="73">
                  <c:v>281.39999999999998</c:v>
                </c:pt>
                <c:pt idx="74">
                  <c:v>278.2</c:v>
                </c:pt>
                <c:pt idx="75">
                  <c:v>275.7</c:v>
                </c:pt>
                <c:pt idx="76">
                  <c:v>267.60000000000002</c:v>
                </c:pt>
                <c:pt idx="77">
                  <c:v>265.60000000000002</c:v>
                </c:pt>
                <c:pt idx="78">
                  <c:v>241.05</c:v>
                </c:pt>
                <c:pt idx="79">
                  <c:v>206.85</c:v>
                </c:pt>
                <c:pt idx="80">
                  <c:v>184.01</c:v>
                </c:pt>
                <c:pt idx="81">
                  <c:v>163.75</c:v>
                </c:pt>
                <c:pt idx="82">
                  <c:v>150.41999999999999</c:v>
                </c:pt>
                <c:pt idx="83">
                  <c:v>137.96</c:v>
                </c:pt>
                <c:pt idx="84">
                  <c:v>126.86</c:v>
                </c:pt>
                <c:pt idx="85">
                  <c:v>119</c:v>
                </c:pt>
                <c:pt idx="86">
                  <c:v>112.61</c:v>
                </c:pt>
                <c:pt idx="87">
                  <c:v>105.52</c:v>
                </c:pt>
                <c:pt idx="88">
                  <c:v>100.91</c:v>
                </c:pt>
                <c:pt idx="89">
                  <c:v>93.82</c:v>
                </c:pt>
                <c:pt idx="90">
                  <c:v>92.01</c:v>
                </c:pt>
                <c:pt idx="91">
                  <c:v>86.75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Data2'!$G$81:$CT$81</c:f>
              <c:numCache>
                <c:formatCode>General</c:formatCode>
                <c:ptCount val="92"/>
                <c:pt idx="0">
                  <c:v>1313</c:v>
                </c:pt>
                <c:pt idx="1">
                  <c:v>1276</c:v>
                </c:pt>
                <c:pt idx="2">
                  <c:v>1291</c:v>
                </c:pt>
                <c:pt idx="3">
                  <c:v>1336</c:v>
                </c:pt>
                <c:pt idx="4">
                  <c:v>1263</c:v>
                </c:pt>
                <c:pt idx="5">
                  <c:v>1337</c:v>
                </c:pt>
                <c:pt idx="6">
                  <c:v>1283</c:v>
                </c:pt>
                <c:pt idx="7">
                  <c:v>1302</c:v>
                </c:pt>
                <c:pt idx="8">
                  <c:v>1291</c:v>
                </c:pt>
                <c:pt idx="9">
                  <c:v>1236</c:v>
                </c:pt>
                <c:pt idx="10">
                  <c:v>1294</c:v>
                </c:pt>
                <c:pt idx="11">
                  <c:v>1287</c:v>
                </c:pt>
                <c:pt idx="12">
                  <c:v>1306</c:v>
                </c:pt>
                <c:pt idx="13">
                  <c:v>1237</c:v>
                </c:pt>
                <c:pt idx="14">
                  <c:v>1299</c:v>
                </c:pt>
                <c:pt idx="15">
                  <c:v>1245</c:v>
                </c:pt>
                <c:pt idx="16">
                  <c:v>1284</c:v>
                </c:pt>
                <c:pt idx="17">
                  <c:v>1248</c:v>
                </c:pt>
                <c:pt idx="18">
                  <c:v>1208</c:v>
                </c:pt>
                <c:pt idx="19">
                  <c:v>1220</c:v>
                </c:pt>
                <c:pt idx="20">
                  <c:v>1215.9000000000001</c:v>
                </c:pt>
                <c:pt idx="21">
                  <c:v>1171.5</c:v>
                </c:pt>
                <c:pt idx="22">
                  <c:v>1122.3</c:v>
                </c:pt>
                <c:pt idx="23">
                  <c:v>1079.3</c:v>
                </c:pt>
                <c:pt idx="24">
                  <c:v>1014.4</c:v>
                </c:pt>
                <c:pt idx="25">
                  <c:v>981.8</c:v>
                </c:pt>
                <c:pt idx="26">
                  <c:v>930.7</c:v>
                </c:pt>
                <c:pt idx="27">
                  <c:v>895.5</c:v>
                </c:pt>
                <c:pt idx="28">
                  <c:v>855.3</c:v>
                </c:pt>
                <c:pt idx="29">
                  <c:v>820</c:v>
                </c:pt>
                <c:pt idx="30">
                  <c:v>789.5</c:v>
                </c:pt>
                <c:pt idx="31">
                  <c:v>758</c:v>
                </c:pt>
                <c:pt idx="32">
                  <c:v>721.7</c:v>
                </c:pt>
                <c:pt idx="33">
                  <c:v>706.2</c:v>
                </c:pt>
                <c:pt idx="34">
                  <c:v>676.4</c:v>
                </c:pt>
                <c:pt idx="35">
                  <c:v>645</c:v>
                </c:pt>
                <c:pt idx="36">
                  <c:v>621.5</c:v>
                </c:pt>
                <c:pt idx="37">
                  <c:v>611.4</c:v>
                </c:pt>
                <c:pt idx="38">
                  <c:v>596.4</c:v>
                </c:pt>
                <c:pt idx="39">
                  <c:v>566.6</c:v>
                </c:pt>
                <c:pt idx="40">
                  <c:v>542.5</c:v>
                </c:pt>
                <c:pt idx="41">
                  <c:v>529.70000000000005</c:v>
                </c:pt>
                <c:pt idx="42">
                  <c:v>520.6</c:v>
                </c:pt>
                <c:pt idx="43">
                  <c:v>496</c:v>
                </c:pt>
                <c:pt idx="44">
                  <c:v>484.1</c:v>
                </c:pt>
                <c:pt idx="45">
                  <c:v>476.2</c:v>
                </c:pt>
                <c:pt idx="46">
                  <c:v>461.9</c:v>
                </c:pt>
                <c:pt idx="47">
                  <c:v>455.6</c:v>
                </c:pt>
                <c:pt idx="48">
                  <c:v>444.6</c:v>
                </c:pt>
                <c:pt idx="49">
                  <c:v>415.5</c:v>
                </c:pt>
                <c:pt idx="50">
                  <c:v>409.5</c:v>
                </c:pt>
                <c:pt idx="51">
                  <c:v>402.8</c:v>
                </c:pt>
                <c:pt idx="52">
                  <c:v>397.3</c:v>
                </c:pt>
                <c:pt idx="53">
                  <c:v>382.6</c:v>
                </c:pt>
                <c:pt idx="54">
                  <c:v>377.7</c:v>
                </c:pt>
                <c:pt idx="55">
                  <c:v>369.4</c:v>
                </c:pt>
                <c:pt idx="56">
                  <c:v>361.5</c:v>
                </c:pt>
                <c:pt idx="57">
                  <c:v>359.4</c:v>
                </c:pt>
                <c:pt idx="58">
                  <c:v>342.2</c:v>
                </c:pt>
                <c:pt idx="59">
                  <c:v>339.2</c:v>
                </c:pt>
                <c:pt idx="60">
                  <c:v>331.6</c:v>
                </c:pt>
                <c:pt idx="61">
                  <c:v>321</c:v>
                </c:pt>
                <c:pt idx="62">
                  <c:v>319.60000000000002</c:v>
                </c:pt>
                <c:pt idx="63">
                  <c:v>309.8</c:v>
                </c:pt>
                <c:pt idx="64">
                  <c:v>300.5</c:v>
                </c:pt>
                <c:pt idx="65">
                  <c:v>297.60000000000002</c:v>
                </c:pt>
                <c:pt idx="66">
                  <c:v>291.5</c:v>
                </c:pt>
                <c:pt idx="67">
                  <c:v>282.39999999999998</c:v>
                </c:pt>
                <c:pt idx="68">
                  <c:v>279.8</c:v>
                </c:pt>
                <c:pt idx="69">
                  <c:v>282.3</c:v>
                </c:pt>
                <c:pt idx="70">
                  <c:v>268</c:v>
                </c:pt>
                <c:pt idx="71">
                  <c:v>272</c:v>
                </c:pt>
                <c:pt idx="72">
                  <c:v>271.60000000000002</c:v>
                </c:pt>
                <c:pt idx="73">
                  <c:v>263.7</c:v>
                </c:pt>
                <c:pt idx="74">
                  <c:v>260.39999999999998</c:v>
                </c:pt>
                <c:pt idx="75">
                  <c:v>254.5</c:v>
                </c:pt>
                <c:pt idx="76">
                  <c:v>253.4</c:v>
                </c:pt>
                <c:pt idx="77">
                  <c:v>246.7</c:v>
                </c:pt>
                <c:pt idx="78">
                  <c:v>226.36</c:v>
                </c:pt>
                <c:pt idx="79">
                  <c:v>200.04</c:v>
                </c:pt>
                <c:pt idx="80">
                  <c:v>180.82</c:v>
                </c:pt>
                <c:pt idx="81">
                  <c:v>161.66999999999999</c:v>
                </c:pt>
                <c:pt idx="82">
                  <c:v>150.12</c:v>
                </c:pt>
                <c:pt idx="83">
                  <c:v>137.37</c:v>
                </c:pt>
                <c:pt idx="84">
                  <c:v>129.44</c:v>
                </c:pt>
                <c:pt idx="85">
                  <c:v>122.03</c:v>
                </c:pt>
                <c:pt idx="86">
                  <c:v>115.39</c:v>
                </c:pt>
                <c:pt idx="87">
                  <c:v>109.63</c:v>
                </c:pt>
                <c:pt idx="88">
                  <c:v>104.14</c:v>
                </c:pt>
                <c:pt idx="89">
                  <c:v>100.71</c:v>
                </c:pt>
                <c:pt idx="90">
                  <c:v>95.62</c:v>
                </c:pt>
                <c:pt idx="91">
                  <c:v>92.86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Data2'!$G$82:$CT$82</c:f>
              <c:numCache>
                <c:formatCode>General</c:formatCode>
                <c:ptCount val="92"/>
                <c:pt idx="0">
                  <c:v>2614</c:v>
                </c:pt>
                <c:pt idx="1">
                  <c:v>2595</c:v>
                </c:pt>
                <c:pt idx="2">
                  <c:v>2654</c:v>
                </c:pt>
                <c:pt idx="3">
                  <c:v>2707</c:v>
                </c:pt>
                <c:pt idx="4">
                  <c:v>2608</c:v>
                </c:pt>
                <c:pt idx="5">
                  <c:v>2612</c:v>
                </c:pt>
                <c:pt idx="6">
                  <c:v>2569</c:v>
                </c:pt>
                <c:pt idx="7">
                  <c:v>2599</c:v>
                </c:pt>
                <c:pt idx="8">
                  <c:v>2675</c:v>
                </c:pt>
                <c:pt idx="9">
                  <c:v>2591</c:v>
                </c:pt>
                <c:pt idx="10">
                  <c:v>2508</c:v>
                </c:pt>
                <c:pt idx="11">
                  <c:v>2814</c:v>
                </c:pt>
                <c:pt idx="12">
                  <c:v>2814</c:v>
                </c:pt>
                <c:pt idx="13">
                  <c:v>2620</c:v>
                </c:pt>
                <c:pt idx="14">
                  <c:v>2619</c:v>
                </c:pt>
                <c:pt idx="15">
                  <c:v>2558</c:v>
                </c:pt>
                <c:pt idx="16">
                  <c:v>2625</c:v>
                </c:pt>
                <c:pt idx="17">
                  <c:v>2484</c:v>
                </c:pt>
                <c:pt idx="18">
                  <c:v>2488</c:v>
                </c:pt>
                <c:pt idx="19">
                  <c:v>2509</c:v>
                </c:pt>
                <c:pt idx="20">
                  <c:v>2481.6999999999998</c:v>
                </c:pt>
                <c:pt idx="21">
                  <c:v>2376.3000000000002</c:v>
                </c:pt>
                <c:pt idx="22">
                  <c:v>2252.9</c:v>
                </c:pt>
                <c:pt idx="23">
                  <c:v>2168.3000000000002</c:v>
                </c:pt>
                <c:pt idx="24">
                  <c:v>2054.5</c:v>
                </c:pt>
                <c:pt idx="25">
                  <c:v>1975.9</c:v>
                </c:pt>
                <c:pt idx="26">
                  <c:v>1873.8</c:v>
                </c:pt>
                <c:pt idx="27">
                  <c:v>1755.6</c:v>
                </c:pt>
                <c:pt idx="28">
                  <c:v>1698.8</c:v>
                </c:pt>
                <c:pt idx="29">
                  <c:v>1617</c:v>
                </c:pt>
                <c:pt idx="30">
                  <c:v>1545</c:v>
                </c:pt>
                <c:pt idx="31">
                  <c:v>1483</c:v>
                </c:pt>
                <c:pt idx="32">
                  <c:v>1416.4</c:v>
                </c:pt>
                <c:pt idx="33">
                  <c:v>1347</c:v>
                </c:pt>
                <c:pt idx="34">
                  <c:v>1311.7</c:v>
                </c:pt>
                <c:pt idx="35">
                  <c:v>1261.7</c:v>
                </c:pt>
                <c:pt idx="36">
                  <c:v>1217.9000000000001</c:v>
                </c:pt>
                <c:pt idx="37">
                  <c:v>1171.8</c:v>
                </c:pt>
                <c:pt idx="38">
                  <c:v>1120.7</c:v>
                </c:pt>
                <c:pt idx="39">
                  <c:v>1083.7</c:v>
                </c:pt>
                <c:pt idx="40">
                  <c:v>1049.7</c:v>
                </c:pt>
                <c:pt idx="41">
                  <c:v>1010.4</c:v>
                </c:pt>
                <c:pt idx="42">
                  <c:v>979.8</c:v>
                </c:pt>
                <c:pt idx="43">
                  <c:v>946.7</c:v>
                </c:pt>
                <c:pt idx="44">
                  <c:v>927.3</c:v>
                </c:pt>
                <c:pt idx="45">
                  <c:v>856.2</c:v>
                </c:pt>
                <c:pt idx="46">
                  <c:v>858</c:v>
                </c:pt>
                <c:pt idx="47">
                  <c:v>844.9</c:v>
                </c:pt>
                <c:pt idx="48">
                  <c:v>804.4</c:v>
                </c:pt>
                <c:pt idx="49">
                  <c:v>789.6</c:v>
                </c:pt>
                <c:pt idx="50">
                  <c:v>764.2</c:v>
                </c:pt>
                <c:pt idx="51">
                  <c:v>738</c:v>
                </c:pt>
                <c:pt idx="52">
                  <c:v>720</c:v>
                </c:pt>
                <c:pt idx="53">
                  <c:v>696.3</c:v>
                </c:pt>
                <c:pt idx="54">
                  <c:v>680.2</c:v>
                </c:pt>
                <c:pt idx="55">
                  <c:v>671.4</c:v>
                </c:pt>
                <c:pt idx="56">
                  <c:v>665.7</c:v>
                </c:pt>
                <c:pt idx="57">
                  <c:v>637.5</c:v>
                </c:pt>
                <c:pt idx="58">
                  <c:v>646</c:v>
                </c:pt>
                <c:pt idx="59">
                  <c:v>606.1</c:v>
                </c:pt>
                <c:pt idx="60">
                  <c:v>586</c:v>
                </c:pt>
                <c:pt idx="61">
                  <c:v>580.9</c:v>
                </c:pt>
                <c:pt idx="62">
                  <c:v>564.4</c:v>
                </c:pt>
                <c:pt idx="63">
                  <c:v>542.5</c:v>
                </c:pt>
                <c:pt idx="64">
                  <c:v>531.79999999999995</c:v>
                </c:pt>
                <c:pt idx="65">
                  <c:v>525.4</c:v>
                </c:pt>
                <c:pt idx="66">
                  <c:v>513.4</c:v>
                </c:pt>
                <c:pt idx="67">
                  <c:v>507.5</c:v>
                </c:pt>
                <c:pt idx="68">
                  <c:v>500.6</c:v>
                </c:pt>
                <c:pt idx="69">
                  <c:v>479.2</c:v>
                </c:pt>
                <c:pt idx="70">
                  <c:v>479</c:v>
                </c:pt>
                <c:pt idx="71">
                  <c:v>470.6</c:v>
                </c:pt>
                <c:pt idx="72">
                  <c:v>455.6</c:v>
                </c:pt>
                <c:pt idx="73">
                  <c:v>449.8</c:v>
                </c:pt>
                <c:pt idx="74">
                  <c:v>448.4</c:v>
                </c:pt>
                <c:pt idx="75">
                  <c:v>430.6</c:v>
                </c:pt>
                <c:pt idx="76">
                  <c:v>429.1</c:v>
                </c:pt>
                <c:pt idx="77">
                  <c:v>417.5</c:v>
                </c:pt>
                <c:pt idx="78">
                  <c:v>380.66</c:v>
                </c:pt>
                <c:pt idx="79">
                  <c:v>326.12</c:v>
                </c:pt>
                <c:pt idx="80">
                  <c:v>287.45</c:v>
                </c:pt>
                <c:pt idx="81">
                  <c:v>254.78</c:v>
                </c:pt>
                <c:pt idx="82">
                  <c:v>229.7</c:v>
                </c:pt>
                <c:pt idx="83">
                  <c:v>210.77</c:v>
                </c:pt>
                <c:pt idx="84">
                  <c:v>194.77</c:v>
                </c:pt>
                <c:pt idx="85">
                  <c:v>181.06</c:v>
                </c:pt>
                <c:pt idx="86">
                  <c:v>167.97</c:v>
                </c:pt>
                <c:pt idx="87">
                  <c:v>157.38</c:v>
                </c:pt>
                <c:pt idx="88">
                  <c:v>148.25</c:v>
                </c:pt>
                <c:pt idx="89">
                  <c:v>138.83000000000001</c:v>
                </c:pt>
                <c:pt idx="90">
                  <c:v>134.29</c:v>
                </c:pt>
                <c:pt idx="91">
                  <c:v>126.57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Data2'!$G$83:$CT$83</c:f>
              <c:numCache>
                <c:formatCode>General</c:formatCode>
                <c:ptCount val="92"/>
                <c:pt idx="0">
                  <c:v>1315</c:v>
                </c:pt>
                <c:pt idx="1">
                  <c:v>1325</c:v>
                </c:pt>
                <c:pt idx="2">
                  <c:v>1378</c:v>
                </c:pt>
                <c:pt idx="3">
                  <c:v>1374</c:v>
                </c:pt>
                <c:pt idx="4">
                  <c:v>1321</c:v>
                </c:pt>
                <c:pt idx="5">
                  <c:v>1297</c:v>
                </c:pt>
                <c:pt idx="6">
                  <c:v>1297</c:v>
                </c:pt>
                <c:pt idx="7">
                  <c:v>1306</c:v>
                </c:pt>
                <c:pt idx="8">
                  <c:v>1312</c:v>
                </c:pt>
                <c:pt idx="9">
                  <c:v>1266</c:v>
                </c:pt>
                <c:pt idx="10">
                  <c:v>1284</c:v>
                </c:pt>
                <c:pt idx="11">
                  <c:v>1283</c:v>
                </c:pt>
                <c:pt idx="12">
                  <c:v>1294</c:v>
                </c:pt>
                <c:pt idx="13">
                  <c:v>1250</c:v>
                </c:pt>
                <c:pt idx="14">
                  <c:v>1297</c:v>
                </c:pt>
                <c:pt idx="15">
                  <c:v>1284</c:v>
                </c:pt>
                <c:pt idx="16">
                  <c:v>1305</c:v>
                </c:pt>
                <c:pt idx="17">
                  <c:v>1274</c:v>
                </c:pt>
                <c:pt idx="18">
                  <c:v>1246</c:v>
                </c:pt>
                <c:pt idx="19">
                  <c:v>1246</c:v>
                </c:pt>
                <c:pt idx="20">
                  <c:v>1235.9000000000001</c:v>
                </c:pt>
                <c:pt idx="21">
                  <c:v>1184.5</c:v>
                </c:pt>
                <c:pt idx="22">
                  <c:v>1129.2</c:v>
                </c:pt>
                <c:pt idx="23">
                  <c:v>1102.5999999999999</c:v>
                </c:pt>
                <c:pt idx="24">
                  <c:v>1055.2</c:v>
                </c:pt>
                <c:pt idx="25">
                  <c:v>991</c:v>
                </c:pt>
                <c:pt idx="26">
                  <c:v>954.6</c:v>
                </c:pt>
                <c:pt idx="27">
                  <c:v>899.6</c:v>
                </c:pt>
                <c:pt idx="28">
                  <c:v>880.6</c:v>
                </c:pt>
                <c:pt idx="29">
                  <c:v>852.9</c:v>
                </c:pt>
                <c:pt idx="30">
                  <c:v>808.3</c:v>
                </c:pt>
                <c:pt idx="31">
                  <c:v>784.7</c:v>
                </c:pt>
                <c:pt idx="32">
                  <c:v>754.2</c:v>
                </c:pt>
                <c:pt idx="33">
                  <c:v>726.2</c:v>
                </c:pt>
                <c:pt idx="34">
                  <c:v>717.1</c:v>
                </c:pt>
                <c:pt idx="35">
                  <c:v>678.1</c:v>
                </c:pt>
                <c:pt idx="36">
                  <c:v>651.9</c:v>
                </c:pt>
                <c:pt idx="37">
                  <c:v>632.70000000000005</c:v>
                </c:pt>
                <c:pt idx="38">
                  <c:v>603</c:v>
                </c:pt>
                <c:pt idx="39">
                  <c:v>587.79999999999995</c:v>
                </c:pt>
                <c:pt idx="40">
                  <c:v>574.79999999999995</c:v>
                </c:pt>
                <c:pt idx="41">
                  <c:v>560.29999999999995</c:v>
                </c:pt>
                <c:pt idx="42">
                  <c:v>536.5</c:v>
                </c:pt>
                <c:pt idx="43">
                  <c:v>513.5</c:v>
                </c:pt>
                <c:pt idx="44">
                  <c:v>511.2</c:v>
                </c:pt>
                <c:pt idx="45">
                  <c:v>500</c:v>
                </c:pt>
                <c:pt idx="46">
                  <c:v>484.2</c:v>
                </c:pt>
                <c:pt idx="47">
                  <c:v>474.1</c:v>
                </c:pt>
                <c:pt idx="48">
                  <c:v>454.8</c:v>
                </c:pt>
                <c:pt idx="49">
                  <c:v>447.3</c:v>
                </c:pt>
                <c:pt idx="50">
                  <c:v>445.8</c:v>
                </c:pt>
                <c:pt idx="51">
                  <c:v>430.1</c:v>
                </c:pt>
                <c:pt idx="52">
                  <c:v>422.5</c:v>
                </c:pt>
                <c:pt idx="53">
                  <c:v>406.4</c:v>
                </c:pt>
                <c:pt idx="54">
                  <c:v>395.1</c:v>
                </c:pt>
                <c:pt idx="55">
                  <c:v>389.3</c:v>
                </c:pt>
                <c:pt idx="56">
                  <c:v>389.1</c:v>
                </c:pt>
                <c:pt idx="57">
                  <c:v>371</c:v>
                </c:pt>
                <c:pt idx="58">
                  <c:v>364.8</c:v>
                </c:pt>
                <c:pt idx="59">
                  <c:v>359.4</c:v>
                </c:pt>
                <c:pt idx="60">
                  <c:v>355</c:v>
                </c:pt>
                <c:pt idx="61">
                  <c:v>339.9</c:v>
                </c:pt>
                <c:pt idx="62">
                  <c:v>339.9</c:v>
                </c:pt>
                <c:pt idx="63">
                  <c:v>331.4</c:v>
                </c:pt>
                <c:pt idx="64">
                  <c:v>328.3</c:v>
                </c:pt>
                <c:pt idx="65">
                  <c:v>320.8</c:v>
                </c:pt>
                <c:pt idx="66">
                  <c:v>314.2</c:v>
                </c:pt>
                <c:pt idx="67">
                  <c:v>304.2</c:v>
                </c:pt>
                <c:pt idx="68">
                  <c:v>295.8</c:v>
                </c:pt>
                <c:pt idx="69">
                  <c:v>307.10000000000002</c:v>
                </c:pt>
                <c:pt idx="70">
                  <c:v>290.7</c:v>
                </c:pt>
                <c:pt idx="71">
                  <c:v>290.60000000000002</c:v>
                </c:pt>
                <c:pt idx="72">
                  <c:v>279.3</c:v>
                </c:pt>
                <c:pt idx="73">
                  <c:v>272.39999999999998</c:v>
                </c:pt>
                <c:pt idx="74">
                  <c:v>279.89999999999998</c:v>
                </c:pt>
                <c:pt idx="75">
                  <c:v>270.2</c:v>
                </c:pt>
                <c:pt idx="76">
                  <c:v>260.8</c:v>
                </c:pt>
                <c:pt idx="77">
                  <c:v>270.39999999999998</c:v>
                </c:pt>
                <c:pt idx="78">
                  <c:v>243.19</c:v>
                </c:pt>
                <c:pt idx="79">
                  <c:v>217.05</c:v>
                </c:pt>
                <c:pt idx="80">
                  <c:v>194.29</c:v>
                </c:pt>
                <c:pt idx="81">
                  <c:v>179.23</c:v>
                </c:pt>
                <c:pt idx="82">
                  <c:v>166.47</c:v>
                </c:pt>
                <c:pt idx="83">
                  <c:v>153.77000000000001</c:v>
                </c:pt>
                <c:pt idx="84">
                  <c:v>143.08000000000001</c:v>
                </c:pt>
                <c:pt idx="85">
                  <c:v>137.35</c:v>
                </c:pt>
                <c:pt idx="86">
                  <c:v>129.46</c:v>
                </c:pt>
                <c:pt idx="87">
                  <c:v>122.86</c:v>
                </c:pt>
                <c:pt idx="88">
                  <c:v>117.55</c:v>
                </c:pt>
                <c:pt idx="89">
                  <c:v>112.72</c:v>
                </c:pt>
                <c:pt idx="90">
                  <c:v>106.93</c:v>
                </c:pt>
                <c:pt idx="91">
                  <c:v>104.25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Data2'!$G$84:$CT$84</c:f>
              <c:numCache>
                <c:formatCode>General</c:formatCode>
                <c:ptCount val="92"/>
                <c:pt idx="0">
                  <c:v>53</c:v>
                </c:pt>
                <c:pt idx="1">
                  <c:v>64</c:v>
                </c:pt>
                <c:pt idx="2">
                  <c:v>53</c:v>
                </c:pt>
                <c:pt idx="3">
                  <c:v>60</c:v>
                </c:pt>
                <c:pt idx="4">
                  <c:v>50</c:v>
                </c:pt>
                <c:pt idx="5">
                  <c:v>50</c:v>
                </c:pt>
                <c:pt idx="6">
                  <c:v>53</c:v>
                </c:pt>
                <c:pt idx="7">
                  <c:v>61</c:v>
                </c:pt>
                <c:pt idx="8">
                  <c:v>54</c:v>
                </c:pt>
                <c:pt idx="9">
                  <c:v>62</c:v>
                </c:pt>
                <c:pt idx="10">
                  <c:v>62</c:v>
                </c:pt>
                <c:pt idx="11">
                  <c:v>53</c:v>
                </c:pt>
                <c:pt idx="12">
                  <c:v>60</c:v>
                </c:pt>
                <c:pt idx="13">
                  <c:v>55</c:v>
                </c:pt>
                <c:pt idx="14">
                  <c:v>66</c:v>
                </c:pt>
                <c:pt idx="15">
                  <c:v>55</c:v>
                </c:pt>
                <c:pt idx="16">
                  <c:v>53</c:v>
                </c:pt>
                <c:pt idx="17">
                  <c:v>63</c:v>
                </c:pt>
                <c:pt idx="18">
                  <c:v>57</c:v>
                </c:pt>
                <c:pt idx="19">
                  <c:v>44</c:v>
                </c:pt>
                <c:pt idx="20">
                  <c:v>57.2</c:v>
                </c:pt>
                <c:pt idx="21">
                  <c:v>56.4</c:v>
                </c:pt>
                <c:pt idx="22">
                  <c:v>56.9</c:v>
                </c:pt>
                <c:pt idx="23">
                  <c:v>54.3</c:v>
                </c:pt>
                <c:pt idx="24">
                  <c:v>57.3</c:v>
                </c:pt>
                <c:pt idx="25">
                  <c:v>59.6</c:v>
                </c:pt>
                <c:pt idx="26">
                  <c:v>53.6</c:v>
                </c:pt>
                <c:pt idx="27">
                  <c:v>50</c:v>
                </c:pt>
                <c:pt idx="28">
                  <c:v>51.7</c:v>
                </c:pt>
                <c:pt idx="29">
                  <c:v>48.5</c:v>
                </c:pt>
                <c:pt idx="30">
                  <c:v>49.5</c:v>
                </c:pt>
                <c:pt idx="31">
                  <c:v>50</c:v>
                </c:pt>
                <c:pt idx="32">
                  <c:v>48.1</c:v>
                </c:pt>
                <c:pt idx="33">
                  <c:v>48.1</c:v>
                </c:pt>
                <c:pt idx="34">
                  <c:v>47</c:v>
                </c:pt>
                <c:pt idx="35">
                  <c:v>44.4</c:v>
                </c:pt>
                <c:pt idx="36">
                  <c:v>44.4</c:v>
                </c:pt>
                <c:pt idx="37">
                  <c:v>47.2</c:v>
                </c:pt>
                <c:pt idx="38">
                  <c:v>48.1</c:v>
                </c:pt>
                <c:pt idx="39">
                  <c:v>46.2</c:v>
                </c:pt>
                <c:pt idx="40">
                  <c:v>47</c:v>
                </c:pt>
                <c:pt idx="41">
                  <c:v>45.1</c:v>
                </c:pt>
                <c:pt idx="42">
                  <c:v>44.5</c:v>
                </c:pt>
                <c:pt idx="43">
                  <c:v>44.3</c:v>
                </c:pt>
                <c:pt idx="44">
                  <c:v>44.1</c:v>
                </c:pt>
                <c:pt idx="45">
                  <c:v>40.9</c:v>
                </c:pt>
                <c:pt idx="46">
                  <c:v>43.1</c:v>
                </c:pt>
                <c:pt idx="47">
                  <c:v>41</c:v>
                </c:pt>
                <c:pt idx="48">
                  <c:v>40.200000000000003</c:v>
                </c:pt>
                <c:pt idx="49">
                  <c:v>39.700000000000003</c:v>
                </c:pt>
                <c:pt idx="50">
                  <c:v>41</c:v>
                </c:pt>
                <c:pt idx="51">
                  <c:v>39.799999999999997</c:v>
                </c:pt>
                <c:pt idx="52">
                  <c:v>39.4</c:v>
                </c:pt>
                <c:pt idx="53">
                  <c:v>39.700000000000003</c:v>
                </c:pt>
                <c:pt idx="54">
                  <c:v>40</c:v>
                </c:pt>
                <c:pt idx="55">
                  <c:v>38.4</c:v>
                </c:pt>
                <c:pt idx="56">
                  <c:v>37.299999999999997</c:v>
                </c:pt>
                <c:pt idx="57">
                  <c:v>37.9</c:v>
                </c:pt>
                <c:pt idx="58">
                  <c:v>39.799999999999997</c:v>
                </c:pt>
                <c:pt idx="59">
                  <c:v>36.200000000000003</c:v>
                </c:pt>
                <c:pt idx="60">
                  <c:v>36.700000000000003</c:v>
                </c:pt>
                <c:pt idx="61">
                  <c:v>36.799999999999997</c:v>
                </c:pt>
                <c:pt idx="62">
                  <c:v>37.299999999999997</c:v>
                </c:pt>
                <c:pt idx="63">
                  <c:v>37.9</c:v>
                </c:pt>
                <c:pt idx="64">
                  <c:v>36.700000000000003</c:v>
                </c:pt>
                <c:pt idx="65">
                  <c:v>37.799999999999997</c:v>
                </c:pt>
                <c:pt idx="66">
                  <c:v>36.200000000000003</c:v>
                </c:pt>
                <c:pt idx="67">
                  <c:v>40.5</c:v>
                </c:pt>
                <c:pt idx="68">
                  <c:v>36.799999999999997</c:v>
                </c:pt>
                <c:pt idx="69">
                  <c:v>37.9</c:v>
                </c:pt>
                <c:pt idx="70">
                  <c:v>36.799999999999997</c:v>
                </c:pt>
                <c:pt idx="71">
                  <c:v>33.799999999999997</c:v>
                </c:pt>
                <c:pt idx="72">
                  <c:v>34.9</c:v>
                </c:pt>
                <c:pt idx="73">
                  <c:v>36.700000000000003</c:v>
                </c:pt>
                <c:pt idx="74">
                  <c:v>35.9</c:v>
                </c:pt>
                <c:pt idx="75">
                  <c:v>36.1</c:v>
                </c:pt>
                <c:pt idx="76">
                  <c:v>33.700000000000003</c:v>
                </c:pt>
                <c:pt idx="77">
                  <c:v>33.799999999999997</c:v>
                </c:pt>
                <c:pt idx="78">
                  <c:v>33.869999999999997</c:v>
                </c:pt>
                <c:pt idx="79">
                  <c:v>32.79</c:v>
                </c:pt>
                <c:pt idx="80">
                  <c:v>32.659999999999997</c:v>
                </c:pt>
                <c:pt idx="81">
                  <c:v>31.71</c:v>
                </c:pt>
                <c:pt idx="82">
                  <c:v>31.09</c:v>
                </c:pt>
                <c:pt idx="83">
                  <c:v>30.14</c:v>
                </c:pt>
                <c:pt idx="84">
                  <c:v>29.55</c:v>
                </c:pt>
                <c:pt idx="85">
                  <c:v>29.48</c:v>
                </c:pt>
                <c:pt idx="86">
                  <c:v>29.55</c:v>
                </c:pt>
                <c:pt idx="87">
                  <c:v>28.68</c:v>
                </c:pt>
                <c:pt idx="88">
                  <c:v>28.65</c:v>
                </c:pt>
                <c:pt idx="89">
                  <c:v>27.84</c:v>
                </c:pt>
                <c:pt idx="90">
                  <c:v>27.98</c:v>
                </c:pt>
                <c:pt idx="91">
                  <c:v>27.65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Data2'!$G$85:$CT$85</c:f>
              <c:numCache>
                <c:formatCode>General</c:formatCode>
                <c:ptCount val="92"/>
                <c:pt idx="0">
                  <c:v>1157</c:v>
                </c:pt>
                <c:pt idx="1">
                  <c:v>1184</c:v>
                </c:pt>
                <c:pt idx="2">
                  <c:v>1107</c:v>
                </c:pt>
                <c:pt idx="3">
                  <c:v>1186</c:v>
                </c:pt>
                <c:pt idx="4">
                  <c:v>1183</c:v>
                </c:pt>
                <c:pt idx="5">
                  <c:v>1172</c:v>
                </c:pt>
                <c:pt idx="6">
                  <c:v>1166</c:v>
                </c:pt>
                <c:pt idx="7">
                  <c:v>1168</c:v>
                </c:pt>
                <c:pt idx="8">
                  <c:v>1179</c:v>
                </c:pt>
                <c:pt idx="9">
                  <c:v>1197</c:v>
                </c:pt>
                <c:pt idx="10">
                  <c:v>1190</c:v>
                </c:pt>
                <c:pt idx="11">
                  <c:v>1178</c:v>
                </c:pt>
                <c:pt idx="12">
                  <c:v>1154</c:v>
                </c:pt>
                <c:pt idx="13">
                  <c:v>1154</c:v>
                </c:pt>
                <c:pt idx="14">
                  <c:v>1153</c:v>
                </c:pt>
                <c:pt idx="15">
                  <c:v>1151</c:v>
                </c:pt>
                <c:pt idx="16">
                  <c:v>1119</c:v>
                </c:pt>
                <c:pt idx="17">
                  <c:v>1126</c:v>
                </c:pt>
                <c:pt idx="18">
                  <c:v>1082</c:v>
                </c:pt>
                <c:pt idx="19">
                  <c:v>1126</c:v>
                </c:pt>
                <c:pt idx="20">
                  <c:v>1101.5</c:v>
                </c:pt>
                <c:pt idx="21">
                  <c:v>1064.8</c:v>
                </c:pt>
                <c:pt idx="22">
                  <c:v>1023.9</c:v>
                </c:pt>
                <c:pt idx="23">
                  <c:v>969</c:v>
                </c:pt>
                <c:pt idx="24">
                  <c:v>933</c:v>
                </c:pt>
                <c:pt idx="25">
                  <c:v>874.7</c:v>
                </c:pt>
                <c:pt idx="26">
                  <c:v>848.9</c:v>
                </c:pt>
                <c:pt idx="27">
                  <c:v>804.1</c:v>
                </c:pt>
                <c:pt idx="28">
                  <c:v>762.2</c:v>
                </c:pt>
                <c:pt idx="29">
                  <c:v>731.8</c:v>
                </c:pt>
                <c:pt idx="30">
                  <c:v>705.7</c:v>
                </c:pt>
                <c:pt idx="31">
                  <c:v>680.1</c:v>
                </c:pt>
                <c:pt idx="32">
                  <c:v>646.4</c:v>
                </c:pt>
                <c:pt idx="33">
                  <c:v>615.20000000000005</c:v>
                </c:pt>
                <c:pt idx="34">
                  <c:v>595.70000000000005</c:v>
                </c:pt>
                <c:pt idx="35">
                  <c:v>575.9</c:v>
                </c:pt>
                <c:pt idx="36">
                  <c:v>563.6</c:v>
                </c:pt>
                <c:pt idx="37">
                  <c:v>537.29999999999995</c:v>
                </c:pt>
                <c:pt idx="38">
                  <c:v>513.29999999999995</c:v>
                </c:pt>
                <c:pt idx="39">
                  <c:v>496.1</c:v>
                </c:pt>
                <c:pt idx="40">
                  <c:v>478.5</c:v>
                </c:pt>
                <c:pt idx="41">
                  <c:v>465.2</c:v>
                </c:pt>
                <c:pt idx="42">
                  <c:v>462</c:v>
                </c:pt>
                <c:pt idx="43">
                  <c:v>444.3</c:v>
                </c:pt>
                <c:pt idx="44">
                  <c:v>423.4</c:v>
                </c:pt>
                <c:pt idx="45">
                  <c:v>422.3</c:v>
                </c:pt>
                <c:pt idx="46">
                  <c:v>397.2</c:v>
                </c:pt>
                <c:pt idx="47">
                  <c:v>387.2</c:v>
                </c:pt>
                <c:pt idx="48">
                  <c:v>376.4</c:v>
                </c:pt>
                <c:pt idx="49">
                  <c:v>369.2</c:v>
                </c:pt>
                <c:pt idx="50">
                  <c:v>349.6</c:v>
                </c:pt>
                <c:pt idx="51">
                  <c:v>348.6</c:v>
                </c:pt>
                <c:pt idx="52">
                  <c:v>341.3</c:v>
                </c:pt>
                <c:pt idx="53">
                  <c:v>334.1</c:v>
                </c:pt>
                <c:pt idx="54">
                  <c:v>319.10000000000002</c:v>
                </c:pt>
                <c:pt idx="55">
                  <c:v>309.7</c:v>
                </c:pt>
                <c:pt idx="56">
                  <c:v>305.2</c:v>
                </c:pt>
                <c:pt idx="57">
                  <c:v>297.60000000000002</c:v>
                </c:pt>
                <c:pt idx="58">
                  <c:v>289.10000000000002</c:v>
                </c:pt>
                <c:pt idx="59">
                  <c:v>288.8</c:v>
                </c:pt>
                <c:pt idx="60">
                  <c:v>280.89999999999998</c:v>
                </c:pt>
                <c:pt idx="61">
                  <c:v>267.89999999999998</c:v>
                </c:pt>
                <c:pt idx="62">
                  <c:v>268.3</c:v>
                </c:pt>
                <c:pt idx="63">
                  <c:v>266.3</c:v>
                </c:pt>
                <c:pt idx="64">
                  <c:v>258.89999999999998</c:v>
                </c:pt>
                <c:pt idx="65">
                  <c:v>252.3</c:v>
                </c:pt>
                <c:pt idx="66">
                  <c:v>246.8</c:v>
                </c:pt>
                <c:pt idx="67">
                  <c:v>239.1</c:v>
                </c:pt>
                <c:pt idx="68">
                  <c:v>238.5</c:v>
                </c:pt>
                <c:pt idx="69">
                  <c:v>229.9</c:v>
                </c:pt>
                <c:pt idx="70">
                  <c:v>227.5</c:v>
                </c:pt>
                <c:pt idx="71">
                  <c:v>230.5</c:v>
                </c:pt>
                <c:pt idx="72">
                  <c:v>218</c:v>
                </c:pt>
                <c:pt idx="73">
                  <c:v>211.8</c:v>
                </c:pt>
                <c:pt idx="74">
                  <c:v>210.6</c:v>
                </c:pt>
                <c:pt idx="75">
                  <c:v>209.5</c:v>
                </c:pt>
                <c:pt idx="76">
                  <c:v>200.1</c:v>
                </c:pt>
                <c:pt idx="77">
                  <c:v>206.2</c:v>
                </c:pt>
                <c:pt idx="78">
                  <c:v>185.33</c:v>
                </c:pt>
                <c:pt idx="79">
                  <c:v>160.47999999999999</c:v>
                </c:pt>
                <c:pt idx="80">
                  <c:v>143.49</c:v>
                </c:pt>
                <c:pt idx="81">
                  <c:v>130.25</c:v>
                </c:pt>
                <c:pt idx="82">
                  <c:v>116.27</c:v>
                </c:pt>
                <c:pt idx="83">
                  <c:v>108.69</c:v>
                </c:pt>
                <c:pt idx="84">
                  <c:v>101.88</c:v>
                </c:pt>
                <c:pt idx="85">
                  <c:v>94.1</c:v>
                </c:pt>
                <c:pt idx="86">
                  <c:v>90.73</c:v>
                </c:pt>
                <c:pt idx="87">
                  <c:v>84.89</c:v>
                </c:pt>
                <c:pt idx="88">
                  <c:v>79.28</c:v>
                </c:pt>
                <c:pt idx="89">
                  <c:v>76.94</c:v>
                </c:pt>
                <c:pt idx="90">
                  <c:v>74.37</c:v>
                </c:pt>
                <c:pt idx="91">
                  <c:v>70.5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Data2'!$G$86:$CT$86</c:f>
              <c:numCache>
                <c:formatCode>General</c:formatCode>
                <c:ptCount val="92"/>
                <c:pt idx="0">
                  <c:v>826</c:v>
                </c:pt>
                <c:pt idx="1">
                  <c:v>808</c:v>
                </c:pt>
                <c:pt idx="2">
                  <c:v>803</c:v>
                </c:pt>
                <c:pt idx="3">
                  <c:v>796</c:v>
                </c:pt>
                <c:pt idx="4">
                  <c:v>802</c:v>
                </c:pt>
                <c:pt idx="5">
                  <c:v>778</c:v>
                </c:pt>
                <c:pt idx="6">
                  <c:v>811</c:v>
                </c:pt>
                <c:pt idx="7">
                  <c:v>840</c:v>
                </c:pt>
                <c:pt idx="8">
                  <c:v>820</c:v>
                </c:pt>
                <c:pt idx="9">
                  <c:v>802</c:v>
                </c:pt>
                <c:pt idx="10">
                  <c:v>818</c:v>
                </c:pt>
                <c:pt idx="11">
                  <c:v>827</c:v>
                </c:pt>
                <c:pt idx="12">
                  <c:v>807</c:v>
                </c:pt>
                <c:pt idx="13">
                  <c:v>793</c:v>
                </c:pt>
                <c:pt idx="14">
                  <c:v>805</c:v>
                </c:pt>
                <c:pt idx="15">
                  <c:v>816</c:v>
                </c:pt>
                <c:pt idx="16">
                  <c:v>804</c:v>
                </c:pt>
                <c:pt idx="17">
                  <c:v>781</c:v>
                </c:pt>
                <c:pt idx="18">
                  <c:v>774</c:v>
                </c:pt>
                <c:pt idx="19">
                  <c:v>791</c:v>
                </c:pt>
                <c:pt idx="20">
                  <c:v>767.6</c:v>
                </c:pt>
                <c:pt idx="21">
                  <c:v>733.2</c:v>
                </c:pt>
                <c:pt idx="22">
                  <c:v>719.6</c:v>
                </c:pt>
                <c:pt idx="23">
                  <c:v>681</c:v>
                </c:pt>
                <c:pt idx="24">
                  <c:v>642.79999999999995</c:v>
                </c:pt>
                <c:pt idx="25">
                  <c:v>613.29999999999995</c:v>
                </c:pt>
                <c:pt idx="26">
                  <c:v>585.20000000000005</c:v>
                </c:pt>
                <c:pt idx="27">
                  <c:v>556.20000000000005</c:v>
                </c:pt>
                <c:pt idx="28">
                  <c:v>534.20000000000005</c:v>
                </c:pt>
                <c:pt idx="29">
                  <c:v>520.4</c:v>
                </c:pt>
                <c:pt idx="30">
                  <c:v>489.6</c:v>
                </c:pt>
                <c:pt idx="31">
                  <c:v>469.6</c:v>
                </c:pt>
                <c:pt idx="32">
                  <c:v>456.4</c:v>
                </c:pt>
                <c:pt idx="33">
                  <c:v>429.2</c:v>
                </c:pt>
                <c:pt idx="34">
                  <c:v>417.8</c:v>
                </c:pt>
                <c:pt idx="35">
                  <c:v>396.6</c:v>
                </c:pt>
                <c:pt idx="36">
                  <c:v>389.6</c:v>
                </c:pt>
                <c:pt idx="37">
                  <c:v>371.6</c:v>
                </c:pt>
                <c:pt idx="38">
                  <c:v>363.5</c:v>
                </c:pt>
                <c:pt idx="39">
                  <c:v>358.3</c:v>
                </c:pt>
                <c:pt idx="40">
                  <c:v>342.5</c:v>
                </c:pt>
                <c:pt idx="41">
                  <c:v>319.8</c:v>
                </c:pt>
                <c:pt idx="42">
                  <c:v>324.60000000000002</c:v>
                </c:pt>
                <c:pt idx="43">
                  <c:v>303.89999999999998</c:v>
                </c:pt>
                <c:pt idx="44">
                  <c:v>300.7</c:v>
                </c:pt>
                <c:pt idx="45">
                  <c:v>291.3</c:v>
                </c:pt>
                <c:pt idx="46">
                  <c:v>286.10000000000002</c:v>
                </c:pt>
                <c:pt idx="47">
                  <c:v>271.39999999999998</c:v>
                </c:pt>
                <c:pt idx="48">
                  <c:v>265.5</c:v>
                </c:pt>
                <c:pt idx="49">
                  <c:v>254.3</c:v>
                </c:pt>
                <c:pt idx="50">
                  <c:v>259.7</c:v>
                </c:pt>
                <c:pt idx="51">
                  <c:v>252.3</c:v>
                </c:pt>
                <c:pt idx="52">
                  <c:v>237.4</c:v>
                </c:pt>
                <c:pt idx="53">
                  <c:v>236</c:v>
                </c:pt>
                <c:pt idx="54">
                  <c:v>225.3</c:v>
                </c:pt>
                <c:pt idx="55">
                  <c:v>230.1</c:v>
                </c:pt>
                <c:pt idx="56">
                  <c:v>220.9</c:v>
                </c:pt>
                <c:pt idx="57">
                  <c:v>212.5</c:v>
                </c:pt>
                <c:pt idx="58">
                  <c:v>208.7</c:v>
                </c:pt>
                <c:pt idx="59">
                  <c:v>206</c:v>
                </c:pt>
                <c:pt idx="60">
                  <c:v>199.1</c:v>
                </c:pt>
                <c:pt idx="61">
                  <c:v>195.7</c:v>
                </c:pt>
                <c:pt idx="62">
                  <c:v>194.2</c:v>
                </c:pt>
                <c:pt idx="63">
                  <c:v>189.5</c:v>
                </c:pt>
                <c:pt idx="64">
                  <c:v>187.8</c:v>
                </c:pt>
                <c:pt idx="65">
                  <c:v>186</c:v>
                </c:pt>
                <c:pt idx="66">
                  <c:v>178.6</c:v>
                </c:pt>
                <c:pt idx="67">
                  <c:v>172.4</c:v>
                </c:pt>
                <c:pt idx="68">
                  <c:v>168.5</c:v>
                </c:pt>
                <c:pt idx="69">
                  <c:v>167.2</c:v>
                </c:pt>
                <c:pt idx="70">
                  <c:v>160.30000000000001</c:v>
                </c:pt>
                <c:pt idx="71">
                  <c:v>165</c:v>
                </c:pt>
                <c:pt idx="72">
                  <c:v>159.4</c:v>
                </c:pt>
                <c:pt idx="73">
                  <c:v>155.5</c:v>
                </c:pt>
                <c:pt idx="74">
                  <c:v>150.19999999999999</c:v>
                </c:pt>
                <c:pt idx="75">
                  <c:v>146</c:v>
                </c:pt>
                <c:pt idx="76">
                  <c:v>146.30000000000001</c:v>
                </c:pt>
                <c:pt idx="77">
                  <c:v>145.80000000000001</c:v>
                </c:pt>
                <c:pt idx="78">
                  <c:v>135.30000000000001</c:v>
                </c:pt>
                <c:pt idx="79">
                  <c:v>116.77</c:v>
                </c:pt>
                <c:pt idx="80">
                  <c:v>105.98</c:v>
                </c:pt>
                <c:pt idx="81">
                  <c:v>95.17</c:v>
                </c:pt>
                <c:pt idx="82">
                  <c:v>87.68</c:v>
                </c:pt>
                <c:pt idx="83">
                  <c:v>81.099999999999994</c:v>
                </c:pt>
                <c:pt idx="84">
                  <c:v>75.680000000000007</c:v>
                </c:pt>
                <c:pt idx="85">
                  <c:v>71.28</c:v>
                </c:pt>
                <c:pt idx="86">
                  <c:v>67.09</c:v>
                </c:pt>
                <c:pt idx="87">
                  <c:v>64.28</c:v>
                </c:pt>
                <c:pt idx="88">
                  <c:v>60.75</c:v>
                </c:pt>
                <c:pt idx="89">
                  <c:v>58.46</c:v>
                </c:pt>
                <c:pt idx="90">
                  <c:v>56.12</c:v>
                </c:pt>
                <c:pt idx="91">
                  <c:v>54.24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Data2'!$G$87:$CT$87</c:f>
              <c:numCache>
                <c:formatCode>General</c:formatCode>
                <c:ptCount val="92"/>
                <c:pt idx="0">
                  <c:v>1198</c:v>
                </c:pt>
                <c:pt idx="1">
                  <c:v>1197</c:v>
                </c:pt>
                <c:pt idx="2">
                  <c:v>1183</c:v>
                </c:pt>
                <c:pt idx="3">
                  <c:v>1208</c:v>
                </c:pt>
                <c:pt idx="4">
                  <c:v>1134</c:v>
                </c:pt>
                <c:pt idx="5">
                  <c:v>1196</c:v>
                </c:pt>
                <c:pt idx="6">
                  <c:v>1223</c:v>
                </c:pt>
                <c:pt idx="7">
                  <c:v>1198</c:v>
                </c:pt>
                <c:pt idx="8">
                  <c:v>1171</c:v>
                </c:pt>
                <c:pt idx="9">
                  <c:v>1166</c:v>
                </c:pt>
                <c:pt idx="10">
                  <c:v>1180</c:v>
                </c:pt>
                <c:pt idx="11">
                  <c:v>1164</c:v>
                </c:pt>
                <c:pt idx="12">
                  <c:v>1135</c:v>
                </c:pt>
                <c:pt idx="13">
                  <c:v>1144</c:v>
                </c:pt>
                <c:pt idx="14">
                  <c:v>1122</c:v>
                </c:pt>
                <c:pt idx="15">
                  <c:v>1151</c:v>
                </c:pt>
                <c:pt idx="16">
                  <c:v>1131</c:v>
                </c:pt>
                <c:pt idx="17">
                  <c:v>1107</c:v>
                </c:pt>
                <c:pt idx="18">
                  <c:v>1095</c:v>
                </c:pt>
                <c:pt idx="19">
                  <c:v>1122</c:v>
                </c:pt>
                <c:pt idx="20">
                  <c:v>1104.4000000000001</c:v>
                </c:pt>
                <c:pt idx="21">
                  <c:v>1073.9000000000001</c:v>
                </c:pt>
                <c:pt idx="22">
                  <c:v>1019.7</c:v>
                </c:pt>
                <c:pt idx="23">
                  <c:v>989.5</c:v>
                </c:pt>
                <c:pt idx="24">
                  <c:v>932.6</c:v>
                </c:pt>
                <c:pt idx="25">
                  <c:v>877.7</c:v>
                </c:pt>
                <c:pt idx="26">
                  <c:v>853</c:v>
                </c:pt>
                <c:pt idx="27">
                  <c:v>803.2</c:v>
                </c:pt>
                <c:pt idx="28">
                  <c:v>777</c:v>
                </c:pt>
                <c:pt idx="29">
                  <c:v>745</c:v>
                </c:pt>
                <c:pt idx="30">
                  <c:v>715.5</c:v>
                </c:pt>
                <c:pt idx="31">
                  <c:v>673.3</c:v>
                </c:pt>
                <c:pt idx="32">
                  <c:v>669.1</c:v>
                </c:pt>
                <c:pt idx="33">
                  <c:v>630</c:v>
                </c:pt>
                <c:pt idx="34">
                  <c:v>598.9</c:v>
                </c:pt>
                <c:pt idx="35">
                  <c:v>588.29999999999995</c:v>
                </c:pt>
                <c:pt idx="36">
                  <c:v>563.9</c:v>
                </c:pt>
                <c:pt idx="37">
                  <c:v>552.9</c:v>
                </c:pt>
                <c:pt idx="38">
                  <c:v>502.1</c:v>
                </c:pt>
                <c:pt idx="39">
                  <c:v>509.8</c:v>
                </c:pt>
                <c:pt idx="40">
                  <c:v>497.5</c:v>
                </c:pt>
                <c:pt idx="41">
                  <c:v>475.3</c:v>
                </c:pt>
                <c:pt idx="42">
                  <c:v>463.4</c:v>
                </c:pt>
                <c:pt idx="43">
                  <c:v>449</c:v>
                </c:pt>
                <c:pt idx="44">
                  <c:v>433.2</c:v>
                </c:pt>
                <c:pt idx="45">
                  <c:v>425.1</c:v>
                </c:pt>
                <c:pt idx="46">
                  <c:v>410.8</c:v>
                </c:pt>
                <c:pt idx="47">
                  <c:v>403.9</c:v>
                </c:pt>
                <c:pt idx="48">
                  <c:v>386.7</c:v>
                </c:pt>
                <c:pt idx="49">
                  <c:v>375.1</c:v>
                </c:pt>
                <c:pt idx="50">
                  <c:v>360.4</c:v>
                </c:pt>
                <c:pt idx="51">
                  <c:v>363</c:v>
                </c:pt>
                <c:pt idx="52">
                  <c:v>344.6</c:v>
                </c:pt>
                <c:pt idx="53">
                  <c:v>345.9</c:v>
                </c:pt>
                <c:pt idx="54">
                  <c:v>328.8</c:v>
                </c:pt>
                <c:pt idx="55">
                  <c:v>325.8</c:v>
                </c:pt>
                <c:pt idx="56">
                  <c:v>317</c:v>
                </c:pt>
                <c:pt idx="57">
                  <c:v>314</c:v>
                </c:pt>
                <c:pt idx="58">
                  <c:v>306.89999999999998</c:v>
                </c:pt>
                <c:pt idx="59">
                  <c:v>301.8</c:v>
                </c:pt>
                <c:pt idx="60">
                  <c:v>295.5</c:v>
                </c:pt>
                <c:pt idx="61">
                  <c:v>279.60000000000002</c:v>
                </c:pt>
                <c:pt idx="62">
                  <c:v>283.10000000000002</c:v>
                </c:pt>
                <c:pt idx="63">
                  <c:v>267.8</c:v>
                </c:pt>
                <c:pt idx="64">
                  <c:v>268.39999999999998</c:v>
                </c:pt>
                <c:pt idx="65">
                  <c:v>261.89999999999998</c:v>
                </c:pt>
                <c:pt idx="66">
                  <c:v>255.4</c:v>
                </c:pt>
                <c:pt idx="67">
                  <c:v>258.8</c:v>
                </c:pt>
                <c:pt idx="68">
                  <c:v>244.9</c:v>
                </c:pt>
                <c:pt idx="69">
                  <c:v>239.4</c:v>
                </c:pt>
                <c:pt idx="70">
                  <c:v>242.9</c:v>
                </c:pt>
                <c:pt idx="71">
                  <c:v>236.3</c:v>
                </c:pt>
                <c:pt idx="72">
                  <c:v>229.8</c:v>
                </c:pt>
                <c:pt idx="73">
                  <c:v>231.8</c:v>
                </c:pt>
                <c:pt idx="74">
                  <c:v>222.5</c:v>
                </c:pt>
                <c:pt idx="75">
                  <c:v>225.9</c:v>
                </c:pt>
                <c:pt idx="76">
                  <c:v>210.9</c:v>
                </c:pt>
                <c:pt idx="77">
                  <c:v>215.8</c:v>
                </c:pt>
                <c:pt idx="78">
                  <c:v>197.61</c:v>
                </c:pt>
                <c:pt idx="79">
                  <c:v>172.35</c:v>
                </c:pt>
                <c:pt idx="80">
                  <c:v>154.11000000000001</c:v>
                </c:pt>
                <c:pt idx="81">
                  <c:v>137.66</c:v>
                </c:pt>
                <c:pt idx="82">
                  <c:v>126.81</c:v>
                </c:pt>
                <c:pt idx="83">
                  <c:v>117.91</c:v>
                </c:pt>
                <c:pt idx="84">
                  <c:v>109.51</c:v>
                </c:pt>
                <c:pt idx="85">
                  <c:v>101.2</c:v>
                </c:pt>
                <c:pt idx="86">
                  <c:v>95.95</c:v>
                </c:pt>
                <c:pt idx="87">
                  <c:v>91.96</c:v>
                </c:pt>
                <c:pt idx="88">
                  <c:v>87.03</c:v>
                </c:pt>
                <c:pt idx="89">
                  <c:v>83.27</c:v>
                </c:pt>
                <c:pt idx="90">
                  <c:v>79.36</c:v>
                </c:pt>
                <c:pt idx="91">
                  <c:v>77.540000000000006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4976"/>
        <c:axId val="46656896"/>
      </c:scatterChart>
      <c:valAx>
        <c:axId val="4665497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656896"/>
        <c:crosses val="autoZero"/>
        <c:crossBetween val="midCat"/>
      </c:valAx>
      <c:valAx>
        <c:axId val="46656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6549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Data'!$A$310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Data2'!$G$88:$CT$88</c:f>
              <c:numCache>
                <c:formatCode>General</c:formatCode>
                <c:ptCount val="92"/>
                <c:pt idx="0">
                  <c:v>1303</c:v>
                </c:pt>
                <c:pt idx="1">
                  <c:v>1331</c:v>
                </c:pt>
                <c:pt idx="2">
                  <c:v>1325</c:v>
                </c:pt>
                <c:pt idx="3">
                  <c:v>1316</c:v>
                </c:pt>
                <c:pt idx="4">
                  <c:v>1291</c:v>
                </c:pt>
                <c:pt idx="5">
                  <c:v>1329</c:v>
                </c:pt>
                <c:pt idx="6">
                  <c:v>1276</c:v>
                </c:pt>
                <c:pt idx="7">
                  <c:v>1315</c:v>
                </c:pt>
                <c:pt idx="8">
                  <c:v>1259</c:v>
                </c:pt>
                <c:pt idx="9">
                  <c:v>1295</c:v>
                </c:pt>
                <c:pt idx="10">
                  <c:v>1255</c:v>
                </c:pt>
                <c:pt idx="11">
                  <c:v>1212</c:v>
                </c:pt>
                <c:pt idx="12">
                  <c:v>1222</c:v>
                </c:pt>
                <c:pt idx="13">
                  <c:v>1239</c:v>
                </c:pt>
                <c:pt idx="14">
                  <c:v>1217</c:v>
                </c:pt>
                <c:pt idx="15">
                  <c:v>1217</c:v>
                </c:pt>
                <c:pt idx="16">
                  <c:v>1232</c:v>
                </c:pt>
                <c:pt idx="17">
                  <c:v>1195</c:v>
                </c:pt>
                <c:pt idx="18">
                  <c:v>1205</c:v>
                </c:pt>
                <c:pt idx="19">
                  <c:v>1177</c:v>
                </c:pt>
                <c:pt idx="20">
                  <c:v>1178</c:v>
                </c:pt>
                <c:pt idx="21">
                  <c:v>1117.2</c:v>
                </c:pt>
                <c:pt idx="22">
                  <c:v>1047.2</c:v>
                </c:pt>
                <c:pt idx="23">
                  <c:v>969.8</c:v>
                </c:pt>
                <c:pt idx="24">
                  <c:v>916.5</c:v>
                </c:pt>
                <c:pt idx="25">
                  <c:v>861</c:v>
                </c:pt>
                <c:pt idx="26">
                  <c:v>820.5</c:v>
                </c:pt>
                <c:pt idx="27">
                  <c:v>785.6</c:v>
                </c:pt>
                <c:pt idx="28">
                  <c:v>727.6</c:v>
                </c:pt>
                <c:pt idx="29">
                  <c:v>699.1</c:v>
                </c:pt>
                <c:pt idx="30">
                  <c:v>661</c:v>
                </c:pt>
                <c:pt idx="31">
                  <c:v>619.70000000000005</c:v>
                </c:pt>
                <c:pt idx="32">
                  <c:v>600.5</c:v>
                </c:pt>
                <c:pt idx="33">
                  <c:v>573.5</c:v>
                </c:pt>
                <c:pt idx="34">
                  <c:v>550.1</c:v>
                </c:pt>
                <c:pt idx="35">
                  <c:v>524.4</c:v>
                </c:pt>
                <c:pt idx="36">
                  <c:v>510.8</c:v>
                </c:pt>
                <c:pt idx="37">
                  <c:v>479.5</c:v>
                </c:pt>
                <c:pt idx="38">
                  <c:v>470</c:v>
                </c:pt>
                <c:pt idx="39">
                  <c:v>444.5</c:v>
                </c:pt>
                <c:pt idx="40">
                  <c:v>434.7</c:v>
                </c:pt>
                <c:pt idx="41">
                  <c:v>421.8</c:v>
                </c:pt>
                <c:pt idx="42">
                  <c:v>401.3</c:v>
                </c:pt>
                <c:pt idx="43">
                  <c:v>396</c:v>
                </c:pt>
                <c:pt idx="44">
                  <c:v>387.6</c:v>
                </c:pt>
                <c:pt idx="45">
                  <c:v>364.6</c:v>
                </c:pt>
                <c:pt idx="46">
                  <c:v>359.8</c:v>
                </c:pt>
                <c:pt idx="47">
                  <c:v>350.9</c:v>
                </c:pt>
                <c:pt idx="48">
                  <c:v>337.4</c:v>
                </c:pt>
                <c:pt idx="49">
                  <c:v>328.1</c:v>
                </c:pt>
                <c:pt idx="50">
                  <c:v>313.8</c:v>
                </c:pt>
                <c:pt idx="51">
                  <c:v>311.8</c:v>
                </c:pt>
                <c:pt idx="52">
                  <c:v>308.3</c:v>
                </c:pt>
                <c:pt idx="53">
                  <c:v>296.7</c:v>
                </c:pt>
                <c:pt idx="54">
                  <c:v>283.89999999999998</c:v>
                </c:pt>
                <c:pt idx="55">
                  <c:v>290.39999999999998</c:v>
                </c:pt>
                <c:pt idx="56">
                  <c:v>280.5</c:v>
                </c:pt>
                <c:pt idx="57">
                  <c:v>268.7</c:v>
                </c:pt>
                <c:pt idx="58">
                  <c:v>265.3</c:v>
                </c:pt>
                <c:pt idx="59">
                  <c:v>261.60000000000002</c:v>
                </c:pt>
                <c:pt idx="60">
                  <c:v>256.10000000000002</c:v>
                </c:pt>
                <c:pt idx="61">
                  <c:v>251</c:v>
                </c:pt>
                <c:pt idx="62">
                  <c:v>242.7</c:v>
                </c:pt>
                <c:pt idx="63">
                  <c:v>242.7</c:v>
                </c:pt>
                <c:pt idx="64">
                  <c:v>234.5</c:v>
                </c:pt>
                <c:pt idx="65">
                  <c:v>234.3</c:v>
                </c:pt>
                <c:pt idx="66">
                  <c:v>227.8</c:v>
                </c:pt>
                <c:pt idx="67">
                  <c:v>218.4</c:v>
                </c:pt>
                <c:pt idx="68">
                  <c:v>216.5</c:v>
                </c:pt>
                <c:pt idx="69">
                  <c:v>220.7</c:v>
                </c:pt>
                <c:pt idx="70">
                  <c:v>211.6</c:v>
                </c:pt>
                <c:pt idx="71">
                  <c:v>208.5</c:v>
                </c:pt>
                <c:pt idx="72">
                  <c:v>202</c:v>
                </c:pt>
                <c:pt idx="73">
                  <c:v>203.9</c:v>
                </c:pt>
                <c:pt idx="74">
                  <c:v>199.2</c:v>
                </c:pt>
                <c:pt idx="75">
                  <c:v>196.5</c:v>
                </c:pt>
                <c:pt idx="76">
                  <c:v>200.1</c:v>
                </c:pt>
                <c:pt idx="77">
                  <c:v>185.9</c:v>
                </c:pt>
                <c:pt idx="78">
                  <c:v>178.04</c:v>
                </c:pt>
                <c:pt idx="79">
                  <c:v>159.47</c:v>
                </c:pt>
                <c:pt idx="80">
                  <c:v>144.66999999999999</c:v>
                </c:pt>
                <c:pt idx="81">
                  <c:v>132.97</c:v>
                </c:pt>
                <c:pt idx="82">
                  <c:v>124.57</c:v>
                </c:pt>
                <c:pt idx="83">
                  <c:v>117.37</c:v>
                </c:pt>
                <c:pt idx="84">
                  <c:v>109.13</c:v>
                </c:pt>
                <c:pt idx="85">
                  <c:v>104.89</c:v>
                </c:pt>
                <c:pt idx="86">
                  <c:v>100.59</c:v>
                </c:pt>
                <c:pt idx="87">
                  <c:v>96.83</c:v>
                </c:pt>
                <c:pt idx="88">
                  <c:v>91.75</c:v>
                </c:pt>
                <c:pt idx="89">
                  <c:v>91.1</c:v>
                </c:pt>
                <c:pt idx="90">
                  <c:v>87.28</c:v>
                </c:pt>
                <c:pt idx="91">
                  <c:v>85.84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Data2'!$G$89:$CT$89</c:f>
              <c:numCache>
                <c:formatCode>General</c:formatCode>
                <c:ptCount val="92"/>
                <c:pt idx="0">
                  <c:v>982</c:v>
                </c:pt>
                <c:pt idx="1">
                  <c:v>1019</c:v>
                </c:pt>
                <c:pt idx="2">
                  <c:v>1050</c:v>
                </c:pt>
                <c:pt idx="3">
                  <c:v>979</c:v>
                </c:pt>
                <c:pt idx="4">
                  <c:v>1021</c:v>
                </c:pt>
                <c:pt idx="5">
                  <c:v>1011</c:v>
                </c:pt>
                <c:pt idx="6">
                  <c:v>1018</c:v>
                </c:pt>
                <c:pt idx="7">
                  <c:v>997</c:v>
                </c:pt>
                <c:pt idx="8">
                  <c:v>1022</c:v>
                </c:pt>
                <c:pt idx="9">
                  <c:v>1005</c:v>
                </c:pt>
                <c:pt idx="10">
                  <c:v>986</c:v>
                </c:pt>
                <c:pt idx="11">
                  <c:v>949</c:v>
                </c:pt>
                <c:pt idx="12">
                  <c:v>1019</c:v>
                </c:pt>
                <c:pt idx="13">
                  <c:v>962</c:v>
                </c:pt>
                <c:pt idx="14">
                  <c:v>972</c:v>
                </c:pt>
                <c:pt idx="15">
                  <c:v>963</c:v>
                </c:pt>
                <c:pt idx="16">
                  <c:v>941</c:v>
                </c:pt>
                <c:pt idx="17">
                  <c:v>968</c:v>
                </c:pt>
                <c:pt idx="18">
                  <c:v>925</c:v>
                </c:pt>
                <c:pt idx="19">
                  <c:v>977</c:v>
                </c:pt>
                <c:pt idx="20">
                  <c:v>908.5</c:v>
                </c:pt>
                <c:pt idx="21">
                  <c:v>875.8</c:v>
                </c:pt>
                <c:pt idx="22">
                  <c:v>817.1</c:v>
                </c:pt>
                <c:pt idx="23">
                  <c:v>780.6</c:v>
                </c:pt>
                <c:pt idx="24">
                  <c:v>737.3</c:v>
                </c:pt>
                <c:pt idx="25">
                  <c:v>690</c:v>
                </c:pt>
                <c:pt idx="26">
                  <c:v>651.6</c:v>
                </c:pt>
                <c:pt idx="27">
                  <c:v>633.70000000000005</c:v>
                </c:pt>
                <c:pt idx="28">
                  <c:v>594.79999999999995</c:v>
                </c:pt>
                <c:pt idx="29">
                  <c:v>568.5</c:v>
                </c:pt>
                <c:pt idx="30">
                  <c:v>532.6</c:v>
                </c:pt>
                <c:pt idx="31">
                  <c:v>511.2</c:v>
                </c:pt>
                <c:pt idx="32">
                  <c:v>482.8</c:v>
                </c:pt>
                <c:pt idx="33">
                  <c:v>476.6</c:v>
                </c:pt>
                <c:pt idx="34">
                  <c:v>450.2</c:v>
                </c:pt>
                <c:pt idx="35">
                  <c:v>432.3</c:v>
                </c:pt>
                <c:pt idx="36">
                  <c:v>423.2</c:v>
                </c:pt>
                <c:pt idx="37">
                  <c:v>398.7</c:v>
                </c:pt>
                <c:pt idx="38">
                  <c:v>388.5</c:v>
                </c:pt>
                <c:pt idx="39">
                  <c:v>375.2</c:v>
                </c:pt>
                <c:pt idx="40">
                  <c:v>362.4</c:v>
                </c:pt>
                <c:pt idx="41">
                  <c:v>351.8</c:v>
                </c:pt>
                <c:pt idx="42">
                  <c:v>341.7</c:v>
                </c:pt>
                <c:pt idx="43">
                  <c:v>325.5</c:v>
                </c:pt>
                <c:pt idx="44">
                  <c:v>316.3</c:v>
                </c:pt>
                <c:pt idx="45">
                  <c:v>303.5</c:v>
                </c:pt>
                <c:pt idx="46">
                  <c:v>300.5</c:v>
                </c:pt>
                <c:pt idx="47">
                  <c:v>289.10000000000002</c:v>
                </c:pt>
                <c:pt idx="48">
                  <c:v>287.8</c:v>
                </c:pt>
                <c:pt idx="49">
                  <c:v>284.8</c:v>
                </c:pt>
                <c:pt idx="50">
                  <c:v>279</c:v>
                </c:pt>
                <c:pt idx="51">
                  <c:v>264.89999999999998</c:v>
                </c:pt>
                <c:pt idx="52">
                  <c:v>264.89999999999998</c:v>
                </c:pt>
                <c:pt idx="53">
                  <c:v>249.9</c:v>
                </c:pt>
                <c:pt idx="54">
                  <c:v>252</c:v>
                </c:pt>
                <c:pt idx="55">
                  <c:v>243</c:v>
                </c:pt>
                <c:pt idx="56">
                  <c:v>229.4</c:v>
                </c:pt>
                <c:pt idx="57">
                  <c:v>228.2</c:v>
                </c:pt>
                <c:pt idx="58">
                  <c:v>231.8</c:v>
                </c:pt>
                <c:pt idx="59">
                  <c:v>230.9</c:v>
                </c:pt>
                <c:pt idx="60">
                  <c:v>216.1</c:v>
                </c:pt>
                <c:pt idx="61">
                  <c:v>220.2</c:v>
                </c:pt>
                <c:pt idx="62">
                  <c:v>207</c:v>
                </c:pt>
                <c:pt idx="63">
                  <c:v>213.3</c:v>
                </c:pt>
                <c:pt idx="64">
                  <c:v>206.5</c:v>
                </c:pt>
                <c:pt idx="65">
                  <c:v>197.1</c:v>
                </c:pt>
                <c:pt idx="66">
                  <c:v>199.5</c:v>
                </c:pt>
                <c:pt idx="67">
                  <c:v>193.3</c:v>
                </c:pt>
                <c:pt idx="68">
                  <c:v>193.7</c:v>
                </c:pt>
                <c:pt idx="69">
                  <c:v>187.7</c:v>
                </c:pt>
                <c:pt idx="70">
                  <c:v>185.6</c:v>
                </c:pt>
                <c:pt idx="71">
                  <c:v>183.2</c:v>
                </c:pt>
                <c:pt idx="72">
                  <c:v>177.8</c:v>
                </c:pt>
                <c:pt idx="73">
                  <c:v>174.2</c:v>
                </c:pt>
                <c:pt idx="74">
                  <c:v>177.3</c:v>
                </c:pt>
                <c:pt idx="75">
                  <c:v>175.9</c:v>
                </c:pt>
                <c:pt idx="76">
                  <c:v>172.1</c:v>
                </c:pt>
                <c:pt idx="77">
                  <c:v>175.6</c:v>
                </c:pt>
                <c:pt idx="78">
                  <c:v>158.66999999999999</c:v>
                </c:pt>
                <c:pt idx="79">
                  <c:v>143.87</c:v>
                </c:pt>
                <c:pt idx="80">
                  <c:v>130.51</c:v>
                </c:pt>
                <c:pt idx="81">
                  <c:v>121.51</c:v>
                </c:pt>
                <c:pt idx="82">
                  <c:v>115.06</c:v>
                </c:pt>
                <c:pt idx="83">
                  <c:v>107.23</c:v>
                </c:pt>
                <c:pt idx="84">
                  <c:v>102.24</c:v>
                </c:pt>
                <c:pt idx="85">
                  <c:v>100.3</c:v>
                </c:pt>
                <c:pt idx="86">
                  <c:v>95.7</c:v>
                </c:pt>
                <c:pt idx="87">
                  <c:v>91.85</c:v>
                </c:pt>
                <c:pt idx="88">
                  <c:v>88.47</c:v>
                </c:pt>
                <c:pt idx="89">
                  <c:v>85.64</c:v>
                </c:pt>
                <c:pt idx="90">
                  <c:v>83.27</c:v>
                </c:pt>
                <c:pt idx="91">
                  <c:v>80.28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Data2'!$G$90:$CT$90</c:f>
              <c:numCache>
                <c:formatCode>General</c:formatCode>
                <c:ptCount val="92"/>
                <c:pt idx="0">
                  <c:v>664</c:v>
                </c:pt>
                <c:pt idx="1">
                  <c:v>657</c:v>
                </c:pt>
                <c:pt idx="2">
                  <c:v>674</c:v>
                </c:pt>
                <c:pt idx="3">
                  <c:v>671</c:v>
                </c:pt>
                <c:pt idx="4">
                  <c:v>640</c:v>
                </c:pt>
                <c:pt idx="5">
                  <c:v>673</c:v>
                </c:pt>
                <c:pt idx="6">
                  <c:v>670</c:v>
                </c:pt>
                <c:pt idx="7">
                  <c:v>646</c:v>
                </c:pt>
                <c:pt idx="8">
                  <c:v>631</c:v>
                </c:pt>
                <c:pt idx="9">
                  <c:v>636</c:v>
                </c:pt>
                <c:pt idx="10">
                  <c:v>675</c:v>
                </c:pt>
                <c:pt idx="11">
                  <c:v>647</c:v>
                </c:pt>
                <c:pt idx="12">
                  <c:v>637</c:v>
                </c:pt>
                <c:pt idx="13">
                  <c:v>632</c:v>
                </c:pt>
                <c:pt idx="14">
                  <c:v>626</c:v>
                </c:pt>
                <c:pt idx="15">
                  <c:v>629</c:v>
                </c:pt>
                <c:pt idx="16">
                  <c:v>612</c:v>
                </c:pt>
                <c:pt idx="17">
                  <c:v>621</c:v>
                </c:pt>
                <c:pt idx="18">
                  <c:v>588</c:v>
                </c:pt>
                <c:pt idx="19">
                  <c:v>613</c:v>
                </c:pt>
                <c:pt idx="20">
                  <c:v>615.70000000000005</c:v>
                </c:pt>
                <c:pt idx="21">
                  <c:v>559.29999999999995</c:v>
                </c:pt>
                <c:pt idx="22">
                  <c:v>540.5</c:v>
                </c:pt>
                <c:pt idx="23">
                  <c:v>499.5</c:v>
                </c:pt>
                <c:pt idx="24">
                  <c:v>483.8</c:v>
                </c:pt>
                <c:pt idx="25">
                  <c:v>457.4</c:v>
                </c:pt>
                <c:pt idx="26">
                  <c:v>418.8</c:v>
                </c:pt>
                <c:pt idx="27">
                  <c:v>406.8</c:v>
                </c:pt>
                <c:pt idx="28">
                  <c:v>385.8</c:v>
                </c:pt>
                <c:pt idx="29">
                  <c:v>365.7</c:v>
                </c:pt>
                <c:pt idx="30">
                  <c:v>350.1</c:v>
                </c:pt>
                <c:pt idx="31">
                  <c:v>334.5</c:v>
                </c:pt>
                <c:pt idx="32">
                  <c:v>323.7</c:v>
                </c:pt>
                <c:pt idx="33">
                  <c:v>303.8</c:v>
                </c:pt>
                <c:pt idx="34">
                  <c:v>289</c:v>
                </c:pt>
                <c:pt idx="35">
                  <c:v>277.5</c:v>
                </c:pt>
                <c:pt idx="36">
                  <c:v>273.8</c:v>
                </c:pt>
                <c:pt idx="37">
                  <c:v>256.39999999999998</c:v>
                </c:pt>
                <c:pt idx="38">
                  <c:v>250.3</c:v>
                </c:pt>
                <c:pt idx="39">
                  <c:v>236.8</c:v>
                </c:pt>
                <c:pt idx="40">
                  <c:v>239.2</c:v>
                </c:pt>
                <c:pt idx="41">
                  <c:v>228.6</c:v>
                </c:pt>
                <c:pt idx="42">
                  <c:v>222.4</c:v>
                </c:pt>
                <c:pt idx="43">
                  <c:v>219.4</c:v>
                </c:pt>
                <c:pt idx="44">
                  <c:v>203.3</c:v>
                </c:pt>
                <c:pt idx="45">
                  <c:v>204.4</c:v>
                </c:pt>
                <c:pt idx="46">
                  <c:v>194.7</c:v>
                </c:pt>
                <c:pt idx="47">
                  <c:v>195.3</c:v>
                </c:pt>
                <c:pt idx="48">
                  <c:v>185.9</c:v>
                </c:pt>
                <c:pt idx="49">
                  <c:v>175.7</c:v>
                </c:pt>
                <c:pt idx="50">
                  <c:v>171.3</c:v>
                </c:pt>
                <c:pt idx="51">
                  <c:v>168.4</c:v>
                </c:pt>
                <c:pt idx="52">
                  <c:v>167.2</c:v>
                </c:pt>
                <c:pt idx="53">
                  <c:v>160.30000000000001</c:v>
                </c:pt>
                <c:pt idx="54">
                  <c:v>158.6</c:v>
                </c:pt>
                <c:pt idx="55">
                  <c:v>155</c:v>
                </c:pt>
                <c:pt idx="56">
                  <c:v>146</c:v>
                </c:pt>
                <c:pt idx="57">
                  <c:v>145.19999999999999</c:v>
                </c:pt>
                <c:pt idx="58">
                  <c:v>142</c:v>
                </c:pt>
                <c:pt idx="59">
                  <c:v>138.1</c:v>
                </c:pt>
                <c:pt idx="60">
                  <c:v>140.69999999999999</c:v>
                </c:pt>
                <c:pt idx="61">
                  <c:v>139.80000000000001</c:v>
                </c:pt>
                <c:pt idx="62">
                  <c:v>135.19999999999999</c:v>
                </c:pt>
                <c:pt idx="63">
                  <c:v>132.5</c:v>
                </c:pt>
                <c:pt idx="64">
                  <c:v>133.80000000000001</c:v>
                </c:pt>
                <c:pt idx="65">
                  <c:v>122.7</c:v>
                </c:pt>
                <c:pt idx="66">
                  <c:v>124.7</c:v>
                </c:pt>
                <c:pt idx="67">
                  <c:v>127.3</c:v>
                </c:pt>
                <c:pt idx="68">
                  <c:v>122.5</c:v>
                </c:pt>
                <c:pt idx="69">
                  <c:v>119.3</c:v>
                </c:pt>
                <c:pt idx="70">
                  <c:v>119.9</c:v>
                </c:pt>
                <c:pt idx="71">
                  <c:v>115.6</c:v>
                </c:pt>
                <c:pt idx="72">
                  <c:v>117.7</c:v>
                </c:pt>
                <c:pt idx="73">
                  <c:v>116</c:v>
                </c:pt>
                <c:pt idx="74">
                  <c:v>113.2</c:v>
                </c:pt>
                <c:pt idx="75">
                  <c:v>111.5</c:v>
                </c:pt>
                <c:pt idx="76">
                  <c:v>108.4</c:v>
                </c:pt>
                <c:pt idx="77">
                  <c:v>108.2</c:v>
                </c:pt>
                <c:pt idx="78">
                  <c:v>100.28</c:v>
                </c:pt>
                <c:pt idx="79">
                  <c:v>90.54</c:v>
                </c:pt>
                <c:pt idx="80">
                  <c:v>83.04</c:v>
                </c:pt>
                <c:pt idx="81">
                  <c:v>77.709999999999994</c:v>
                </c:pt>
                <c:pt idx="82">
                  <c:v>72.42</c:v>
                </c:pt>
                <c:pt idx="83">
                  <c:v>67.290000000000006</c:v>
                </c:pt>
                <c:pt idx="84">
                  <c:v>65.010000000000005</c:v>
                </c:pt>
                <c:pt idx="85">
                  <c:v>61.68</c:v>
                </c:pt>
                <c:pt idx="86">
                  <c:v>59.55</c:v>
                </c:pt>
                <c:pt idx="87">
                  <c:v>57.05</c:v>
                </c:pt>
                <c:pt idx="88">
                  <c:v>56.16</c:v>
                </c:pt>
                <c:pt idx="89">
                  <c:v>53.95</c:v>
                </c:pt>
                <c:pt idx="90">
                  <c:v>53.48</c:v>
                </c:pt>
                <c:pt idx="91">
                  <c:v>51.58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Data2'!$G$91:$CT$91</c:f>
              <c:numCache>
                <c:formatCode>General</c:formatCode>
                <c:ptCount val="92"/>
                <c:pt idx="0">
                  <c:v>968</c:v>
                </c:pt>
                <c:pt idx="1">
                  <c:v>957</c:v>
                </c:pt>
                <c:pt idx="2">
                  <c:v>939</c:v>
                </c:pt>
                <c:pt idx="3">
                  <c:v>958</c:v>
                </c:pt>
                <c:pt idx="4">
                  <c:v>950</c:v>
                </c:pt>
                <c:pt idx="5">
                  <c:v>948</c:v>
                </c:pt>
                <c:pt idx="6">
                  <c:v>956</c:v>
                </c:pt>
                <c:pt idx="7">
                  <c:v>952</c:v>
                </c:pt>
                <c:pt idx="8">
                  <c:v>943</c:v>
                </c:pt>
                <c:pt idx="9">
                  <c:v>960</c:v>
                </c:pt>
                <c:pt idx="10">
                  <c:v>957</c:v>
                </c:pt>
                <c:pt idx="11">
                  <c:v>923</c:v>
                </c:pt>
                <c:pt idx="12">
                  <c:v>895</c:v>
                </c:pt>
                <c:pt idx="13">
                  <c:v>937</c:v>
                </c:pt>
                <c:pt idx="14">
                  <c:v>917</c:v>
                </c:pt>
                <c:pt idx="15">
                  <c:v>906</c:v>
                </c:pt>
                <c:pt idx="16">
                  <c:v>887</c:v>
                </c:pt>
                <c:pt idx="17">
                  <c:v>879</c:v>
                </c:pt>
                <c:pt idx="18">
                  <c:v>925</c:v>
                </c:pt>
                <c:pt idx="19">
                  <c:v>859</c:v>
                </c:pt>
                <c:pt idx="20">
                  <c:v>860.9</c:v>
                </c:pt>
                <c:pt idx="21">
                  <c:v>820.6</c:v>
                </c:pt>
                <c:pt idx="22">
                  <c:v>781.2</c:v>
                </c:pt>
                <c:pt idx="23">
                  <c:v>729.2</c:v>
                </c:pt>
                <c:pt idx="24">
                  <c:v>679.6</c:v>
                </c:pt>
                <c:pt idx="25">
                  <c:v>638.20000000000005</c:v>
                </c:pt>
                <c:pt idx="26">
                  <c:v>628.29999999999995</c:v>
                </c:pt>
                <c:pt idx="27">
                  <c:v>583.6</c:v>
                </c:pt>
                <c:pt idx="28">
                  <c:v>558.70000000000005</c:v>
                </c:pt>
                <c:pt idx="29">
                  <c:v>524.70000000000005</c:v>
                </c:pt>
                <c:pt idx="30">
                  <c:v>501.1</c:v>
                </c:pt>
                <c:pt idx="31">
                  <c:v>479.7</c:v>
                </c:pt>
                <c:pt idx="32">
                  <c:v>450</c:v>
                </c:pt>
                <c:pt idx="33">
                  <c:v>438</c:v>
                </c:pt>
                <c:pt idx="34">
                  <c:v>420</c:v>
                </c:pt>
                <c:pt idx="35">
                  <c:v>392.9</c:v>
                </c:pt>
                <c:pt idx="36">
                  <c:v>409.5</c:v>
                </c:pt>
                <c:pt idx="37">
                  <c:v>362.1</c:v>
                </c:pt>
                <c:pt idx="38">
                  <c:v>354.2</c:v>
                </c:pt>
                <c:pt idx="39">
                  <c:v>341.5</c:v>
                </c:pt>
                <c:pt idx="40">
                  <c:v>321.60000000000002</c:v>
                </c:pt>
                <c:pt idx="41">
                  <c:v>314</c:v>
                </c:pt>
                <c:pt idx="42">
                  <c:v>307.7</c:v>
                </c:pt>
                <c:pt idx="43">
                  <c:v>299.3</c:v>
                </c:pt>
                <c:pt idx="44">
                  <c:v>286.60000000000002</c:v>
                </c:pt>
                <c:pt idx="45">
                  <c:v>278.10000000000002</c:v>
                </c:pt>
                <c:pt idx="46">
                  <c:v>259.7</c:v>
                </c:pt>
                <c:pt idx="47">
                  <c:v>266.8</c:v>
                </c:pt>
                <c:pt idx="48">
                  <c:v>253.7</c:v>
                </c:pt>
                <c:pt idx="49">
                  <c:v>250.7</c:v>
                </c:pt>
                <c:pt idx="50">
                  <c:v>245.7</c:v>
                </c:pt>
                <c:pt idx="51">
                  <c:v>236.7</c:v>
                </c:pt>
                <c:pt idx="52">
                  <c:v>232</c:v>
                </c:pt>
                <c:pt idx="53">
                  <c:v>228.3</c:v>
                </c:pt>
                <c:pt idx="54">
                  <c:v>212.7</c:v>
                </c:pt>
                <c:pt idx="55">
                  <c:v>206.8</c:v>
                </c:pt>
                <c:pt idx="56">
                  <c:v>211.1</c:v>
                </c:pt>
                <c:pt idx="57">
                  <c:v>203.8</c:v>
                </c:pt>
                <c:pt idx="58">
                  <c:v>201.6</c:v>
                </c:pt>
                <c:pt idx="59">
                  <c:v>202</c:v>
                </c:pt>
                <c:pt idx="60">
                  <c:v>192.1</c:v>
                </c:pt>
                <c:pt idx="61">
                  <c:v>186.1</c:v>
                </c:pt>
                <c:pt idx="62">
                  <c:v>183.6</c:v>
                </c:pt>
                <c:pt idx="63">
                  <c:v>179.9</c:v>
                </c:pt>
                <c:pt idx="64">
                  <c:v>180.6</c:v>
                </c:pt>
                <c:pt idx="65">
                  <c:v>149.69999999999999</c:v>
                </c:pt>
                <c:pt idx="66">
                  <c:v>173.5</c:v>
                </c:pt>
                <c:pt idx="67">
                  <c:v>168.5</c:v>
                </c:pt>
                <c:pt idx="68">
                  <c:v>168.1</c:v>
                </c:pt>
                <c:pt idx="69">
                  <c:v>162.4</c:v>
                </c:pt>
                <c:pt idx="70">
                  <c:v>188</c:v>
                </c:pt>
                <c:pt idx="71">
                  <c:v>162.5</c:v>
                </c:pt>
                <c:pt idx="72">
                  <c:v>155</c:v>
                </c:pt>
                <c:pt idx="73">
                  <c:v>154.80000000000001</c:v>
                </c:pt>
                <c:pt idx="74">
                  <c:v>154.30000000000001</c:v>
                </c:pt>
                <c:pt idx="75">
                  <c:v>149.69999999999999</c:v>
                </c:pt>
                <c:pt idx="76">
                  <c:v>146.6</c:v>
                </c:pt>
                <c:pt idx="77">
                  <c:v>139.5</c:v>
                </c:pt>
                <c:pt idx="78">
                  <c:v>135.19999999999999</c:v>
                </c:pt>
                <c:pt idx="79">
                  <c:v>121.42</c:v>
                </c:pt>
                <c:pt idx="80">
                  <c:v>110.11</c:v>
                </c:pt>
                <c:pt idx="81">
                  <c:v>101.34</c:v>
                </c:pt>
                <c:pt idx="82">
                  <c:v>95.37</c:v>
                </c:pt>
                <c:pt idx="83">
                  <c:v>88.22</c:v>
                </c:pt>
                <c:pt idx="84">
                  <c:v>82.66</c:v>
                </c:pt>
                <c:pt idx="85">
                  <c:v>80.66</c:v>
                </c:pt>
                <c:pt idx="86">
                  <c:v>77.59</c:v>
                </c:pt>
                <c:pt idx="87">
                  <c:v>72.69</c:v>
                </c:pt>
                <c:pt idx="88">
                  <c:v>71.150000000000006</c:v>
                </c:pt>
                <c:pt idx="89">
                  <c:v>68.349999999999994</c:v>
                </c:pt>
                <c:pt idx="90">
                  <c:v>66.13</c:v>
                </c:pt>
                <c:pt idx="91">
                  <c:v>64.56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Data2'!$G$92:$CT$92</c:f>
              <c:numCache>
                <c:formatCode>General</c:formatCode>
                <c:ptCount val="92"/>
                <c:pt idx="0">
                  <c:v>1268</c:v>
                </c:pt>
                <c:pt idx="1">
                  <c:v>1217</c:v>
                </c:pt>
                <c:pt idx="2">
                  <c:v>1211</c:v>
                </c:pt>
                <c:pt idx="3">
                  <c:v>1235</c:v>
                </c:pt>
                <c:pt idx="4">
                  <c:v>1216</c:v>
                </c:pt>
                <c:pt idx="5">
                  <c:v>1224</c:v>
                </c:pt>
                <c:pt idx="6">
                  <c:v>1241</c:v>
                </c:pt>
                <c:pt idx="7">
                  <c:v>1178</c:v>
                </c:pt>
                <c:pt idx="8">
                  <c:v>1167</c:v>
                </c:pt>
                <c:pt idx="9">
                  <c:v>1131</c:v>
                </c:pt>
                <c:pt idx="10">
                  <c:v>1195</c:v>
                </c:pt>
                <c:pt idx="11">
                  <c:v>1183</c:v>
                </c:pt>
                <c:pt idx="12">
                  <c:v>1180</c:v>
                </c:pt>
                <c:pt idx="13">
                  <c:v>1173</c:v>
                </c:pt>
                <c:pt idx="14">
                  <c:v>1161</c:v>
                </c:pt>
                <c:pt idx="15">
                  <c:v>1125</c:v>
                </c:pt>
                <c:pt idx="16">
                  <c:v>1098</c:v>
                </c:pt>
                <c:pt idx="17">
                  <c:v>1128</c:v>
                </c:pt>
                <c:pt idx="18">
                  <c:v>1153</c:v>
                </c:pt>
                <c:pt idx="19">
                  <c:v>1140</c:v>
                </c:pt>
                <c:pt idx="20">
                  <c:v>1095.2</c:v>
                </c:pt>
                <c:pt idx="21">
                  <c:v>1018.8</c:v>
                </c:pt>
                <c:pt idx="22">
                  <c:v>966.6</c:v>
                </c:pt>
                <c:pt idx="23">
                  <c:v>909.5</c:v>
                </c:pt>
                <c:pt idx="24">
                  <c:v>865.6</c:v>
                </c:pt>
                <c:pt idx="25">
                  <c:v>810.6</c:v>
                </c:pt>
                <c:pt idx="26">
                  <c:v>759.5</c:v>
                </c:pt>
                <c:pt idx="27">
                  <c:v>720.6</c:v>
                </c:pt>
                <c:pt idx="28">
                  <c:v>676.1</c:v>
                </c:pt>
                <c:pt idx="29">
                  <c:v>652.9</c:v>
                </c:pt>
                <c:pt idx="30">
                  <c:v>595.79999999999995</c:v>
                </c:pt>
                <c:pt idx="31">
                  <c:v>573.4</c:v>
                </c:pt>
                <c:pt idx="32">
                  <c:v>554.4</c:v>
                </c:pt>
                <c:pt idx="33">
                  <c:v>535.79999999999995</c:v>
                </c:pt>
                <c:pt idx="34">
                  <c:v>502.7</c:v>
                </c:pt>
                <c:pt idx="35">
                  <c:v>481.2</c:v>
                </c:pt>
                <c:pt idx="36">
                  <c:v>458.1</c:v>
                </c:pt>
                <c:pt idx="37">
                  <c:v>445.8</c:v>
                </c:pt>
                <c:pt idx="38">
                  <c:v>419.5</c:v>
                </c:pt>
                <c:pt idx="39">
                  <c:v>414.5</c:v>
                </c:pt>
                <c:pt idx="40">
                  <c:v>391.8</c:v>
                </c:pt>
                <c:pt idx="41">
                  <c:v>384.4</c:v>
                </c:pt>
                <c:pt idx="42">
                  <c:v>370.3</c:v>
                </c:pt>
                <c:pt idx="43">
                  <c:v>353.4</c:v>
                </c:pt>
                <c:pt idx="44">
                  <c:v>350.3</c:v>
                </c:pt>
                <c:pt idx="45">
                  <c:v>330.6</c:v>
                </c:pt>
                <c:pt idx="46">
                  <c:v>317.2</c:v>
                </c:pt>
                <c:pt idx="47">
                  <c:v>312.3</c:v>
                </c:pt>
                <c:pt idx="48">
                  <c:v>297.89999999999998</c:v>
                </c:pt>
                <c:pt idx="49">
                  <c:v>293.60000000000002</c:v>
                </c:pt>
                <c:pt idx="50">
                  <c:v>286.10000000000002</c:v>
                </c:pt>
                <c:pt idx="51">
                  <c:v>272.5</c:v>
                </c:pt>
                <c:pt idx="52">
                  <c:v>272.3</c:v>
                </c:pt>
                <c:pt idx="53">
                  <c:v>255.4</c:v>
                </c:pt>
                <c:pt idx="54">
                  <c:v>261.7</c:v>
                </c:pt>
                <c:pt idx="55">
                  <c:v>251.5</c:v>
                </c:pt>
                <c:pt idx="56">
                  <c:v>241.1</c:v>
                </c:pt>
                <c:pt idx="57">
                  <c:v>237.5</c:v>
                </c:pt>
                <c:pt idx="58">
                  <c:v>234.7</c:v>
                </c:pt>
                <c:pt idx="59">
                  <c:v>228.8</c:v>
                </c:pt>
                <c:pt idx="60">
                  <c:v>219.1</c:v>
                </c:pt>
                <c:pt idx="61">
                  <c:v>220.5</c:v>
                </c:pt>
                <c:pt idx="62">
                  <c:v>212.5</c:v>
                </c:pt>
                <c:pt idx="63">
                  <c:v>209.1</c:v>
                </c:pt>
                <c:pt idx="64">
                  <c:v>204.4</c:v>
                </c:pt>
                <c:pt idx="65">
                  <c:v>198.2</c:v>
                </c:pt>
                <c:pt idx="66">
                  <c:v>197.9</c:v>
                </c:pt>
                <c:pt idx="67">
                  <c:v>192.6</c:v>
                </c:pt>
                <c:pt idx="68">
                  <c:v>186.2</c:v>
                </c:pt>
                <c:pt idx="69">
                  <c:v>185.7</c:v>
                </c:pt>
                <c:pt idx="70">
                  <c:v>180.8</c:v>
                </c:pt>
                <c:pt idx="71">
                  <c:v>174.8</c:v>
                </c:pt>
                <c:pt idx="72">
                  <c:v>175.4</c:v>
                </c:pt>
                <c:pt idx="73">
                  <c:v>175.4</c:v>
                </c:pt>
                <c:pt idx="74">
                  <c:v>166</c:v>
                </c:pt>
                <c:pt idx="75">
                  <c:v>171.5</c:v>
                </c:pt>
                <c:pt idx="76">
                  <c:v>164.3</c:v>
                </c:pt>
                <c:pt idx="77">
                  <c:v>163</c:v>
                </c:pt>
                <c:pt idx="78">
                  <c:v>151.21</c:v>
                </c:pt>
                <c:pt idx="79">
                  <c:v>132.19999999999999</c:v>
                </c:pt>
                <c:pt idx="80">
                  <c:v>118.85</c:v>
                </c:pt>
                <c:pt idx="81">
                  <c:v>108.66</c:v>
                </c:pt>
                <c:pt idx="82">
                  <c:v>98.72</c:v>
                </c:pt>
                <c:pt idx="83">
                  <c:v>91.29</c:v>
                </c:pt>
                <c:pt idx="84">
                  <c:v>86.61</c:v>
                </c:pt>
                <c:pt idx="85">
                  <c:v>81.64</c:v>
                </c:pt>
                <c:pt idx="86">
                  <c:v>77.540000000000006</c:v>
                </c:pt>
                <c:pt idx="87">
                  <c:v>74.52</c:v>
                </c:pt>
                <c:pt idx="88">
                  <c:v>71.56</c:v>
                </c:pt>
                <c:pt idx="89">
                  <c:v>68.400000000000006</c:v>
                </c:pt>
                <c:pt idx="90">
                  <c:v>66.22</c:v>
                </c:pt>
                <c:pt idx="91">
                  <c:v>62.23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Data2'!$G$93:$CT$93</c:f>
              <c:numCache>
                <c:formatCode>General</c:formatCode>
                <c:ptCount val="92"/>
                <c:pt idx="0">
                  <c:v>975</c:v>
                </c:pt>
                <c:pt idx="1">
                  <c:v>986</c:v>
                </c:pt>
                <c:pt idx="2">
                  <c:v>1022</c:v>
                </c:pt>
                <c:pt idx="3">
                  <c:v>1013</c:v>
                </c:pt>
                <c:pt idx="4">
                  <c:v>974</c:v>
                </c:pt>
                <c:pt idx="5">
                  <c:v>939</c:v>
                </c:pt>
                <c:pt idx="6">
                  <c:v>972</c:v>
                </c:pt>
                <c:pt idx="7">
                  <c:v>969</c:v>
                </c:pt>
                <c:pt idx="8">
                  <c:v>954</c:v>
                </c:pt>
                <c:pt idx="9">
                  <c:v>1013</c:v>
                </c:pt>
                <c:pt idx="10">
                  <c:v>975</c:v>
                </c:pt>
                <c:pt idx="11">
                  <c:v>974</c:v>
                </c:pt>
                <c:pt idx="12">
                  <c:v>975</c:v>
                </c:pt>
                <c:pt idx="13">
                  <c:v>968</c:v>
                </c:pt>
                <c:pt idx="14">
                  <c:v>924</c:v>
                </c:pt>
                <c:pt idx="15">
                  <c:v>953</c:v>
                </c:pt>
                <c:pt idx="16">
                  <c:v>923</c:v>
                </c:pt>
                <c:pt idx="17">
                  <c:v>941</c:v>
                </c:pt>
                <c:pt idx="18">
                  <c:v>928</c:v>
                </c:pt>
                <c:pt idx="19">
                  <c:v>920</c:v>
                </c:pt>
                <c:pt idx="20">
                  <c:v>906.2</c:v>
                </c:pt>
                <c:pt idx="21">
                  <c:v>846.7</c:v>
                </c:pt>
                <c:pt idx="22">
                  <c:v>804.5</c:v>
                </c:pt>
                <c:pt idx="23">
                  <c:v>751.9</c:v>
                </c:pt>
                <c:pt idx="24">
                  <c:v>710.3</c:v>
                </c:pt>
                <c:pt idx="25">
                  <c:v>681.7</c:v>
                </c:pt>
                <c:pt idx="26">
                  <c:v>637.79999999999995</c:v>
                </c:pt>
                <c:pt idx="27">
                  <c:v>610.29999999999995</c:v>
                </c:pt>
                <c:pt idx="28">
                  <c:v>564.9</c:v>
                </c:pt>
                <c:pt idx="29">
                  <c:v>542.20000000000005</c:v>
                </c:pt>
                <c:pt idx="30">
                  <c:v>523.70000000000005</c:v>
                </c:pt>
                <c:pt idx="31">
                  <c:v>494.3</c:v>
                </c:pt>
                <c:pt idx="32">
                  <c:v>474.4</c:v>
                </c:pt>
                <c:pt idx="33">
                  <c:v>458.3</c:v>
                </c:pt>
                <c:pt idx="34">
                  <c:v>424.8</c:v>
                </c:pt>
                <c:pt idx="35">
                  <c:v>412.4</c:v>
                </c:pt>
                <c:pt idx="36">
                  <c:v>402.7</c:v>
                </c:pt>
                <c:pt idx="37">
                  <c:v>389.5</c:v>
                </c:pt>
                <c:pt idx="38">
                  <c:v>365.6</c:v>
                </c:pt>
                <c:pt idx="39">
                  <c:v>357.6</c:v>
                </c:pt>
                <c:pt idx="40">
                  <c:v>345.8</c:v>
                </c:pt>
                <c:pt idx="41">
                  <c:v>331.8</c:v>
                </c:pt>
                <c:pt idx="42">
                  <c:v>310.89999999999998</c:v>
                </c:pt>
                <c:pt idx="43">
                  <c:v>309.2</c:v>
                </c:pt>
                <c:pt idx="44">
                  <c:v>304.8</c:v>
                </c:pt>
                <c:pt idx="45">
                  <c:v>296.7</c:v>
                </c:pt>
                <c:pt idx="46">
                  <c:v>281.60000000000002</c:v>
                </c:pt>
                <c:pt idx="47">
                  <c:v>274.60000000000002</c:v>
                </c:pt>
                <c:pt idx="48">
                  <c:v>268.10000000000002</c:v>
                </c:pt>
                <c:pt idx="49">
                  <c:v>258.39999999999998</c:v>
                </c:pt>
                <c:pt idx="50">
                  <c:v>257.2</c:v>
                </c:pt>
                <c:pt idx="51">
                  <c:v>248.8</c:v>
                </c:pt>
                <c:pt idx="52">
                  <c:v>242.2</c:v>
                </c:pt>
                <c:pt idx="53">
                  <c:v>238.8</c:v>
                </c:pt>
                <c:pt idx="54">
                  <c:v>231.9</c:v>
                </c:pt>
                <c:pt idx="55">
                  <c:v>225.3</c:v>
                </c:pt>
                <c:pt idx="56">
                  <c:v>214.9</c:v>
                </c:pt>
                <c:pt idx="57">
                  <c:v>219.6</c:v>
                </c:pt>
                <c:pt idx="58">
                  <c:v>208.6</c:v>
                </c:pt>
                <c:pt idx="59">
                  <c:v>211.2</c:v>
                </c:pt>
                <c:pt idx="60">
                  <c:v>199.7</c:v>
                </c:pt>
                <c:pt idx="61">
                  <c:v>200.6</c:v>
                </c:pt>
                <c:pt idx="62">
                  <c:v>197.6</c:v>
                </c:pt>
                <c:pt idx="63">
                  <c:v>192.4</c:v>
                </c:pt>
                <c:pt idx="64">
                  <c:v>192.1</c:v>
                </c:pt>
                <c:pt idx="65">
                  <c:v>186.9</c:v>
                </c:pt>
                <c:pt idx="66">
                  <c:v>185.9</c:v>
                </c:pt>
                <c:pt idx="67">
                  <c:v>181.2</c:v>
                </c:pt>
                <c:pt idx="68">
                  <c:v>175.7</c:v>
                </c:pt>
                <c:pt idx="69">
                  <c:v>174.8</c:v>
                </c:pt>
                <c:pt idx="70">
                  <c:v>168.8</c:v>
                </c:pt>
                <c:pt idx="71">
                  <c:v>169.9</c:v>
                </c:pt>
                <c:pt idx="72">
                  <c:v>162.4</c:v>
                </c:pt>
                <c:pt idx="73">
                  <c:v>161</c:v>
                </c:pt>
                <c:pt idx="74">
                  <c:v>163.69999999999999</c:v>
                </c:pt>
                <c:pt idx="75">
                  <c:v>159.6</c:v>
                </c:pt>
                <c:pt idx="76">
                  <c:v>156.30000000000001</c:v>
                </c:pt>
                <c:pt idx="77">
                  <c:v>155</c:v>
                </c:pt>
                <c:pt idx="78">
                  <c:v>144.24</c:v>
                </c:pt>
                <c:pt idx="79">
                  <c:v>129.99</c:v>
                </c:pt>
                <c:pt idx="80">
                  <c:v>117.98</c:v>
                </c:pt>
                <c:pt idx="81">
                  <c:v>108.59</c:v>
                </c:pt>
                <c:pt idx="82">
                  <c:v>102.31</c:v>
                </c:pt>
                <c:pt idx="83">
                  <c:v>95.29</c:v>
                </c:pt>
                <c:pt idx="84">
                  <c:v>91.11</c:v>
                </c:pt>
                <c:pt idx="85">
                  <c:v>86.58</c:v>
                </c:pt>
                <c:pt idx="86">
                  <c:v>81.73</c:v>
                </c:pt>
                <c:pt idx="87">
                  <c:v>78.45</c:v>
                </c:pt>
                <c:pt idx="88">
                  <c:v>76.12</c:v>
                </c:pt>
                <c:pt idx="89">
                  <c:v>72.92</c:v>
                </c:pt>
                <c:pt idx="90">
                  <c:v>72.569999999999993</c:v>
                </c:pt>
                <c:pt idx="91">
                  <c:v>68.95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Data2'!$G$94:$CT$94</c:f>
              <c:numCache>
                <c:formatCode>General</c:formatCode>
                <c:ptCount val="92"/>
                <c:pt idx="0">
                  <c:v>2327</c:v>
                </c:pt>
                <c:pt idx="1">
                  <c:v>2309</c:v>
                </c:pt>
                <c:pt idx="2">
                  <c:v>2277</c:v>
                </c:pt>
                <c:pt idx="3">
                  <c:v>2291</c:v>
                </c:pt>
                <c:pt idx="4">
                  <c:v>2266</c:v>
                </c:pt>
                <c:pt idx="5">
                  <c:v>2194</c:v>
                </c:pt>
                <c:pt idx="6">
                  <c:v>2194</c:v>
                </c:pt>
                <c:pt idx="7">
                  <c:v>2237</c:v>
                </c:pt>
                <c:pt idx="8">
                  <c:v>2229</c:v>
                </c:pt>
                <c:pt idx="9">
                  <c:v>2208</c:v>
                </c:pt>
                <c:pt idx="10">
                  <c:v>2219</c:v>
                </c:pt>
                <c:pt idx="11">
                  <c:v>2207</c:v>
                </c:pt>
                <c:pt idx="12">
                  <c:v>2143</c:v>
                </c:pt>
                <c:pt idx="13">
                  <c:v>2132</c:v>
                </c:pt>
                <c:pt idx="14">
                  <c:v>2124</c:v>
                </c:pt>
                <c:pt idx="15">
                  <c:v>2125</c:v>
                </c:pt>
                <c:pt idx="16">
                  <c:v>2124</c:v>
                </c:pt>
                <c:pt idx="17">
                  <c:v>2082</c:v>
                </c:pt>
                <c:pt idx="18">
                  <c:v>2177</c:v>
                </c:pt>
                <c:pt idx="19">
                  <c:v>2077</c:v>
                </c:pt>
                <c:pt idx="20">
                  <c:v>2046.5</c:v>
                </c:pt>
                <c:pt idx="21">
                  <c:v>1928.7</c:v>
                </c:pt>
                <c:pt idx="22">
                  <c:v>1804</c:v>
                </c:pt>
                <c:pt idx="23">
                  <c:v>1700.2</c:v>
                </c:pt>
                <c:pt idx="24">
                  <c:v>1602.4</c:v>
                </c:pt>
                <c:pt idx="25">
                  <c:v>1501.1</c:v>
                </c:pt>
                <c:pt idx="26">
                  <c:v>1422.7</c:v>
                </c:pt>
                <c:pt idx="27">
                  <c:v>1337.9</c:v>
                </c:pt>
                <c:pt idx="28">
                  <c:v>1264.4000000000001</c:v>
                </c:pt>
                <c:pt idx="29">
                  <c:v>1195.7</c:v>
                </c:pt>
                <c:pt idx="30">
                  <c:v>1143.8</c:v>
                </c:pt>
                <c:pt idx="31">
                  <c:v>1074.5999999999999</c:v>
                </c:pt>
                <c:pt idx="32">
                  <c:v>1020.5</c:v>
                </c:pt>
                <c:pt idx="33">
                  <c:v>970.1</c:v>
                </c:pt>
                <c:pt idx="34">
                  <c:v>934.7</c:v>
                </c:pt>
                <c:pt idx="35">
                  <c:v>889.8</c:v>
                </c:pt>
                <c:pt idx="36">
                  <c:v>843.7</c:v>
                </c:pt>
                <c:pt idx="37">
                  <c:v>808.1</c:v>
                </c:pt>
                <c:pt idx="38">
                  <c:v>787.4</c:v>
                </c:pt>
                <c:pt idx="39">
                  <c:v>751</c:v>
                </c:pt>
                <c:pt idx="40">
                  <c:v>718.8</c:v>
                </c:pt>
                <c:pt idx="41">
                  <c:v>681.3</c:v>
                </c:pt>
                <c:pt idx="42">
                  <c:v>664.6</c:v>
                </c:pt>
                <c:pt idx="43">
                  <c:v>634</c:v>
                </c:pt>
                <c:pt idx="44">
                  <c:v>626.4</c:v>
                </c:pt>
                <c:pt idx="45">
                  <c:v>600.79999999999995</c:v>
                </c:pt>
                <c:pt idx="46">
                  <c:v>583.29999999999995</c:v>
                </c:pt>
                <c:pt idx="47">
                  <c:v>564</c:v>
                </c:pt>
                <c:pt idx="48">
                  <c:v>549.70000000000005</c:v>
                </c:pt>
                <c:pt idx="49">
                  <c:v>527.4</c:v>
                </c:pt>
                <c:pt idx="50">
                  <c:v>499.6</c:v>
                </c:pt>
                <c:pt idx="51">
                  <c:v>499.6</c:v>
                </c:pt>
                <c:pt idx="52">
                  <c:v>485.1</c:v>
                </c:pt>
                <c:pt idx="53">
                  <c:v>468.7</c:v>
                </c:pt>
                <c:pt idx="54">
                  <c:v>454</c:v>
                </c:pt>
                <c:pt idx="55">
                  <c:v>447</c:v>
                </c:pt>
                <c:pt idx="56">
                  <c:v>432.6</c:v>
                </c:pt>
                <c:pt idx="57">
                  <c:v>423.7</c:v>
                </c:pt>
                <c:pt idx="58">
                  <c:v>408.1</c:v>
                </c:pt>
                <c:pt idx="59">
                  <c:v>402.1</c:v>
                </c:pt>
                <c:pt idx="60">
                  <c:v>392.8</c:v>
                </c:pt>
                <c:pt idx="61">
                  <c:v>384.5</c:v>
                </c:pt>
                <c:pt idx="62">
                  <c:v>375.3</c:v>
                </c:pt>
                <c:pt idx="63">
                  <c:v>372.7</c:v>
                </c:pt>
                <c:pt idx="64">
                  <c:v>359.5</c:v>
                </c:pt>
                <c:pt idx="65">
                  <c:v>351.2</c:v>
                </c:pt>
                <c:pt idx="66">
                  <c:v>351.7</c:v>
                </c:pt>
                <c:pt idx="67">
                  <c:v>331.2</c:v>
                </c:pt>
                <c:pt idx="68">
                  <c:v>328.7</c:v>
                </c:pt>
                <c:pt idx="69">
                  <c:v>329.1</c:v>
                </c:pt>
                <c:pt idx="70">
                  <c:v>312.3</c:v>
                </c:pt>
                <c:pt idx="71">
                  <c:v>308.39999999999998</c:v>
                </c:pt>
                <c:pt idx="72">
                  <c:v>308.89999999999998</c:v>
                </c:pt>
                <c:pt idx="73">
                  <c:v>300.89999999999998</c:v>
                </c:pt>
                <c:pt idx="74">
                  <c:v>293.3</c:v>
                </c:pt>
                <c:pt idx="75">
                  <c:v>299.7</c:v>
                </c:pt>
                <c:pt idx="76">
                  <c:v>287</c:v>
                </c:pt>
                <c:pt idx="77">
                  <c:v>281.10000000000002</c:v>
                </c:pt>
                <c:pt idx="78">
                  <c:v>257.08</c:v>
                </c:pt>
                <c:pt idx="79">
                  <c:v>223.64</c:v>
                </c:pt>
                <c:pt idx="80">
                  <c:v>196.93</c:v>
                </c:pt>
                <c:pt idx="81">
                  <c:v>177.99</c:v>
                </c:pt>
                <c:pt idx="82">
                  <c:v>161.94</c:v>
                </c:pt>
                <c:pt idx="83">
                  <c:v>148.66</c:v>
                </c:pt>
                <c:pt idx="84">
                  <c:v>138.43</c:v>
                </c:pt>
                <c:pt idx="85">
                  <c:v>130.68</c:v>
                </c:pt>
                <c:pt idx="86">
                  <c:v>121.83</c:v>
                </c:pt>
                <c:pt idx="87">
                  <c:v>115.67</c:v>
                </c:pt>
                <c:pt idx="88">
                  <c:v>110.05</c:v>
                </c:pt>
                <c:pt idx="89">
                  <c:v>104.62</c:v>
                </c:pt>
                <c:pt idx="90">
                  <c:v>99.93</c:v>
                </c:pt>
                <c:pt idx="91">
                  <c:v>95.79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Data2'!$G$95:$CT$95</c:f>
              <c:numCache>
                <c:formatCode>General</c:formatCode>
                <c:ptCount val="92"/>
                <c:pt idx="0">
                  <c:v>1044</c:v>
                </c:pt>
                <c:pt idx="1">
                  <c:v>1028</c:v>
                </c:pt>
                <c:pt idx="2">
                  <c:v>1052</c:v>
                </c:pt>
                <c:pt idx="3">
                  <c:v>1048</c:v>
                </c:pt>
                <c:pt idx="4">
                  <c:v>1083</c:v>
                </c:pt>
                <c:pt idx="5">
                  <c:v>1063</c:v>
                </c:pt>
                <c:pt idx="6">
                  <c:v>1034</c:v>
                </c:pt>
                <c:pt idx="7">
                  <c:v>1021</c:v>
                </c:pt>
                <c:pt idx="8">
                  <c:v>980</c:v>
                </c:pt>
                <c:pt idx="9">
                  <c:v>1006</c:v>
                </c:pt>
                <c:pt idx="10">
                  <c:v>1043</c:v>
                </c:pt>
                <c:pt idx="11">
                  <c:v>1025</c:v>
                </c:pt>
                <c:pt idx="12">
                  <c:v>1017</c:v>
                </c:pt>
                <c:pt idx="13">
                  <c:v>1021</c:v>
                </c:pt>
                <c:pt idx="14">
                  <c:v>993</c:v>
                </c:pt>
                <c:pt idx="15">
                  <c:v>1036</c:v>
                </c:pt>
                <c:pt idx="16">
                  <c:v>962</c:v>
                </c:pt>
                <c:pt idx="17">
                  <c:v>1018</c:v>
                </c:pt>
                <c:pt idx="18">
                  <c:v>952</c:v>
                </c:pt>
                <c:pt idx="19">
                  <c:v>976</c:v>
                </c:pt>
                <c:pt idx="20">
                  <c:v>949.9</c:v>
                </c:pt>
                <c:pt idx="21">
                  <c:v>899.2</c:v>
                </c:pt>
                <c:pt idx="22">
                  <c:v>830.1</c:v>
                </c:pt>
                <c:pt idx="23">
                  <c:v>796</c:v>
                </c:pt>
                <c:pt idx="24">
                  <c:v>759.9</c:v>
                </c:pt>
                <c:pt idx="25">
                  <c:v>711.7</c:v>
                </c:pt>
                <c:pt idx="26">
                  <c:v>673.9</c:v>
                </c:pt>
                <c:pt idx="27">
                  <c:v>643.79999999999995</c:v>
                </c:pt>
                <c:pt idx="28">
                  <c:v>637</c:v>
                </c:pt>
                <c:pt idx="29">
                  <c:v>583.70000000000005</c:v>
                </c:pt>
                <c:pt idx="30">
                  <c:v>548.79999999999995</c:v>
                </c:pt>
                <c:pt idx="31">
                  <c:v>537.6</c:v>
                </c:pt>
                <c:pt idx="32">
                  <c:v>503.8</c:v>
                </c:pt>
                <c:pt idx="33">
                  <c:v>487.8</c:v>
                </c:pt>
                <c:pt idx="34">
                  <c:v>458.9</c:v>
                </c:pt>
                <c:pt idx="35">
                  <c:v>442.6</c:v>
                </c:pt>
                <c:pt idx="36">
                  <c:v>434.6</c:v>
                </c:pt>
                <c:pt idx="37">
                  <c:v>422.7</c:v>
                </c:pt>
                <c:pt idx="38">
                  <c:v>406.7</c:v>
                </c:pt>
                <c:pt idx="39">
                  <c:v>388.8</c:v>
                </c:pt>
                <c:pt idx="40">
                  <c:v>374.1</c:v>
                </c:pt>
                <c:pt idx="41">
                  <c:v>364.5</c:v>
                </c:pt>
                <c:pt idx="42">
                  <c:v>352.6</c:v>
                </c:pt>
                <c:pt idx="43">
                  <c:v>347.8</c:v>
                </c:pt>
                <c:pt idx="44">
                  <c:v>335.7</c:v>
                </c:pt>
                <c:pt idx="45">
                  <c:v>306.7</c:v>
                </c:pt>
                <c:pt idx="46">
                  <c:v>320.60000000000002</c:v>
                </c:pt>
                <c:pt idx="47">
                  <c:v>303.89999999999998</c:v>
                </c:pt>
                <c:pt idx="48">
                  <c:v>294.89999999999998</c:v>
                </c:pt>
                <c:pt idx="49">
                  <c:v>293</c:v>
                </c:pt>
                <c:pt idx="50">
                  <c:v>286.7</c:v>
                </c:pt>
                <c:pt idx="51">
                  <c:v>282.39999999999998</c:v>
                </c:pt>
                <c:pt idx="52">
                  <c:v>267.7</c:v>
                </c:pt>
                <c:pt idx="53">
                  <c:v>258.60000000000002</c:v>
                </c:pt>
                <c:pt idx="54">
                  <c:v>260.8</c:v>
                </c:pt>
                <c:pt idx="55">
                  <c:v>248.8</c:v>
                </c:pt>
                <c:pt idx="56">
                  <c:v>239.7</c:v>
                </c:pt>
                <c:pt idx="57">
                  <c:v>245</c:v>
                </c:pt>
                <c:pt idx="58">
                  <c:v>232.6</c:v>
                </c:pt>
                <c:pt idx="59">
                  <c:v>231.8</c:v>
                </c:pt>
                <c:pt idx="60">
                  <c:v>225.9</c:v>
                </c:pt>
                <c:pt idx="61">
                  <c:v>228.6</c:v>
                </c:pt>
                <c:pt idx="62">
                  <c:v>226.7</c:v>
                </c:pt>
                <c:pt idx="63">
                  <c:v>221.7</c:v>
                </c:pt>
                <c:pt idx="64">
                  <c:v>217.7</c:v>
                </c:pt>
                <c:pt idx="65">
                  <c:v>217.5</c:v>
                </c:pt>
                <c:pt idx="66">
                  <c:v>208.5</c:v>
                </c:pt>
                <c:pt idx="67">
                  <c:v>199.3</c:v>
                </c:pt>
                <c:pt idx="68">
                  <c:v>201.8</c:v>
                </c:pt>
                <c:pt idx="69">
                  <c:v>200.6</c:v>
                </c:pt>
                <c:pt idx="70">
                  <c:v>192.5</c:v>
                </c:pt>
                <c:pt idx="71">
                  <c:v>192.2</c:v>
                </c:pt>
                <c:pt idx="72">
                  <c:v>188</c:v>
                </c:pt>
                <c:pt idx="73">
                  <c:v>188.8</c:v>
                </c:pt>
                <c:pt idx="74">
                  <c:v>182.1</c:v>
                </c:pt>
                <c:pt idx="75">
                  <c:v>186.2</c:v>
                </c:pt>
                <c:pt idx="76">
                  <c:v>179.4</c:v>
                </c:pt>
                <c:pt idx="77">
                  <c:v>180.7</c:v>
                </c:pt>
                <c:pt idx="78">
                  <c:v>166.72</c:v>
                </c:pt>
                <c:pt idx="79">
                  <c:v>149.28</c:v>
                </c:pt>
                <c:pt idx="80">
                  <c:v>137.94</c:v>
                </c:pt>
                <c:pt idx="81">
                  <c:v>128.69</c:v>
                </c:pt>
                <c:pt idx="82">
                  <c:v>118.63</c:v>
                </c:pt>
                <c:pt idx="83">
                  <c:v>113.58</c:v>
                </c:pt>
                <c:pt idx="84">
                  <c:v>108.32</c:v>
                </c:pt>
                <c:pt idx="85">
                  <c:v>101.43</c:v>
                </c:pt>
                <c:pt idx="86">
                  <c:v>97.27</c:v>
                </c:pt>
                <c:pt idx="87">
                  <c:v>93.99</c:v>
                </c:pt>
                <c:pt idx="88">
                  <c:v>90.86</c:v>
                </c:pt>
                <c:pt idx="89">
                  <c:v>87.8</c:v>
                </c:pt>
                <c:pt idx="90">
                  <c:v>84.15</c:v>
                </c:pt>
                <c:pt idx="91">
                  <c:v>82.93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Data2'!$G$96:$CT$96</c:f>
              <c:numCache>
                <c:formatCode>General</c:formatCode>
                <c:ptCount val="92"/>
                <c:pt idx="0">
                  <c:v>37</c:v>
                </c:pt>
                <c:pt idx="1">
                  <c:v>43</c:v>
                </c:pt>
                <c:pt idx="2">
                  <c:v>38</c:v>
                </c:pt>
                <c:pt idx="3">
                  <c:v>30</c:v>
                </c:pt>
                <c:pt idx="4">
                  <c:v>43</c:v>
                </c:pt>
                <c:pt idx="5">
                  <c:v>41</c:v>
                </c:pt>
                <c:pt idx="6">
                  <c:v>38</c:v>
                </c:pt>
                <c:pt idx="7">
                  <c:v>37</c:v>
                </c:pt>
                <c:pt idx="8">
                  <c:v>42</c:v>
                </c:pt>
                <c:pt idx="9">
                  <c:v>41</c:v>
                </c:pt>
                <c:pt idx="10">
                  <c:v>41</c:v>
                </c:pt>
                <c:pt idx="11">
                  <c:v>37</c:v>
                </c:pt>
                <c:pt idx="12">
                  <c:v>36</c:v>
                </c:pt>
                <c:pt idx="13">
                  <c:v>36</c:v>
                </c:pt>
                <c:pt idx="14">
                  <c:v>39</c:v>
                </c:pt>
                <c:pt idx="15">
                  <c:v>39</c:v>
                </c:pt>
                <c:pt idx="16">
                  <c:v>38</c:v>
                </c:pt>
                <c:pt idx="17">
                  <c:v>35</c:v>
                </c:pt>
                <c:pt idx="18">
                  <c:v>37</c:v>
                </c:pt>
                <c:pt idx="19">
                  <c:v>38</c:v>
                </c:pt>
                <c:pt idx="20">
                  <c:v>40.200000000000003</c:v>
                </c:pt>
                <c:pt idx="21">
                  <c:v>40.5</c:v>
                </c:pt>
                <c:pt idx="22">
                  <c:v>42.6</c:v>
                </c:pt>
                <c:pt idx="23">
                  <c:v>42.6</c:v>
                </c:pt>
                <c:pt idx="24">
                  <c:v>42.4</c:v>
                </c:pt>
                <c:pt idx="25">
                  <c:v>44.3</c:v>
                </c:pt>
                <c:pt idx="26">
                  <c:v>42.8</c:v>
                </c:pt>
                <c:pt idx="27">
                  <c:v>40.799999999999997</c:v>
                </c:pt>
                <c:pt idx="28">
                  <c:v>37</c:v>
                </c:pt>
                <c:pt idx="29">
                  <c:v>41.3</c:v>
                </c:pt>
                <c:pt idx="30">
                  <c:v>41.2</c:v>
                </c:pt>
                <c:pt idx="31">
                  <c:v>39.700000000000003</c:v>
                </c:pt>
                <c:pt idx="32">
                  <c:v>36.799999999999997</c:v>
                </c:pt>
                <c:pt idx="33">
                  <c:v>39.799999999999997</c:v>
                </c:pt>
                <c:pt idx="34">
                  <c:v>39.799999999999997</c:v>
                </c:pt>
                <c:pt idx="35">
                  <c:v>39.799999999999997</c:v>
                </c:pt>
                <c:pt idx="36">
                  <c:v>35.200000000000003</c:v>
                </c:pt>
                <c:pt idx="37">
                  <c:v>37.700000000000003</c:v>
                </c:pt>
                <c:pt idx="38">
                  <c:v>34.9</c:v>
                </c:pt>
                <c:pt idx="39">
                  <c:v>37.799999999999997</c:v>
                </c:pt>
                <c:pt idx="40">
                  <c:v>39.299999999999997</c:v>
                </c:pt>
                <c:pt idx="41">
                  <c:v>40</c:v>
                </c:pt>
                <c:pt idx="42">
                  <c:v>37.9</c:v>
                </c:pt>
                <c:pt idx="43">
                  <c:v>37.700000000000003</c:v>
                </c:pt>
                <c:pt idx="44">
                  <c:v>37.200000000000003</c:v>
                </c:pt>
                <c:pt idx="45">
                  <c:v>35.4</c:v>
                </c:pt>
                <c:pt idx="46">
                  <c:v>37</c:v>
                </c:pt>
                <c:pt idx="47">
                  <c:v>35.5</c:v>
                </c:pt>
                <c:pt idx="48">
                  <c:v>35.799999999999997</c:v>
                </c:pt>
                <c:pt idx="49">
                  <c:v>34.799999999999997</c:v>
                </c:pt>
                <c:pt idx="50">
                  <c:v>33.200000000000003</c:v>
                </c:pt>
                <c:pt idx="51">
                  <c:v>34.5</c:v>
                </c:pt>
                <c:pt idx="52">
                  <c:v>35.5</c:v>
                </c:pt>
                <c:pt idx="53">
                  <c:v>36.200000000000003</c:v>
                </c:pt>
                <c:pt idx="54">
                  <c:v>34.799999999999997</c:v>
                </c:pt>
                <c:pt idx="55">
                  <c:v>35.4</c:v>
                </c:pt>
                <c:pt idx="56">
                  <c:v>36.1</c:v>
                </c:pt>
                <c:pt idx="57">
                  <c:v>36.5</c:v>
                </c:pt>
                <c:pt idx="58">
                  <c:v>32.9</c:v>
                </c:pt>
                <c:pt idx="59">
                  <c:v>32.700000000000003</c:v>
                </c:pt>
                <c:pt idx="60">
                  <c:v>33.5</c:v>
                </c:pt>
                <c:pt idx="61">
                  <c:v>31</c:v>
                </c:pt>
                <c:pt idx="62">
                  <c:v>33.9</c:v>
                </c:pt>
                <c:pt idx="63">
                  <c:v>32.799999999999997</c:v>
                </c:pt>
                <c:pt idx="64">
                  <c:v>33.299999999999997</c:v>
                </c:pt>
                <c:pt idx="65">
                  <c:v>36.299999999999997</c:v>
                </c:pt>
                <c:pt idx="66">
                  <c:v>35.5</c:v>
                </c:pt>
                <c:pt idx="67">
                  <c:v>34.299999999999997</c:v>
                </c:pt>
                <c:pt idx="68">
                  <c:v>32.4</c:v>
                </c:pt>
                <c:pt idx="69">
                  <c:v>32.4</c:v>
                </c:pt>
                <c:pt idx="70">
                  <c:v>35.200000000000003</c:v>
                </c:pt>
                <c:pt idx="71">
                  <c:v>34.700000000000003</c:v>
                </c:pt>
                <c:pt idx="72">
                  <c:v>33.1</c:v>
                </c:pt>
                <c:pt idx="73">
                  <c:v>34.1</c:v>
                </c:pt>
                <c:pt idx="74">
                  <c:v>32.9</c:v>
                </c:pt>
                <c:pt idx="75">
                  <c:v>34.1</c:v>
                </c:pt>
                <c:pt idx="76">
                  <c:v>33</c:v>
                </c:pt>
                <c:pt idx="77">
                  <c:v>35.799999999999997</c:v>
                </c:pt>
                <c:pt idx="78">
                  <c:v>33.14</c:v>
                </c:pt>
                <c:pt idx="79">
                  <c:v>32.58</c:v>
                </c:pt>
                <c:pt idx="80">
                  <c:v>31.93</c:v>
                </c:pt>
                <c:pt idx="81">
                  <c:v>31.13</c:v>
                </c:pt>
                <c:pt idx="82">
                  <c:v>31.49</c:v>
                </c:pt>
                <c:pt idx="83">
                  <c:v>30.79</c:v>
                </c:pt>
                <c:pt idx="84">
                  <c:v>30.32</c:v>
                </c:pt>
                <c:pt idx="85">
                  <c:v>29.77</c:v>
                </c:pt>
                <c:pt idx="86">
                  <c:v>29.75</c:v>
                </c:pt>
                <c:pt idx="87">
                  <c:v>30.1</c:v>
                </c:pt>
                <c:pt idx="88">
                  <c:v>29.51</c:v>
                </c:pt>
                <c:pt idx="89">
                  <c:v>28.99</c:v>
                </c:pt>
                <c:pt idx="90">
                  <c:v>29.8</c:v>
                </c:pt>
                <c:pt idx="91">
                  <c:v>29.11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Data2'!$G$97:$CT$97</c:f>
              <c:numCache>
                <c:formatCode>General</c:formatCode>
                <c:ptCount val="92"/>
                <c:pt idx="0">
                  <c:v>951</c:v>
                </c:pt>
                <c:pt idx="1">
                  <c:v>937</c:v>
                </c:pt>
                <c:pt idx="2">
                  <c:v>978</c:v>
                </c:pt>
                <c:pt idx="3">
                  <c:v>956</c:v>
                </c:pt>
                <c:pt idx="4">
                  <c:v>984</c:v>
                </c:pt>
                <c:pt idx="5">
                  <c:v>977</c:v>
                </c:pt>
                <c:pt idx="6">
                  <c:v>946</c:v>
                </c:pt>
                <c:pt idx="7">
                  <c:v>950</c:v>
                </c:pt>
                <c:pt idx="8">
                  <c:v>909</c:v>
                </c:pt>
                <c:pt idx="9">
                  <c:v>935</c:v>
                </c:pt>
                <c:pt idx="10">
                  <c:v>954</c:v>
                </c:pt>
                <c:pt idx="11">
                  <c:v>958</c:v>
                </c:pt>
                <c:pt idx="12">
                  <c:v>900</c:v>
                </c:pt>
                <c:pt idx="13">
                  <c:v>877</c:v>
                </c:pt>
                <c:pt idx="14">
                  <c:v>899</c:v>
                </c:pt>
                <c:pt idx="15">
                  <c:v>897</c:v>
                </c:pt>
                <c:pt idx="16">
                  <c:v>890</c:v>
                </c:pt>
                <c:pt idx="17">
                  <c:v>878</c:v>
                </c:pt>
                <c:pt idx="18">
                  <c:v>883</c:v>
                </c:pt>
                <c:pt idx="19">
                  <c:v>880</c:v>
                </c:pt>
                <c:pt idx="20">
                  <c:v>853.9</c:v>
                </c:pt>
                <c:pt idx="21">
                  <c:v>809.6</c:v>
                </c:pt>
                <c:pt idx="22">
                  <c:v>768.6</c:v>
                </c:pt>
                <c:pt idx="23">
                  <c:v>725.2</c:v>
                </c:pt>
                <c:pt idx="24">
                  <c:v>680</c:v>
                </c:pt>
                <c:pt idx="25">
                  <c:v>630.9</c:v>
                </c:pt>
                <c:pt idx="26">
                  <c:v>591.79999999999995</c:v>
                </c:pt>
                <c:pt idx="27">
                  <c:v>571.29999999999995</c:v>
                </c:pt>
                <c:pt idx="28">
                  <c:v>534.9</c:v>
                </c:pt>
                <c:pt idx="29">
                  <c:v>509.1</c:v>
                </c:pt>
                <c:pt idx="30">
                  <c:v>489</c:v>
                </c:pt>
                <c:pt idx="31">
                  <c:v>471.9</c:v>
                </c:pt>
                <c:pt idx="32">
                  <c:v>435.3</c:v>
                </c:pt>
                <c:pt idx="33">
                  <c:v>422.5</c:v>
                </c:pt>
                <c:pt idx="34">
                  <c:v>397</c:v>
                </c:pt>
                <c:pt idx="35">
                  <c:v>382.9</c:v>
                </c:pt>
                <c:pt idx="36">
                  <c:v>364.1</c:v>
                </c:pt>
                <c:pt idx="37">
                  <c:v>352.6</c:v>
                </c:pt>
                <c:pt idx="38">
                  <c:v>344.3</c:v>
                </c:pt>
                <c:pt idx="39">
                  <c:v>320</c:v>
                </c:pt>
                <c:pt idx="40">
                  <c:v>314.2</c:v>
                </c:pt>
                <c:pt idx="41">
                  <c:v>306.7</c:v>
                </c:pt>
                <c:pt idx="42">
                  <c:v>293.10000000000002</c:v>
                </c:pt>
                <c:pt idx="43">
                  <c:v>284.3</c:v>
                </c:pt>
                <c:pt idx="44">
                  <c:v>270.8</c:v>
                </c:pt>
                <c:pt idx="45">
                  <c:v>266.7</c:v>
                </c:pt>
                <c:pt idx="46">
                  <c:v>254.4</c:v>
                </c:pt>
                <c:pt idx="47">
                  <c:v>249.9</c:v>
                </c:pt>
                <c:pt idx="48">
                  <c:v>248.9</c:v>
                </c:pt>
                <c:pt idx="49">
                  <c:v>237.3</c:v>
                </c:pt>
                <c:pt idx="50">
                  <c:v>227.7</c:v>
                </c:pt>
                <c:pt idx="51">
                  <c:v>214.8</c:v>
                </c:pt>
                <c:pt idx="52">
                  <c:v>215</c:v>
                </c:pt>
                <c:pt idx="53">
                  <c:v>214.4</c:v>
                </c:pt>
                <c:pt idx="54">
                  <c:v>206.5</c:v>
                </c:pt>
                <c:pt idx="55">
                  <c:v>202.3</c:v>
                </c:pt>
                <c:pt idx="56">
                  <c:v>196.8</c:v>
                </c:pt>
                <c:pt idx="57">
                  <c:v>188</c:v>
                </c:pt>
                <c:pt idx="58">
                  <c:v>186.8</c:v>
                </c:pt>
                <c:pt idx="59">
                  <c:v>175.6</c:v>
                </c:pt>
                <c:pt idx="60">
                  <c:v>177.2</c:v>
                </c:pt>
                <c:pt idx="61">
                  <c:v>175.7</c:v>
                </c:pt>
                <c:pt idx="62">
                  <c:v>178.8</c:v>
                </c:pt>
                <c:pt idx="63">
                  <c:v>167.5</c:v>
                </c:pt>
                <c:pt idx="64">
                  <c:v>162.4</c:v>
                </c:pt>
                <c:pt idx="65">
                  <c:v>159.9</c:v>
                </c:pt>
                <c:pt idx="66">
                  <c:v>156.5</c:v>
                </c:pt>
                <c:pt idx="67">
                  <c:v>158.5</c:v>
                </c:pt>
                <c:pt idx="68">
                  <c:v>155.19999999999999</c:v>
                </c:pt>
                <c:pt idx="69">
                  <c:v>155.1</c:v>
                </c:pt>
                <c:pt idx="70">
                  <c:v>146.1</c:v>
                </c:pt>
                <c:pt idx="71">
                  <c:v>141.80000000000001</c:v>
                </c:pt>
                <c:pt idx="72">
                  <c:v>144.1</c:v>
                </c:pt>
                <c:pt idx="73">
                  <c:v>139.6</c:v>
                </c:pt>
                <c:pt idx="74">
                  <c:v>136.1</c:v>
                </c:pt>
                <c:pt idx="75">
                  <c:v>138.1</c:v>
                </c:pt>
                <c:pt idx="76">
                  <c:v>131.1</c:v>
                </c:pt>
                <c:pt idx="77">
                  <c:v>130.1</c:v>
                </c:pt>
                <c:pt idx="78">
                  <c:v>121.02</c:v>
                </c:pt>
                <c:pt idx="79">
                  <c:v>106.74</c:v>
                </c:pt>
                <c:pt idx="80">
                  <c:v>99.48</c:v>
                </c:pt>
                <c:pt idx="81">
                  <c:v>89.08</c:v>
                </c:pt>
                <c:pt idx="82">
                  <c:v>82.57</c:v>
                </c:pt>
                <c:pt idx="83">
                  <c:v>78.73</c:v>
                </c:pt>
                <c:pt idx="84">
                  <c:v>73.53</c:v>
                </c:pt>
                <c:pt idx="85">
                  <c:v>69.36</c:v>
                </c:pt>
                <c:pt idx="86">
                  <c:v>66.63</c:v>
                </c:pt>
                <c:pt idx="87">
                  <c:v>63.03</c:v>
                </c:pt>
                <c:pt idx="88">
                  <c:v>59.45</c:v>
                </c:pt>
                <c:pt idx="89">
                  <c:v>58.54</c:v>
                </c:pt>
                <c:pt idx="90">
                  <c:v>56.66</c:v>
                </c:pt>
                <c:pt idx="91">
                  <c:v>55.44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Data2'!$G$98:$CT$98</c:f>
              <c:numCache>
                <c:formatCode>General</c:formatCode>
                <c:ptCount val="92"/>
                <c:pt idx="0">
                  <c:v>662</c:v>
                </c:pt>
                <c:pt idx="1">
                  <c:v>685</c:v>
                </c:pt>
                <c:pt idx="2">
                  <c:v>668</c:v>
                </c:pt>
                <c:pt idx="3">
                  <c:v>622</c:v>
                </c:pt>
                <c:pt idx="4">
                  <c:v>668</c:v>
                </c:pt>
                <c:pt idx="5">
                  <c:v>665</c:v>
                </c:pt>
                <c:pt idx="6">
                  <c:v>628</c:v>
                </c:pt>
                <c:pt idx="7">
                  <c:v>683</c:v>
                </c:pt>
                <c:pt idx="8">
                  <c:v>624</c:v>
                </c:pt>
                <c:pt idx="9">
                  <c:v>619</c:v>
                </c:pt>
                <c:pt idx="10">
                  <c:v>642</c:v>
                </c:pt>
                <c:pt idx="11">
                  <c:v>612</c:v>
                </c:pt>
                <c:pt idx="12">
                  <c:v>622</c:v>
                </c:pt>
                <c:pt idx="13">
                  <c:v>637</c:v>
                </c:pt>
                <c:pt idx="14">
                  <c:v>617</c:v>
                </c:pt>
                <c:pt idx="15">
                  <c:v>595</c:v>
                </c:pt>
                <c:pt idx="16">
                  <c:v>628</c:v>
                </c:pt>
                <c:pt idx="17">
                  <c:v>586</c:v>
                </c:pt>
                <c:pt idx="18">
                  <c:v>585</c:v>
                </c:pt>
                <c:pt idx="19">
                  <c:v>607</c:v>
                </c:pt>
                <c:pt idx="20">
                  <c:v>585.5</c:v>
                </c:pt>
                <c:pt idx="21">
                  <c:v>550.6</c:v>
                </c:pt>
                <c:pt idx="22">
                  <c:v>522.4</c:v>
                </c:pt>
                <c:pt idx="23">
                  <c:v>499</c:v>
                </c:pt>
                <c:pt idx="24">
                  <c:v>455.5</c:v>
                </c:pt>
                <c:pt idx="25">
                  <c:v>442.5</c:v>
                </c:pt>
                <c:pt idx="26">
                  <c:v>412.4</c:v>
                </c:pt>
                <c:pt idx="27">
                  <c:v>395.3</c:v>
                </c:pt>
                <c:pt idx="28">
                  <c:v>371.7</c:v>
                </c:pt>
                <c:pt idx="29">
                  <c:v>352.3</c:v>
                </c:pt>
                <c:pt idx="30">
                  <c:v>348.1</c:v>
                </c:pt>
                <c:pt idx="31">
                  <c:v>330.8</c:v>
                </c:pt>
                <c:pt idx="32">
                  <c:v>309.5</c:v>
                </c:pt>
                <c:pt idx="33">
                  <c:v>299.39999999999998</c:v>
                </c:pt>
                <c:pt idx="34">
                  <c:v>279.2</c:v>
                </c:pt>
                <c:pt idx="35">
                  <c:v>264.3</c:v>
                </c:pt>
                <c:pt idx="36">
                  <c:v>256.39999999999998</c:v>
                </c:pt>
                <c:pt idx="37">
                  <c:v>245.5</c:v>
                </c:pt>
                <c:pt idx="38">
                  <c:v>234.1</c:v>
                </c:pt>
                <c:pt idx="39">
                  <c:v>231.3</c:v>
                </c:pt>
                <c:pt idx="40">
                  <c:v>216.1</c:v>
                </c:pt>
                <c:pt idx="41">
                  <c:v>214.7</c:v>
                </c:pt>
                <c:pt idx="42">
                  <c:v>208.5</c:v>
                </c:pt>
                <c:pt idx="43">
                  <c:v>199.1</c:v>
                </c:pt>
                <c:pt idx="44">
                  <c:v>196.1</c:v>
                </c:pt>
                <c:pt idx="45">
                  <c:v>182.2</c:v>
                </c:pt>
                <c:pt idx="46">
                  <c:v>181.9</c:v>
                </c:pt>
                <c:pt idx="47">
                  <c:v>174.2</c:v>
                </c:pt>
                <c:pt idx="48">
                  <c:v>173.7</c:v>
                </c:pt>
                <c:pt idx="49">
                  <c:v>168.5</c:v>
                </c:pt>
                <c:pt idx="50">
                  <c:v>158.69999999999999</c:v>
                </c:pt>
                <c:pt idx="51">
                  <c:v>157.9</c:v>
                </c:pt>
                <c:pt idx="52">
                  <c:v>149.80000000000001</c:v>
                </c:pt>
                <c:pt idx="53">
                  <c:v>151.4</c:v>
                </c:pt>
                <c:pt idx="54">
                  <c:v>142.19999999999999</c:v>
                </c:pt>
                <c:pt idx="55">
                  <c:v>139.1</c:v>
                </c:pt>
                <c:pt idx="56">
                  <c:v>141.80000000000001</c:v>
                </c:pt>
                <c:pt idx="57">
                  <c:v>137.69999999999999</c:v>
                </c:pt>
                <c:pt idx="58">
                  <c:v>132.9</c:v>
                </c:pt>
                <c:pt idx="59">
                  <c:v>127.6</c:v>
                </c:pt>
                <c:pt idx="60">
                  <c:v>126.7</c:v>
                </c:pt>
                <c:pt idx="61">
                  <c:v>124.9</c:v>
                </c:pt>
                <c:pt idx="62">
                  <c:v>122.9</c:v>
                </c:pt>
                <c:pt idx="63">
                  <c:v>119.2</c:v>
                </c:pt>
                <c:pt idx="64">
                  <c:v>120.3</c:v>
                </c:pt>
                <c:pt idx="65">
                  <c:v>115.4</c:v>
                </c:pt>
                <c:pt idx="66">
                  <c:v>112.5</c:v>
                </c:pt>
                <c:pt idx="67">
                  <c:v>112.2</c:v>
                </c:pt>
                <c:pt idx="68">
                  <c:v>108.5</c:v>
                </c:pt>
                <c:pt idx="69">
                  <c:v>106.7</c:v>
                </c:pt>
                <c:pt idx="70">
                  <c:v>104.3</c:v>
                </c:pt>
                <c:pt idx="71">
                  <c:v>100</c:v>
                </c:pt>
                <c:pt idx="72">
                  <c:v>106.4</c:v>
                </c:pt>
                <c:pt idx="73">
                  <c:v>101.2</c:v>
                </c:pt>
                <c:pt idx="74">
                  <c:v>96.8</c:v>
                </c:pt>
                <c:pt idx="75">
                  <c:v>98.5</c:v>
                </c:pt>
                <c:pt idx="76">
                  <c:v>97</c:v>
                </c:pt>
                <c:pt idx="77">
                  <c:v>98.9</c:v>
                </c:pt>
                <c:pt idx="78">
                  <c:v>90.47</c:v>
                </c:pt>
                <c:pt idx="79">
                  <c:v>80.25</c:v>
                </c:pt>
                <c:pt idx="80">
                  <c:v>72.56</c:v>
                </c:pt>
                <c:pt idx="81">
                  <c:v>66.25</c:v>
                </c:pt>
                <c:pt idx="82">
                  <c:v>62.15</c:v>
                </c:pt>
                <c:pt idx="83">
                  <c:v>58.17</c:v>
                </c:pt>
                <c:pt idx="84">
                  <c:v>55.1</c:v>
                </c:pt>
                <c:pt idx="85">
                  <c:v>53.84</c:v>
                </c:pt>
                <c:pt idx="86">
                  <c:v>51</c:v>
                </c:pt>
                <c:pt idx="87">
                  <c:v>48.96</c:v>
                </c:pt>
                <c:pt idx="88">
                  <c:v>48.09</c:v>
                </c:pt>
                <c:pt idx="89">
                  <c:v>45.45</c:v>
                </c:pt>
                <c:pt idx="90">
                  <c:v>44.08</c:v>
                </c:pt>
                <c:pt idx="91">
                  <c:v>42.82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Data2'!$G$99:$CT$99</c:f>
              <c:numCache>
                <c:formatCode>General</c:formatCode>
                <c:ptCount val="92"/>
                <c:pt idx="0">
                  <c:v>944</c:v>
                </c:pt>
                <c:pt idx="1">
                  <c:v>968</c:v>
                </c:pt>
                <c:pt idx="2">
                  <c:v>973</c:v>
                </c:pt>
                <c:pt idx="3">
                  <c:v>927</c:v>
                </c:pt>
                <c:pt idx="4">
                  <c:v>943</c:v>
                </c:pt>
                <c:pt idx="5">
                  <c:v>955</c:v>
                </c:pt>
                <c:pt idx="6">
                  <c:v>935</c:v>
                </c:pt>
                <c:pt idx="7">
                  <c:v>930</c:v>
                </c:pt>
                <c:pt idx="8">
                  <c:v>963</c:v>
                </c:pt>
                <c:pt idx="9">
                  <c:v>922</c:v>
                </c:pt>
                <c:pt idx="10">
                  <c:v>940</c:v>
                </c:pt>
                <c:pt idx="11">
                  <c:v>941</c:v>
                </c:pt>
                <c:pt idx="12">
                  <c:v>907</c:v>
                </c:pt>
                <c:pt idx="13">
                  <c:v>926</c:v>
                </c:pt>
                <c:pt idx="14">
                  <c:v>906</c:v>
                </c:pt>
                <c:pt idx="15">
                  <c:v>918</c:v>
                </c:pt>
                <c:pt idx="16">
                  <c:v>900</c:v>
                </c:pt>
                <c:pt idx="17">
                  <c:v>926</c:v>
                </c:pt>
                <c:pt idx="18">
                  <c:v>847</c:v>
                </c:pt>
                <c:pt idx="19">
                  <c:v>880</c:v>
                </c:pt>
                <c:pt idx="20">
                  <c:v>859.9</c:v>
                </c:pt>
                <c:pt idx="21">
                  <c:v>819.2</c:v>
                </c:pt>
                <c:pt idx="22">
                  <c:v>762.1</c:v>
                </c:pt>
                <c:pt idx="23">
                  <c:v>725.1</c:v>
                </c:pt>
                <c:pt idx="24">
                  <c:v>689</c:v>
                </c:pt>
                <c:pt idx="25">
                  <c:v>656.8</c:v>
                </c:pt>
                <c:pt idx="26">
                  <c:v>602.29999999999995</c:v>
                </c:pt>
                <c:pt idx="27">
                  <c:v>581.20000000000005</c:v>
                </c:pt>
                <c:pt idx="28">
                  <c:v>545.5</c:v>
                </c:pt>
                <c:pt idx="29">
                  <c:v>507.2</c:v>
                </c:pt>
                <c:pt idx="30">
                  <c:v>495.8</c:v>
                </c:pt>
                <c:pt idx="31">
                  <c:v>472.4</c:v>
                </c:pt>
                <c:pt idx="32">
                  <c:v>450.8</c:v>
                </c:pt>
                <c:pt idx="33">
                  <c:v>421.2</c:v>
                </c:pt>
                <c:pt idx="34">
                  <c:v>411</c:v>
                </c:pt>
                <c:pt idx="35">
                  <c:v>395.2</c:v>
                </c:pt>
                <c:pt idx="36">
                  <c:v>369.7</c:v>
                </c:pt>
                <c:pt idx="37">
                  <c:v>360.8</c:v>
                </c:pt>
                <c:pt idx="38">
                  <c:v>350.5</c:v>
                </c:pt>
                <c:pt idx="39">
                  <c:v>332.6</c:v>
                </c:pt>
                <c:pt idx="40">
                  <c:v>316.89999999999998</c:v>
                </c:pt>
                <c:pt idx="41">
                  <c:v>317.2</c:v>
                </c:pt>
                <c:pt idx="42">
                  <c:v>297.2</c:v>
                </c:pt>
                <c:pt idx="43">
                  <c:v>288.10000000000002</c:v>
                </c:pt>
                <c:pt idx="44">
                  <c:v>281.3</c:v>
                </c:pt>
                <c:pt idx="45">
                  <c:v>269.2</c:v>
                </c:pt>
                <c:pt idx="46">
                  <c:v>267.2</c:v>
                </c:pt>
                <c:pt idx="47">
                  <c:v>251.5</c:v>
                </c:pt>
                <c:pt idx="48">
                  <c:v>247.4</c:v>
                </c:pt>
                <c:pt idx="49">
                  <c:v>244.9</c:v>
                </c:pt>
                <c:pt idx="50">
                  <c:v>231.5</c:v>
                </c:pt>
                <c:pt idx="51">
                  <c:v>230.8</c:v>
                </c:pt>
                <c:pt idx="52">
                  <c:v>224.3</c:v>
                </c:pt>
                <c:pt idx="53">
                  <c:v>223.1</c:v>
                </c:pt>
                <c:pt idx="54">
                  <c:v>209.1</c:v>
                </c:pt>
                <c:pt idx="55">
                  <c:v>205.1</c:v>
                </c:pt>
                <c:pt idx="56">
                  <c:v>199.2</c:v>
                </c:pt>
                <c:pt idx="57">
                  <c:v>199.5</c:v>
                </c:pt>
                <c:pt idx="58">
                  <c:v>194.8</c:v>
                </c:pt>
                <c:pt idx="59">
                  <c:v>192.4</c:v>
                </c:pt>
                <c:pt idx="60">
                  <c:v>189.9</c:v>
                </c:pt>
                <c:pt idx="61">
                  <c:v>177.2</c:v>
                </c:pt>
                <c:pt idx="62">
                  <c:v>179.8</c:v>
                </c:pt>
                <c:pt idx="63">
                  <c:v>173.9</c:v>
                </c:pt>
                <c:pt idx="64">
                  <c:v>173.2</c:v>
                </c:pt>
                <c:pt idx="65">
                  <c:v>166.7</c:v>
                </c:pt>
                <c:pt idx="66">
                  <c:v>162.30000000000001</c:v>
                </c:pt>
                <c:pt idx="67">
                  <c:v>161.5</c:v>
                </c:pt>
                <c:pt idx="68">
                  <c:v>160.19999999999999</c:v>
                </c:pt>
                <c:pt idx="69">
                  <c:v>158.1</c:v>
                </c:pt>
                <c:pt idx="70">
                  <c:v>153.69999999999999</c:v>
                </c:pt>
                <c:pt idx="71">
                  <c:v>153.19999999999999</c:v>
                </c:pt>
                <c:pt idx="72">
                  <c:v>150.6</c:v>
                </c:pt>
                <c:pt idx="73">
                  <c:v>145.5</c:v>
                </c:pt>
                <c:pt idx="74">
                  <c:v>148</c:v>
                </c:pt>
                <c:pt idx="75">
                  <c:v>142.30000000000001</c:v>
                </c:pt>
                <c:pt idx="76">
                  <c:v>138.9</c:v>
                </c:pt>
                <c:pt idx="77">
                  <c:v>136.4</c:v>
                </c:pt>
                <c:pt idx="78">
                  <c:v>127.93</c:v>
                </c:pt>
                <c:pt idx="79">
                  <c:v>114.21</c:v>
                </c:pt>
                <c:pt idx="80">
                  <c:v>104.58</c:v>
                </c:pt>
                <c:pt idx="81">
                  <c:v>96.17</c:v>
                </c:pt>
                <c:pt idx="82">
                  <c:v>87.43</c:v>
                </c:pt>
                <c:pt idx="83">
                  <c:v>81.58</c:v>
                </c:pt>
                <c:pt idx="84">
                  <c:v>77.91</c:v>
                </c:pt>
                <c:pt idx="85">
                  <c:v>73.61</c:v>
                </c:pt>
                <c:pt idx="86">
                  <c:v>70.53</c:v>
                </c:pt>
                <c:pt idx="87">
                  <c:v>67.36</c:v>
                </c:pt>
                <c:pt idx="88">
                  <c:v>64.36</c:v>
                </c:pt>
                <c:pt idx="89">
                  <c:v>60.98</c:v>
                </c:pt>
                <c:pt idx="90">
                  <c:v>60.33</c:v>
                </c:pt>
                <c:pt idx="91">
                  <c:v>58.44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28160"/>
        <c:axId val="46830336"/>
      </c:scatterChart>
      <c:valAx>
        <c:axId val="4682816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830336"/>
        <c:crosses val="autoZero"/>
        <c:crossBetween val="midCat"/>
      </c:valAx>
      <c:valAx>
        <c:axId val="468303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8281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Data'!$A$311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Data2'!$G$100:$CT$100</c:f>
              <c:numCache>
                <c:formatCode>General</c:formatCode>
                <c:ptCount val="92"/>
                <c:pt idx="0">
                  <c:v>26357</c:v>
                </c:pt>
                <c:pt idx="1">
                  <c:v>26029</c:v>
                </c:pt>
                <c:pt idx="2">
                  <c:v>26097</c:v>
                </c:pt>
                <c:pt idx="3">
                  <c:v>25968</c:v>
                </c:pt>
                <c:pt idx="4">
                  <c:v>25537</c:v>
                </c:pt>
                <c:pt idx="5">
                  <c:v>25555</c:v>
                </c:pt>
                <c:pt idx="6">
                  <c:v>25515</c:v>
                </c:pt>
                <c:pt idx="7">
                  <c:v>25651</c:v>
                </c:pt>
                <c:pt idx="8">
                  <c:v>25485</c:v>
                </c:pt>
                <c:pt idx="9">
                  <c:v>25471</c:v>
                </c:pt>
                <c:pt idx="10">
                  <c:v>25139</c:v>
                </c:pt>
                <c:pt idx="11">
                  <c:v>25340</c:v>
                </c:pt>
                <c:pt idx="12">
                  <c:v>24717</c:v>
                </c:pt>
                <c:pt idx="13">
                  <c:v>24868</c:v>
                </c:pt>
                <c:pt idx="14">
                  <c:v>24953</c:v>
                </c:pt>
                <c:pt idx="15">
                  <c:v>25047</c:v>
                </c:pt>
                <c:pt idx="16">
                  <c:v>24457</c:v>
                </c:pt>
                <c:pt idx="17">
                  <c:v>24696</c:v>
                </c:pt>
                <c:pt idx="18">
                  <c:v>24302</c:v>
                </c:pt>
                <c:pt idx="19">
                  <c:v>24348</c:v>
                </c:pt>
                <c:pt idx="20">
                  <c:v>23742.2</c:v>
                </c:pt>
                <c:pt idx="21">
                  <c:v>22523.8</c:v>
                </c:pt>
                <c:pt idx="22">
                  <c:v>21110.400000000001</c:v>
                </c:pt>
                <c:pt idx="23">
                  <c:v>20091.599999999999</c:v>
                </c:pt>
                <c:pt idx="24">
                  <c:v>18928.099999999999</c:v>
                </c:pt>
                <c:pt idx="25">
                  <c:v>17835.599999999999</c:v>
                </c:pt>
                <c:pt idx="26">
                  <c:v>16865.599999999999</c:v>
                </c:pt>
                <c:pt idx="27">
                  <c:v>15936.2</c:v>
                </c:pt>
                <c:pt idx="28">
                  <c:v>15100.2</c:v>
                </c:pt>
                <c:pt idx="29">
                  <c:v>14327.9</c:v>
                </c:pt>
                <c:pt idx="30">
                  <c:v>13631.3</c:v>
                </c:pt>
                <c:pt idx="31">
                  <c:v>12980</c:v>
                </c:pt>
                <c:pt idx="32">
                  <c:v>12332.6</c:v>
                </c:pt>
                <c:pt idx="33">
                  <c:v>11714</c:v>
                </c:pt>
                <c:pt idx="34">
                  <c:v>11208.8</c:v>
                </c:pt>
                <c:pt idx="35">
                  <c:v>10683</c:v>
                </c:pt>
                <c:pt idx="36">
                  <c:v>10189.6</c:v>
                </c:pt>
                <c:pt idx="37">
                  <c:v>9790.2999999999993</c:v>
                </c:pt>
                <c:pt idx="38">
                  <c:v>9335.6</c:v>
                </c:pt>
                <c:pt idx="39">
                  <c:v>8912.2000000000007</c:v>
                </c:pt>
                <c:pt idx="40">
                  <c:v>8575.7000000000007</c:v>
                </c:pt>
                <c:pt idx="41">
                  <c:v>8281.1</c:v>
                </c:pt>
                <c:pt idx="42">
                  <c:v>7938.1</c:v>
                </c:pt>
                <c:pt idx="43">
                  <c:v>7646.8</c:v>
                </c:pt>
                <c:pt idx="44">
                  <c:v>7336.4</c:v>
                </c:pt>
                <c:pt idx="45">
                  <c:v>7044.9</c:v>
                </c:pt>
                <c:pt idx="46">
                  <c:v>6765.3</c:v>
                </c:pt>
                <c:pt idx="47">
                  <c:v>6536.4</c:v>
                </c:pt>
                <c:pt idx="48">
                  <c:v>6327.8</c:v>
                </c:pt>
                <c:pt idx="49">
                  <c:v>6123.4</c:v>
                </c:pt>
                <c:pt idx="50">
                  <c:v>5872.4</c:v>
                </c:pt>
                <c:pt idx="51">
                  <c:v>5717.1</c:v>
                </c:pt>
                <c:pt idx="52">
                  <c:v>5513.7</c:v>
                </c:pt>
                <c:pt idx="53">
                  <c:v>5348.5</c:v>
                </c:pt>
                <c:pt idx="54">
                  <c:v>5134.8999999999996</c:v>
                </c:pt>
                <c:pt idx="55">
                  <c:v>5006.8999999999996</c:v>
                </c:pt>
                <c:pt idx="56">
                  <c:v>4849.2</c:v>
                </c:pt>
                <c:pt idx="57">
                  <c:v>4712.2</c:v>
                </c:pt>
                <c:pt idx="58">
                  <c:v>4563.3999999999996</c:v>
                </c:pt>
                <c:pt idx="59">
                  <c:v>4422.5</c:v>
                </c:pt>
                <c:pt idx="60">
                  <c:v>4299.1000000000004</c:v>
                </c:pt>
                <c:pt idx="61">
                  <c:v>4196.3999999999996</c:v>
                </c:pt>
                <c:pt idx="62">
                  <c:v>4071.4</c:v>
                </c:pt>
                <c:pt idx="63">
                  <c:v>3968.9</c:v>
                </c:pt>
                <c:pt idx="64">
                  <c:v>3831.3</c:v>
                </c:pt>
                <c:pt idx="65">
                  <c:v>3742.6</c:v>
                </c:pt>
                <c:pt idx="66">
                  <c:v>3702.5</c:v>
                </c:pt>
                <c:pt idx="67">
                  <c:v>3529.7</c:v>
                </c:pt>
                <c:pt idx="68">
                  <c:v>3495.3</c:v>
                </c:pt>
                <c:pt idx="69">
                  <c:v>3393.3</c:v>
                </c:pt>
                <c:pt idx="70">
                  <c:v>3295.4</c:v>
                </c:pt>
                <c:pt idx="71">
                  <c:v>3212.3</c:v>
                </c:pt>
                <c:pt idx="72">
                  <c:v>3149.9</c:v>
                </c:pt>
                <c:pt idx="73">
                  <c:v>3070</c:v>
                </c:pt>
                <c:pt idx="74">
                  <c:v>3026.1</c:v>
                </c:pt>
                <c:pt idx="75">
                  <c:v>2930.3</c:v>
                </c:pt>
                <c:pt idx="76">
                  <c:v>2867.8</c:v>
                </c:pt>
                <c:pt idx="77">
                  <c:v>2782.1</c:v>
                </c:pt>
                <c:pt idx="78">
                  <c:v>2511.3200000000002</c:v>
                </c:pt>
                <c:pt idx="79">
                  <c:v>2074.4</c:v>
                </c:pt>
                <c:pt idx="80">
                  <c:v>1754.79</c:v>
                </c:pt>
                <c:pt idx="81">
                  <c:v>1517.7</c:v>
                </c:pt>
                <c:pt idx="82">
                  <c:v>1332.88</c:v>
                </c:pt>
                <c:pt idx="83">
                  <c:v>1177.19</c:v>
                </c:pt>
                <c:pt idx="84">
                  <c:v>1060.79</c:v>
                </c:pt>
                <c:pt idx="85">
                  <c:v>960.17</c:v>
                </c:pt>
                <c:pt idx="86">
                  <c:v>882.82</c:v>
                </c:pt>
                <c:pt idx="87">
                  <c:v>814.75</c:v>
                </c:pt>
                <c:pt idx="88">
                  <c:v>758.09</c:v>
                </c:pt>
                <c:pt idx="89">
                  <c:v>708.9</c:v>
                </c:pt>
                <c:pt idx="90">
                  <c:v>660.64</c:v>
                </c:pt>
                <c:pt idx="91">
                  <c:v>623.09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Data2'!$G$101:$CT$101</c:f>
              <c:numCache>
                <c:formatCode>General</c:formatCode>
                <c:ptCount val="92"/>
                <c:pt idx="0">
                  <c:v>4897</c:v>
                </c:pt>
                <c:pt idx="1">
                  <c:v>4893</c:v>
                </c:pt>
                <c:pt idx="2">
                  <c:v>4951</c:v>
                </c:pt>
                <c:pt idx="3">
                  <c:v>4999</c:v>
                </c:pt>
                <c:pt idx="4">
                  <c:v>4980</c:v>
                </c:pt>
                <c:pt idx="5">
                  <c:v>4910</c:v>
                </c:pt>
                <c:pt idx="6">
                  <c:v>4839</c:v>
                </c:pt>
                <c:pt idx="7">
                  <c:v>4884</c:v>
                </c:pt>
                <c:pt idx="8">
                  <c:v>4964</c:v>
                </c:pt>
                <c:pt idx="9">
                  <c:v>4830</c:v>
                </c:pt>
                <c:pt idx="10">
                  <c:v>4788</c:v>
                </c:pt>
                <c:pt idx="11">
                  <c:v>4815</c:v>
                </c:pt>
                <c:pt idx="12">
                  <c:v>4931</c:v>
                </c:pt>
                <c:pt idx="13">
                  <c:v>4757</c:v>
                </c:pt>
                <c:pt idx="14">
                  <c:v>4795</c:v>
                </c:pt>
                <c:pt idx="15">
                  <c:v>4741</c:v>
                </c:pt>
                <c:pt idx="16">
                  <c:v>4781</c:v>
                </c:pt>
                <c:pt idx="17">
                  <c:v>4689</c:v>
                </c:pt>
                <c:pt idx="18">
                  <c:v>4751</c:v>
                </c:pt>
                <c:pt idx="19">
                  <c:v>4753</c:v>
                </c:pt>
                <c:pt idx="20">
                  <c:v>4602.8</c:v>
                </c:pt>
                <c:pt idx="21">
                  <c:v>4399.2</c:v>
                </c:pt>
                <c:pt idx="22">
                  <c:v>4208.3</c:v>
                </c:pt>
                <c:pt idx="23">
                  <c:v>4014.7</c:v>
                </c:pt>
                <c:pt idx="24">
                  <c:v>3801.9</c:v>
                </c:pt>
                <c:pt idx="25">
                  <c:v>3627.6</c:v>
                </c:pt>
                <c:pt idx="26">
                  <c:v>3426.5</c:v>
                </c:pt>
                <c:pt idx="27">
                  <c:v>3293.8</c:v>
                </c:pt>
                <c:pt idx="28">
                  <c:v>3117.7</c:v>
                </c:pt>
                <c:pt idx="29">
                  <c:v>2993.9</c:v>
                </c:pt>
                <c:pt idx="30">
                  <c:v>2869.5</c:v>
                </c:pt>
                <c:pt idx="31">
                  <c:v>2745.7</c:v>
                </c:pt>
                <c:pt idx="32">
                  <c:v>2620</c:v>
                </c:pt>
                <c:pt idx="33">
                  <c:v>2513.4</c:v>
                </c:pt>
                <c:pt idx="34">
                  <c:v>2438.6</c:v>
                </c:pt>
                <c:pt idx="35">
                  <c:v>2351.4</c:v>
                </c:pt>
                <c:pt idx="36">
                  <c:v>2228.4</c:v>
                </c:pt>
                <c:pt idx="37">
                  <c:v>2162.6999999999998</c:v>
                </c:pt>
                <c:pt idx="38">
                  <c:v>2077.4</c:v>
                </c:pt>
                <c:pt idx="39">
                  <c:v>2012.1</c:v>
                </c:pt>
                <c:pt idx="40">
                  <c:v>1950</c:v>
                </c:pt>
                <c:pt idx="41">
                  <c:v>1885.2</c:v>
                </c:pt>
                <c:pt idx="42">
                  <c:v>1837</c:v>
                </c:pt>
                <c:pt idx="43">
                  <c:v>1751.5</c:v>
                </c:pt>
                <c:pt idx="44">
                  <c:v>1710.5</c:v>
                </c:pt>
                <c:pt idx="45">
                  <c:v>1667.8</c:v>
                </c:pt>
                <c:pt idx="46">
                  <c:v>1617</c:v>
                </c:pt>
                <c:pt idx="47">
                  <c:v>1571.2</c:v>
                </c:pt>
                <c:pt idx="48">
                  <c:v>1533.8</c:v>
                </c:pt>
                <c:pt idx="49">
                  <c:v>1482.8</c:v>
                </c:pt>
                <c:pt idx="50">
                  <c:v>1463.4</c:v>
                </c:pt>
                <c:pt idx="51">
                  <c:v>1418.5</c:v>
                </c:pt>
                <c:pt idx="52">
                  <c:v>1372.9</c:v>
                </c:pt>
                <c:pt idx="53">
                  <c:v>1327.4</c:v>
                </c:pt>
                <c:pt idx="54">
                  <c:v>1319.5</c:v>
                </c:pt>
                <c:pt idx="55">
                  <c:v>1285.3</c:v>
                </c:pt>
                <c:pt idx="56">
                  <c:v>1251.5</c:v>
                </c:pt>
                <c:pt idx="57">
                  <c:v>1208.7</c:v>
                </c:pt>
                <c:pt idx="58">
                  <c:v>1202.8</c:v>
                </c:pt>
                <c:pt idx="59">
                  <c:v>1158.5999999999999</c:v>
                </c:pt>
                <c:pt idx="60">
                  <c:v>1153.0999999999999</c:v>
                </c:pt>
                <c:pt idx="61">
                  <c:v>1140.2</c:v>
                </c:pt>
                <c:pt idx="62">
                  <c:v>1116.5</c:v>
                </c:pt>
                <c:pt idx="63">
                  <c:v>1091.8</c:v>
                </c:pt>
                <c:pt idx="64">
                  <c:v>1060.9000000000001</c:v>
                </c:pt>
                <c:pt idx="65">
                  <c:v>1054.0999999999999</c:v>
                </c:pt>
                <c:pt idx="66">
                  <c:v>1023.6</c:v>
                </c:pt>
                <c:pt idx="67">
                  <c:v>1008.3</c:v>
                </c:pt>
                <c:pt idx="68">
                  <c:v>994.4</c:v>
                </c:pt>
                <c:pt idx="69">
                  <c:v>973.7</c:v>
                </c:pt>
                <c:pt idx="70">
                  <c:v>960.3</c:v>
                </c:pt>
                <c:pt idx="71">
                  <c:v>937.5</c:v>
                </c:pt>
                <c:pt idx="72">
                  <c:v>926</c:v>
                </c:pt>
                <c:pt idx="73">
                  <c:v>905.1</c:v>
                </c:pt>
                <c:pt idx="74">
                  <c:v>899.3</c:v>
                </c:pt>
                <c:pt idx="75">
                  <c:v>867</c:v>
                </c:pt>
                <c:pt idx="76">
                  <c:v>861</c:v>
                </c:pt>
                <c:pt idx="77">
                  <c:v>870.4</c:v>
                </c:pt>
                <c:pt idx="78">
                  <c:v>799.39</c:v>
                </c:pt>
                <c:pt idx="79">
                  <c:v>704.45</c:v>
                </c:pt>
                <c:pt idx="80">
                  <c:v>634.85</c:v>
                </c:pt>
                <c:pt idx="81">
                  <c:v>582.5</c:v>
                </c:pt>
                <c:pt idx="82">
                  <c:v>540.71</c:v>
                </c:pt>
                <c:pt idx="83">
                  <c:v>503.75</c:v>
                </c:pt>
                <c:pt idx="84">
                  <c:v>474.77</c:v>
                </c:pt>
                <c:pt idx="85">
                  <c:v>447.03</c:v>
                </c:pt>
                <c:pt idx="86">
                  <c:v>425.13</c:v>
                </c:pt>
                <c:pt idx="87">
                  <c:v>409.84</c:v>
                </c:pt>
                <c:pt idx="88">
                  <c:v>387.1</c:v>
                </c:pt>
                <c:pt idx="89">
                  <c:v>373.51</c:v>
                </c:pt>
                <c:pt idx="90">
                  <c:v>360.91</c:v>
                </c:pt>
                <c:pt idx="91">
                  <c:v>342.5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Data2'!$G$102:$CT$102</c:f>
              <c:numCache>
                <c:formatCode>General</c:formatCode>
                <c:ptCount val="92"/>
                <c:pt idx="0">
                  <c:v>8534</c:v>
                </c:pt>
                <c:pt idx="1">
                  <c:v>8648</c:v>
                </c:pt>
                <c:pt idx="2">
                  <c:v>8486</c:v>
                </c:pt>
                <c:pt idx="3">
                  <c:v>8622</c:v>
                </c:pt>
                <c:pt idx="4">
                  <c:v>8485</c:v>
                </c:pt>
                <c:pt idx="5">
                  <c:v>8590</c:v>
                </c:pt>
                <c:pt idx="6">
                  <c:v>8486</c:v>
                </c:pt>
                <c:pt idx="7">
                  <c:v>8700</c:v>
                </c:pt>
                <c:pt idx="8">
                  <c:v>8393</c:v>
                </c:pt>
                <c:pt idx="9">
                  <c:v>8351</c:v>
                </c:pt>
                <c:pt idx="10">
                  <c:v>8326</c:v>
                </c:pt>
                <c:pt idx="11">
                  <c:v>8369</c:v>
                </c:pt>
                <c:pt idx="12">
                  <c:v>8352</c:v>
                </c:pt>
                <c:pt idx="13">
                  <c:v>8351</c:v>
                </c:pt>
                <c:pt idx="14">
                  <c:v>8258</c:v>
                </c:pt>
                <c:pt idx="15">
                  <c:v>8113</c:v>
                </c:pt>
                <c:pt idx="16">
                  <c:v>8228</c:v>
                </c:pt>
                <c:pt idx="17">
                  <c:v>8158</c:v>
                </c:pt>
                <c:pt idx="18">
                  <c:v>8082</c:v>
                </c:pt>
                <c:pt idx="19">
                  <c:v>7995</c:v>
                </c:pt>
                <c:pt idx="20">
                  <c:v>7877.3</c:v>
                </c:pt>
                <c:pt idx="21">
                  <c:v>7400.6</c:v>
                </c:pt>
                <c:pt idx="22">
                  <c:v>7065.5</c:v>
                </c:pt>
                <c:pt idx="23">
                  <c:v>6675.1</c:v>
                </c:pt>
                <c:pt idx="24">
                  <c:v>6289</c:v>
                </c:pt>
                <c:pt idx="25">
                  <c:v>5929.3</c:v>
                </c:pt>
                <c:pt idx="26">
                  <c:v>5613.7</c:v>
                </c:pt>
                <c:pt idx="27">
                  <c:v>5336.9</c:v>
                </c:pt>
                <c:pt idx="28">
                  <c:v>5053.3999999999996</c:v>
                </c:pt>
                <c:pt idx="29">
                  <c:v>4783.5</c:v>
                </c:pt>
                <c:pt idx="30">
                  <c:v>4556.7</c:v>
                </c:pt>
                <c:pt idx="31">
                  <c:v>4326</c:v>
                </c:pt>
                <c:pt idx="32">
                  <c:v>4122.7</c:v>
                </c:pt>
                <c:pt idx="33">
                  <c:v>3911.3</c:v>
                </c:pt>
                <c:pt idx="34">
                  <c:v>3733.8</c:v>
                </c:pt>
                <c:pt idx="35">
                  <c:v>3592</c:v>
                </c:pt>
                <c:pt idx="36">
                  <c:v>3419.8</c:v>
                </c:pt>
                <c:pt idx="37">
                  <c:v>3287.8</c:v>
                </c:pt>
                <c:pt idx="38">
                  <c:v>3167.5</c:v>
                </c:pt>
                <c:pt idx="39">
                  <c:v>3013</c:v>
                </c:pt>
                <c:pt idx="40">
                  <c:v>2874.6</c:v>
                </c:pt>
                <c:pt idx="41">
                  <c:v>2798.3</c:v>
                </c:pt>
                <c:pt idx="42">
                  <c:v>2673</c:v>
                </c:pt>
                <c:pt idx="43">
                  <c:v>2594.6</c:v>
                </c:pt>
                <c:pt idx="44">
                  <c:v>2482.8000000000002</c:v>
                </c:pt>
                <c:pt idx="45">
                  <c:v>2389.4</c:v>
                </c:pt>
                <c:pt idx="46">
                  <c:v>2283.3000000000002</c:v>
                </c:pt>
                <c:pt idx="47">
                  <c:v>2216.3000000000002</c:v>
                </c:pt>
                <c:pt idx="48">
                  <c:v>2151.4</c:v>
                </c:pt>
                <c:pt idx="49">
                  <c:v>2101.6999999999998</c:v>
                </c:pt>
                <c:pt idx="50">
                  <c:v>2020.1</c:v>
                </c:pt>
                <c:pt idx="51">
                  <c:v>1962.6</c:v>
                </c:pt>
                <c:pt idx="52">
                  <c:v>1873.2</c:v>
                </c:pt>
                <c:pt idx="53">
                  <c:v>1825.1</c:v>
                </c:pt>
                <c:pt idx="54">
                  <c:v>1773.1</c:v>
                </c:pt>
                <c:pt idx="55">
                  <c:v>1707.3</c:v>
                </c:pt>
                <c:pt idx="56">
                  <c:v>1673.7</c:v>
                </c:pt>
                <c:pt idx="57">
                  <c:v>1617.9</c:v>
                </c:pt>
                <c:pt idx="58">
                  <c:v>1563.7</c:v>
                </c:pt>
                <c:pt idx="59">
                  <c:v>1528.6</c:v>
                </c:pt>
                <c:pt idx="60">
                  <c:v>1489.4</c:v>
                </c:pt>
                <c:pt idx="61">
                  <c:v>1475.3</c:v>
                </c:pt>
                <c:pt idx="62">
                  <c:v>1401.4</c:v>
                </c:pt>
                <c:pt idx="63">
                  <c:v>1369.8</c:v>
                </c:pt>
                <c:pt idx="64">
                  <c:v>1340.4</c:v>
                </c:pt>
                <c:pt idx="65">
                  <c:v>1315.6</c:v>
                </c:pt>
                <c:pt idx="66">
                  <c:v>1276.0999999999999</c:v>
                </c:pt>
                <c:pt idx="67">
                  <c:v>1251.2</c:v>
                </c:pt>
                <c:pt idx="68">
                  <c:v>1222</c:v>
                </c:pt>
                <c:pt idx="69">
                  <c:v>1189.8</c:v>
                </c:pt>
                <c:pt idx="70">
                  <c:v>1168</c:v>
                </c:pt>
                <c:pt idx="71">
                  <c:v>1140.5</c:v>
                </c:pt>
                <c:pt idx="72">
                  <c:v>1117.5</c:v>
                </c:pt>
                <c:pt idx="73">
                  <c:v>1090.8</c:v>
                </c:pt>
                <c:pt idx="74">
                  <c:v>1073.3</c:v>
                </c:pt>
                <c:pt idx="75">
                  <c:v>1048.3</c:v>
                </c:pt>
                <c:pt idx="76">
                  <c:v>1009.8</c:v>
                </c:pt>
                <c:pt idx="77">
                  <c:v>1009.4</c:v>
                </c:pt>
                <c:pt idx="78">
                  <c:v>910.56</c:v>
                </c:pt>
                <c:pt idx="79">
                  <c:v>756.34</c:v>
                </c:pt>
                <c:pt idx="80">
                  <c:v>654.27</c:v>
                </c:pt>
                <c:pt idx="81">
                  <c:v>574.14</c:v>
                </c:pt>
                <c:pt idx="82">
                  <c:v>511.63</c:v>
                </c:pt>
                <c:pt idx="83">
                  <c:v>459.4</c:v>
                </c:pt>
                <c:pt idx="84">
                  <c:v>423.65</c:v>
                </c:pt>
                <c:pt idx="85">
                  <c:v>389.89</c:v>
                </c:pt>
                <c:pt idx="86">
                  <c:v>359.19</c:v>
                </c:pt>
                <c:pt idx="87">
                  <c:v>335.5</c:v>
                </c:pt>
                <c:pt idx="88">
                  <c:v>314.17</c:v>
                </c:pt>
                <c:pt idx="89">
                  <c:v>296.77999999999997</c:v>
                </c:pt>
                <c:pt idx="90">
                  <c:v>282.27</c:v>
                </c:pt>
                <c:pt idx="91">
                  <c:v>267.16000000000003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Data2'!$G$103:$CT$103</c:f>
              <c:numCache>
                <c:formatCode>General</c:formatCode>
                <c:ptCount val="92"/>
                <c:pt idx="0">
                  <c:v>3971</c:v>
                </c:pt>
                <c:pt idx="1">
                  <c:v>4134</c:v>
                </c:pt>
                <c:pt idx="2">
                  <c:v>4061</c:v>
                </c:pt>
                <c:pt idx="3">
                  <c:v>4114</c:v>
                </c:pt>
                <c:pt idx="4">
                  <c:v>4013</c:v>
                </c:pt>
                <c:pt idx="5">
                  <c:v>4011</c:v>
                </c:pt>
                <c:pt idx="6">
                  <c:v>3975</c:v>
                </c:pt>
                <c:pt idx="7">
                  <c:v>3994</c:v>
                </c:pt>
                <c:pt idx="8">
                  <c:v>3987</c:v>
                </c:pt>
                <c:pt idx="9">
                  <c:v>3939</c:v>
                </c:pt>
                <c:pt idx="10">
                  <c:v>3913</c:v>
                </c:pt>
                <c:pt idx="11">
                  <c:v>3952</c:v>
                </c:pt>
                <c:pt idx="12">
                  <c:v>3907</c:v>
                </c:pt>
                <c:pt idx="13">
                  <c:v>3851</c:v>
                </c:pt>
                <c:pt idx="14">
                  <c:v>3827</c:v>
                </c:pt>
                <c:pt idx="15">
                  <c:v>3865</c:v>
                </c:pt>
                <c:pt idx="16">
                  <c:v>3899</c:v>
                </c:pt>
                <c:pt idx="17">
                  <c:v>3805</c:v>
                </c:pt>
                <c:pt idx="18">
                  <c:v>3826</c:v>
                </c:pt>
                <c:pt idx="19">
                  <c:v>3794</c:v>
                </c:pt>
                <c:pt idx="20">
                  <c:v>3739.9</c:v>
                </c:pt>
                <c:pt idx="21">
                  <c:v>3520.9</c:v>
                </c:pt>
                <c:pt idx="22">
                  <c:v>3370.6</c:v>
                </c:pt>
                <c:pt idx="23">
                  <c:v>3214.5</c:v>
                </c:pt>
                <c:pt idx="24">
                  <c:v>3042.8</c:v>
                </c:pt>
                <c:pt idx="25">
                  <c:v>2884.9</c:v>
                </c:pt>
                <c:pt idx="26">
                  <c:v>2708.9</c:v>
                </c:pt>
                <c:pt idx="27">
                  <c:v>2575.3000000000002</c:v>
                </c:pt>
                <c:pt idx="28">
                  <c:v>2486</c:v>
                </c:pt>
                <c:pt idx="29">
                  <c:v>2345.3000000000002</c:v>
                </c:pt>
                <c:pt idx="30">
                  <c:v>2235.1</c:v>
                </c:pt>
                <c:pt idx="31">
                  <c:v>2147.5</c:v>
                </c:pt>
                <c:pt idx="32">
                  <c:v>2030.5</c:v>
                </c:pt>
                <c:pt idx="33">
                  <c:v>1963.4</c:v>
                </c:pt>
                <c:pt idx="34">
                  <c:v>1882.5</c:v>
                </c:pt>
                <c:pt idx="35">
                  <c:v>1794.6</c:v>
                </c:pt>
                <c:pt idx="36">
                  <c:v>1722.2</c:v>
                </c:pt>
                <c:pt idx="37">
                  <c:v>1669.8</c:v>
                </c:pt>
                <c:pt idx="38">
                  <c:v>1591.9</c:v>
                </c:pt>
                <c:pt idx="39">
                  <c:v>1535.5</c:v>
                </c:pt>
                <c:pt idx="40">
                  <c:v>1486.8</c:v>
                </c:pt>
                <c:pt idx="41">
                  <c:v>1428.7</c:v>
                </c:pt>
                <c:pt idx="42">
                  <c:v>1378.1</c:v>
                </c:pt>
                <c:pt idx="43">
                  <c:v>1318.9</c:v>
                </c:pt>
                <c:pt idx="44">
                  <c:v>1296.4000000000001</c:v>
                </c:pt>
                <c:pt idx="45">
                  <c:v>1241.0999999999999</c:v>
                </c:pt>
                <c:pt idx="46">
                  <c:v>1212.3</c:v>
                </c:pt>
                <c:pt idx="47">
                  <c:v>1167.3</c:v>
                </c:pt>
                <c:pt idx="48">
                  <c:v>1134.9000000000001</c:v>
                </c:pt>
                <c:pt idx="49">
                  <c:v>1102.3</c:v>
                </c:pt>
                <c:pt idx="50">
                  <c:v>1070.5999999999999</c:v>
                </c:pt>
                <c:pt idx="51">
                  <c:v>1050.8</c:v>
                </c:pt>
                <c:pt idx="52">
                  <c:v>1004.3</c:v>
                </c:pt>
                <c:pt idx="53">
                  <c:v>997.3</c:v>
                </c:pt>
                <c:pt idx="54">
                  <c:v>957.8</c:v>
                </c:pt>
                <c:pt idx="55">
                  <c:v>937.6</c:v>
                </c:pt>
                <c:pt idx="56">
                  <c:v>920.2</c:v>
                </c:pt>
                <c:pt idx="57">
                  <c:v>893.1</c:v>
                </c:pt>
                <c:pt idx="58">
                  <c:v>864.6</c:v>
                </c:pt>
                <c:pt idx="59">
                  <c:v>846.3</c:v>
                </c:pt>
                <c:pt idx="60">
                  <c:v>839.7</c:v>
                </c:pt>
                <c:pt idx="61">
                  <c:v>820.6</c:v>
                </c:pt>
                <c:pt idx="62">
                  <c:v>799.8</c:v>
                </c:pt>
                <c:pt idx="63">
                  <c:v>777</c:v>
                </c:pt>
                <c:pt idx="64">
                  <c:v>767</c:v>
                </c:pt>
                <c:pt idx="65">
                  <c:v>744</c:v>
                </c:pt>
                <c:pt idx="66">
                  <c:v>734.9</c:v>
                </c:pt>
                <c:pt idx="67">
                  <c:v>706.6</c:v>
                </c:pt>
                <c:pt idx="68">
                  <c:v>703.2</c:v>
                </c:pt>
                <c:pt idx="69">
                  <c:v>693.6</c:v>
                </c:pt>
                <c:pt idx="70">
                  <c:v>669.5</c:v>
                </c:pt>
                <c:pt idx="71">
                  <c:v>666.5</c:v>
                </c:pt>
                <c:pt idx="72">
                  <c:v>646.70000000000005</c:v>
                </c:pt>
                <c:pt idx="73">
                  <c:v>637.6</c:v>
                </c:pt>
                <c:pt idx="74">
                  <c:v>635.79999999999995</c:v>
                </c:pt>
                <c:pt idx="75">
                  <c:v>619.6</c:v>
                </c:pt>
                <c:pt idx="76">
                  <c:v>616.79999999999995</c:v>
                </c:pt>
                <c:pt idx="77">
                  <c:v>597.4</c:v>
                </c:pt>
                <c:pt idx="78">
                  <c:v>547.28</c:v>
                </c:pt>
                <c:pt idx="79">
                  <c:v>479.1</c:v>
                </c:pt>
                <c:pt idx="80">
                  <c:v>423.63</c:v>
                </c:pt>
                <c:pt idx="81">
                  <c:v>387.48</c:v>
                </c:pt>
                <c:pt idx="82">
                  <c:v>352.17</c:v>
                </c:pt>
                <c:pt idx="83">
                  <c:v>327.75</c:v>
                </c:pt>
                <c:pt idx="84">
                  <c:v>305.29000000000002</c:v>
                </c:pt>
                <c:pt idx="85">
                  <c:v>283.61</c:v>
                </c:pt>
                <c:pt idx="86">
                  <c:v>272.39999999999998</c:v>
                </c:pt>
                <c:pt idx="87">
                  <c:v>258.07</c:v>
                </c:pt>
                <c:pt idx="88">
                  <c:v>245.04</c:v>
                </c:pt>
                <c:pt idx="89">
                  <c:v>235.96</c:v>
                </c:pt>
                <c:pt idx="90">
                  <c:v>227.46</c:v>
                </c:pt>
                <c:pt idx="91">
                  <c:v>217.77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Data2'!$G$104:$CT$104</c:f>
              <c:numCache>
                <c:formatCode>General</c:formatCode>
                <c:ptCount val="92"/>
                <c:pt idx="0">
                  <c:v>13913</c:v>
                </c:pt>
                <c:pt idx="1">
                  <c:v>13684</c:v>
                </c:pt>
                <c:pt idx="2">
                  <c:v>14028</c:v>
                </c:pt>
                <c:pt idx="3">
                  <c:v>13858</c:v>
                </c:pt>
                <c:pt idx="4">
                  <c:v>13888</c:v>
                </c:pt>
                <c:pt idx="5">
                  <c:v>13868</c:v>
                </c:pt>
                <c:pt idx="6">
                  <c:v>13618</c:v>
                </c:pt>
                <c:pt idx="7">
                  <c:v>13808</c:v>
                </c:pt>
                <c:pt idx="8">
                  <c:v>13744</c:v>
                </c:pt>
                <c:pt idx="9">
                  <c:v>13580</c:v>
                </c:pt>
                <c:pt idx="10">
                  <c:v>13144</c:v>
                </c:pt>
                <c:pt idx="11">
                  <c:v>13352</c:v>
                </c:pt>
                <c:pt idx="12">
                  <c:v>13496</c:v>
                </c:pt>
                <c:pt idx="13">
                  <c:v>13317</c:v>
                </c:pt>
                <c:pt idx="14">
                  <c:v>13150</c:v>
                </c:pt>
                <c:pt idx="15">
                  <c:v>13202</c:v>
                </c:pt>
                <c:pt idx="16">
                  <c:v>13244</c:v>
                </c:pt>
                <c:pt idx="17">
                  <c:v>12998</c:v>
                </c:pt>
                <c:pt idx="18">
                  <c:v>12936</c:v>
                </c:pt>
                <c:pt idx="19">
                  <c:v>12828</c:v>
                </c:pt>
                <c:pt idx="20">
                  <c:v>12670.9</c:v>
                </c:pt>
                <c:pt idx="21">
                  <c:v>12010.5</c:v>
                </c:pt>
                <c:pt idx="22">
                  <c:v>11303.6</c:v>
                </c:pt>
                <c:pt idx="23">
                  <c:v>10701.5</c:v>
                </c:pt>
                <c:pt idx="24">
                  <c:v>10130.1</c:v>
                </c:pt>
                <c:pt idx="25">
                  <c:v>9527.9</c:v>
                </c:pt>
                <c:pt idx="26">
                  <c:v>9007.9</c:v>
                </c:pt>
                <c:pt idx="27">
                  <c:v>8530.5</c:v>
                </c:pt>
                <c:pt idx="28">
                  <c:v>8025.8</c:v>
                </c:pt>
                <c:pt idx="29">
                  <c:v>7687.3</c:v>
                </c:pt>
                <c:pt idx="30">
                  <c:v>7200.7</c:v>
                </c:pt>
                <c:pt idx="31">
                  <c:v>6914.3</c:v>
                </c:pt>
                <c:pt idx="32">
                  <c:v>6588</c:v>
                </c:pt>
                <c:pt idx="33">
                  <c:v>6278.6</c:v>
                </c:pt>
                <c:pt idx="34">
                  <c:v>5981</c:v>
                </c:pt>
                <c:pt idx="35">
                  <c:v>5702.6</c:v>
                </c:pt>
                <c:pt idx="36">
                  <c:v>5446.8</c:v>
                </c:pt>
                <c:pt idx="37">
                  <c:v>5196.8</c:v>
                </c:pt>
                <c:pt idx="38">
                  <c:v>4976.8</c:v>
                </c:pt>
                <c:pt idx="39">
                  <c:v>4778.1000000000004</c:v>
                </c:pt>
                <c:pt idx="40">
                  <c:v>4555.2</c:v>
                </c:pt>
                <c:pt idx="41">
                  <c:v>4388.7</c:v>
                </c:pt>
                <c:pt idx="42">
                  <c:v>4257.7</c:v>
                </c:pt>
                <c:pt idx="43">
                  <c:v>4063.2</c:v>
                </c:pt>
                <c:pt idx="44">
                  <c:v>3910.6</c:v>
                </c:pt>
                <c:pt idx="45">
                  <c:v>3765.4</c:v>
                </c:pt>
                <c:pt idx="46">
                  <c:v>3596.4</c:v>
                </c:pt>
                <c:pt idx="47">
                  <c:v>3512</c:v>
                </c:pt>
                <c:pt idx="48">
                  <c:v>3388.8</c:v>
                </c:pt>
                <c:pt idx="49">
                  <c:v>3266.6</c:v>
                </c:pt>
                <c:pt idx="50">
                  <c:v>3144.1</c:v>
                </c:pt>
                <c:pt idx="51">
                  <c:v>3047.4</c:v>
                </c:pt>
                <c:pt idx="52">
                  <c:v>2949.9</c:v>
                </c:pt>
                <c:pt idx="53">
                  <c:v>2866.4</c:v>
                </c:pt>
                <c:pt idx="54">
                  <c:v>2786.2</c:v>
                </c:pt>
                <c:pt idx="55">
                  <c:v>2701.1</c:v>
                </c:pt>
                <c:pt idx="56">
                  <c:v>2593</c:v>
                </c:pt>
                <c:pt idx="57">
                  <c:v>2521.6999999999998</c:v>
                </c:pt>
                <c:pt idx="58">
                  <c:v>2444.1999999999998</c:v>
                </c:pt>
                <c:pt idx="59">
                  <c:v>2379.6</c:v>
                </c:pt>
                <c:pt idx="60">
                  <c:v>2335.6999999999998</c:v>
                </c:pt>
                <c:pt idx="61">
                  <c:v>2241.9</c:v>
                </c:pt>
                <c:pt idx="62">
                  <c:v>2189.1999999999998</c:v>
                </c:pt>
                <c:pt idx="63">
                  <c:v>2158.1</c:v>
                </c:pt>
                <c:pt idx="64">
                  <c:v>2084.5</c:v>
                </c:pt>
                <c:pt idx="65">
                  <c:v>2026.7</c:v>
                </c:pt>
                <c:pt idx="66">
                  <c:v>1998.4</c:v>
                </c:pt>
                <c:pt idx="67">
                  <c:v>1936.2</c:v>
                </c:pt>
                <c:pt idx="68">
                  <c:v>1894.1</c:v>
                </c:pt>
                <c:pt idx="69">
                  <c:v>1846.9</c:v>
                </c:pt>
                <c:pt idx="70">
                  <c:v>1801</c:v>
                </c:pt>
                <c:pt idx="71">
                  <c:v>1755.1</c:v>
                </c:pt>
                <c:pt idx="72">
                  <c:v>1710.5</c:v>
                </c:pt>
                <c:pt idx="73">
                  <c:v>1699.4</c:v>
                </c:pt>
                <c:pt idx="74">
                  <c:v>1636.6</c:v>
                </c:pt>
                <c:pt idx="75">
                  <c:v>1605.4</c:v>
                </c:pt>
                <c:pt idx="76">
                  <c:v>1575.6</c:v>
                </c:pt>
                <c:pt idx="77">
                  <c:v>1538</c:v>
                </c:pt>
                <c:pt idx="78">
                  <c:v>1372.79</c:v>
                </c:pt>
                <c:pt idx="79">
                  <c:v>1145.1400000000001</c:v>
                </c:pt>
                <c:pt idx="80">
                  <c:v>976.56</c:v>
                </c:pt>
                <c:pt idx="81">
                  <c:v>849.06</c:v>
                </c:pt>
                <c:pt idx="82">
                  <c:v>747.71</c:v>
                </c:pt>
                <c:pt idx="83">
                  <c:v>668.33</c:v>
                </c:pt>
                <c:pt idx="84">
                  <c:v>605.27</c:v>
                </c:pt>
                <c:pt idx="85">
                  <c:v>555.48</c:v>
                </c:pt>
                <c:pt idx="86">
                  <c:v>507.47</c:v>
                </c:pt>
                <c:pt idx="87">
                  <c:v>470.74</c:v>
                </c:pt>
                <c:pt idx="88">
                  <c:v>439.94</c:v>
                </c:pt>
                <c:pt idx="89">
                  <c:v>413.58</c:v>
                </c:pt>
                <c:pt idx="90">
                  <c:v>390.21</c:v>
                </c:pt>
                <c:pt idx="91">
                  <c:v>365.33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Data2'!$G$105:$CT$105</c:f>
              <c:numCache>
                <c:formatCode>General</c:formatCode>
                <c:ptCount val="92"/>
                <c:pt idx="0">
                  <c:v>4020</c:v>
                </c:pt>
                <c:pt idx="1">
                  <c:v>4041</c:v>
                </c:pt>
                <c:pt idx="2">
                  <c:v>4007</c:v>
                </c:pt>
                <c:pt idx="3">
                  <c:v>3976</c:v>
                </c:pt>
                <c:pt idx="4">
                  <c:v>4016</c:v>
                </c:pt>
                <c:pt idx="5">
                  <c:v>4038</c:v>
                </c:pt>
                <c:pt idx="6">
                  <c:v>3937</c:v>
                </c:pt>
                <c:pt idx="7">
                  <c:v>3934</c:v>
                </c:pt>
                <c:pt idx="8">
                  <c:v>3897</c:v>
                </c:pt>
                <c:pt idx="9">
                  <c:v>3919</c:v>
                </c:pt>
                <c:pt idx="10">
                  <c:v>3867</c:v>
                </c:pt>
                <c:pt idx="11">
                  <c:v>3931</c:v>
                </c:pt>
                <c:pt idx="12">
                  <c:v>3844</c:v>
                </c:pt>
                <c:pt idx="13">
                  <c:v>3855</c:v>
                </c:pt>
                <c:pt idx="14">
                  <c:v>3829</c:v>
                </c:pt>
                <c:pt idx="15">
                  <c:v>3847</c:v>
                </c:pt>
                <c:pt idx="16">
                  <c:v>3855</c:v>
                </c:pt>
                <c:pt idx="17">
                  <c:v>3876</c:v>
                </c:pt>
                <c:pt idx="18">
                  <c:v>3833</c:v>
                </c:pt>
                <c:pt idx="19">
                  <c:v>3868</c:v>
                </c:pt>
                <c:pt idx="20">
                  <c:v>3737.1</c:v>
                </c:pt>
                <c:pt idx="21">
                  <c:v>3550.5</c:v>
                </c:pt>
                <c:pt idx="22">
                  <c:v>3355.5</c:v>
                </c:pt>
                <c:pt idx="23">
                  <c:v>3203.6</c:v>
                </c:pt>
                <c:pt idx="24">
                  <c:v>3053.7</c:v>
                </c:pt>
                <c:pt idx="25">
                  <c:v>2902.8</c:v>
                </c:pt>
                <c:pt idx="26">
                  <c:v>2737.7</c:v>
                </c:pt>
                <c:pt idx="27">
                  <c:v>2612.5</c:v>
                </c:pt>
                <c:pt idx="28">
                  <c:v>2459.4</c:v>
                </c:pt>
                <c:pt idx="29">
                  <c:v>2358.8000000000002</c:v>
                </c:pt>
                <c:pt idx="30">
                  <c:v>2266.6999999999998</c:v>
                </c:pt>
                <c:pt idx="31">
                  <c:v>2177.1999999999998</c:v>
                </c:pt>
                <c:pt idx="32">
                  <c:v>2095.1</c:v>
                </c:pt>
                <c:pt idx="33">
                  <c:v>1981.8</c:v>
                </c:pt>
                <c:pt idx="34">
                  <c:v>1905.4</c:v>
                </c:pt>
                <c:pt idx="35">
                  <c:v>1835.6</c:v>
                </c:pt>
                <c:pt idx="36">
                  <c:v>1767.3</c:v>
                </c:pt>
                <c:pt idx="37">
                  <c:v>1698.4</c:v>
                </c:pt>
                <c:pt idx="38">
                  <c:v>1635.1</c:v>
                </c:pt>
                <c:pt idx="39">
                  <c:v>1582.4</c:v>
                </c:pt>
                <c:pt idx="40">
                  <c:v>1506.3</c:v>
                </c:pt>
                <c:pt idx="41">
                  <c:v>1476.3</c:v>
                </c:pt>
                <c:pt idx="42">
                  <c:v>1414.2</c:v>
                </c:pt>
                <c:pt idx="43">
                  <c:v>1383.2</c:v>
                </c:pt>
                <c:pt idx="44">
                  <c:v>1346.5</c:v>
                </c:pt>
                <c:pt idx="45">
                  <c:v>1280.7</c:v>
                </c:pt>
                <c:pt idx="46">
                  <c:v>1255.9000000000001</c:v>
                </c:pt>
                <c:pt idx="47">
                  <c:v>1213</c:v>
                </c:pt>
                <c:pt idx="48">
                  <c:v>1192</c:v>
                </c:pt>
                <c:pt idx="49">
                  <c:v>1159.7</c:v>
                </c:pt>
                <c:pt idx="50">
                  <c:v>1107.9000000000001</c:v>
                </c:pt>
                <c:pt idx="51">
                  <c:v>1079.0999999999999</c:v>
                </c:pt>
                <c:pt idx="52">
                  <c:v>1043.5999999999999</c:v>
                </c:pt>
                <c:pt idx="53">
                  <c:v>1033.9000000000001</c:v>
                </c:pt>
                <c:pt idx="54">
                  <c:v>1000.1</c:v>
                </c:pt>
                <c:pt idx="55">
                  <c:v>981.9</c:v>
                </c:pt>
                <c:pt idx="56">
                  <c:v>951.9</c:v>
                </c:pt>
                <c:pt idx="57">
                  <c:v>935</c:v>
                </c:pt>
                <c:pt idx="58">
                  <c:v>899.9</c:v>
                </c:pt>
                <c:pt idx="59">
                  <c:v>890.5</c:v>
                </c:pt>
                <c:pt idx="60">
                  <c:v>874.4</c:v>
                </c:pt>
                <c:pt idx="61">
                  <c:v>857.4</c:v>
                </c:pt>
                <c:pt idx="62">
                  <c:v>832.1</c:v>
                </c:pt>
                <c:pt idx="63">
                  <c:v>816.1</c:v>
                </c:pt>
                <c:pt idx="64">
                  <c:v>793.6</c:v>
                </c:pt>
                <c:pt idx="65">
                  <c:v>786.8</c:v>
                </c:pt>
                <c:pt idx="66">
                  <c:v>777.2</c:v>
                </c:pt>
                <c:pt idx="67">
                  <c:v>754</c:v>
                </c:pt>
                <c:pt idx="68">
                  <c:v>757.8</c:v>
                </c:pt>
                <c:pt idx="69">
                  <c:v>732.4</c:v>
                </c:pt>
                <c:pt idx="70">
                  <c:v>715.6</c:v>
                </c:pt>
                <c:pt idx="71">
                  <c:v>701.2</c:v>
                </c:pt>
                <c:pt idx="72">
                  <c:v>681.8</c:v>
                </c:pt>
                <c:pt idx="73">
                  <c:v>666.9</c:v>
                </c:pt>
                <c:pt idx="74">
                  <c:v>663.9</c:v>
                </c:pt>
                <c:pt idx="75">
                  <c:v>662.5</c:v>
                </c:pt>
                <c:pt idx="76">
                  <c:v>647.20000000000005</c:v>
                </c:pt>
                <c:pt idx="77">
                  <c:v>631.6</c:v>
                </c:pt>
                <c:pt idx="78">
                  <c:v>587.64</c:v>
                </c:pt>
                <c:pt idx="79">
                  <c:v>516.4</c:v>
                </c:pt>
                <c:pt idx="80">
                  <c:v>462.43</c:v>
                </c:pt>
                <c:pt idx="81">
                  <c:v>416.59</c:v>
                </c:pt>
                <c:pt idx="82">
                  <c:v>387.6</c:v>
                </c:pt>
                <c:pt idx="83">
                  <c:v>360.56</c:v>
                </c:pt>
                <c:pt idx="84">
                  <c:v>338.45</c:v>
                </c:pt>
                <c:pt idx="85">
                  <c:v>318.77999999999997</c:v>
                </c:pt>
                <c:pt idx="86">
                  <c:v>301.08</c:v>
                </c:pt>
                <c:pt idx="87">
                  <c:v>286</c:v>
                </c:pt>
                <c:pt idx="88">
                  <c:v>277.36</c:v>
                </c:pt>
                <c:pt idx="89">
                  <c:v>262.32</c:v>
                </c:pt>
                <c:pt idx="90">
                  <c:v>252.59</c:v>
                </c:pt>
                <c:pt idx="91">
                  <c:v>244.17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Data2'!$G$106:$CT$106</c:f>
              <c:numCache>
                <c:formatCode>General</c:formatCode>
                <c:ptCount val="92"/>
                <c:pt idx="0">
                  <c:v>17760</c:v>
                </c:pt>
                <c:pt idx="1">
                  <c:v>17884</c:v>
                </c:pt>
                <c:pt idx="2">
                  <c:v>17877</c:v>
                </c:pt>
                <c:pt idx="3">
                  <c:v>17736</c:v>
                </c:pt>
                <c:pt idx="4">
                  <c:v>17680</c:v>
                </c:pt>
                <c:pt idx="5">
                  <c:v>17530</c:v>
                </c:pt>
                <c:pt idx="6">
                  <c:v>17792</c:v>
                </c:pt>
                <c:pt idx="7">
                  <c:v>17604</c:v>
                </c:pt>
                <c:pt idx="8">
                  <c:v>17628</c:v>
                </c:pt>
                <c:pt idx="9">
                  <c:v>17354</c:v>
                </c:pt>
                <c:pt idx="10">
                  <c:v>17320</c:v>
                </c:pt>
                <c:pt idx="11">
                  <c:v>17329</c:v>
                </c:pt>
                <c:pt idx="12">
                  <c:v>17240</c:v>
                </c:pt>
                <c:pt idx="13">
                  <c:v>17189</c:v>
                </c:pt>
                <c:pt idx="14">
                  <c:v>16975</c:v>
                </c:pt>
                <c:pt idx="15">
                  <c:v>17011</c:v>
                </c:pt>
                <c:pt idx="16">
                  <c:v>16958</c:v>
                </c:pt>
                <c:pt idx="17">
                  <c:v>16750</c:v>
                </c:pt>
                <c:pt idx="18">
                  <c:v>16670</c:v>
                </c:pt>
                <c:pt idx="19">
                  <c:v>16464</c:v>
                </c:pt>
                <c:pt idx="20">
                  <c:v>16247</c:v>
                </c:pt>
                <c:pt idx="21">
                  <c:v>15351.5</c:v>
                </c:pt>
                <c:pt idx="22">
                  <c:v>14496</c:v>
                </c:pt>
                <c:pt idx="23">
                  <c:v>13671.8</c:v>
                </c:pt>
                <c:pt idx="24">
                  <c:v>12943.5</c:v>
                </c:pt>
                <c:pt idx="25">
                  <c:v>12131.5</c:v>
                </c:pt>
                <c:pt idx="26">
                  <c:v>11526.6</c:v>
                </c:pt>
                <c:pt idx="27">
                  <c:v>10893.4</c:v>
                </c:pt>
                <c:pt idx="28">
                  <c:v>10375.200000000001</c:v>
                </c:pt>
                <c:pt idx="29">
                  <c:v>9775.6</c:v>
                </c:pt>
                <c:pt idx="30">
                  <c:v>9278.4</c:v>
                </c:pt>
                <c:pt idx="31">
                  <c:v>8805</c:v>
                </c:pt>
                <c:pt idx="32">
                  <c:v>8355.6</c:v>
                </c:pt>
                <c:pt idx="33">
                  <c:v>7971.7</c:v>
                </c:pt>
                <c:pt idx="34">
                  <c:v>7564.8</c:v>
                </c:pt>
                <c:pt idx="35">
                  <c:v>7221.9</c:v>
                </c:pt>
                <c:pt idx="36">
                  <c:v>6955.9</c:v>
                </c:pt>
                <c:pt idx="37">
                  <c:v>6633.9</c:v>
                </c:pt>
                <c:pt idx="38">
                  <c:v>6346.6</c:v>
                </c:pt>
                <c:pt idx="39">
                  <c:v>6036.1</c:v>
                </c:pt>
                <c:pt idx="40">
                  <c:v>5832.9</c:v>
                </c:pt>
                <c:pt idx="41">
                  <c:v>5566.5</c:v>
                </c:pt>
                <c:pt idx="42">
                  <c:v>5390.9</c:v>
                </c:pt>
                <c:pt idx="43">
                  <c:v>5173.8999999999996</c:v>
                </c:pt>
                <c:pt idx="44">
                  <c:v>4959.3999999999996</c:v>
                </c:pt>
                <c:pt idx="45">
                  <c:v>4758.2</c:v>
                </c:pt>
                <c:pt idx="46">
                  <c:v>4596.5</c:v>
                </c:pt>
                <c:pt idx="47">
                  <c:v>4386.1000000000004</c:v>
                </c:pt>
                <c:pt idx="48">
                  <c:v>4299.7</c:v>
                </c:pt>
                <c:pt idx="49">
                  <c:v>4141.6000000000004</c:v>
                </c:pt>
                <c:pt idx="50">
                  <c:v>4010.7</c:v>
                </c:pt>
                <c:pt idx="51">
                  <c:v>3860.3</c:v>
                </c:pt>
                <c:pt idx="52">
                  <c:v>3719.3</c:v>
                </c:pt>
                <c:pt idx="53">
                  <c:v>3580.5</c:v>
                </c:pt>
                <c:pt idx="54">
                  <c:v>3516</c:v>
                </c:pt>
                <c:pt idx="55">
                  <c:v>3411.1</c:v>
                </c:pt>
                <c:pt idx="56">
                  <c:v>3318.3</c:v>
                </c:pt>
                <c:pt idx="57">
                  <c:v>3190.5</c:v>
                </c:pt>
                <c:pt idx="58">
                  <c:v>3101.4</c:v>
                </c:pt>
                <c:pt idx="59">
                  <c:v>3010.5</c:v>
                </c:pt>
                <c:pt idx="60">
                  <c:v>2904.9</c:v>
                </c:pt>
                <c:pt idx="61">
                  <c:v>2820.1</c:v>
                </c:pt>
                <c:pt idx="62">
                  <c:v>2760.9</c:v>
                </c:pt>
                <c:pt idx="63">
                  <c:v>2689.6</c:v>
                </c:pt>
                <c:pt idx="64">
                  <c:v>2614.1999999999998</c:v>
                </c:pt>
                <c:pt idx="65">
                  <c:v>2517.4</c:v>
                </c:pt>
                <c:pt idx="66">
                  <c:v>2497.9</c:v>
                </c:pt>
                <c:pt idx="67">
                  <c:v>2427.4</c:v>
                </c:pt>
                <c:pt idx="68">
                  <c:v>2361.1999999999998</c:v>
                </c:pt>
                <c:pt idx="69">
                  <c:v>2323.1999999999998</c:v>
                </c:pt>
                <c:pt idx="70">
                  <c:v>2247</c:v>
                </c:pt>
                <c:pt idx="71">
                  <c:v>2199.4</c:v>
                </c:pt>
                <c:pt idx="72">
                  <c:v>2142.4</c:v>
                </c:pt>
                <c:pt idx="73">
                  <c:v>2102</c:v>
                </c:pt>
                <c:pt idx="74">
                  <c:v>2048.1999999999998</c:v>
                </c:pt>
                <c:pt idx="75">
                  <c:v>1983.6</c:v>
                </c:pt>
                <c:pt idx="76">
                  <c:v>1972.8</c:v>
                </c:pt>
                <c:pt idx="77">
                  <c:v>1929.2</c:v>
                </c:pt>
                <c:pt idx="78">
                  <c:v>1724.04</c:v>
                </c:pt>
                <c:pt idx="79">
                  <c:v>1428.14</c:v>
                </c:pt>
                <c:pt idx="80">
                  <c:v>1210.43</c:v>
                </c:pt>
                <c:pt idx="81">
                  <c:v>1051.52</c:v>
                </c:pt>
                <c:pt idx="82">
                  <c:v>925.57</c:v>
                </c:pt>
                <c:pt idx="83">
                  <c:v>821.88</c:v>
                </c:pt>
                <c:pt idx="84">
                  <c:v>747.8</c:v>
                </c:pt>
                <c:pt idx="85">
                  <c:v>677.27</c:v>
                </c:pt>
                <c:pt idx="86">
                  <c:v>624.91</c:v>
                </c:pt>
                <c:pt idx="87">
                  <c:v>573.78</c:v>
                </c:pt>
                <c:pt idx="88">
                  <c:v>535.1</c:v>
                </c:pt>
                <c:pt idx="89">
                  <c:v>498.57</c:v>
                </c:pt>
                <c:pt idx="90">
                  <c:v>469.12</c:v>
                </c:pt>
                <c:pt idx="91">
                  <c:v>441.99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Data2'!$G$107:$CT$107</c:f>
              <c:numCache>
                <c:formatCode>General</c:formatCode>
                <c:ptCount val="92"/>
                <c:pt idx="0">
                  <c:v>4050</c:v>
                </c:pt>
                <c:pt idx="1">
                  <c:v>4136</c:v>
                </c:pt>
                <c:pt idx="2">
                  <c:v>4057</c:v>
                </c:pt>
                <c:pt idx="3">
                  <c:v>4149</c:v>
                </c:pt>
                <c:pt idx="4">
                  <c:v>4076</c:v>
                </c:pt>
                <c:pt idx="5">
                  <c:v>4102</c:v>
                </c:pt>
                <c:pt idx="6">
                  <c:v>4092</c:v>
                </c:pt>
                <c:pt idx="7">
                  <c:v>4069</c:v>
                </c:pt>
                <c:pt idx="8">
                  <c:v>4044</c:v>
                </c:pt>
                <c:pt idx="9">
                  <c:v>4098</c:v>
                </c:pt>
                <c:pt idx="10">
                  <c:v>4056</c:v>
                </c:pt>
                <c:pt idx="11">
                  <c:v>4065</c:v>
                </c:pt>
                <c:pt idx="12">
                  <c:v>4070</c:v>
                </c:pt>
                <c:pt idx="13">
                  <c:v>4041</c:v>
                </c:pt>
                <c:pt idx="14">
                  <c:v>3908</c:v>
                </c:pt>
                <c:pt idx="15">
                  <c:v>3873</c:v>
                </c:pt>
                <c:pt idx="16">
                  <c:v>3902</c:v>
                </c:pt>
                <c:pt idx="17">
                  <c:v>3855</c:v>
                </c:pt>
                <c:pt idx="18">
                  <c:v>3914</c:v>
                </c:pt>
                <c:pt idx="19">
                  <c:v>3907</c:v>
                </c:pt>
                <c:pt idx="20">
                  <c:v>3827.2</c:v>
                </c:pt>
                <c:pt idx="21">
                  <c:v>3626.1</c:v>
                </c:pt>
                <c:pt idx="22">
                  <c:v>3471.4</c:v>
                </c:pt>
                <c:pt idx="23">
                  <c:v>3295.3</c:v>
                </c:pt>
                <c:pt idx="24">
                  <c:v>3126.8</c:v>
                </c:pt>
                <c:pt idx="25">
                  <c:v>2987.3</c:v>
                </c:pt>
                <c:pt idx="26">
                  <c:v>2864.7</c:v>
                </c:pt>
                <c:pt idx="27">
                  <c:v>2685.7</c:v>
                </c:pt>
                <c:pt idx="28">
                  <c:v>2577.1</c:v>
                </c:pt>
                <c:pt idx="29">
                  <c:v>2454</c:v>
                </c:pt>
                <c:pt idx="30">
                  <c:v>2346.6999999999998</c:v>
                </c:pt>
                <c:pt idx="31">
                  <c:v>2249.4</c:v>
                </c:pt>
                <c:pt idx="32">
                  <c:v>2153.6999999999998</c:v>
                </c:pt>
                <c:pt idx="33">
                  <c:v>2079</c:v>
                </c:pt>
                <c:pt idx="34">
                  <c:v>1980.9</c:v>
                </c:pt>
                <c:pt idx="35">
                  <c:v>1893.6</c:v>
                </c:pt>
                <c:pt idx="36">
                  <c:v>1841.2</c:v>
                </c:pt>
                <c:pt idx="37">
                  <c:v>1771</c:v>
                </c:pt>
                <c:pt idx="38">
                  <c:v>1699.1</c:v>
                </c:pt>
                <c:pt idx="39">
                  <c:v>1640.9</c:v>
                </c:pt>
                <c:pt idx="40">
                  <c:v>1581.6</c:v>
                </c:pt>
                <c:pt idx="41">
                  <c:v>1523.5</c:v>
                </c:pt>
                <c:pt idx="42">
                  <c:v>1470.4</c:v>
                </c:pt>
                <c:pt idx="43">
                  <c:v>1441</c:v>
                </c:pt>
                <c:pt idx="44">
                  <c:v>1396.1</c:v>
                </c:pt>
                <c:pt idx="45">
                  <c:v>1345.6</c:v>
                </c:pt>
                <c:pt idx="46">
                  <c:v>1312.9</c:v>
                </c:pt>
                <c:pt idx="47">
                  <c:v>1268.0999999999999</c:v>
                </c:pt>
                <c:pt idx="48">
                  <c:v>1209.5999999999999</c:v>
                </c:pt>
                <c:pt idx="49">
                  <c:v>1217.4000000000001</c:v>
                </c:pt>
                <c:pt idx="50">
                  <c:v>1174</c:v>
                </c:pt>
                <c:pt idx="51">
                  <c:v>1156.3</c:v>
                </c:pt>
                <c:pt idx="52">
                  <c:v>1108.3</c:v>
                </c:pt>
                <c:pt idx="53">
                  <c:v>1080.4000000000001</c:v>
                </c:pt>
                <c:pt idx="54">
                  <c:v>1056.0999999999999</c:v>
                </c:pt>
                <c:pt idx="55">
                  <c:v>1037.3</c:v>
                </c:pt>
                <c:pt idx="56">
                  <c:v>1015.5</c:v>
                </c:pt>
                <c:pt idx="57">
                  <c:v>1001.7</c:v>
                </c:pt>
                <c:pt idx="58">
                  <c:v>971</c:v>
                </c:pt>
                <c:pt idx="59">
                  <c:v>953.7</c:v>
                </c:pt>
                <c:pt idx="60">
                  <c:v>920.3</c:v>
                </c:pt>
                <c:pt idx="61">
                  <c:v>909.2</c:v>
                </c:pt>
                <c:pt idx="62">
                  <c:v>886.4</c:v>
                </c:pt>
                <c:pt idx="63">
                  <c:v>858.4</c:v>
                </c:pt>
                <c:pt idx="64">
                  <c:v>854.7</c:v>
                </c:pt>
                <c:pt idx="65">
                  <c:v>830.6</c:v>
                </c:pt>
                <c:pt idx="66">
                  <c:v>818.3</c:v>
                </c:pt>
                <c:pt idx="67">
                  <c:v>813.8</c:v>
                </c:pt>
                <c:pt idx="68">
                  <c:v>789.7</c:v>
                </c:pt>
                <c:pt idx="69">
                  <c:v>780.9</c:v>
                </c:pt>
                <c:pt idx="70">
                  <c:v>761.7</c:v>
                </c:pt>
                <c:pt idx="71">
                  <c:v>756.6</c:v>
                </c:pt>
                <c:pt idx="72">
                  <c:v>748.7</c:v>
                </c:pt>
                <c:pt idx="73">
                  <c:v>728.2</c:v>
                </c:pt>
                <c:pt idx="74">
                  <c:v>708.8</c:v>
                </c:pt>
                <c:pt idx="75">
                  <c:v>699.3</c:v>
                </c:pt>
                <c:pt idx="76">
                  <c:v>687.6</c:v>
                </c:pt>
                <c:pt idx="77">
                  <c:v>679.2</c:v>
                </c:pt>
                <c:pt idx="78">
                  <c:v>634.75</c:v>
                </c:pt>
                <c:pt idx="79">
                  <c:v>558.99</c:v>
                </c:pt>
                <c:pt idx="80">
                  <c:v>501.2</c:v>
                </c:pt>
                <c:pt idx="81">
                  <c:v>457.93</c:v>
                </c:pt>
                <c:pt idx="82">
                  <c:v>421.05</c:v>
                </c:pt>
                <c:pt idx="83">
                  <c:v>392.71</c:v>
                </c:pt>
                <c:pt idx="84">
                  <c:v>374.2</c:v>
                </c:pt>
                <c:pt idx="85">
                  <c:v>346.94</c:v>
                </c:pt>
                <c:pt idx="86">
                  <c:v>330.24</c:v>
                </c:pt>
                <c:pt idx="87">
                  <c:v>315.48</c:v>
                </c:pt>
                <c:pt idx="88">
                  <c:v>303</c:v>
                </c:pt>
                <c:pt idx="89">
                  <c:v>289.39999999999998</c:v>
                </c:pt>
                <c:pt idx="90">
                  <c:v>277.08999999999997</c:v>
                </c:pt>
                <c:pt idx="91">
                  <c:v>268.12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Data2'!$G$108:$CT$108</c:f>
              <c:numCache>
                <c:formatCode>General</c:formatCode>
                <c:ptCount val="92"/>
                <c:pt idx="0">
                  <c:v>216</c:v>
                </c:pt>
                <c:pt idx="1">
                  <c:v>240</c:v>
                </c:pt>
                <c:pt idx="2">
                  <c:v>210</c:v>
                </c:pt>
                <c:pt idx="3">
                  <c:v>220</c:v>
                </c:pt>
                <c:pt idx="4">
                  <c:v>216</c:v>
                </c:pt>
                <c:pt idx="5">
                  <c:v>211</c:v>
                </c:pt>
                <c:pt idx="6">
                  <c:v>230</c:v>
                </c:pt>
                <c:pt idx="7">
                  <c:v>199</c:v>
                </c:pt>
                <c:pt idx="8">
                  <c:v>235</c:v>
                </c:pt>
                <c:pt idx="9">
                  <c:v>225</c:v>
                </c:pt>
                <c:pt idx="10">
                  <c:v>235</c:v>
                </c:pt>
                <c:pt idx="11">
                  <c:v>219</c:v>
                </c:pt>
                <c:pt idx="12">
                  <c:v>226</c:v>
                </c:pt>
                <c:pt idx="13">
                  <c:v>221</c:v>
                </c:pt>
                <c:pt idx="14">
                  <c:v>220</c:v>
                </c:pt>
                <c:pt idx="15">
                  <c:v>216</c:v>
                </c:pt>
                <c:pt idx="16">
                  <c:v>215</c:v>
                </c:pt>
                <c:pt idx="17">
                  <c:v>243</c:v>
                </c:pt>
                <c:pt idx="18">
                  <c:v>229</c:v>
                </c:pt>
                <c:pt idx="19">
                  <c:v>208</c:v>
                </c:pt>
                <c:pt idx="20">
                  <c:v>214.8</c:v>
                </c:pt>
                <c:pt idx="21">
                  <c:v>210.6</c:v>
                </c:pt>
                <c:pt idx="22">
                  <c:v>206.6</c:v>
                </c:pt>
                <c:pt idx="23">
                  <c:v>202.7</c:v>
                </c:pt>
                <c:pt idx="24">
                  <c:v>195.2</c:v>
                </c:pt>
                <c:pt idx="25">
                  <c:v>188.4</c:v>
                </c:pt>
                <c:pt idx="26">
                  <c:v>182.4</c:v>
                </c:pt>
                <c:pt idx="27">
                  <c:v>183.5</c:v>
                </c:pt>
                <c:pt idx="28">
                  <c:v>171.9</c:v>
                </c:pt>
                <c:pt idx="29">
                  <c:v>162.1</c:v>
                </c:pt>
                <c:pt idx="30">
                  <c:v>168.2</c:v>
                </c:pt>
                <c:pt idx="31">
                  <c:v>168.3</c:v>
                </c:pt>
                <c:pt idx="32">
                  <c:v>161.4</c:v>
                </c:pt>
                <c:pt idx="33">
                  <c:v>154.69999999999999</c:v>
                </c:pt>
                <c:pt idx="34">
                  <c:v>153.9</c:v>
                </c:pt>
                <c:pt idx="35">
                  <c:v>147.30000000000001</c:v>
                </c:pt>
                <c:pt idx="36">
                  <c:v>144.6</c:v>
                </c:pt>
                <c:pt idx="37">
                  <c:v>146.5</c:v>
                </c:pt>
                <c:pt idx="38">
                  <c:v>145.1</c:v>
                </c:pt>
                <c:pt idx="39">
                  <c:v>142</c:v>
                </c:pt>
                <c:pt idx="40">
                  <c:v>138.19999999999999</c:v>
                </c:pt>
                <c:pt idx="41">
                  <c:v>135</c:v>
                </c:pt>
                <c:pt idx="42">
                  <c:v>128.4</c:v>
                </c:pt>
                <c:pt idx="43">
                  <c:v>131</c:v>
                </c:pt>
                <c:pt idx="44">
                  <c:v>127.3</c:v>
                </c:pt>
                <c:pt idx="45">
                  <c:v>124.7</c:v>
                </c:pt>
                <c:pt idx="46">
                  <c:v>120.1</c:v>
                </c:pt>
                <c:pt idx="47">
                  <c:v>122.6</c:v>
                </c:pt>
                <c:pt idx="48">
                  <c:v>119</c:v>
                </c:pt>
                <c:pt idx="49">
                  <c:v>118.4</c:v>
                </c:pt>
                <c:pt idx="50">
                  <c:v>120.3</c:v>
                </c:pt>
                <c:pt idx="51">
                  <c:v>117.2</c:v>
                </c:pt>
                <c:pt idx="52">
                  <c:v>116.2</c:v>
                </c:pt>
                <c:pt idx="53">
                  <c:v>112.1</c:v>
                </c:pt>
                <c:pt idx="54">
                  <c:v>114.8</c:v>
                </c:pt>
                <c:pt idx="55">
                  <c:v>107.8</c:v>
                </c:pt>
                <c:pt idx="56">
                  <c:v>109</c:v>
                </c:pt>
                <c:pt idx="57">
                  <c:v>110.1</c:v>
                </c:pt>
                <c:pt idx="58">
                  <c:v>106.9</c:v>
                </c:pt>
                <c:pt idx="59">
                  <c:v>101.7</c:v>
                </c:pt>
                <c:pt idx="60">
                  <c:v>113.1</c:v>
                </c:pt>
                <c:pt idx="61">
                  <c:v>105.9</c:v>
                </c:pt>
                <c:pt idx="62">
                  <c:v>102</c:v>
                </c:pt>
                <c:pt idx="63">
                  <c:v>104</c:v>
                </c:pt>
                <c:pt idx="64">
                  <c:v>100.3</c:v>
                </c:pt>
                <c:pt idx="65">
                  <c:v>103.3</c:v>
                </c:pt>
                <c:pt idx="66">
                  <c:v>101.5</c:v>
                </c:pt>
                <c:pt idx="67">
                  <c:v>98.5</c:v>
                </c:pt>
                <c:pt idx="68">
                  <c:v>100.6</c:v>
                </c:pt>
                <c:pt idx="69">
                  <c:v>100</c:v>
                </c:pt>
                <c:pt idx="70">
                  <c:v>94.2</c:v>
                </c:pt>
                <c:pt idx="71">
                  <c:v>98.5</c:v>
                </c:pt>
                <c:pt idx="72">
                  <c:v>96.8</c:v>
                </c:pt>
                <c:pt idx="73">
                  <c:v>94.4</c:v>
                </c:pt>
                <c:pt idx="74">
                  <c:v>94.3</c:v>
                </c:pt>
                <c:pt idx="75">
                  <c:v>94.3</c:v>
                </c:pt>
                <c:pt idx="76">
                  <c:v>97.5</c:v>
                </c:pt>
                <c:pt idx="77">
                  <c:v>92.7</c:v>
                </c:pt>
                <c:pt idx="78">
                  <c:v>90.87</c:v>
                </c:pt>
                <c:pt idx="79">
                  <c:v>87.06</c:v>
                </c:pt>
                <c:pt idx="80">
                  <c:v>84.12</c:v>
                </c:pt>
                <c:pt idx="81">
                  <c:v>81.430000000000007</c:v>
                </c:pt>
                <c:pt idx="82">
                  <c:v>80.19</c:v>
                </c:pt>
                <c:pt idx="83">
                  <c:v>76.89</c:v>
                </c:pt>
                <c:pt idx="84">
                  <c:v>75.14</c:v>
                </c:pt>
                <c:pt idx="85">
                  <c:v>75.37</c:v>
                </c:pt>
                <c:pt idx="86">
                  <c:v>72.84</c:v>
                </c:pt>
                <c:pt idx="87">
                  <c:v>73.03</c:v>
                </c:pt>
                <c:pt idx="88">
                  <c:v>71.98</c:v>
                </c:pt>
                <c:pt idx="89">
                  <c:v>69.94</c:v>
                </c:pt>
                <c:pt idx="90">
                  <c:v>69.510000000000005</c:v>
                </c:pt>
                <c:pt idx="91">
                  <c:v>67.599999999999994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Data2'!$G$109:$CT$109</c:f>
              <c:numCache>
                <c:formatCode>General</c:formatCode>
                <c:ptCount val="92"/>
                <c:pt idx="0">
                  <c:v>3459</c:v>
                </c:pt>
                <c:pt idx="1">
                  <c:v>3564</c:v>
                </c:pt>
                <c:pt idx="2">
                  <c:v>3605</c:v>
                </c:pt>
                <c:pt idx="3">
                  <c:v>3596</c:v>
                </c:pt>
                <c:pt idx="4">
                  <c:v>3575</c:v>
                </c:pt>
                <c:pt idx="5">
                  <c:v>3592</c:v>
                </c:pt>
                <c:pt idx="6">
                  <c:v>3548</c:v>
                </c:pt>
                <c:pt idx="7">
                  <c:v>3529</c:v>
                </c:pt>
                <c:pt idx="8">
                  <c:v>3541</c:v>
                </c:pt>
                <c:pt idx="9">
                  <c:v>3555</c:v>
                </c:pt>
                <c:pt idx="10">
                  <c:v>3401</c:v>
                </c:pt>
                <c:pt idx="11">
                  <c:v>3473</c:v>
                </c:pt>
                <c:pt idx="12">
                  <c:v>3450</c:v>
                </c:pt>
                <c:pt idx="13">
                  <c:v>3386</c:v>
                </c:pt>
                <c:pt idx="14">
                  <c:v>3480</c:v>
                </c:pt>
                <c:pt idx="15">
                  <c:v>3432</c:v>
                </c:pt>
                <c:pt idx="16">
                  <c:v>3389</c:v>
                </c:pt>
                <c:pt idx="17">
                  <c:v>3393</c:v>
                </c:pt>
                <c:pt idx="18">
                  <c:v>3383</c:v>
                </c:pt>
                <c:pt idx="19">
                  <c:v>3344</c:v>
                </c:pt>
                <c:pt idx="20">
                  <c:v>3279</c:v>
                </c:pt>
                <c:pt idx="21">
                  <c:v>3139.5</c:v>
                </c:pt>
                <c:pt idx="22">
                  <c:v>2961.3</c:v>
                </c:pt>
                <c:pt idx="23">
                  <c:v>2804.4</c:v>
                </c:pt>
                <c:pt idx="24">
                  <c:v>2630.4</c:v>
                </c:pt>
                <c:pt idx="25">
                  <c:v>2480.3000000000002</c:v>
                </c:pt>
                <c:pt idx="26">
                  <c:v>2355</c:v>
                </c:pt>
                <c:pt idx="27">
                  <c:v>2242.6</c:v>
                </c:pt>
                <c:pt idx="28">
                  <c:v>2138.6999999999998</c:v>
                </c:pt>
                <c:pt idx="29">
                  <c:v>2017.2</c:v>
                </c:pt>
                <c:pt idx="30">
                  <c:v>1912.5</c:v>
                </c:pt>
                <c:pt idx="31">
                  <c:v>1823.6</c:v>
                </c:pt>
                <c:pt idx="32">
                  <c:v>1744.2</c:v>
                </c:pt>
                <c:pt idx="33">
                  <c:v>1673.5</c:v>
                </c:pt>
                <c:pt idx="34">
                  <c:v>1594.9</c:v>
                </c:pt>
                <c:pt idx="35">
                  <c:v>1524.9</c:v>
                </c:pt>
                <c:pt idx="36">
                  <c:v>1427.7</c:v>
                </c:pt>
                <c:pt idx="37">
                  <c:v>1405.4</c:v>
                </c:pt>
                <c:pt idx="38">
                  <c:v>1347.8</c:v>
                </c:pt>
                <c:pt idx="39">
                  <c:v>1298.4000000000001</c:v>
                </c:pt>
                <c:pt idx="40">
                  <c:v>1245.9000000000001</c:v>
                </c:pt>
                <c:pt idx="41">
                  <c:v>1201.5</c:v>
                </c:pt>
                <c:pt idx="42">
                  <c:v>1148.9000000000001</c:v>
                </c:pt>
                <c:pt idx="43">
                  <c:v>1121.5</c:v>
                </c:pt>
                <c:pt idx="44">
                  <c:v>1058.8</c:v>
                </c:pt>
                <c:pt idx="45">
                  <c:v>1017.1</c:v>
                </c:pt>
                <c:pt idx="46">
                  <c:v>1002.5</c:v>
                </c:pt>
                <c:pt idx="47">
                  <c:v>966.9</c:v>
                </c:pt>
                <c:pt idx="48">
                  <c:v>930.8</c:v>
                </c:pt>
                <c:pt idx="49">
                  <c:v>898.5</c:v>
                </c:pt>
                <c:pt idx="50">
                  <c:v>880</c:v>
                </c:pt>
                <c:pt idx="51">
                  <c:v>851</c:v>
                </c:pt>
                <c:pt idx="52">
                  <c:v>832.7</c:v>
                </c:pt>
                <c:pt idx="53">
                  <c:v>786.5</c:v>
                </c:pt>
                <c:pt idx="54">
                  <c:v>777.4</c:v>
                </c:pt>
                <c:pt idx="55">
                  <c:v>748.4</c:v>
                </c:pt>
                <c:pt idx="56">
                  <c:v>738</c:v>
                </c:pt>
                <c:pt idx="57">
                  <c:v>716.4</c:v>
                </c:pt>
                <c:pt idx="58">
                  <c:v>692.3</c:v>
                </c:pt>
                <c:pt idx="59">
                  <c:v>678.1</c:v>
                </c:pt>
                <c:pt idx="60">
                  <c:v>662.4</c:v>
                </c:pt>
                <c:pt idx="61">
                  <c:v>650.9</c:v>
                </c:pt>
                <c:pt idx="62">
                  <c:v>627.5</c:v>
                </c:pt>
                <c:pt idx="63">
                  <c:v>620.29999999999995</c:v>
                </c:pt>
                <c:pt idx="64">
                  <c:v>597.1</c:v>
                </c:pt>
                <c:pt idx="65">
                  <c:v>582.5</c:v>
                </c:pt>
                <c:pt idx="66">
                  <c:v>560.4</c:v>
                </c:pt>
                <c:pt idx="67">
                  <c:v>554.4</c:v>
                </c:pt>
                <c:pt idx="68">
                  <c:v>544</c:v>
                </c:pt>
                <c:pt idx="69">
                  <c:v>537</c:v>
                </c:pt>
                <c:pt idx="70">
                  <c:v>514.4</c:v>
                </c:pt>
                <c:pt idx="71">
                  <c:v>507.8</c:v>
                </c:pt>
                <c:pt idx="72">
                  <c:v>509.2</c:v>
                </c:pt>
                <c:pt idx="73">
                  <c:v>485.8</c:v>
                </c:pt>
                <c:pt idx="74">
                  <c:v>481.5</c:v>
                </c:pt>
                <c:pt idx="75">
                  <c:v>450.1</c:v>
                </c:pt>
                <c:pt idx="76">
                  <c:v>465.1</c:v>
                </c:pt>
                <c:pt idx="77">
                  <c:v>457.9</c:v>
                </c:pt>
                <c:pt idx="78">
                  <c:v>415.4</c:v>
                </c:pt>
                <c:pt idx="79">
                  <c:v>349.2</c:v>
                </c:pt>
                <c:pt idx="80">
                  <c:v>306.01</c:v>
                </c:pt>
                <c:pt idx="81">
                  <c:v>273.31</c:v>
                </c:pt>
                <c:pt idx="82">
                  <c:v>244.24</c:v>
                </c:pt>
                <c:pt idx="83">
                  <c:v>224.26</c:v>
                </c:pt>
                <c:pt idx="84">
                  <c:v>205.92</c:v>
                </c:pt>
                <c:pt idx="85">
                  <c:v>192.45</c:v>
                </c:pt>
                <c:pt idx="86">
                  <c:v>181.88</c:v>
                </c:pt>
                <c:pt idx="87">
                  <c:v>170.76</c:v>
                </c:pt>
                <c:pt idx="88">
                  <c:v>161.68</c:v>
                </c:pt>
                <c:pt idx="89">
                  <c:v>150.41999999999999</c:v>
                </c:pt>
                <c:pt idx="90">
                  <c:v>148.15</c:v>
                </c:pt>
                <c:pt idx="91">
                  <c:v>141.46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Data2'!$G$110:$CT$110</c:f>
              <c:numCache>
                <c:formatCode>General</c:formatCode>
                <c:ptCount val="92"/>
                <c:pt idx="0">
                  <c:v>7648</c:v>
                </c:pt>
                <c:pt idx="1">
                  <c:v>7681</c:v>
                </c:pt>
                <c:pt idx="2">
                  <c:v>7834</c:v>
                </c:pt>
                <c:pt idx="3">
                  <c:v>7825</c:v>
                </c:pt>
                <c:pt idx="4">
                  <c:v>7935</c:v>
                </c:pt>
                <c:pt idx="5">
                  <c:v>7637</c:v>
                </c:pt>
                <c:pt idx="6">
                  <c:v>7572</c:v>
                </c:pt>
                <c:pt idx="7">
                  <c:v>7578</c:v>
                </c:pt>
                <c:pt idx="8">
                  <c:v>7658</c:v>
                </c:pt>
                <c:pt idx="9">
                  <c:v>7571</c:v>
                </c:pt>
                <c:pt idx="10">
                  <c:v>7466</c:v>
                </c:pt>
                <c:pt idx="11">
                  <c:v>7578</c:v>
                </c:pt>
                <c:pt idx="12">
                  <c:v>7467</c:v>
                </c:pt>
                <c:pt idx="13">
                  <c:v>7303</c:v>
                </c:pt>
                <c:pt idx="14">
                  <c:v>7399</c:v>
                </c:pt>
                <c:pt idx="15">
                  <c:v>7354</c:v>
                </c:pt>
                <c:pt idx="16">
                  <c:v>7372</c:v>
                </c:pt>
                <c:pt idx="17">
                  <c:v>7277</c:v>
                </c:pt>
                <c:pt idx="18">
                  <c:v>7233</c:v>
                </c:pt>
                <c:pt idx="19">
                  <c:v>7327</c:v>
                </c:pt>
                <c:pt idx="20">
                  <c:v>7083.9</c:v>
                </c:pt>
                <c:pt idx="21">
                  <c:v>6683.8</c:v>
                </c:pt>
                <c:pt idx="22">
                  <c:v>6358.1</c:v>
                </c:pt>
                <c:pt idx="23">
                  <c:v>5991.5</c:v>
                </c:pt>
                <c:pt idx="24">
                  <c:v>5629.7</c:v>
                </c:pt>
                <c:pt idx="25">
                  <c:v>5336.1</c:v>
                </c:pt>
                <c:pt idx="26">
                  <c:v>5020.1000000000004</c:v>
                </c:pt>
                <c:pt idx="27">
                  <c:v>4754.5</c:v>
                </c:pt>
                <c:pt idx="28">
                  <c:v>4522.8</c:v>
                </c:pt>
                <c:pt idx="29">
                  <c:v>4326.2</c:v>
                </c:pt>
                <c:pt idx="30">
                  <c:v>4063.9</c:v>
                </c:pt>
                <c:pt idx="31">
                  <c:v>3898.1</c:v>
                </c:pt>
                <c:pt idx="32">
                  <c:v>3705.9</c:v>
                </c:pt>
                <c:pt idx="33">
                  <c:v>3529.7</c:v>
                </c:pt>
                <c:pt idx="34">
                  <c:v>3374</c:v>
                </c:pt>
                <c:pt idx="35">
                  <c:v>3206.2</c:v>
                </c:pt>
                <c:pt idx="36">
                  <c:v>3056.5</c:v>
                </c:pt>
                <c:pt idx="37">
                  <c:v>2969.1</c:v>
                </c:pt>
                <c:pt idx="38">
                  <c:v>2830.4</c:v>
                </c:pt>
                <c:pt idx="39">
                  <c:v>2712</c:v>
                </c:pt>
                <c:pt idx="40">
                  <c:v>2613</c:v>
                </c:pt>
                <c:pt idx="41">
                  <c:v>2490.6</c:v>
                </c:pt>
                <c:pt idx="42">
                  <c:v>2410.9</c:v>
                </c:pt>
                <c:pt idx="43">
                  <c:v>2299.5</c:v>
                </c:pt>
                <c:pt idx="44">
                  <c:v>2232</c:v>
                </c:pt>
                <c:pt idx="45">
                  <c:v>2136.1</c:v>
                </c:pt>
                <c:pt idx="46">
                  <c:v>2072.8000000000002</c:v>
                </c:pt>
                <c:pt idx="47">
                  <c:v>1993.1</c:v>
                </c:pt>
                <c:pt idx="48">
                  <c:v>1943.2</c:v>
                </c:pt>
                <c:pt idx="49">
                  <c:v>1882.6</c:v>
                </c:pt>
                <c:pt idx="50">
                  <c:v>1804.2</c:v>
                </c:pt>
                <c:pt idx="51">
                  <c:v>1756.4</c:v>
                </c:pt>
                <c:pt idx="52">
                  <c:v>1696</c:v>
                </c:pt>
                <c:pt idx="53">
                  <c:v>1633.1</c:v>
                </c:pt>
                <c:pt idx="54">
                  <c:v>1580.4</c:v>
                </c:pt>
                <c:pt idx="55">
                  <c:v>1524.5</c:v>
                </c:pt>
                <c:pt idx="56">
                  <c:v>1507.3</c:v>
                </c:pt>
                <c:pt idx="57">
                  <c:v>1456.2</c:v>
                </c:pt>
                <c:pt idx="58">
                  <c:v>1409.5</c:v>
                </c:pt>
                <c:pt idx="59">
                  <c:v>1366.5</c:v>
                </c:pt>
                <c:pt idx="60">
                  <c:v>1340.5</c:v>
                </c:pt>
                <c:pt idx="61">
                  <c:v>1293.4000000000001</c:v>
                </c:pt>
                <c:pt idx="62">
                  <c:v>1265.3</c:v>
                </c:pt>
                <c:pt idx="63">
                  <c:v>1241.0999999999999</c:v>
                </c:pt>
                <c:pt idx="64">
                  <c:v>1200.3</c:v>
                </c:pt>
                <c:pt idx="65">
                  <c:v>1162.7</c:v>
                </c:pt>
                <c:pt idx="66">
                  <c:v>1138</c:v>
                </c:pt>
                <c:pt idx="67">
                  <c:v>1114.4000000000001</c:v>
                </c:pt>
                <c:pt idx="68">
                  <c:v>1088.0999999999999</c:v>
                </c:pt>
                <c:pt idx="69">
                  <c:v>1054.2</c:v>
                </c:pt>
                <c:pt idx="70">
                  <c:v>1026.9000000000001</c:v>
                </c:pt>
                <c:pt idx="71">
                  <c:v>1007.6</c:v>
                </c:pt>
                <c:pt idx="72">
                  <c:v>1003.3</c:v>
                </c:pt>
                <c:pt idx="73">
                  <c:v>971.6</c:v>
                </c:pt>
                <c:pt idx="74">
                  <c:v>947</c:v>
                </c:pt>
                <c:pt idx="75">
                  <c:v>936</c:v>
                </c:pt>
                <c:pt idx="76">
                  <c:v>914.8</c:v>
                </c:pt>
                <c:pt idx="77">
                  <c:v>899.2</c:v>
                </c:pt>
                <c:pt idx="78">
                  <c:v>801.95</c:v>
                </c:pt>
                <c:pt idx="79">
                  <c:v>672.54</c:v>
                </c:pt>
                <c:pt idx="80">
                  <c:v>569.53</c:v>
                </c:pt>
                <c:pt idx="81">
                  <c:v>499.92</c:v>
                </c:pt>
                <c:pt idx="82">
                  <c:v>448.53</c:v>
                </c:pt>
                <c:pt idx="83">
                  <c:v>401.65</c:v>
                </c:pt>
                <c:pt idx="84">
                  <c:v>365.3</c:v>
                </c:pt>
                <c:pt idx="85">
                  <c:v>333.13</c:v>
                </c:pt>
                <c:pt idx="86">
                  <c:v>308.74</c:v>
                </c:pt>
                <c:pt idx="87">
                  <c:v>287.41000000000003</c:v>
                </c:pt>
                <c:pt idx="88">
                  <c:v>268.12</c:v>
                </c:pt>
                <c:pt idx="89">
                  <c:v>255.45</c:v>
                </c:pt>
                <c:pt idx="90">
                  <c:v>242.84</c:v>
                </c:pt>
                <c:pt idx="91">
                  <c:v>227.86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Data2'!$G$111:$CT$111</c:f>
              <c:numCache>
                <c:formatCode>General</c:formatCode>
                <c:ptCount val="92"/>
                <c:pt idx="0">
                  <c:v>3769</c:v>
                </c:pt>
                <c:pt idx="1">
                  <c:v>3758</c:v>
                </c:pt>
                <c:pt idx="2">
                  <c:v>3716</c:v>
                </c:pt>
                <c:pt idx="3">
                  <c:v>3714</c:v>
                </c:pt>
                <c:pt idx="4">
                  <c:v>3740</c:v>
                </c:pt>
                <c:pt idx="5">
                  <c:v>3675</c:v>
                </c:pt>
                <c:pt idx="6">
                  <c:v>3628</c:v>
                </c:pt>
                <c:pt idx="7">
                  <c:v>3636</c:v>
                </c:pt>
                <c:pt idx="8">
                  <c:v>3665</c:v>
                </c:pt>
                <c:pt idx="9">
                  <c:v>3623</c:v>
                </c:pt>
                <c:pt idx="10">
                  <c:v>3646</c:v>
                </c:pt>
                <c:pt idx="11">
                  <c:v>3670</c:v>
                </c:pt>
                <c:pt idx="12">
                  <c:v>3648</c:v>
                </c:pt>
                <c:pt idx="13">
                  <c:v>3669</c:v>
                </c:pt>
                <c:pt idx="14">
                  <c:v>3542</c:v>
                </c:pt>
                <c:pt idx="15">
                  <c:v>3519</c:v>
                </c:pt>
                <c:pt idx="16">
                  <c:v>3548</c:v>
                </c:pt>
                <c:pt idx="17">
                  <c:v>3602</c:v>
                </c:pt>
                <c:pt idx="18">
                  <c:v>3515</c:v>
                </c:pt>
                <c:pt idx="19">
                  <c:v>3586</c:v>
                </c:pt>
                <c:pt idx="20">
                  <c:v>3436.1</c:v>
                </c:pt>
                <c:pt idx="21">
                  <c:v>3222.8</c:v>
                </c:pt>
                <c:pt idx="22">
                  <c:v>3061.1</c:v>
                </c:pt>
                <c:pt idx="23">
                  <c:v>2892</c:v>
                </c:pt>
                <c:pt idx="24">
                  <c:v>2778.8</c:v>
                </c:pt>
                <c:pt idx="25">
                  <c:v>2623</c:v>
                </c:pt>
                <c:pt idx="26">
                  <c:v>2510.4</c:v>
                </c:pt>
                <c:pt idx="27">
                  <c:v>2356.8000000000002</c:v>
                </c:pt>
                <c:pt idx="28">
                  <c:v>2252.4</c:v>
                </c:pt>
                <c:pt idx="29">
                  <c:v>2144.6999999999998</c:v>
                </c:pt>
                <c:pt idx="30">
                  <c:v>2022.4</c:v>
                </c:pt>
                <c:pt idx="31">
                  <c:v>1951.5</c:v>
                </c:pt>
                <c:pt idx="32">
                  <c:v>1863.3</c:v>
                </c:pt>
                <c:pt idx="33">
                  <c:v>1778.8</c:v>
                </c:pt>
                <c:pt idx="34">
                  <c:v>1714.3</c:v>
                </c:pt>
                <c:pt idx="35">
                  <c:v>1644</c:v>
                </c:pt>
                <c:pt idx="36">
                  <c:v>1560.2</c:v>
                </c:pt>
                <c:pt idx="37">
                  <c:v>1503.6</c:v>
                </c:pt>
                <c:pt idx="38">
                  <c:v>1445.5</c:v>
                </c:pt>
                <c:pt idx="39">
                  <c:v>1405.6</c:v>
                </c:pt>
                <c:pt idx="40">
                  <c:v>1336.4</c:v>
                </c:pt>
                <c:pt idx="41">
                  <c:v>1312.1</c:v>
                </c:pt>
                <c:pt idx="42">
                  <c:v>1241.0999999999999</c:v>
                </c:pt>
                <c:pt idx="43">
                  <c:v>1222.3</c:v>
                </c:pt>
                <c:pt idx="44">
                  <c:v>1171.9000000000001</c:v>
                </c:pt>
                <c:pt idx="45">
                  <c:v>1137.8</c:v>
                </c:pt>
                <c:pt idx="46">
                  <c:v>1092.8</c:v>
                </c:pt>
                <c:pt idx="47">
                  <c:v>1024.4000000000001</c:v>
                </c:pt>
                <c:pt idx="48">
                  <c:v>1045.9000000000001</c:v>
                </c:pt>
                <c:pt idx="49">
                  <c:v>1011.5</c:v>
                </c:pt>
                <c:pt idx="50">
                  <c:v>976.8</c:v>
                </c:pt>
                <c:pt idx="51">
                  <c:v>960.8</c:v>
                </c:pt>
                <c:pt idx="52">
                  <c:v>919.9</c:v>
                </c:pt>
                <c:pt idx="53">
                  <c:v>887.9</c:v>
                </c:pt>
                <c:pt idx="54">
                  <c:v>864.6</c:v>
                </c:pt>
                <c:pt idx="55">
                  <c:v>860.6</c:v>
                </c:pt>
                <c:pt idx="56">
                  <c:v>822.9</c:v>
                </c:pt>
                <c:pt idx="57">
                  <c:v>811.5</c:v>
                </c:pt>
                <c:pt idx="58">
                  <c:v>772.1</c:v>
                </c:pt>
                <c:pt idx="59">
                  <c:v>767.1</c:v>
                </c:pt>
                <c:pt idx="60">
                  <c:v>750.2</c:v>
                </c:pt>
                <c:pt idx="61">
                  <c:v>734.7</c:v>
                </c:pt>
                <c:pt idx="62">
                  <c:v>713.3</c:v>
                </c:pt>
                <c:pt idx="63">
                  <c:v>706.2</c:v>
                </c:pt>
                <c:pt idx="64">
                  <c:v>689.7</c:v>
                </c:pt>
                <c:pt idx="65">
                  <c:v>679.8</c:v>
                </c:pt>
                <c:pt idx="66">
                  <c:v>656.1</c:v>
                </c:pt>
                <c:pt idx="67">
                  <c:v>647.70000000000005</c:v>
                </c:pt>
                <c:pt idx="68">
                  <c:v>627.1</c:v>
                </c:pt>
                <c:pt idx="69">
                  <c:v>611.5</c:v>
                </c:pt>
                <c:pt idx="70">
                  <c:v>611.5</c:v>
                </c:pt>
                <c:pt idx="71">
                  <c:v>601.6</c:v>
                </c:pt>
                <c:pt idx="72">
                  <c:v>591.6</c:v>
                </c:pt>
                <c:pt idx="73">
                  <c:v>567.79999999999995</c:v>
                </c:pt>
                <c:pt idx="74">
                  <c:v>562.70000000000005</c:v>
                </c:pt>
                <c:pt idx="75">
                  <c:v>552.1</c:v>
                </c:pt>
                <c:pt idx="76">
                  <c:v>541.70000000000005</c:v>
                </c:pt>
                <c:pt idx="77">
                  <c:v>529.70000000000005</c:v>
                </c:pt>
                <c:pt idx="78">
                  <c:v>492.09</c:v>
                </c:pt>
                <c:pt idx="79">
                  <c:v>429.78</c:v>
                </c:pt>
                <c:pt idx="80">
                  <c:v>380.54</c:v>
                </c:pt>
                <c:pt idx="81">
                  <c:v>340.15</c:v>
                </c:pt>
                <c:pt idx="82">
                  <c:v>310.08</c:v>
                </c:pt>
                <c:pt idx="83">
                  <c:v>288.77999999999997</c:v>
                </c:pt>
                <c:pt idx="84">
                  <c:v>268.17</c:v>
                </c:pt>
                <c:pt idx="85">
                  <c:v>249.98</c:v>
                </c:pt>
                <c:pt idx="86">
                  <c:v>237.34</c:v>
                </c:pt>
                <c:pt idx="87">
                  <c:v>223.97</c:v>
                </c:pt>
                <c:pt idx="88">
                  <c:v>213.44</c:v>
                </c:pt>
                <c:pt idx="89">
                  <c:v>204.43</c:v>
                </c:pt>
                <c:pt idx="90">
                  <c:v>197.26</c:v>
                </c:pt>
                <c:pt idx="91">
                  <c:v>188.68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01888"/>
        <c:axId val="46908160"/>
      </c:scatterChart>
      <c:valAx>
        <c:axId val="4690188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908160"/>
        <c:crosses val="autoZero"/>
        <c:crossBetween val="midCat"/>
      </c:valAx>
      <c:valAx>
        <c:axId val="469081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9018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Data'!$A$312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Data2'!$G$112:$CT$112</c:f>
              <c:numCache>
                <c:formatCode>General</c:formatCode>
                <c:ptCount val="92"/>
                <c:pt idx="0">
                  <c:v>3340</c:v>
                </c:pt>
                <c:pt idx="1">
                  <c:v>3334</c:v>
                </c:pt>
                <c:pt idx="2">
                  <c:v>3381</c:v>
                </c:pt>
                <c:pt idx="3">
                  <c:v>3346</c:v>
                </c:pt>
                <c:pt idx="4">
                  <c:v>3316</c:v>
                </c:pt>
                <c:pt idx="5">
                  <c:v>3389</c:v>
                </c:pt>
                <c:pt idx="6">
                  <c:v>3395</c:v>
                </c:pt>
                <c:pt idx="7">
                  <c:v>3395</c:v>
                </c:pt>
                <c:pt idx="8">
                  <c:v>3269</c:v>
                </c:pt>
                <c:pt idx="9">
                  <c:v>3300</c:v>
                </c:pt>
                <c:pt idx="10">
                  <c:v>3275</c:v>
                </c:pt>
                <c:pt idx="11">
                  <c:v>3286</c:v>
                </c:pt>
                <c:pt idx="12">
                  <c:v>3287</c:v>
                </c:pt>
                <c:pt idx="13">
                  <c:v>3294</c:v>
                </c:pt>
                <c:pt idx="14">
                  <c:v>3268</c:v>
                </c:pt>
                <c:pt idx="15">
                  <c:v>3338</c:v>
                </c:pt>
                <c:pt idx="16">
                  <c:v>3233</c:v>
                </c:pt>
                <c:pt idx="17">
                  <c:v>3221</c:v>
                </c:pt>
                <c:pt idx="18">
                  <c:v>3168</c:v>
                </c:pt>
                <c:pt idx="19">
                  <c:v>3208</c:v>
                </c:pt>
                <c:pt idx="20">
                  <c:v>3125.3</c:v>
                </c:pt>
                <c:pt idx="21">
                  <c:v>2991.5</c:v>
                </c:pt>
                <c:pt idx="22">
                  <c:v>2830</c:v>
                </c:pt>
                <c:pt idx="23">
                  <c:v>2685.6</c:v>
                </c:pt>
                <c:pt idx="24">
                  <c:v>2565.6999999999998</c:v>
                </c:pt>
                <c:pt idx="25">
                  <c:v>2453.6999999999998</c:v>
                </c:pt>
                <c:pt idx="26">
                  <c:v>2321.3000000000002</c:v>
                </c:pt>
                <c:pt idx="27">
                  <c:v>2250.4</c:v>
                </c:pt>
                <c:pt idx="28">
                  <c:v>2136.6999999999998</c:v>
                </c:pt>
                <c:pt idx="29">
                  <c:v>2042.8</c:v>
                </c:pt>
                <c:pt idx="30">
                  <c:v>1964.8</c:v>
                </c:pt>
                <c:pt idx="31">
                  <c:v>1879.9</c:v>
                </c:pt>
                <c:pt idx="32">
                  <c:v>1784</c:v>
                </c:pt>
                <c:pt idx="33">
                  <c:v>1713.6</c:v>
                </c:pt>
                <c:pt idx="34">
                  <c:v>1660.2</c:v>
                </c:pt>
                <c:pt idx="35">
                  <c:v>1593.5</c:v>
                </c:pt>
                <c:pt idx="36">
                  <c:v>1524.1</c:v>
                </c:pt>
                <c:pt idx="37">
                  <c:v>1481.6</c:v>
                </c:pt>
                <c:pt idx="38">
                  <c:v>1431.2</c:v>
                </c:pt>
                <c:pt idx="39">
                  <c:v>1369.4</c:v>
                </c:pt>
                <c:pt idx="40">
                  <c:v>1332.2</c:v>
                </c:pt>
                <c:pt idx="41">
                  <c:v>1287.7</c:v>
                </c:pt>
                <c:pt idx="42">
                  <c:v>1250.5999999999999</c:v>
                </c:pt>
                <c:pt idx="43">
                  <c:v>1211.0999999999999</c:v>
                </c:pt>
                <c:pt idx="44">
                  <c:v>1169.2</c:v>
                </c:pt>
                <c:pt idx="45">
                  <c:v>1135</c:v>
                </c:pt>
                <c:pt idx="46">
                  <c:v>1103.8</c:v>
                </c:pt>
                <c:pt idx="47">
                  <c:v>1069.3</c:v>
                </c:pt>
                <c:pt idx="48">
                  <c:v>1052</c:v>
                </c:pt>
                <c:pt idx="49">
                  <c:v>1006.9</c:v>
                </c:pt>
                <c:pt idx="50">
                  <c:v>992.5</c:v>
                </c:pt>
                <c:pt idx="51">
                  <c:v>956.8</c:v>
                </c:pt>
                <c:pt idx="52">
                  <c:v>928</c:v>
                </c:pt>
                <c:pt idx="53">
                  <c:v>913.1</c:v>
                </c:pt>
                <c:pt idx="54">
                  <c:v>893.8</c:v>
                </c:pt>
                <c:pt idx="55">
                  <c:v>866.7</c:v>
                </c:pt>
                <c:pt idx="56">
                  <c:v>845.6</c:v>
                </c:pt>
                <c:pt idx="57">
                  <c:v>815.4</c:v>
                </c:pt>
                <c:pt idx="58">
                  <c:v>798.1</c:v>
                </c:pt>
                <c:pt idx="59">
                  <c:v>791.4</c:v>
                </c:pt>
                <c:pt idx="60">
                  <c:v>768.9</c:v>
                </c:pt>
                <c:pt idx="61">
                  <c:v>754.7</c:v>
                </c:pt>
                <c:pt idx="62">
                  <c:v>741.6</c:v>
                </c:pt>
                <c:pt idx="63">
                  <c:v>730.3</c:v>
                </c:pt>
                <c:pt idx="64">
                  <c:v>695.6</c:v>
                </c:pt>
                <c:pt idx="65">
                  <c:v>695.4</c:v>
                </c:pt>
                <c:pt idx="66">
                  <c:v>667.1</c:v>
                </c:pt>
                <c:pt idx="67">
                  <c:v>657.8</c:v>
                </c:pt>
                <c:pt idx="68">
                  <c:v>649.20000000000005</c:v>
                </c:pt>
                <c:pt idx="69">
                  <c:v>640.29999999999995</c:v>
                </c:pt>
                <c:pt idx="70">
                  <c:v>637.20000000000005</c:v>
                </c:pt>
                <c:pt idx="71">
                  <c:v>615</c:v>
                </c:pt>
                <c:pt idx="72">
                  <c:v>604.79999999999995</c:v>
                </c:pt>
                <c:pt idx="73">
                  <c:v>601.20000000000005</c:v>
                </c:pt>
                <c:pt idx="74">
                  <c:v>587.1</c:v>
                </c:pt>
                <c:pt idx="75">
                  <c:v>578.5</c:v>
                </c:pt>
                <c:pt idx="76">
                  <c:v>570.29999999999995</c:v>
                </c:pt>
                <c:pt idx="77">
                  <c:v>561.1</c:v>
                </c:pt>
                <c:pt idx="78">
                  <c:v>508.76</c:v>
                </c:pt>
                <c:pt idx="79">
                  <c:v>443.5</c:v>
                </c:pt>
                <c:pt idx="80">
                  <c:v>394.27</c:v>
                </c:pt>
                <c:pt idx="81">
                  <c:v>354.08</c:v>
                </c:pt>
                <c:pt idx="82">
                  <c:v>324.08999999999997</c:v>
                </c:pt>
                <c:pt idx="83">
                  <c:v>300.18</c:v>
                </c:pt>
                <c:pt idx="84">
                  <c:v>276.74</c:v>
                </c:pt>
                <c:pt idx="85">
                  <c:v>260.41000000000003</c:v>
                </c:pt>
                <c:pt idx="86">
                  <c:v>249.24</c:v>
                </c:pt>
                <c:pt idx="87">
                  <c:v>230.71</c:v>
                </c:pt>
                <c:pt idx="88">
                  <c:v>220.59</c:v>
                </c:pt>
                <c:pt idx="89">
                  <c:v>212.61</c:v>
                </c:pt>
                <c:pt idx="90">
                  <c:v>201.58</c:v>
                </c:pt>
                <c:pt idx="91">
                  <c:v>195.26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Data2'!$G$113:$CT$113</c:f>
              <c:numCache>
                <c:formatCode>General</c:formatCode>
                <c:ptCount val="92"/>
                <c:pt idx="0">
                  <c:v>825</c:v>
                </c:pt>
                <c:pt idx="1">
                  <c:v>781</c:v>
                </c:pt>
                <c:pt idx="2">
                  <c:v>758</c:v>
                </c:pt>
                <c:pt idx="3">
                  <c:v>778</c:v>
                </c:pt>
                <c:pt idx="4">
                  <c:v>782</c:v>
                </c:pt>
                <c:pt idx="5">
                  <c:v>766</c:v>
                </c:pt>
                <c:pt idx="6">
                  <c:v>766</c:v>
                </c:pt>
                <c:pt idx="7">
                  <c:v>826</c:v>
                </c:pt>
                <c:pt idx="8">
                  <c:v>777</c:v>
                </c:pt>
                <c:pt idx="9">
                  <c:v>787</c:v>
                </c:pt>
                <c:pt idx="10">
                  <c:v>783</c:v>
                </c:pt>
                <c:pt idx="11">
                  <c:v>769</c:v>
                </c:pt>
                <c:pt idx="12">
                  <c:v>747</c:v>
                </c:pt>
                <c:pt idx="13">
                  <c:v>736</c:v>
                </c:pt>
                <c:pt idx="14">
                  <c:v>742</c:v>
                </c:pt>
                <c:pt idx="15">
                  <c:v>771</c:v>
                </c:pt>
                <c:pt idx="16">
                  <c:v>778</c:v>
                </c:pt>
                <c:pt idx="17">
                  <c:v>788</c:v>
                </c:pt>
                <c:pt idx="18">
                  <c:v>743</c:v>
                </c:pt>
                <c:pt idx="19">
                  <c:v>715</c:v>
                </c:pt>
                <c:pt idx="20">
                  <c:v>736.5</c:v>
                </c:pt>
                <c:pt idx="21">
                  <c:v>717.9</c:v>
                </c:pt>
                <c:pt idx="22">
                  <c:v>696.9</c:v>
                </c:pt>
                <c:pt idx="23">
                  <c:v>675.9</c:v>
                </c:pt>
                <c:pt idx="24">
                  <c:v>652.5</c:v>
                </c:pt>
                <c:pt idx="25">
                  <c:v>620.1</c:v>
                </c:pt>
                <c:pt idx="26">
                  <c:v>605.70000000000005</c:v>
                </c:pt>
                <c:pt idx="27">
                  <c:v>567.29999999999995</c:v>
                </c:pt>
                <c:pt idx="28">
                  <c:v>558.70000000000005</c:v>
                </c:pt>
                <c:pt idx="29">
                  <c:v>537.4</c:v>
                </c:pt>
                <c:pt idx="30">
                  <c:v>513.5</c:v>
                </c:pt>
                <c:pt idx="31">
                  <c:v>511.1</c:v>
                </c:pt>
                <c:pt idx="32">
                  <c:v>485.1</c:v>
                </c:pt>
                <c:pt idx="33">
                  <c:v>475.2</c:v>
                </c:pt>
                <c:pt idx="34">
                  <c:v>464.7</c:v>
                </c:pt>
                <c:pt idx="35">
                  <c:v>443.8</c:v>
                </c:pt>
                <c:pt idx="36">
                  <c:v>435</c:v>
                </c:pt>
                <c:pt idx="37">
                  <c:v>432.9</c:v>
                </c:pt>
                <c:pt idx="38">
                  <c:v>408.6</c:v>
                </c:pt>
                <c:pt idx="39">
                  <c:v>406.4</c:v>
                </c:pt>
                <c:pt idx="40">
                  <c:v>400.3</c:v>
                </c:pt>
                <c:pt idx="41">
                  <c:v>380.2</c:v>
                </c:pt>
                <c:pt idx="42">
                  <c:v>381.5</c:v>
                </c:pt>
                <c:pt idx="43">
                  <c:v>370.7</c:v>
                </c:pt>
                <c:pt idx="44">
                  <c:v>354.4</c:v>
                </c:pt>
                <c:pt idx="45">
                  <c:v>357.3</c:v>
                </c:pt>
                <c:pt idx="46">
                  <c:v>347.2</c:v>
                </c:pt>
                <c:pt idx="47">
                  <c:v>335.6</c:v>
                </c:pt>
                <c:pt idx="48">
                  <c:v>338.7</c:v>
                </c:pt>
                <c:pt idx="49">
                  <c:v>323.39999999999998</c:v>
                </c:pt>
                <c:pt idx="50">
                  <c:v>325.5</c:v>
                </c:pt>
                <c:pt idx="51">
                  <c:v>312.89999999999998</c:v>
                </c:pt>
                <c:pt idx="52">
                  <c:v>313</c:v>
                </c:pt>
                <c:pt idx="53">
                  <c:v>306</c:v>
                </c:pt>
                <c:pt idx="54">
                  <c:v>301.2</c:v>
                </c:pt>
                <c:pt idx="55">
                  <c:v>299.10000000000002</c:v>
                </c:pt>
                <c:pt idx="56">
                  <c:v>294.2</c:v>
                </c:pt>
                <c:pt idx="57">
                  <c:v>288.2</c:v>
                </c:pt>
                <c:pt idx="58">
                  <c:v>288.7</c:v>
                </c:pt>
                <c:pt idx="59">
                  <c:v>275</c:v>
                </c:pt>
                <c:pt idx="60">
                  <c:v>278.39999999999998</c:v>
                </c:pt>
                <c:pt idx="61">
                  <c:v>269.89999999999998</c:v>
                </c:pt>
                <c:pt idx="62">
                  <c:v>266.2</c:v>
                </c:pt>
                <c:pt idx="63">
                  <c:v>269.7</c:v>
                </c:pt>
                <c:pt idx="64">
                  <c:v>267.10000000000002</c:v>
                </c:pt>
                <c:pt idx="65">
                  <c:v>257.8</c:v>
                </c:pt>
                <c:pt idx="66">
                  <c:v>253.4</c:v>
                </c:pt>
                <c:pt idx="67">
                  <c:v>255.4</c:v>
                </c:pt>
                <c:pt idx="68">
                  <c:v>245.3</c:v>
                </c:pt>
                <c:pt idx="69">
                  <c:v>243.5</c:v>
                </c:pt>
                <c:pt idx="70">
                  <c:v>248.1</c:v>
                </c:pt>
                <c:pt idx="71">
                  <c:v>243.1</c:v>
                </c:pt>
                <c:pt idx="72">
                  <c:v>237.6</c:v>
                </c:pt>
                <c:pt idx="73">
                  <c:v>239.7</c:v>
                </c:pt>
                <c:pt idx="74">
                  <c:v>237.7</c:v>
                </c:pt>
                <c:pt idx="75">
                  <c:v>230</c:v>
                </c:pt>
                <c:pt idx="76">
                  <c:v>241.4</c:v>
                </c:pt>
                <c:pt idx="77">
                  <c:v>230.2</c:v>
                </c:pt>
                <c:pt idx="78">
                  <c:v>215.68</c:v>
                </c:pt>
                <c:pt idx="79">
                  <c:v>199.51</c:v>
                </c:pt>
                <c:pt idx="80">
                  <c:v>188.18</c:v>
                </c:pt>
                <c:pt idx="81">
                  <c:v>178.81</c:v>
                </c:pt>
                <c:pt idx="82">
                  <c:v>168.25</c:v>
                </c:pt>
                <c:pt idx="83">
                  <c:v>161.91999999999999</c:v>
                </c:pt>
                <c:pt idx="84">
                  <c:v>156.68</c:v>
                </c:pt>
                <c:pt idx="85">
                  <c:v>149.58000000000001</c:v>
                </c:pt>
                <c:pt idx="86">
                  <c:v>145.97999999999999</c:v>
                </c:pt>
                <c:pt idx="87">
                  <c:v>142.33000000000001</c:v>
                </c:pt>
                <c:pt idx="88">
                  <c:v>139.29</c:v>
                </c:pt>
                <c:pt idx="89">
                  <c:v>133.86000000000001</c:v>
                </c:pt>
                <c:pt idx="90">
                  <c:v>132.36000000000001</c:v>
                </c:pt>
                <c:pt idx="91">
                  <c:v>127.46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Data2'!$G$114:$CT$114</c:f>
              <c:numCache>
                <c:formatCode>General</c:formatCode>
                <c:ptCount val="92"/>
                <c:pt idx="0">
                  <c:v>1467</c:v>
                </c:pt>
                <c:pt idx="1">
                  <c:v>1456</c:v>
                </c:pt>
                <c:pt idx="2">
                  <c:v>1415</c:v>
                </c:pt>
                <c:pt idx="3">
                  <c:v>1412</c:v>
                </c:pt>
                <c:pt idx="4">
                  <c:v>1417</c:v>
                </c:pt>
                <c:pt idx="5">
                  <c:v>1423</c:v>
                </c:pt>
                <c:pt idx="6">
                  <c:v>1394</c:v>
                </c:pt>
                <c:pt idx="7">
                  <c:v>1407</c:v>
                </c:pt>
                <c:pt idx="8">
                  <c:v>1359</c:v>
                </c:pt>
                <c:pt idx="9">
                  <c:v>1453</c:v>
                </c:pt>
                <c:pt idx="10">
                  <c:v>1385</c:v>
                </c:pt>
                <c:pt idx="11">
                  <c:v>1402</c:v>
                </c:pt>
                <c:pt idx="12">
                  <c:v>1412</c:v>
                </c:pt>
                <c:pt idx="13">
                  <c:v>1419</c:v>
                </c:pt>
                <c:pt idx="14">
                  <c:v>1379</c:v>
                </c:pt>
                <c:pt idx="15">
                  <c:v>1319</c:v>
                </c:pt>
                <c:pt idx="16">
                  <c:v>1374</c:v>
                </c:pt>
                <c:pt idx="17">
                  <c:v>1400</c:v>
                </c:pt>
                <c:pt idx="18">
                  <c:v>1369</c:v>
                </c:pt>
                <c:pt idx="19">
                  <c:v>1377</c:v>
                </c:pt>
                <c:pt idx="20">
                  <c:v>1347.2</c:v>
                </c:pt>
                <c:pt idx="21">
                  <c:v>1272.0999999999999</c:v>
                </c:pt>
                <c:pt idx="22">
                  <c:v>1208.7</c:v>
                </c:pt>
                <c:pt idx="23">
                  <c:v>1158</c:v>
                </c:pt>
                <c:pt idx="24">
                  <c:v>1106</c:v>
                </c:pt>
                <c:pt idx="25">
                  <c:v>1053.8</c:v>
                </c:pt>
                <c:pt idx="26">
                  <c:v>999.6</c:v>
                </c:pt>
                <c:pt idx="27">
                  <c:v>947.7</c:v>
                </c:pt>
                <c:pt idx="28">
                  <c:v>905.6</c:v>
                </c:pt>
                <c:pt idx="29">
                  <c:v>873.8</c:v>
                </c:pt>
                <c:pt idx="30">
                  <c:v>842.7</c:v>
                </c:pt>
                <c:pt idx="31">
                  <c:v>796.6</c:v>
                </c:pt>
                <c:pt idx="32">
                  <c:v>772</c:v>
                </c:pt>
                <c:pt idx="33">
                  <c:v>746.3</c:v>
                </c:pt>
                <c:pt idx="34">
                  <c:v>711.3</c:v>
                </c:pt>
                <c:pt idx="35">
                  <c:v>685.8</c:v>
                </c:pt>
                <c:pt idx="36">
                  <c:v>655.4</c:v>
                </c:pt>
                <c:pt idx="37">
                  <c:v>636.5</c:v>
                </c:pt>
                <c:pt idx="38">
                  <c:v>611</c:v>
                </c:pt>
                <c:pt idx="39">
                  <c:v>602.4</c:v>
                </c:pt>
                <c:pt idx="40">
                  <c:v>575.4</c:v>
                </c:pt>
                <c:pt idx="41">
                  <c:v>560</c:v>
                </c:pt>
                <c:pt idx="42">
                  <c:v>552.1</c:v>
                </c:pt>
                <c:pt idx="43">
                  <c:v>532</c:v>
                </c:pt>
                <c:pt idx="44">
                  <c:v>518</c:v>
                </c:pt>
                <c:pt idx="45">
                  <c:v>506.4</c:v>
                </c:pt>
                <c:pt idx="46">
                  <c:v>473.3</c:v>
                </c:pt>
                <c:pt idx="47">
                  <c:v>475.6</c:v>
                </c:pt>
                <c:pt idx="48">
                  <c:v>463.9</c:v>
                </c:pt>
                <c:pt idx="49">
                  <c:v>445.2</c:v>
                </c:pt>
                <c:pt idx="50">
                  <c:v>437.7</c:v>
                </c:pt>
                <c:pt idx="51">
                  <c:v>424</c:v>
                </c:pt>
                <c:pt idx="52">
                  <c:v>420.9</c:v>
                </c:pt>
                <c:pt idx="53">
                  <c:v>402.3</c:v>
                </c:pt>
                <c:pt idx="54">
                  <c:v>399.8</c:v>
                </c:pt>
                <c:pt idx="55">
                  <c:v>390</c:v>
                </c:pt>
                <c:pt idx="56">
                  <c:v>384.5</c:v>
                </c:pt>
                <c:pt idx="57">
                  <c:v>377.1</c:v>
                </c:pt>
                <c:pt idx="58">
                  <c:v>361.5</c:v>
                </c:pt>
                <c:pt idx="59">
                  <c:v>350.5</c:v>
                </c:pt>
                <c:pt idx="60">
                  <c:v>350.6</c:v>
                </c:pt>
                <c:pt idx="61">
                  <c:v>342.3</c:v>
                </c:pt>
                <c:pt idx="62">
                  <c:v>336.8</c:v>
                </c:pt>
                <c:pt idx="63">
                  <c:v>336.4</c:v>
                </c:pt>
                <c:pt idx="64">
                  <c:v>323.39999999999998</c:v>
                </c:pt>
                <c:pt idx="65">
                  <c:v>315.8</c:v>
                </c:pt>
                <c:pt idx="66">
                  <c:v>309.39999999999998</c:v>
                </c:pt>
                <c:pt idx="67">
                  <c:v>299.2</c:v>
                </c:pt>
                <c:pt idx="68">
                  <c:v>299.3</c:v>
                </c:pt>
                <c:pt idx="69">
                  <c:v>301.5</c:v>
                </c:pt>
                <c:pt idx="70">
                  <c:v>281.60000000000002</c:v>
                </c:pt>
                <c:pt idx="71">
                  <c:v>289.7</c:v>
                </c:pt>
                <c:pt idx="72">
                  <c:v>284.89999999999998</c:v>
                </c:pt>
                <c:pt idx="73">
                  <c:v>283.3</c:v>
                </c:pt>
                <c:pt idx="74">
                  <c:v>272</c:v>
                </c:pt>
                <c:pt idx="75">
                  <c:v>267.39999999999998</c:v>
                </c:pt>
                <c:pt idx="76">
                  <c:v>264.60000000000002</c:v>
                </c:pt>
                <c:pt idx="77">
                  <c:v>269.2</c:v>
                </c:pt>
                <c:pt idx="78">
                  <c:v>242.26</c:v>
                </c:pt>
                <c:pt idx="79">
                  <c:v>215.78</c:v>
                </c:pt>
                <c:pt idx="80">
                  <c:v>193.92</c:v>
                </c:pt>
                <c:pt idx="81">
                  <c:v>177.09</c:v>
                </c:pt>
                <c:pt idx="82">
                  <c:v>163.22999999999999</c:v>
                </c:pt>
                <c:pt idx="83">
                  <c:v>152.07</c:v>
                </c:pt>
                <c:pt idx="84">
                  <c:v>142.26</c:v>
                </c:pt>
                <c:pt idx="85">
                  <c:v>136.97999999999999</c:v>
                </c:pt>
                <c:pt idx="86">
                  <c:v>130.31</c:v>
                </c:pt>
                <c:pt idx="87">
                  <c:v>124.29</c:v>
                </c:pt>
                <c:pt idx="88">
                  <c:v>117.7</c:v>
                </c:pt>
                <c:pt idx="89">
                  <c:v>115.26</c:v>
                </c:pt>
                <c:pt idx="90">
                  <c:v>110.78</c:v>
                </c:pt>
                <c:pt idx="91">
                  <c:v>107.07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Data2'!$G$115:$CT$115</c:f>
              <c:numCache>
                <c:formatCode>General</c:formatCode>
                <c:ptCount val="92"/>
                <c:pt idx="0">
                  <c:v>689</c:v>
                </c:pt>
                <c:pt idx="1">
                  <c:v>719</c:v>
                </c:pt>
                <c:pt idx="2">
                  <c:v>734</c:v>
                </c:pt>
                <c:pt idx="3">
                  <c:v>665</c:v>
                </c:pt>
                <c:pt idx="4">
                  <c:v>650</c:v>
                </c:pt>
                <c:pt idx="5">
                  <c:v>738</c:v>
                </c:pt>
                <c:pt idx="6">
                  <c:v>663</c:v>
                </c:pt>
                <c:pt idx="7">
                  <c:v>731</c:v>
                </c:pt>
                <c:pt idx="8">
                  <c:v>718</c:v>
                </c:pt>
                <c:pt idx="9">
                  <c:v>687</c:v>
                </c:pt>
                <c:pt idx="10">
                  <c:v>710</c:v>
                </c:pt>
                <c:pt idx="11">
                  <c:v>645</c:v>
                </c:pt>
                <c:pt idx="12">
                  <c:v>694</c:v>
                </c:pt>
                <c:pt idx="13">
                  <c:v>728</c:v>
                </c:pt>
                <c:pt idx="14">
                  <c:v>693</c:v>
                </c:pt>
                <c:pt idx="15">
                  <c:v>716</c:v>
                </c:pt>
                <c:pt idx="16">
                  <c:v>698</c:v>
                </c:pt>
                <c:pt idx="17">
                  <c:v>689</c:v>
                </c:pt>
                <c:pt idx="18">
                  <c:v>630</c:v>
                </c:pt>
                <c:pt idx="19">
                  <c:v>673</c:v>
                </c:pt>
                <c:pt idx="20">
                  <c:v>664.6</c:v>
                </c:pt>
                <c:pt idx="21">
                  <c:v>646.70000000000005</c:v>
                </c:pt>
                <c:pt idx="22">
                  <c:v>606.29999999999995</c:v>
                </c:pt>
                <c:pt idx="23">
                  <c:v>587.79999999999995</c:v>
                </c:pt>
                <c:pt idx="24">
                  <c:v>551.4</c:v>
                </c:pt>
                <c:pt idx="25">
                  <c:v>537.70000000000005</c:v>
                </c:pt>
                <c:pt idx="26">
                  <c:v>522.6</c:v>
                </c:pt>
                <c:pt idx="27">
                  <c:v>498.5</c:v>
                </c:pt>
                <c:pt idx="28">
                  <c:v>472.5</c:v>
                </c:pt>
                <c:pt idx="29">
                  <c:v>468.6</c:v>
                </c:pt>
                <c:pt idx="30">
                  <c:v>445</c:v>
                </c:pt>
                <c:pt idx="31">
                  <c:v>425.6</c:v>
                </c:pt>
                <c:pt idx="32">
                  <c:v>416.3</c:v>
                </c:pt>
                <c:pt idx="33">
                  <c:v>404.3</c:v>
                </c:pt>
                <c:pt idx="34">
                  <c:v>393.6</c:v>
                </c:pt>
                <c:pt idx="35">
                  <c:v>375.9</c:v>
                </c:pt>
                <c:pt idx="36">
                  <c:v>360.9</c:v>
                </c:pt>
                <c:pt idx="37">
                  <c:v>352.3</c:v>
                </c:pt>
                <c:pt idx="38">
                  <c:v>346.6</c:v>
                </c:pt>
                <c:pt idx="39">
                  <c:v>332.9</c:v>
                </c:pt>
                <c:pt idx="40">
                  <c:v>327.7</c:v>
                </c:pt>
                <c:pt idx="41">
                  <c:v>314</c:v>
                </c:pt>
                <c:pt idx="42">
                  <c:v>309.7</c:v>
                </c:pt>
                <c:pt idx="43">
                  <c:v>298</c:v>
                </c:pt>
                <c:pt idx="44">
                  <c:v>300.10000000000002</c:v>
                </c:pt>
                <c:pt idx="45">
                  <c:v>281.8</c:v>
                </c:pt>
                <c:pt idx="46">
                  <c:v>284.7</c:v>
                </c:pt>
                <c:pt idx="47">
                  <c:v>272.8</c:v>
                </c:pt>
                <c:pt idx="48">
                  <c:v>269</c:v>
                </c:pt>
                <c:pt idx="49">
                  <c:v>266.10000000000002</c:v>
                </c:pt>
                <c:pt idx="50">
                  <c:v>256.60000000000002</c:v>
                </c:pt>
                <c:pt idx="51">
                  <c:v>245.9</c:v>
                </c:pt>
                <c:pt idx="52">
                  <c:v>249.5</c:v>
                </c:pt>
                <c:pt idx="53">
                  <c:v>241.5</c:v>
                </c:pt>
                <c:pt idx="54">
                  <c:v>245.8</c:v>
                </c:pt>
                <c:pt idx="55">
                  <c:v>237</c:v>
                </c:pt>
                <c:pt idx="56">
                  <c:v>222.9</c:v>
                </c:pt>
                <c:pt idx="57">
                  <c:v>227.2</c:v>
                </c:pt>
                <c:pt idx="58">
                  <c:v>221.2</c:v>
                </c:pt>
                <c:pt idx="59">
                  <c:v>218.7</c:v>
                </c:pt>
                <c:pt idx="60">
                  <c:v>217.5</c:v>
                </c:pt>
                <c:pt idx="61">
                  <c:v>219.3</c:v>
                </c:pt>
                <c:pt idx="62">
                  <c:v>205.6</c:v>
                </c:pt>
                <c:pt idx="63">
                  <c:v>204.2</c:v>
                </c:pt>
                <c:pt idx="64">
                  <c:v>200.4</c:v>
                </c:pt>
                <c:pt idx="65">
                  <c:v>199.8</c:v>
                </c:pt>
                <c:pt idx="66">
                  <c:v>198.4</c:v>
                </c:pt>
                <c:pt idx="67">
                  <c:v>193.7</c:v>
                </c:pt>
                <c:pt idx="68">
                  <c:v>191.6</c:v>
                </c:pt>
                <c:pt idx="69">
                  <c:v>180.6</c:v>
                </c:pt>
                <c:pt idx="70">
                  <c:v>187.3</c:v>
                </c:pt>
                <c:pt idx="71">
                  <c:v>189.4</c:v>
                </c:pt>
                <c:pt idx="72">
                  <c:v>184.1</c:v>
                </c:pt>
                <c:pt idx="73">
                  <c:v>184.5</c:v>
                </c:pt>
                <c:pt idx="74">
                  <c:v>178.4</c:v>
                </c:pt>
                <c:pt idx="75">
                  <c:v>171.8</c:v>
                </c:pt>
                <c:pt idx="76">
                  <c:v>171.8</c:v>
                </c:pt>
                <c:pt idx="77">
                  <c:v>168.9</c:v>
                </c:pt>
                <c:pt idx="78">
                  <c:v>161.88</c:v>
                </c:pt>
                <c:pt idx="79">
                  <c:v>148.32</c:v>
                </c:pt>
                <c:pt idx="80">
                  <c:v>137.93</c:v>
                </c:pt>
                <c:pt idx="81">
                  <c:v>131.01</c:v>
                </c:pt>
                <c:pt idx="82">
                  <c:v>122</c:v>
                </c:pt>
                <c:pt idx="83">
                  <c:v>116.01</c:v>
                </c:pt>
                <c:pt idx="84">
                  <c:v>109.38</c:v>
                </c:pt>
                <c:pt idx="85">
                  <c:v>106.47</c:v>
                </c:pt>
                <c:pt idx="86">
                  <c:v>101.54</c:v>
                </c:pt>
                <c:pt idx="87">
                  <c:v>98.95</c:v>
                </c:pt>
                <c:pt idx="88">
                  <c:v>96.69</c:v>
                </c:pt>
                <c:pt idx="89">
                  <c:v>94.6</c:v>
                </c:pt>
                <c:pt idx="90">
                  <c:v>91.38</c:v>
                </c:pt>
                <c:pt idx="91">
                  <c:v>89.37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Data2'!$G$116:$CT$116</c:f>
              <c:numCache>
                <c:formatCode>General</c:formatCode>
                <c:ptCount val="92"/>
                <c:pt idx="0">
                  <c:v>2409</c:v>
                </c:pt>
                <c:pt idx="1">
                  <c:v>2300</c:v>
                </c:pt>
                <c:pt idx="2">
                  <c:v>2331</c:v>
                </c:pt>
                <c:pt idx="3">
                  <c:v>2338</c:v>
                </c:pt>
                <c:pt idx="4">
                  <c:v>2325</c:v>
                </c:pt>
                <c:pt idx="5">
                  <c:v>2297</c:v>
                </c:pt>
                <c:pt idx="6">
                  <c:v>2270</c:v>
                </c:pt>
                <c:pt idx="7">
                  <c:v>2559</c:v>
                </c:pt>
                <c:pt idx="8">
                  <c:v>2256</c:v>
                </c:pt>
                <c:pt idx="9">
                  <c:v>2235</c:v>
                </c:pt>
                <c:pt idx="10">
                  <c:v>2250</c:v>
                </c:pt>
                <c:pt idx="11">
                  <c:v>2272</c:v>
                </c:pt>
                <c:pt idx="12">
                  <c:v>2341</c:v>
                </c:pt>
                <c:pt idx="13">
                  <c:v>2244</c:v>
                </c:pt>
                <c:pt idx="14">
                  <c:v>2199</c:v>
                </c:pt>
                <c:pt idx="15">
                  <c:v>2247</c:v>
                </c:pt>
                <c:pt idx="16">
                  <c:v>2270</c:v>
                </c:pt>
                <c:pt idx="17">
                  <c:v>2200</c:v>
                </c:pt>
                <c:pt idx="18">
                  <c:v>2181</c:v>
                </c:pt>
                <c:pt idx="19">
                  <c:v>2184</c:v>
                </c:pt>
                <c:pt idx="20">
                  <c:v>2162.4</c:v>
                </c:pt>
                <c:pt idx="21">
                  <c:v>2067.8000000000002</c:v>
                </c:pt>
                <c:pt idx="22">
                  <c:v>1953.2</c:v>
                </c:pt>
                <c:pt idx="23">
                  <c:v>1866.8</c:v>
                </c:pt>
                <c:pt idx="24">
                  <c:v>1767.1</c:v>
                </c:pt>
                <c:pt idx="25">
                  <c:v>1680.2</c:v>
                </c:pt>
                <c:pt idx="26">
                  <c:v>1608.2</c:v>
                </c:pt>
                <c:pt idx="27">
                  <c:v>1540.2</c:v>
                </c:pt>
                <c:pt idx="28">
                  <c:v>1457.5</c:v>
                </c:pt>
                <c:pt idx="29">
                  <c:v>1392.6</c:v>
                </c:pt>
                <c:pt idx="30">
                  <c:v>1332.8</c:v>
                </c:pt>
                <c:pt idx="31">
                  <c:v>1268.2</c:v>
                </c:pt>
                <c:pt idx="32">
                  <c:v>1213.2</c:v>
                </c:pt>
                <c:pt idx="33">
                  <c:v>1176</c:v>
                </c:pt>
                <c:pt idx="34">
                  <c:v>1135.4000000000001</c:v>
                </c:pt>
                <c:pt idx="35">
                  <c:v>1078.3</c:v>
                </c:pt>
                <c:pt idx="36">
                  <c:v>1046.3</c:v>
                </c:pt>
                <c:pt idx="37">
                  <c:v>1009.7</c:v>
                </c:pt>
                <c:pt idx="38">
                  <c:v>967.3</c:v>
                </c:pt>
                <c:pt idx="39">
                  <c:v>937.5</c:v>
                </c:pt>
                <c:pt idx="40">
                  <c:v>882.6</c:v>
                </c:pt>
                <c:pt idx="41">
                  <c:v>887.8</c:v>
                </c:pt>
                <c:pt idx="42">
                  <c:v>843.9</c:v>
                </c:pt>
                <c:pt idx="43">
                  <c:v>812.8</c:v>
                </c:pt>
                <c:pt idx="44">
                  <c:v>787.9</c:v>
                </c:pt>
                <c:pt idx="45">
                  <c:v>766.3</c:v>
                </c:pt>
                <c:pt idx="46">
                  <c:v>743</c:v>
                </c:pt>
                <c:pt idx="47">
                  <c:v>710</c:v>
                </c:pt>
                <c:pt idx="48">
                  <c:v>705.6</c:v>
                </c:pt>
                <c:pt idx="49">
                  <c:v>678.2</c:v>
                </c:pt>
                <c:pt idx="50">
                  <c:v>668.5</c:v>
                </c:pt>
                <c:pt idx="51">
                  <c:v>653.20000000000005</c:v>
                </c:pt>
                <c:pt idx="52">
                  <c:v>629.9</c:v>
                </c:pt>
                <c:pt idx="53">
                  <c:v>611.9</c:v>
                </c:pt>
                <c:pt idx="54">
                  <c:v>615.5</c:v>
                </c:pt>
                <c:pt idx="55">
                  <c:v>581.4</c:v>
                </c:pt>
                <c:pt idx="56">
                  <c:v>582.20000000000005</c:v>
                </c:pt>
                <c:pt idx="57">
                  <c:v>553.9</c:v>
                </c:pt>
                <c:pt idx="58">
                  <c:v>546.1</c:v>
                </c:pt>
                <c:pt idx="59">
                  <c:v>524.79999999999995</c:v>
                </c:pt>
                <c:pt idx="60">
                  <c:v>535.1</c:v>
                </c:pt>
                <c:pt idx="61">
                  <c:v>509.9</c:v>
                </c:pt>
                <c:pt idx="62">
                  <c:v>499.5</c:v>
                </c:pt>
                <c:pt idx="63">
                  <c:v>492.7</c:v>
                </c:pt>
                <c:pt idx="64">
                  <c:v>480.1</c:v>
                </c:pt>
                <c:pt idx="65">
                  <c:v>466.7</c:v>
                </c:pt>
                <c:pt idx="66">
                  <c:v>458.8</c:v>
                </c:pt>
                <c:pt idx="67">
                  <c:v>454.4</c:v>
                </c:pt>
                <c:pt idx="68">
                  <c:v>442.3</c:v>
                </c:pt>
                <c:pt idx="69">
                  <c:v>429.6</c:v>
                </c:pt>
                <c:pt idx="70">
                  <c:v>424.2</c:v>
                </c:pt>
                <c:pt idx="71">
                  <c:v>407.7</c:v>
                </c:pt>
                <c:pt idx="72">
                  <c:v>414.2</c:v>
                </c:pt>
                <c:pt idx="73">
                  <c:v>401.7</c:v>
                </c:pt>
                <c:pt idx="74">
                  <c:v>400.9</c:v>
                </c:pt>
                <c:pt idx="75">
                  <c:v>395.7</c:v>
                </c:pt>
                <c:pt idx="76">
                  <c:v>381.8</c:v>
                </c:pt>
                <c:pt idx="77">
                  <c:v>379.7</c:v>
                </c:pt>
                <c:pt idx="78">
                  <c:v>346.67</c:v>
                </c:pt>
                <c:pt idx="79">
                  <c:v>301.67</c:v>
                </c:pt>
                <c:pt idx="80">
                  <c:v>266.95999999999998</c:v>
                </c:pt>
                <c:pt idx="81">
                  <c:v>240.34</c:v>
                </c:pt>
                <c:pt idx="82">
                  <c:v>219.2</c:v>
                </c:pt>
                <c:pt idx="83">
                  <c:v>201.13</c:v>
                </c:pt>
                <c:pt idx="84">
                  <c:v>186.52</c:v>
                </c:pt>
                <c:pt idx="85">
                  <c:v>174.13</c:v>
                </c:pt>
                <c:pt idx="86">
                  <c:v>165.61</c:v>
                </c:pt>
                <c:pt idx="87">
                  <c:v>155.91999999999999</c:v>
                </c:pt>
                <c:pt idx="88">
                  <c:v>148.78</c:v>
                </c:pt>
                <c:pt idx="89">
                  <c:v>140.91</c:v>
                </c:pt>
                <c:pt idx="90">
                  <c:v>136.04</c:v>
                </c:pt>
                <c:pt idx="91">
                  <c:v>129.88999999999999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Data2'!$G$117:$CT$117</c:f>
              <c:numCache>
                <c:formatCode>General</c:formatCode>
                <c:ptCount val="92"/>
                <c:pt idx="0">
                  <c:v>720</c:v>
                </c:pt>
                <c:pt idx="1">
                  <c:v>732</c:v>
                </c:pt>
                <c:pt idx="2">
                  <c:v>740</c:v>
                </c:pt>
                <c:pt idx="3">
                  <c:v>698</c:v>
                </c:pt>
                <c:pt idx="4">
                  <c:v>693</c:v>
                </c:pt>
                <c:pt idx="5">
                  <c:v>680</c:v>
                </c:pt>
                <c:pt idx="6">
                  <c:v>719</c:v>
                </c:pt>
                <c:pt idx="7">
                  <c:v>749</c:v>
                </c:pt>
                <c:pt idx="8">
                  <c:v>700</c:v>
                </c:pt>
                <c:pt idx="9">
                  <c:v>730</c:v>
                </c:pt>
                <c:pt idx="10">
                  <c:v>743</c:v>
                </c:pt>
                <c:pt idx="11">
                  <c:v>736</c:v>
                </c:pt>
                <c:pt idx="12">
                  <c:v>739</c:v>
                </c:pt>
                <c:pt idx="13">
                  <c:v>732</c:v>
                </c:pt>
                <c:pt idx="14">
                  <c:v>694</c:v>
                </c:pt>
                <c:pt idx="15">
                  <c:v>738</c:v>
                </c:pt>
                <c:pt idx="16">
                  <c:v>711</c:v>
                </c:pt>
                <c:pt idx="17">
                  <c:v>721</c:v>
                </c:pt>
                <c:pt idx="18">
                  <c:v>677</c:v>
                </c:pt>
                <c:pt idx="19">
                  <c:v>700</c:v>
                </c:pt>
                <c:pt idx="20">
                  <c:v>687.1</c:v>
                </c:pt>
                <c:pt idx="21">
                  <c:v>678.5</c:v>
                </c:pt>
                <c:pt idx="22">
                  <c:v>640.79999999999995</c:v>
                </c:pt>
                <c:pt idx="23">
                  <c:v>616.9</c:v>
                </c:pt>
                <c:pt idx="24">
                  <c:v>584</c:v>
                </c:pt>
                <c:pt idx="25">
                  <c:v>564.4</c:v>
                </c:pt>
                <c:pt idx="26">
                  <c:v>541.79999999999995</c:v>
                </c:pt>
                <c:pt idx="27">
                  <c:v>520.5</c:v>
                </c:pt>
                <c:pt idx="28">
                  <c:v>499</c:v>
                </c:pt>
                <c:pt idx="29">
                  <c:v>483.1</c:v>
                </c:pt>
                <c:pt idx="30">
                  <c:v>475</c:v>
                </c:pt>
                <c:pt idx="31">
                  <c:v>451.6</c:v>
                </c:pt>
                <c:pt idx="32">
                  <c:v>434.7</c:v>
                </c:pt>
                <c:pt idx="33">
                  <c:v>419</c:v>
                </c:pt>
                <c:pt idx="34">
                  <c:v>414.3</c:v>
                </c:pt>
                <c:pt idx="35">
                  <c:v>402.7</c:v>
                </c:pt>
                <c:pt idx="36">
                  <c:v>392.4</c:v>
                </c:pt>
                <c:pt idx="37">
                  <c:v>373.7</c:v>
                </c:pt>
                <c:pt idx="38">
                  <c:v>367.8</c:v>
                </c:pt>
                <c:pt idx="39">
                  <c:v>357.2</c:v>
                </c:pt>
                <c:pt idx="40">
                  <c:v>340.2</c:v>
                </c:pt>
                <c:pt idx="41">
                  <c:v>336.6</c:v>
                </c:pt>
                <c:pt idx="42">
                  <c:v>325.2</c:v>
                </c:pt>
                <c:pt idx="43">
                  <c:v>319.2</c:v>
                </c:pt>
                <c:pt idx="44">
                  <c:v>314.8</c:v>
                </c:pt>
                <c:pt idx="45">
                  <c:v>305.8</c:v>
                </c:pt>
                <c:pt idx="46">
                  <c:v>302.5</c:v>
                </c:pt>
                <c:pt idx="47">
                  <c:v>292.89999999999998</c:v>
                </c:pt>
                <c:pt idx="48">
                  <c:v>284.3</c:v>
                </c:pt>
                <c:pt idx="49">
                  <c:v>273.8</c:v>
                </c:pt>
                <c:pt idx="50">
                  <c:v>274.8</c:v>
                </c:pt>
                <c:pt idx="51">
                  <c:v>272.39999999999998</c:v>
                </c:pt>
                <c:pt idx="52">
                  <c:v>277.39999999999998</c:v>
                </c:pt>
                <c:pt idx="53">
                  <c:v>259.7</c:v>
                </c:pt>
                <c:pt idx="54">
                  <c:v>250.7</c:v>
                </c:pt>
                <c:pt idx="55">
                  <c:v>256.10000000000002</c:v>
                </c:pt>
                <c:pt idx="56">
                  <c:v>251.1</c:v>
                </c:pt>
                <c:pt idx="57">
                  <c:v>245.7</c:v>
                </c:pt>
                <c:pt idx="58">
                  <c:v>235.8</c:v>
                </c:pt>
                <c:pt idx="59">
                  <c:v>230.7</c:v>
                </c:pt>
                <c:pt idx="60">
                  <c:v>232.3</c:v>
                </c:pt>
                <c:pt idx="61">
                  <c:v>225.6</c:v>
                </c:pt>
                <c:pt idx="62">
                  <c:v>222.8</c:v>
                </c:pt>
                <c:pt idx="63">
                  <c:v>220.1</c:v>
                </c:pt>
                <c:pt idx="64">
                  <c:v>216.3</c:v>
                </c:pt>
                <c:pt idx="65">
                  <c:v>221</c:v>
                </c:pt>
                <c:pt idx="66">
                  <c:v>212</c:v>
                </c:pt>
                <c:pt idx="67">
                  <c:v>204.8</c:v>
                </c:pt>
                <c:pt idx="68">
                  <c:v>202.8</c:v>
                </c:pt>
                <c:pt idx="69">
                  <c:v>203</c:v>
                </c:pt>
                <c:pt idx="70">
                  <c:v>203.2</c:v>
                </c:pt>
                <c:pt idx="71">
                  <c:v>198.2</c:v>
                </c:pt>
                <c:pt idx="72">
                  <c:v>196.1</c:v>
                </c:pt>
                <c:pt idx="73">
                  <c:v>194.5</c:v>
                </c:pt>
                <c:pt idx="74">
                  <c:v>195</c:v>
                </c:pt>
                <c:pt idx="75">
                  <c:v>169.4</c:v>
                </c:pt>
                <c:pt idx="76">
                  <c:v>187.3</c:v>
                </c:pt>
                <c:pt idx="77">
                  <c:v>188.5</c:v>
                </c:pt>
                <c:pt idx="78">
                  <c:v>173.9</c:v>
                </c:pt>
                <c:pt idx="79">
                  <c:v>158.76</c:v>
                </c:pt>
                <c:pt idx="80">
                  <c:v>147.63999999999999</c:v>
                </c:pt>
                <c:pt idx="81">
                  <c:v>139.81</c:v>
                </c:pt>
                <c:pt idx="82">
                  <c:v>131.05000000000001</c:v>
                </c:pt>
                <c:pt idx="83">
                  <c:v>123.88</c:v>
                </c:pt>
                <c:pt idx="84">
                  <c:v>119.69</c:v>
                </c:pt>
                <c:pt idx="85">
                  <c:v>114.24</c:v>
                </c:pt>
                <c:pt idx="86">
                  <c:v>108.72</c:v>
                </c:pt>
                <c:pt idx="87">
                  <c:v>105.99</c:v>
                </c:pt>
                <c:pt idx="88">
                  <c:v>103.05</c:v>
                </c:pt>
                <c:pt idx="89">
                  <c:v>99.95</c:v>
                </c:pt>
                <c:pt idx="90">
                  <c:v>96.65</c:v>
                </c:pt>
                <c:pt idx="91">
                  <c:v>95.58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Data2'!$G$118:$CT$118</c:f>
              <c:numCache>
                <c:formatCode>General</c:formatCode>
                <c:ptCount val="92"/>
                <c:pt idx="0">
                  <c:v>3146</c:v>
                </c:pt>
                <c:pt idx="1">
                  <c:v>3099</c:v>
                </c:pt>
                <c:pt idx="2">
                  <c:v>3088</c:v>
                </c:pt>
                <c:pt idx="3">
                  <c:v>3152</c:v>
                </c:pt>
                <c:pt idx="4">
                  <c:v>3175</c:v>
                </c:pt>
                <c:pt idx="5">
                  <c:v>3052</c:v>
                </c:pt>
                <c:pt idx="6">
                  <c:v>3082</c:v>
                </c:pt>
                <c:pt idx="7">
                  <c:v>3327</c:v>
                </c:pt>
                <c:pt idx="8">
                  <c:v>3009</c:v>
                </c:pt>
                <c:pt idx="9">
                  <c:v>3030</c:v>
                </c:pt>
                <c:pt idx="10">
                  <c:v>3065</c:v>
                </c:pt>
                <c:pt idx="11">
                  <c:v>3056</c:v>
                </c:pt>
                <c:pt idx="12">
                  <c:v>3034</c:v>
                </c:pt>
                <c:pt idx="13">
                  <c:v>2917</c:v>
                </c:pt>
                <c:pt idx="14">
                  <c:v>2980</c:v>
                </c:pt>
                <c:pt idx="15">
                  <c:v>2909</c:v>
                </c:pt>
                <c:pt idx="16">
                  <c:v>2910</c:v>
                </c:pt>
                <c:pt idx="17">
                  <c:v>3193</c:v>
                </c:pt>
                <c:pt idx="18">
                  <c:v>2883</c:v>
                </c:pt>
                <c:pt idx="19">
                  <c:v>2902</c:v>
                </c:pt>
                <c:pt idx="20">
                  <c:v>2851.2</c:v>
                </c:pt>
                <c:pt idx="21">
                  <c:v>2715</c:v>
                </c:pt>
                <c:pt idx="22">
                  <c:v>2588</c:v>
                </c:pt>
                <c:pt idx="23">
                  <c:v>2434.3000000000002</c:v>
                </c:pt>
                <c:pt idx="24">
                  <c:v>2319.8000000000002</c:v>
                </c:pt>
                <c:pt idx="25">
                  <c:v>2212</c:v>
                </c:pt>
                <c:pt idx="26">
                  <c:v>2098.1999999999998</c:v>
                </c:pt>
                <c:pt idx="27">
                  <c:v>1997.3</c:v>
                </c:pt>
                <c:pt idx="28">
                  <c:v>1904.7</c:v>
                </c:pt>
                <c:pt idx="29">
                  <c:v>1837.5</c:v>
                </c:pt>
                <c:pt idx="30">
                  <c:v>1748.5</c:v>
                </c:pt>
                <c:pt idx="31">
                  <c:v>1674.9</c:v>
                </c:pt>
                <c:pt idx="32">
                  <c:v>1586.4</c:v>
                </c:pt>
                <c:pt idx="33">
                  <c:v>1527.5</c:v>
                </c:pt>
                <c:pt idx="34">
                  <c:v>1479</c:v>
                </c:pt>
                <c:pt idx="35">
                  <c:v>1418.4</c:v>
                </c:pt>
                <c:pt idx="36">
                  <c:v>1364.7</c:v>
                </c:pt>
                <c:pt idx="37">
                  <c:v>1301.0999999999999</c:v>
                </c:pt>
                <c:pt idx="38">
                  <c:v>1281.3</c:v>
                </c:pt>
                <c:pt idx="39">
                  <c:v>1232.4000000000001</c:v>
                </c:pt>
                <c:pt idx="40">
                  <c:v>1169.5</c:v>
                </c:pt>
                <c:pt idx="41">
                  <c:v>1136.5</c:v>
                </c:pt>
                <c:pt idx="42">
                  <c:v>1103.0999999999999</c:v>
                </c:pt>
                <c:pt idx="43">
                  <c:v>1059.0999999999999</c:v>
                </c:pt>
                <c:pt idx="44">
                  <c:v>1050.7</c:v>
                </c:pt>
                <c:pt idx="45">
                  <c:v>992</c:v>
                </c:pt>
                <c:pt idx="46">
                  <c:v>977.9</c:v>
                </c:pt>
                <c:pt idx="47">
                  <c:v>948.9</c:v>
                </c:pt>
                <c:pt idx="48">
                  <c:v>927.1</c:v>
                </c:pt>
                <c:pt idx="49">
                  <c:v>887.8</c:v>
                </c:pt>
                <c:pt idx="50">
                  <c:v>855.1</c:v>
                </c:pt>
                <c:pt idx="51">
                  <c:v>834.7</c:v>
                </c:pt>
                <c:pt idx="52">
                  <c:v>800.7</c:v>
                </c:pt>
                <c:pt idx="53">
                  <c:v>778.2</c:v>
                </c:pt>
                <c:pt idx="54">
                  <c:v>783.4</c:v>
                </c:pt>
                <c:pt idx="55">
                  <c:v>757.6</c:v>
                </c:pt>
                <c:pt idx="56">
                  <c:v>735.5</c:v>
                </c:pt>
                <c:pt idx="57">
                  <c:v>713.5</c:v>
                </c:pt>
                <c:pt idx="58">
                  <c:v>708.4</c:v>
                </c:pt>
                <c:pt idx="59">
                  <c:v>687.6</c:v>
                </c:pt>
                <c:pt idx="60">
                  <c:v>669.4</c:v>
                </c:pt>
                <c:pt idx="61">
                  <c:v>654.1</c:v>
                </c:pt>
                <c:pt idx="62">
                  <c:v>643.5</c:v>
                </c:pt>
                <c:pt idx="63">
                  <c:v>623.70000000000005</c:v>
                </c:pt>
                <c:pt idx="64">
                  <c:v>613.29999999999995</c:v>
                </c:pt>
                <c:pt idx="65">
                  <c:v>603.29999999999995</c:v>
                </c:pt>
                <c:pt idx="66">
                  <c:v>583.5</c:v>
                </c:pt>
                <c:pt idx="67">
                  <c:v>575</c:v>
                </c:pt>
                <c:pt idx="68">
                  <c:v>566.20000000000005</c:v>
                </c:pt>
                <c:pt idx="69">
                  <c:v>554.29999999999995</c:v>
                </c:pt>
                <c:pt idx="70">
                  <c:v>545.9</c:v>
                </c:pt>
                <c:pt idx="71">
                  <c:v>535.4</c:v>
                </c:pt>
                <c:pt idx="72">
                  <c:v>517.4</c:v>
                </c:pt>
                <c:pt idx="73">
                  <c:v>511.6</c:v>
                </c:pt>
                <c:pt idx="74">
                  <c:v>502.8</c:v>
                </c:pt>
                <c:pt idx="75">
                  <c:v>491.9</c:v>
                </c:pt>
                <c:pt idx="76">
                  <c:v>485.6</c:v>
                </c:pt>
                <c:pt idx="77">
                  <c:v>475.8</c:v>
                </c:pt>
                <c:pt idx="78">
                  <c:v>437.06</c:v>
                </c:pt>
                <c:pt idx="79">
                  <c:v>378.42</c:v>
                </c:pt>
                <c:pt idx="80">
                  <c:v>334.45</c:v>
                </c:pt>
                <c:pt idx="81">
                  <c:v>302.52</c:v>
                </c:pt>
                <c:pt idx="82">
                  <c:v>271.18</c:v>
                </c:pt>
                <c:pt idx="83">
                  <c:v>247.17</c:v>
                </c:pt>
                <c:pt idx="84">
                  <c:v>231.11</c:v>
                </c:pt>
                <c:pt idx="85">
                  <c:v>213.74</c:v>
                </c:pt>
                <c:pt idx="86">
                  <c:v>199.85</c:v>
                </c:pt>
                <c:pt idx="87">
                  <c:v>189.85</c:v>
                </c:pt>
                <c:pt idx="88">
                  <c:v>178.67</c:v>
                </c:pt>
                <c:pt idx="89">
                  <c:v>169.48</c:v>
                </c:pt>
                <c:pt idx="90">
                  <c:v>161.55000000000001</c:v>
                </c:pt>
                <c:pt idx="91">
                  <c:v>155.08000000000001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Data2'!$G$119:$CT$119</c:f>
              <c:numCache>
                <c:formatCode>General</c:formatCode>
                <c:ptCount val="92"/>
                <c:pt idx="0">
                  <c:v>769</c:v>
                </c:pt>
                <c:pt idx="1">
                  <c:v>727</c:v>
                </c:pt>
                <c:pt idx="2">
                  <c:v>722</c:v>
                </c:pt>
                <c:pt idx="3">
                  <c:v>732</c:v>
                </c:pt>
                <c:pt idx="4">
                  <c:v>761</c:v>
                </c:pt>
                <c:pt idx="5">
                  <c:v>713</c:v>
                </c:pt>
                <c:pt idx="6">
                  <c:v>732</c:v>
                </c:pt>
                <c:pt idx="7">
                  <c:v>757</c:v>
                </c:pt>
                <c:pt idx="8">
                  <c:v>737</c:v>
                </c:pt>
                <c:pt idx="9">
                  <c:v>755</c:v>
                </c:pt>
                <c:pt idx="10">
                  <c:v>718</c:v>
                </c:pt>
                <c:pt idx="11">
                  <c:v>751</c:v>
                </c:pt>
                <c:pt idx="12">
                  <c:v>747</c:v>
                </c:pt>
                <c:pt idx="13">
                  <c:v>731</c:v>
                </c:pt>
                <c:pt idx="14">
                  <c:v>727</c:v>
                </c:pt>
                <c:pt idx="15">
                  <c:v>704</c:v>
                </c:pt>
                <c:pt idx="16">
                  <c:v>729</c:v>
                </c:pt>
                <c:pt idx="17">
                  <c:v>701</c:v>
                </c:pt>
                <c:pt idx="18">
                  <c:v>724</c:v>
                </c:pt>
                <c:pt idx="19">
                  <c:v>735</c:v>
                </c:pt>
                <c:pt idx="20">
                  <c:v>714.1</c:v>
                </c:pt>
                <c:pt idx="21">
                  <c:v>679</c:v>
                </c:pt>
                <c:pt idx="22">
                  <c:v>660.3</c:v>
                </c:pt>
                <c:pt idx="23">
                  <c:v>665.4</c:v>
                </c:pt>
                <c:pt idx="24">
                  <c:v>614.20000000000005</c:v>
                </c:pt>
                <c:pt idx="25">
                  <c:v>582.4</c:v>
                </c:pt>
                <c:pt idx="26">
                  <c:v>560.5</c:v>
                </c:pt>
                <c:pt idx="27">
                  <c:v>542.29999999999995</c:v>
                </c:pt>
                <c:pt idx="28">
                  <c:v>535.29999999999995</c:v>
                </c:pt>
                <c:pt idx="29">
                  <c:v>511.2</c:v>
                </c:pt>
                <c:pt idx="30">
                  <c:v>493.8</c:v>
                </c:pt>
                <c:pt idx="31">
                  <c:v>472.2</c:v>
                </c:pt>
                <c:pt idx="32">
                  <c:v>449.4</c:v>
                </c:pt>
                <c:pt idx="33">
                  <c:v>435.5</c:v>
                </c:pt>
                <c:pt idx="34">
                  <c:v>432.4</c:v>
                </c:pt>
                <c:pt idx="35">
                  <c:v>426.1</c:v>
                </c:pt>
                <c:pt idx="36">
                  <c:v>400.2</c:v>
                </c:pt>
                <c:pt idx="37">
                  <c:v>393.4</c:v>
                </c:pt>
                <c:pt idx="38">
                  <c:v>381.8</c:v>
                </c:pt>
                <c:pt idx="39">
                  <c:v>367.4</c:v>
                </c:pt>
                <c:pt idx="40">
                  <c:v>363.6</c:v>
                </c:pt>
                <c:pt idx="41">
                  <c:v>350.1</c:v>
                </c:pt>
                <c:pt idx="42">
                  <c:v>348.5</c:v>
                </c:pt>
                <c:pt idx="43">
                  <c:v>331.6</c:v>
                </c:pt>
                <c:pt idx="44">
                  <c:v>327.9</c:v>
                </c:pt>
                <c:pt idx="45">
                  <c:v>321.3</c:v>
                </c:pt>
                <c:pt idx="46">
                  <c:v>318</c:v>
                </c:pt>
                <c:pt idx="47">
                  <c:v>310.7</c:v>
                </c:pt>
                <c:pt idx="48">
                  <c:v>295.2</c:v>
                </c:pt>
                <c:pt idx="49">
                  <c:v>297</c:v>
                </c:pt>
                <c:pt idx="50">
                  <c:v>297.89999999999998</c:v>
                </c:pt>
                <c:pt idx="51">
                  <c:v>291.2</c:v>
                </c:pt>
                <c:pt idx="52">
                  <c:v>283.5</c:v>
                </c:pt>
                <c:pt idx="53">
                  <c:v>279.10000000000002</c:v>
                </c:pt>
                <c:pt idx="54">
                  <c:v>275</c:v>
                </c:pt>
                <c:pt idx="55">
                  <c:v>263</c:v>
                </c:pt>
                <c:pt idx="56">
                  <c:v>257.39999999999998</c:v>
                </c:pt>
                <c:pt idx="57">
                  <c:v>258.3</c:v>
                </c:pt>
                <c:pt idx="58">
                  <c:v>258.10000000000002</c:v>
                </c:pt>
                <c:pt idx="59">
                  <c:v>248.3</c:v>
                </c:pt>
                <c:pt idx="60">
                  <c:v>243.6</c:v>
                </c:pt>
                <c:pt idx="61">
                  <c:v>239.9</c:v>
                </c:pt>
                <c:pt idx="62">
                  <c:v>239.4</c:v>
                </c:pt>
                <c:pt idx="63">
                  <c:v>232.1</c:v>
                </c:pt>
                <c:pt idx="64">
                  <c:v>230.7</c:v>
                </c:pt>
                <c:pt idx="65">
                  <c:v>233.1</c:v>
                </c:pt>
                <c:pt idx="66">
                  <c:v>226.6</c:v>
                </c:pt>
                <c:pt idx="67">
                  <c:v>224</c:v>
                </c:pt>
                <c:pt idx="68">
                  <c:v>214.1</c:v>
                </c:pt>
                <c:pt idx="69">
                  <c:v>213.7</c:v>
                </c:pt>
                <c:pt idx="70">
                  <c:v>208.8</c:v>
                </c:pt>
                <c:pt idx="71">
                  <c:v>211.1</c:v>
                </c:pt>
                <c:pt idx="72">
                  <c:v>209</c:v>
                </c:pt>
                <c:pt idx="73">
                  <c:v>205.6</c:v>
                </c:pt>
                <c:pt idx="74">
                  <c:v>206.1</c:v>
                </c:pt>
                <c:pt idx="75">
                  <c:v>203.2</c:v>
                </c:pt>
                <c:pt idx="76">
                  <c:v>197.3</c:v>
                </c:pt>
                <c:pt idx="77">
                  <c:v>198.4</c:v>
                </c:pt>
                <c:pt idx="78">
                  <c:v>188.6</c:v>
                </c:pt>
                <c:pt idx="79">
                  <c:v>170.95</c:v>
                </c:pt>
                <c:pt idx="80">
                  <c:v>160.04</c:v>
                </c:pt>
                <c:pt idx="81">
                  <c:v>148.94</c:v>
                </c:pt>
                <c:pt idx="82">
                  <c:v>141.02000000000001</c:v>
                </c:pt>
                <c:pt idx="83">
                  <c:v>134.69999999999999</c:v>
                </c:pt>
                <c:pt idx="84">
                  <c:v>128.75</c:v>
                </c:pt>
                <c:pt idx="85">
                  <c:v>123.07</c:v>
                </c:pt>
                <c:pt idx="86">
                  <c:v>117.53</c:v>
                </c:pt>
                <c:pt idx="87">
                  <c:v>114.52</c:v>
                </c:pt>
                <c:pt idx="88">
                  <c:v>111.33</c:v>
                </c:pt>
                <c:pt idx="89">
                  <c:v>107.25</c:v>
                </c:pt>
                <c:pt idx="90">
                  <c:v>104.35</c:v>
                </c:pt>
                <c:pt idx="91">
                  <c:v>101.97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Data2'!$G$120:$CT$120</c:f>
              <c:numCache>
                <c:formatCode>General</c:formatCode>
                <c:ptCount val="92"/>
                <c:pt idx="0">
                  <c:v>48</c:v>
                </c:pt>
                <c:pt idx="1">
                  <c:v>50</c:v>
                </c:pt>
                <c:pt idx="2">
                  <c:v>44</c:v>
                </c:pt>
                <c:pt idx="3">
                  <c:v>46</c:v>
                </c:pt>
                <c:pt idx="4">
                  <c:v>45</c:v>
                </c:pt>
                <c:pt idx="5">
                  <c:v>48</c:v>
                </c:pt>
                <c:pt idx="6">
                  <c:v>45</c:v>
                </c:pt>
                <c:pt idx="7">
                  <c:v>53</c:v>
                </c:pt>
                <c:pt idx="8">
                  <c:v>37</c:v>
                </c:pt>
                <c:pt idx="9">
                  <c:v>51</c:v>
                </c:pt>
                <c:pt idx="10">
                  <c:v>44</c:v>
                </c:pt>
                <c:pt idx="11">
                  <c:v>44</c:v>
                </c:pt>
                <c:pt idx="12">
                  <c:v>38</c:v>
                </c:pt>
                <c:pt idx="13">
                  <c:v>53</c:v>
                </c:pt>
                <c:pt idx="14">
                  <c:v>47</c:v>
                </c:pt>
                <c:pt idx="15">
                  <c:v>51</c:v>
                </c:pt>
                <c:pt idx="16">
                  <c:v>53</c:v>
                </c:pt>
                <c:pt idx="17">
                  <c:v>52</c:v>
                </c:pt>
                <c:pt idx="18">
                  <c:v>50</c:v>
                </c:pt>
                <c:pt idx="19">
                  <c:v>48</c:v>
                </c:pt>
                <c:pt idx="20">
                  <c:v>49.7</c:v>
                </c:pt>
                <c:pt idx="21">
                  <c:v>52.5</c:v>
                </c:pt>
                <c:pt idx="22">
                  <c:v>49.9</c:v>
                </c:pt>
                <c:pt idx="23">
                  <c:v>47.6</c:v>
                </c:pt>
                <c:pt idx="24">
                  <c:v>49.5</c:v>
                </c:pt>
                <c:pt idx="25">
                  <c:v>49.7</c:v>
                </c:pt>
                <c:pt idx="26">
                  <c:v>48.3</c:v>
                </c:pt>
                <c:pt idx="27">
                  <c:v>48.8</c:v>
                </c:pt>
                <c:pt idx="28">
                  <c:v>48.1</c:v>
                </c:pt>
                <c:pt idx="29">
                  <c:v>50.3</c:v>
                </c:pt>
                <c:pt idx="30">
                  <c:v>46.3</c:v>
                </c:pt>
                <c:pt idx="31">
                  <c:v>48</c:v>
                </c:pt>
                <c:pt idx="32">
                  <c:v>47.5</c:v>
                </c:pt>
                <c:pt idx="33">
                  <c:v>49.7</c:v>
                </c:pt>
                <c:pt idx="34">
                  <c:v>48.6</c:v>
                </c:pt>
                <c:pt idx="35">
                  <c:v>46.7</c:v>
                </c:pt>
                <c:pt idx="36">
                  <c:v>45.6</c:v>
                </c:pt>
                <c:pt idx="37">
                  <c:v>45.1</c:v>
                </c:pt>
                <c:pt idx="38">
                  <c:v>44.4</c:v>
                </c:pt>
                <c:pt idx="39">
                  <c:v>44.8</c:v>
                </c:pt>
                <c:pt idx="40">
                  <c:v>44.8</c:v>
                </c:pt>
                <c:pt idx="41">
                  <c:v>46.3</c:v>
                </c:pt>
                <c:pt idx="42">
                  <c:v>46.6</c:v>
                </c:pt>
                <c:pt idx="43">
                  <c:v>44.4</c:v>
                </c:pt>
                <c:pt idx="44">
                  <c:v>45.6</c:v>
                </c:pt>
                <c:pt idx="45">
                  <c:v>44.2</c:v>
                </c:pt>
                <c:pt idx="46">
                  <c:v>43.2</c:v>
                </c:pt>
                <c:pt idx="47">
                  <c:v>43.9</c:v>
                </c:pt>
                <c:pt idx="48">
                  <c:v>42.4</c:v>
                </c:pt>
                <c:pt idx="49">
                  <c:v>44.1</c:v>
                </c:pt>
                <c:pt idx="50">
                  <c:v>44.9</c:v>
                </c:pt>
                <c:pt idx="51">
                  <c:v>43.6</c:v>
                </c:pt>
                <c:pt idx="52">
                  <c:v>44.1</c:v>
                </c:pt>
                <c:pt idx="53">
                  <c:v>44.1</c:v>
                </c:pt>
                <c:pt idx="54">
                  <c:v>42.5</c:v>
                </c:pt>
                <c:pt idx="55">
                  <c:v>42.3</c:v>
                </c:pt>
                <c:pt idx="56">
                  <c:v>42.4</c:v>
                </c:pt>
                <c:pt idx="57">
                  <c:v>39.6</c:v>
                </c:pt>
                <c:pt idx="58">
                  <c:v>42.9</c:v>
                </c:pt>
                <c:pt idx="59">
                  <c:v>44.3</c:v>
                </c:pt>
                <c:pt idx="60">
                  <c:v>44.6</c:v>
                </c:pt>
                <c:pt idx="61">
                  <c:v>41.3</c:v>
                </c:pt>
                <c:pt idx="62">
                  <c:v>40.4</c:v>
                </c:pt>
                <c:pt idx="63">
                  <c:v>42.3</c:v>
                </c:pt>
                <c:pt idx="64">
                  <c:v>41.5</c:v>
                </c:pt>
                <c:pt idx="65">
                  <c:v>42.9</c:v>
                </c:pt>
                <c:pt idx="66">
                  <c:v>42.5</c:v>
                </c:pt>
                <c:pt idx="67">
                  <c:v>40.200000000000003</c:v>
                </c:pt>
                <c:pt idx="68">
                  <c:v>40.9</c:v>
                </c:pt>
                <c:pt idx="69">
                  <c:v>40.299999999999997</c:v>
                </c:pt>
                <c:pt idx="70">
                  <c:v>42.2</c:v>
                </c:pt>
                <c:pt idx="71">
                  <c:v>40.1</c:v>
                </c:pt>
                <c:pt idx="72">
                  <c:v>43.4</c:v>
                </c:pt>
                <c:pt idx="73">
                  <c:v>41.5</c:v>
                </c:pt>
                <c:pt idx="74">
                  <c:v>38.4</c:v>
                </c:pt>
                <c:pt idx="75">
                  <c:v>40.9</c:v>
                </c:pt>
                <c:pt idx="76">
                  <c:v>37.700000000000003</c:v>
                </c:pt>
                <c:pt idx="77">
                  <c:v>40.5</c:v>
                </c:pt>
                <c:pt idx="78">
                  <c:v>39.340000000000003</c:v>
                </c:pt>
                <c:pt idx="79">
                  <c:v>39.549999999999997</c:v>
                </c:pt>
                <c:pt idx="80">
                  <c:v>39.049999999999997</c:v>
                </c:pt>
                <c:pt idx="81">
                  <c:v>38.22</c:v>
                </c:pt>
                <c:pt idx="82">
                  <c:v>37.33</c:v>
                </c:pt>
                <c:pt idx="83">
                  <c:v>38.229999999999997</c:v>
                </c:pt>
                <c:pt idx="84">
                  <c:v>37.35</c:v>
                </c:pt>
                <c:pt idx="85">
                  <c:v>37.51</c:v>
                </c:pt>
                <c:pt idx="86">
                  <c:v>36.47</c:v>
                </c:pt>
                <c:pt idx="87">
                  <c:v>36.700000000000003</c:v>
                </c:pt>
                <c:pt idx="88">
                  <c:v>37.270000000000003</c:v>
                </c:pt>
                <c:pt idx="89">
                  <c:v>37.04</c:v>
                </c:pt>
                <c:pt idx="90">
                  <c:v>36.659999999999997</c:v>
                </c:pt>
                <c:pt idx="91">
                  <c:v>36.69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Data2'!$G$121:$CT$121</c:f>
              <c:numCache>
                <c:formatCode>General</c:formatCode>
                <c:ptCount val="92"/>
                <c:pt idx="0">
                  <c:v>673</c:v>
                </c:pt>
                <c:pt idx="1">
                  <c:v>639</c:v>
                </c:pt>
                <c:pt idx="2">
                  <c:v>645</c:v>
                </c:pt>
                <c:pt idx="3">
                  <c:v>679</c:v>
                </c:pt>
                <c:pt idx="4">
                  <c:v>660</c:v>
                </c:pt>
                <c:pt idx="5">
                  <c:v>681</c:v>
                </c:pt>
                <c:pt idx="6">
                  <c:v>661</c:v>
                </c:pt>
                <c:pt idx="7">
                  <c:v>648</c:v>
                </c:pt>
                <c:pt idx="8">
                  <c:v>648</c:v>
                </c:pt>
                <c:pt idx="9">
                  <c:v>654</c:v>
                </c:pt>
                <c:pt idx="10">
                  <c:v>642</c:v>
                </c:pt>
                <c:pt idx="11">
                  <c:v>642</c:v>
                </c:pt>
                <c:pt idx="12">
                  <c:v>643</c:v>
                </c:pt>
                <c:pt idx="13">
                  <c:v>626</c:v>
                </c:pt>
                <c:pt idx="14">
                  <c:v>629</c:v>
                </c:pt>
                <c:pt idx="15">
                  <c:v>623</c:v>
                </c:pt>
                <c:pt idx="16">
                  <c:v>642</c:v>
                </c:pt>
                <c:pt idx="17">
                  <c:v>653</c:v>
                </c:pt>
                <c:pt idx="18">
                  <c:v>616</c:v>
                </c:pt>
                <c:pt idx="19">
                  <c:v>615</c:v>
                </c:pt>
                <c:pt idx="20">
                  <c:v>602.6</c:v>
                </c:pt>
                <c:pt idx="21">
                  <c:v>587.1</c:v>
                </c:pt>
                <c:pt idx="22">
                  <c:v>561</c:v>
                </c:pt>
                <c:pt idx="23">
                  <c:v>522.9</c:v>
                </c:pt>
                <c:pt idx="24">
                  <c:v>504.4</c:v>
                </c:pt>
                <c:pt idx="25">
                  <c:v>484.9</c:v>
                </c:pt>
                <c:pt idx="26">
                  <c:v>453</c:v>
                </c:pt>
                <c:pt idx="27">
                  <c:v>445.6</c:v>
                </c:pt>
                <c:pt idx="28">
                  <c:v>423.7</c:v>
                </c:pt>
                <c:pt idx="29">
                  <c:v>413.3</c:v>
                </c:pt>
                <c:pt idx="30">
                  <c:v>394.4</c:v>
                </c:pt>
                <c:pt idx="31">
                  <c:v>382.1</c:v>
                </c:pt>
                <c:pt idx="32">
                  <c:v>357.1</c:v>
                </c:pt>
                <c:pt idx="33">
                  <c:v>350.6</c:v>
                </c:pt>
                <c:pt idx="34">
                  <c:v>331.6</c:v>
                </c:pt>
                <c:pt idx="35">
                  <c:v>324.3</c:v>
                </c:pt>
                <c:pt idx="36">
                  <c:v>317.39999999999998</c:v>
                </c:pt>
                <c:pt idx="37">
                  <c:v>311.5</c:v>
                </c:pt>
                <c:pt idx="38">
                  <c:v>289.3</c:v>
                </c:pt>
                <c:pt idx="39">
                  <c:v>281.89999999999998</c:v>
                </c:pt>
                <c:pt idx="40">
                  <c:v>268.8</c:v>
                </c:pt>
                <c:pt idx="41">
                  <c:v>286.8</c:v>
                </c:pt>
                <c:pt idx="42">
                  <c:v>258.89999999999998</c:v>
                </c:pt>
                <c:pt idx="43">
                  <c:v>248.6</c:v>
                </c:pt>
                <c:pt idx="44">
                  <c:v>242.7</c:v>
                </c:pt>
                <c:pt idx="45">
                  <c:v>236.5</c:v>
                </c:pt>
                <c:pt idx="46">
                  <c:v>228.3</c:v>
                </c:pt>
                <c:pt idx="47">
                  <c:v>223.2</c:v>
                </c:pt>
                <c:pt idx="48">
                  <c:v>217.2</c:v>
                </c:pt>
                <c:pt idx="49">
                  <c:v>210.3</c:v>
                </c:pt>
                <c:pt idx="50">
                  <c:v>208.3</c:v>
                </c:pt>
                <c:pt idx="51">
                  <c:v>204.4</c:v>
                </c:pt>
                <c:pt idx="52">
                  <c:v>198.1</c:v>
                </c:pt>
                <c:pt idx="53">
                  <c:v>197.1</c:v>
                </c:pt>
                <c:pt idx="54">
                  <c:v>196.4</c:v>
                </c:pt>
                <c:pt idx="55">
                  <c:v>189.5</c:v>
                </c:pt>
                <c:pt idx="56">
                  <c:v>178.6</c:v>
                </c:pt>
                <c:pt idx="57">
                  <c:v>178</c:v>
                </c:pt>
                <c:pt idx="58">
                  <c:v>174.4</c:v>
                </c:pt>
                <c:pt idx="59">
                  <c:v>170.5</c:v>
                </c:pt>
                <c:pt idx="60">
                  <c:v>171.9</c:v>
                </c:pt>
                <c:pt idx="61">
                  <c:v>163.19999999999999</c:v>
                </c:pt>
                <c:pt idx="62">
                  <c:v>160.1</c:v>
                </c:pt>
                <c:pt idx="63">
                  <c:v>166.4</c:v>
                </c:pt>
                <c:pt idx="64">
                  <c:v>161.30000000000001</c:v>
                </c:pt>
                <c:pt idx="65">
                  <c:v>153.69999999999999</c:v>
                </c:pt>
                <c:pt idx="66">
                  <c:v>153.19999999999999</c:v>
                </c:pt>
                <c:pt idx="67">
                  <c:v>150.19999999999999</c:v>
                </c:pt>
                <c:pt idx="68">
                  <c:v>147.30000000000001</c:v>
                </c:pt>
                <c:pt idx="69">
                  <c:v>144</c:v>
                </c:pt>
                <c:pt idx="70">
                  <c:v>145.6</c:v>
                </c:pt>
                <c:pt idx="71">
                  <c:v>138.69999999999999</c:v>
                </c:pt>
                <c:pt idx="72">
                  <c:v>138.69999999999999</c:v>
                </c:pt>
                <c:pt idx="73">
                  <c:v>131.30000000000001</c:v>
                </c:pt>
                <c:pt idx="74">
                  <c:v>133.4</c:v>
                </c:pt>
                <c:pt idx="75">
                  <c:v>130.69999999999999</c:v>
                </c:pt>
                <c:pt idx="76">
                  <c:v>129.19999999999999</c:v>
                </c:pt>
                <c:pt idx="77">
                  <c:v>125.6</c:v>
                </c:pt>
                <c:pt idx="78">
                  <c:v>119.39</c:v>
                </c:pt>
                <c:pt idx="79">
                  <c:v>106.4</c:v>
                </c:pt>
                <c:pt idx="80">
                  <c:v>96.61</c:v>
                </c:pt>
                <c:pt idx="81">
                  <c:v>89.68</c:v>
                </c:pt>
                <c:pt idx="82">
                  <c:v>84.13</c:v>
                </c:pt>
                <c:pt idx="83">
                  <c:v>78.06</c:v>
                </c:pt>
                <c:pt idx="84">
                  <c:v>75.069999999999993</c:v>
                </c:pt>
                <c:pt idx="85">
                  <c:v>71.31</c:v>
                </c:pt>
                <c:pt idx="86">
                  <c:v>68.319999999999993</c:v>
                </c:pt>
                <c:pt idx="87">
                  <c:v>66.14</c:v>
                </c:pt>
                <c:pt idx="88">
                  <c:v>63.15</c:v>
                </c:pt>
                <c:pt idx="89">
                  <c:v>61.46</c:v>
                </c:pt>
                <c:pt idx="90">
                  <c:v>59.44</c:v>
                </c:pt>
                <c:pt idx="91">
                  <c:v>58.57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Data2'!$G$122:$CT$122</c:f>
              <c:numCache>
                <c:formatCode>General</c:formatCode>
                <c:ptCount val="92"/>
                <c:pt idx="0">
                  <c:v>1385</c:v>
                </c:pt>
                <c:pt idx="1">
                  <c:v>1372</c:v>
                </c:pt>
                <c:pt idx="2">
                  <c:v>1373</c:v>
                </c:pt>
                <c:pt idx="3">
                  <c:v>1345</c:v>
                </c:pt>
                <c:pt idx="4">
                  <c:v>1363</c:v>
                </c:pt>
                <c:pt idx="5">
                  <c:v>1345</c:v>
                </c:pt>
                <c:pt idx="6">
                  <c:v>1357</c:v>
                </c:pt>
                <c:pt idx="7">
                  <c:v>1355</c:v>
                </c:pt>
                <c:pt idx="8">
                  <c:v>1355</c:v>
                </c:pt>
                <c:pt idx="9">
                  <c:v>1363</c:v>
                </c:pt>
                <c:pt idx="10">
                  <c:v>1424</c:v>
                </c:pt>
                <c:pt idx="11">
                  <c:v>1343</c:v>
                </c:pt>
                <c:pt idx="12">
                  <c:v>1370</c:v>
                </c:pt>
                <c:pt idx="13">
                  <c:v>1369</c:v>
                </c:pt>
                <c:pt idx="14">
                  <c:v>1315</c:v>
                </c:pt>
                <c:pt idx="15">
                  <c:v>1332</c:v>
                </c:pt>
                <c:pt idx="16">
                  <c:v>1315</c:v>
                </c:pt>
                <c:pt idx="17">
                  <c:v>1279</c:v>
                </c:pt>
                <c:pt idx="18">
                  <c:v>1308</c:v>
                </c:pt>
                <c:pt idx="19">
                  <c:v>1283</c:v>
                </c:pt>
                <c:pt idx="20">
                  <c:v>1269.5999999999999</c:v>
                </c:pt>
                <c:pt idx="21">
                  <c:v>1212</c:v>
                </c:pt>
                <c:pt idx="22">
                  <c:v>1141.7</c:v>
                </c:pt>
                <c:pt idx="23">
                  <c:v>1089.7</c:v>
                </c:pt>
                <c:pt idx="24">
                  <c:v>1034.5</c:v>
                </c:pt>
                <c:pt idx="25">
                  <c:v>1002.8</c:v>
                </c:pt>
                <c:pt idx="26">
                  <c:v>939</c:v>
                </c:pt>
                <c:pt idx="27">
                  <c:v>906.7</c:v>
                </c:pt>
                <c:pt idx="28">
                  <c:v>857.3</c:v>
                </c:pt>
                <c:pt idx="29">
                  <c:v>823.6</c:v>
                </c:pt>
                <c:pt idx="30">
                  <c:v>788.3</c:v>
                </c:pt>
                <c:pt idx="31">
                  <c:v>759.2</c:v>
                </c:pt>
                <c:pt idx="32">
                  <c:v>723</c:v>
                </c:pt>
                <c:pt idx="33">
                  <c:v>700.2</c:v>
                </c:pt>
                <c:pt idx="34">
                  <c:v>674.5</c:v>
                </c:pt>
                <c:pt idx="35">
                  <c:v>642</c:v>
                </c:pt>
                <c:pt idx="36">
                  <c:v>618.5</c:v>
                </c:pt>
                <c:pt idx="37">
                  <c:v>593.5</c:v>
                </c:pt>
                <c:pt idx="38">
                  <c:v>585.5</c:v>
                </c:pt>
                <c:pt idx="39">
                  <c:v>562.20000000000005</c:v>
                </c:pt>
                <c:pt idx="40">
                  <c:v>542.1</c:v>
                </c:pt>
                <c:pt idx="41">
                  <c:v>521.9</c:v>
                </c:pt>
                <c:pt idx="42">
                  <c:v>497</c:v>
                </c:pt>
                <c:pt idx="43">
                  <c:v>492.9</c:v>
                </c:pt>
                <c:pt idx="44">
                  <c:v>474.2</c:v>
                </c:pt>
                <c:pt idx="45">
                  <c:v>459.4</c:v>
                </c:pt>
                <c:pt idx="46">
                  <c:v>437.3</c:v>
                </c:pt>
                <c:pt idx="47">
                  <c:v>430.5</c:v>
                </c:pt>
                <c:pt idx="48">
                  <c:v>430.5</c:v>
                </c:pt>
                <c:pt idx="49">
                  <c:v>421</c:v>
                </c:pt>
                <c:pt idx="50">
                  <c:v>399.7</c:v>
                </c:pt>
                <c:pt idx="51">
                  <c:v>384.5</c:v>
                </c:pt>
                <c:pt idx="52">
                  <c:v>377.1</c:v>
                </c:pt>
                <c:pt idx="53">
                  <c:v>359.3</c:v>
                </c:pt>
                <c:pt idx="54">
                  <c:v>361.6</c:v>
                </c:pt>
                <c:pt idx="55">
                  <c:v>339</c:v>
                </c:pt>
                <c:pt idx="56">
                  <c:v>337.9</c:v>
                </c:pt>
                <c:pt idx="57">
                  <c:v>335.2</c:v>
                </c:pt>
                <c:pt idx="58">
                  <c:v>323.7</c:v>
                </c:pt>
                <c:pt idx="59">
                  <c:v>315.2</c:v>
                </c:pt>
                <c:pt idx="60">
                  <c:v>310</c:v>
                </c:pt>
                <c:pt idx="61">
                  <c:v>311.10000000000002</c:v>
                </c:pt>
                <c:pt idx="62">
                  <c:v>293.89999999999998</c:v>
                </c:pt>
                <c:pt idx="63">
                  <c:v>298.60000000000002</c:v>
                </c:pt>
                <c:pt idx="64">
                  <c:v>285.39999999999998</c:v>
                </c:pt>
                <c:pt idx="65">
                  <c:v>279.89999999999998</c:v>
                </c:pt>
                <c:pt idx="66">
                  <c:v>274.60000000000002</c:v>
                </c:pt>
                <c:pt idx="67">
                  <c:v>265.5</c:v>
                </c:pt>
                <c:pt idx="68">
                  <c:v>268.3</c:v>
                </c:pt>
                <c:pt idx="69">
                  <c:v>253.7</c:v>
                </c:pt>
                <c:pt idx="70">
                  <c:v>257.3</c:v>
                </c:pt>
                <c:pt idx="71">
                  <c:v>252</c:v>
                </c:pt>
                <c:pt idx="72">
                  <c:v>245.7</c:v>
                </c:pt>
                <c:pt idx="73">
                  <c:v>239.3</c:v>
                </c:pt>
                <c:pt idx="74">
                  <c:v>238.8</c:v>
                </c:pt>
                <c:pt idx="75">
                  <c:v>238.3</c:v>
                </c:pt>
                <c:pt idx="76">
                  <c:v>228.8</c:v>
                </c:pt>
                <c:pt idx="77">
                  <c:v>228</c:v>
                </c:pt>
                <c:pt idx="78">
                  <c:v>209.86</c:v>
                </c:pt>
                <c:pt idx="79">
                  <c:v>180.66</c:v>
                </c:pt>
                <c:pt idx="80">
                  <c:v>165.72</c:v>
                </c:pt>
                <c:pt idx="81">
                  <c:v>147.11000000000001</c:v>
                </c:pt>
                <c:pt idx="82">
                  <c:v>135.43</c:v>
                </c:pt>
                <c:pt idx="83">
                  <c:v>124.5</c:v>
                </c:pt>
                <c:pt idx="84">
                  <c:v>116.8</c:v>
                </c:pt>
                <c:pt idx="85">
                  <c:v>109.49</c:v>
                </c:pt>
                <c:pt idx="86">
                  <c:v>103.38</c:v>
                </c:pt>
                <c:pt idx="87">
                  <c:v>99.47</c:v>
                </c:pt>
                <c:pt idx="88">
                  <c:v>93.91</c:v>
                </c:pt>
                <c:pt idx="89">
                  <c:v>89.97</c:v>
                </c:pt>
                <c:pt idx="90">
                  <c:v>86.34</c:v>
                </c:pt>
                <c:pt idx="91">
                  <c:v>83.01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Data2'!$G$123:$CT$123</c:f>
              <c:numCache>
                <c:formatCode>General</c:formatCode>
                <c:ptCount val="92"/>
                <c:pt idx="0">
                  <c:v>697</c:v>
                </c:pt>
                <c:pt idx="1">
                  <c:v>718</c:v>
                </c:pt>
                <c:pt idx="2">
                  <c:v>678</c:v>
                </c:pt>
                <c:pt idx="3">
                  <c:v>714</c:v>
                </c:pt>
                <c:pt idx="4">
                  <c:v>682</c:v>
                </c:pt>
                <c:pt idx="5">
                  <c:v>666</c:v>
                </c:pt>
                <c:pt idx="6">
                  <c:v>682</c:v>
                </c:pt>
                <c:pt idx="7">
                  <c:v>669</c:v>
                </c:pt>
                <c:pt idx="8">
                  <c:v>687</c:v>
                </c:pt>
                <c:pt idx="9">
                  <c:v>693</c:v>
                </c:pt>
                <c:pt idx="10">
                  <c:v>661</c:v>
                </c:pt>
                <c:pt idx="11">
                  <c:v>646</c:v>
                </c:pt>
                <c:pt idx="12">
                  <c:v>643</c:v>
                </c:pt>
                <c:pt idx="13">
                  <c:v>648</c:v>
                </c:pt>
                <c:pt idx="14">
                  <c:v>630</c:v>
                </c:pt>
                <c:pt idx="15">
                  <c:v>657</c:v>
                </c:pt>
                <c:pt idx="16">
                  <c:v>646</c:v>
                </c:pt>
                <c:pt idx="17">
                  <c:v>659</c:v>
                </c:pt>
                <c:pt idx="18">
                  <c:v>653</c:v>
                </c:pt>
                <c:pt idx="19">
                  <c:v>668</c:v>
                </c:pt>
                <c:pt idx="20">
                  <c:v>638.20000000000005</c:v>
                </c:pt>
                <c:pt idx="21">
                  <c:v>620.29999999999995</c:v>
                </c:pt>
                <c:pt idx="22">
                  <c:v>592.5</c:v>
                </c:pt>
                <c:pt idx="23">
                  <c:v>557.29999999999995</c:v>
                </c:pt>
                <c:pt idx="24">
                  <c:v>543.6</c:v>
                </c:pt>
                <c:pt idx="25">
                  <c:v>517.29999999999995</c:v>
                </c:pt>
                <c:pt idx="26">
                  <c:v>492.1</c:v>
                </c:pt>
                <c:pt idx="27">
                  <c:v>480.8</c:v>
                </c:pt>
                <c:pt idx="28">
                  <c:v>457.1</c:v>
                </c:pt>
                <c:pt idx="29">
                  <c:v>439.7</c:v>
                </c:pt>
                <c:pt idx="30">
                  <c:v>425.6</c:v>
                </c:pt>
                <c:pt idx="31">
                  <c:v>403.9</c:v>
                </c:pt>
                <c:pt idx="32">
                  <c:v>396.6</c:v>
                </c:pt>
                <c:pt idx="33">
                  <c:v>377.4</c:v>
                </c:pt>
                <c:pt idx="34">
                  <c:v>361.4</c:v>
                </c:pt>
                <c:pt idx="35">
                  <c:v>347.8</c:v>
                </c:pt>
                <c:pt idx="36">
                  <c:v>339.1</c:v>
                </c:pt>
                <c:pt idx="37">
                  <c:v>326.60000000000002</c:v>
                </c:pt>
                <c:pt idx="38">
                  <c:v>321.5</c:v>
                </c:pt>
                <c:pt idx="39">
                  <c:v>309.8</c:v>
                </c:pt>
                <c:pt idx="40">
                  <c:v>307.3</c:v>
                </c:pt>
                <c:pt idx="41">
                  <c:v>290.89999999999998</c:v>
                </c:pt>
                <c:pt idx="42">
                  <c:v>284.89999999999998</c:v>
                </c:pt>
                <c:pt idx="43">
                  <c:v>281.2</c:v>
                </c:pt>
                <c:pt idx="44">
                  <c:v>276.3</c:v>
                </c:pt>
                <c:pt idx="45">
                  <c:v>255.5</c:v>
                </c:pt>
                <c:pt idx="46">
                  <c:v>259.10000000000002</c:v>
                </c:pt>
                <c:pt idx="47">
                  <c:v>252.6</c:v>
                </c:pt>
                <c:pt idx="48">
                  <c:v>242.5</c:v>
                </c:pt>
                <c:pt idx="49">
                  <c:v>235.1</c:v>
                </c:pt>
                <c:pt idx="50">
                  <c:v>229.4</c:v>
                </c:pt>
                <c:pt idx="51">
                  <c:v>232.4</c:v>
                </c:pt>
                <c:pt idx="52">
                  <c:v>222.5</c:v>
                </c:pt>
                <c:pt idx="53">
                  <c:v>222.3</c:v>
                </c:pt>
                <c:pt idx="54">
                  <c:v>224.5</c:v>
                </c:pt>
                <c:pt idx="55">
                  <c:v>212.7</c:v>
                </c:pt>
                <c:pt idx="56">
                  <c:v>213.1</c:v>
                </c:pt>
                <c:pt idx="57">
                  <c:v>210.4</c:v>
                </c:pt>
                <c:pt idx="58">
                  <c:v>201.2</c:v>
                </c:pt>
                <c:pt idx="59">
                  <c:v>195.7</c:v>
                </c:pt>
                <c:pt idx="60">
                  <c:v>197.1</c:v>
                </c:pt>
                <c:pt idx="61">
                  <c:v>192</c:v>
                </c:pt>
                <c:pt idx="62">
                  <c:v>179.2</c:v>
                </c:pt>
                <c:pt idx="63">
                  <c:v>184.2</c:v>
                </c:pt>
                <c:pt idx="64">
                  <c:v>182.2</c:v>
                </c:pt>
                <c:pt idx="65">
                  <c:v>180.3</c:v>
                </c:pt>
                <c:pt idx="66">
                  <c:v>176.3</c:v>
                </c:pt>
                <c:pt idx="67">
                  <c:v>176.3</c:v>
                </c:pt>
                <c:pt idx="68">
                  <c:v>193.4</c:v>
                </c:pt>
                <c:pt idx="69">
                  <c:v>167.7</c:v>
                </c:pt>
                <c:pt idx="70">
                  <c:v>165.6</c:v>
                </c:pt>
                <c:pt idx="71">
                  <c:v>161.80000000000001</c:v>
                </c:pt>
                <c:pt idx="72">
                  <c:v>155.9</c:v>
                </c:pt>
                <c:pt idx="73">
                  <c:v>159.80000000000001</c:v>
                </c:pt>
                <c:pt idx="74">
                  <c:v>155.9</c:v>
                </c:pt>
                <c:pt idx="75">
                  <c:v>154.1</c:v>
                </c:pt>
                <c:pt idx="76">
                  <c:v>158.19999999999999</c:v>
                </c:pt>
                <c:pt idx="77">
                  <c:v>150</c:v>
                </c:pt>
                <c:pt idx="78">
                  <c:v>144.25</c:v>
                </c:pt>
                <c:pt idx="79">
                  <c:v>129.02000000000001</c:v>
                </c:pt>
                <c:pt idx="80">
                  <c:v>117.62</c:v>
                </c:pt>
                <c:pt idx="81">
                  <c:v>109.48</c:v>
                </c:pt>
                <c:pt idx="82">
                  <c:v>103.75</c:v>
                </c:pt>
                <c:pt idx="83">
                  <c:v>97.57</c:v>
                </c:pt>
                <c:pt idx="84">
                  <c:v>93.08</c:v>
                </c:pt>
                <c:pt idx="85">
                  <c:v>88.01</c:v>
                </c:pt>
                <c:pt idx="86">
                  <c:v>84.51</c:v>
                </c:pt>
                <c:pt idx="87">
                  <c:v>81.599999999999994</c:v>
                </c:pt>
                <c:pt idx="88">
                  <c:v>78.27</c:v>
                </c:pt>
                <c:pt idx="89">
                  <c:v>77.08</c:v>
                </c:pt>
                <c:pt idx="90">
                  <c:v>73.59</c:v>
                </c:pt>
                <c:pt idx="91">
                  <c:v>72.23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1984"/>
        <c:axId val="46997888"/>
      </c:scatterChart>
      <c:valAx>
        <c:axId val="4692198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997888"/>
        <c:crosses val="autoZero"/>
        <c:crossBetween val="midCat"/>
      </c:valAx>
      <c:valAx>
        <c:axId val="46997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69219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Data'!$A$313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Data2'!$G$124:$CT$124</c:f>
              <c:numCache>
                <c:formatCode>General</c:formatCode>
                <c:ptCount val="92"/>
                <c:pt idx="0">
                  <c:v>103</c:v>
                </c:pt>
                <c:pt idx="1">
                  <c:v>104</c:v>
                </c:pt>
                <c:pt idx="2">
                  <c:v>115</c:v>
                </c:pt>
                <c:pt idx="3">
                  <c:v>104</c:v>
                </c:pt>
                <c:pt idx="4">
                  <c:v>132</c:v>
                </c:pt>
                <c:pt idx="5">
                  <c:v>113</c:v>
                </c:pt>
                <c:pt idx="6">
                  <c:v>119</c:v>
                </c:pt>
                <c:pt idx="7">
                  <c:v>114</c:v>
                </c:pt>
                <c:pt idx="8">
                  <c:v>134</c:v>
                </c:pt>
                <c:pt idx="9">
                  <c:v>106</c:v>
                </c:pt>
                <c:pt idx="10">
                  <c:v>114</c:v>
                </c:pt>
                <c:pt idx="11">
                  <c:v>107</c:v>
                </c:pt>
                <c:pt idx="12">
                  <c:v>121</c:v>
                </c:pt>
                <c:pt idx="13">
                  <c:v>137</c:v>
                </c:pt>
                <c:pt idx="14">
                  <c:v>115</c:v>
                </c:pt>
                <c:pt idx="15">
                  <c:v>119</c:v>
                </c:pt>
                <c:pt idx="16">
                  <c:v>112</c:v>
                </c:pt>
                <c:pt idx="17">
                  <c:v>115</c:v>
                </c:pt>
                <c:pt idx="18">
                  <c:v>126</c:v>
                </c:pt>
                <c:pt idx="19">
                  <c:v>130</c:v>
                </c:pt>
                <c:pt idx="20">
                  <c:v>125.9</c:v>
                </c:pt>
                <c:pt idx="21">
                  <c:v>125.7</c:v>
                </c:pt>
                <c:pt idx="22">
                  <c:v>129.80000000000001</c:v>
                </c:pt>
                <c:pt idx="23">
                  <c:v>124.3</c:v>
                </c:pt>
                <c:pt idx="24">
                  <c:v>124</c:v>
                </c:pt>
                <c:pt idx="25">
                  <c:v>123</c:v>
                </c:pt>
                <c:pt idx="26">
                  <c:v>123.9</c:v>
                </c:pt>
                <c:pt idx="27">
                  <c:v>122.7</c:v>
                </c:pt>
                <c:pt idx="28">
                  <c:v>122.1</c:v>
                </c:pt>
                <c:pt idx="29">
                  <c:v>118.6</c:v>
                </c:pt>
                <c:pt idx="30">
                  <c:v>118.7</c:v>
                </c:pt>
                <c:pt idx="31">
                  <c:v>114.7</c:v>
                </c:pt>
                <c:pt idx="32">
                  <c:v>116.9</c:v>
                </c:pt>
                <c:pt idx="33">
                  <c:v>115.6</c:v>
                </c:pt>
                <c:pt idx="34">
                  <c:v>116.4</c:v>
                </c:pt>
                <c:pt idx="35">
                  <c:v>113.3</c:v>
                </c:pt>
                <c:pt idx="36">
                  <c:v>111.4</c:v>
                </c:pt>
                <c:pt idx="37">
                  <c:v>112.4</c:v>
                </c:pt>
                <c:pt idx="38">
                  <c:v>112.7</c:v>
                </c:pt>
                <c:pt idx="39">
                  <c:v>107.8</c:v>
                </c:pt>
                <c:pt idx="40">
                  <c:v>107.2</c:v>
                </c:pt>
                <c:pt idx="41">
                  <c:v>113.8</c:v>
                </c:pt>
                <c:pt idx="42">
                  <c:v>106.6</c:v>
                </c:pt>
                <c:pt idx="43">
                  <c:v>107.5</c:v>
                </c:pt>
                <c:pt idx="44">
                  <c:v>109.7</c:v>
                </c:pt>
                <c:pt idx="45">
                  <c:v>105</c:v>
                </c:pt>
                <c:pt idx="46">
                  <c:v>106.6</c:v>
                </c:pt>
                <c:pt idx="47">
                  <c:v>106.1</c:v>
                </c:pt>
                <c:pt idx="48">
                  <c:v>102.8</c:v>
                </c:pt>
                <c:pt idx="49">
                  <c:v>105.9</c:v>
                </c:pt>
                <c:pt idx="50">
                  <c:v>99.7</c:v>
                </c:pt>
                <c:pt idx="51">
                  <c:v>126.8</c:v>
                </c:pt>
                <c:pt idx="52">
                  <c:v>104.6</c:v>
                </c:pt>
                <c:pt idx="53">
                  <c:v>102.2</c:v>
                </c:pt>
                <c:pt idx="54">
                  <c:v>94.5</c:v>
                </c:pt>
                <c:pt idx="55">
                  <c:v>110.5</c:v>
                </c:pt>
                <c:pt idx="56">
                  <c:v>99.4</c:v>
                </c:pt>
                <c:pt idx="57">
                  <c:v>97.7</c:v>
                </c:pt>
                <c:pt idx="58">
                  <c:v>98.2</c:v>
                </c:pt>
                <c:pt idx="59">
                  <c:v>100.1</c:v>
                </c:pt>
                <c:pt idx="60">
                  <c:v>95.5</c:v>
                </c:pt>
                <c:pt idx="61">
                  <c:v>93.1</c:v>
                </c:pt>
                <c:pt idx="62">
                  <c:v>100.2</c:v>
                </c:pt>
                <c:pt idx="63">
                  <c:v>96.4</c:v>
                </c:pt>
                <c:pt idx="64">
                  <c:v>92.2</c:v>
                </c:pt>
                <c:pt idx="65">
                  <c:v>98</c:v>
                </c:pt>
                <c:pt idx="66">
                  <c:v>97.9</c:v>
                </c:pt>
                <c:pt idx="67">
                  <c:v>100.2</c:v>
                </c:pt>
                <c:pt idx="68">
                  <c:v>94.4</c:v>
                </c:pt>
                <c:pt idx="69">
                  <c:v>98</c:v>
                </c:pt>
                <c:pt idx="70">
                  <c:v>97.6</c:v>
                </c:pt>
                <c:pt idx="71">
                  <c:v>96.9</c:v>
                </c:pt>
                <c:pt idx="72">
                  <c:v>92.7</c:v>
                </c:pt>
                <c:pt idx="73">
                  <c:v>96.7</c:v>
                </c:pt>
                <c:pt idx="74">
                  <c:v>96.7</c:v>
                </c:pt>
                <c:pt idx="75">
                  <c:v>94.9</c:v>
                </c:pt>
                <c:pt idx="76">
                  <c:v>91.9</c:v>
                </c:pt>
                <c:pt idx="77">
                  <c:v>93.2</c:v>
                </c:pt>
                <c:pt idx="78">
                  <c:v>91.86</c:v>
                </c:pt>
                <c:pt idx="79">
                  <c:v>89.8</c:v>
                </c:pt>
                <c:pt idx="80">
                  <c:v>86.53</c:v>
                </c:pt>
                <c:pt idx="81">
                  <c:v>86.33</c:v>
                </c:pt>
                <c:pt idx="82">
                  <c:v>85.18</c:v>
                </c:pt>
                <c:pt idx="83">
                  <c:v>84.34</c:v>
                </c:pt>
                <c:pt idx="84">
                  <c:v>82.5</c:v>
                </c:pt>
                <c:pt idx="85">
                  <c:v>81.59</c:v>
                </c:pt>
                <c:pt idx="86">
                  <c:v>81.36</c:v>
                </c:pt>
                <c:pt idx="87">
                  <c:v>80.48</c:v>
                </c:pt>
                <c:pt idx="88">
                  <c:v>79.77</c:v>
                </c:pt>
                <c:pt idx="89">
                  <c:v>78.02</c:v>
                </c:pt>
                <c:pt idx="90">
                  <c:v>78.44</c:v>
                </c:pt>
                <c:pt idx="91">
                  <c:v>75.569999999999993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Data2'!$G$125:$CT$125</c:f>
              <c:numCache>
                <c:formatCode>General</c:formatCode>
                <c:ptCount val="92"/>
                <c:pt idx="0">
                  <c:v>76</c:v>
                </c:pt>
                <c:pt idx="1">
                  <c:v>71</c:v>
                </c:pt>
                <c:pt idx="2">
                  <c:v>62</c:v>
                </c:pt>
                <c:pt idx="3">
                  <c:v>80</c:v>
                </c:pt>
                <c:pt idx="4">
                  <c:v>74</c:v>
                </c:pt>
                <c:pt idx="5">
                  <c:v>83</c:v>
                </c:pt>
                <c:pt idx="6">
                  <c:v>82</c:v>
                </c:pt>
                <c:pt idx="7">
                  <c:v>70</c:v>
                </c:pt>
                <c:pt idx="8">
                  <c:v>72</c:v>
                </c:pt>
                <c:pt idx="9">
                  <c:v>74</c:v>
                </c:pt>
                <c:pt idx="10">
                  <c:v>69</c:v>
                </c:pt>
                <c:pt idx="11">
                  <c:v>72</c:v>
                </c:pt>
                <c:pt idx="12">
                  <c:v>66</c:v>
                </c:pt>
                <c:pt idx="13">
                  <c:v>73</c:v>
                </c:pt>
                <c:pt idx="14">
                  <c:v>85</c:v>
                </c:pt>
                <c:pt idx="15">
                  <c:v>74</c:v>
                </c:pt>
                <c:pt idx="16">
                  <c:v>76</c:v>
                </c:pt>
                <c:pt idx="17">
                  <c:v>91</c:v>
                </c:pt>
                <c:pt idx="18">
                  <c:v>87</c:v>
                </c:pt>
                <c:pt idx="19">
                  <c:v>81</c:v>
                </c:pt>
                <c:pt idx="20">
                  <c:v>79.900000000000006</c:v>
                </c:pt>
                <c:pt idx="21">
                  <c:v>83.3</c:v>
                </c:pt>
                <c:pt idx="22">
                  <c:v>85.7</c:v>
                </c:pt>
                <c:pt idx="23">
                  <c:v>79.8</c:v>
                </c:pt>
                <c:pt idx="24">
                  <c:v>81</c:v>
                </c:pt>
                <c:pt idx="25">
                  <c:v>82.5</c:v>
                </c:pt>
                <c:pt idx="26">
                  <c:v>85.5</c:v>
                </c:pt>
                <c:pt idx="27">
                  <c:v>82.3</c:v>
                </c:pt>
                <c:pt idx="28">
                  <c:v>82.3</c:v>
                </c:pt>
                <c:pt idx="29">
                  <c:v>82.9</c:v>
                </c:pt>
                <c:pt idx="30">
                  <c:v>77.599999999999994</c:v>
                </c:pt>
                <c:pt idx="31">
                  <c:v>82.4</c:v>
                </c:pt>
                <c:pt idx="32">
                  <c:v>76.7</c:v>
                </c:pt>
                <c:pt idx="33">
                  <c:v>77.599999999999994</c:v>
                </c:pt>
                <c:pt idx="34">
                  <c:v>74</c:v>
                </c:pt>
                <c:pt idx="35">
                  <c:v>80.3</c:v>
                </c:pt>
                <c:pt idx="36">
                  <c:v>71.400000000000006</c:v>
                </c:pt>
                <c:pt idx="37">
                  <c:v>79.3</c:v>
                </c:pt>
                <c:pt idx="38">
                  <c:v>75.8</c:v>
                </c:pt>
                <c:pt idx="39">
                  <c:v>74</c:v>
                </c:pt>
                <c:pt idx="40">
                  <c:v>76.400000000000006</c:v>
                </c:pt>
                <c:pt idx="41">
                  <c:v>73.099999999999994</c:v>
                </c:pt>
                <c:pt idx="42">
                  <c:v>72.400000000000006</c:v>
                </c:pt>
                <c:pt idx="43">
                  <c:v>74</c:v>
                </c:pt>
                <c:pt idx="44">
                  <c:v>73.2</c:v>
                </c:pt>
                <c:pt idx="45">
                  <c:v>72.5</c:v>
                </c:pt>
                <c:pt idx="46">
                  <c:v>70.900000000000006</c:v>
                </c:pt>
                <c:pt idx="47">
                  <c:v>71</c:v>
                </c:pt>
                <c:pt idx="48">
                  <c:v>73.3</c:v>
                </c:pt>
                <c:pt idx="49">
                  <c:v>72.5</c:v>
                </c:pt>
                <c:pt idx="50">
                  <c:v>69.7</c:v>
                </c:pt>
                <c:pt idx="51">
                  <c:v>73.8</c:v>
                </c:pt>
                <c:pt idx="52">
                  <c:v>71.400000000000006</c:v>
                </c:pt>
                <c:pt idx="53">
                  <c:v>71.2</c:v>
                </c:pt>
                <c:pt idx="54">
                  <c:v>69.2</c:v>
                </c:pt>
                <c:pt idx="55">
                  <c:v>69.5</c:v>
                </c:pt>
                <c:pt idx="56">
                  <c:v>67.5</c:v>
                </c:pt>
                <c:pt idx="57">
                  <c:v>71</c:v>
                </c:pt>
                <c:pt idx="58">
                  <c:v>72.7</c:v>
                </c:pt>
                <c:pt idx="59">
                  <c:v>69.599999999999994</c:v>
                </c:pt>
                <c:pt idx="60">
                  <c:v>71.3</c:v>
                </c:pt>
                <c:pt idx="61">
                  <c:v>65.599999999999994</c:v>
                </c:pt>
                <c:pt idx="62">
                  <c:v>68.5</c:v>
                </c:pt>
                <c:pt idx="63">
                  <c:v>69.900000000000006</c:v>
                </c:pt>
                <c:pt idx="64">
                  <c:v>68.2</c:v>
                </c:pt>
                <c:pt idx="65">
                  <c:v>67.099999999999994</c:v>
                </c:pt>
                <c:pt idx="66">
                  <c:v>68.8</c:v>
                </c:pt>
                <c:pt idx="67">
                  <c:v>63.6</c:v>
                </c:pt>
                <c:pt idx="68">
                  <c:v>67.3</c:v>
                </c:pt>
                <c:pt idx="69">
                  <c:v>68.7</c:v>
                </c:pt>
                <c:pt idx="70">
                  <c:v>66.599999999999994</c:v>
                </c:pt>
                <c:pt idx="71">
                  <c:v>63.8</c:v>
                </c:pt>
                <c:pt idx="72">
                  <c:v>66.7</c:v>
                </c:pt>
                <c:pt idx="73">
                  <c:v>63.8</c:v>
                </c:pt>
                <c:pt idx="74">
                  <c:v>68.599999999999994</c:v>
                </c:pt>
                <c:pt idx="75">
                  <c:v>66.099999999999994</c:v>
                </c:pt>
                <c:pt idx="76">
                  <c:v>64.900000000000006</c:v>
                </c:pt>
                <c:pt idx="77">
                  <c:v>68.8</c:v>
                </c:pt>
                <c:pt idx="78">
                  <c:v>65.239999999999995</c:v>
                </c:pt>
                <c:pt idx="79">
                  <c:v>62.79</c:v>
                </c:pt>
                <c:pt idx="80">
                  <c:v>62.73</c:v>
                </c:pt>
                <c:pt idx="81">
                  <c:v>62.13</c:v>
                </c:pt>
                <c:pt idx="82">
                  <c:v>61.43</c:v>
                </c:pt>
                <c:pt idx="83">
                  <c:v>61.55</c:v>
                </c:pt>
                <c:pt idx="84">
                  <c:v>61.38</c:v>
                </c:pt>
                <c:pt idx="85">
                  <c:v>60.54</c:v>
                </c:pt>
                <c:pt idx="86">
                  <c:v>59.19</c:v>
                </c:pt>
                <c:pt idx="87">
                  <c:v>61.34</c:v>
                </c:pt>
                <c:pt idx="88">
                  <c:v>59.6</c:v>
                </c:pt>
                <c:pt idx="89">
                  <c:v>59.19</c:v>
                </c:pt>
                <c:pt idx="90">
                  <c:v>58.51</c:v>
                </c:pt>
                <c:pt idx="91">
                  <c:v>59.71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Data2'!$G$126:$CT$126</c:f>
              <c:numCache>
                <c:formatCode>General</c:formatCode>
                <c:ptCount val="92"/>
                <c:pt idx="0">
                  <c:v>70</c:v>
                </c:pt>
                <c:pt idx="1">
                  <c:v>64</c:v>
                </c:pt>
                <c:pt idx="2">
                  <c:v>71</c:v>
                </c:pt>
                <c:pt idx="3">
                  <c:v>70</c:v>
                </c:pt>
                <c:pt idx="4">
                  <c:v>76</c:v>
                </c:pt>
                <c:pt idx="5">
                  <c:v>73</c:v>
                </c:pt>
                <c:pt idx="6">
                  <c:v>67</c:v>
                </c:pt>
                <c:pt idx="7">
                  <c:v>81</c:v>
                </c:pt>
                <c:pt idx="8">
                  <c:v>78</c:v>
                </c:pt>
                <c:pt idx="9">
                  <c:v>78</c:v>
                </c:pt>
                <c:pt idx="10">
                  <c:v>81</c:v>
                </c:pt>
                <c:pt idx="11">
                  <c:v>82</c:v>
                </c:pt>
                <c:pt idx="12">
                  <c:v>78</c:v>
                </c:pt>
                <c:pt idx="13">
                  <c:v>85</c:v>
                </c:pt>
                <c:pt idx="14">
                  <c:v>79</c:v>
                </c:pt>
                <c:pt idx="15">
                  <c:v>67</c:v>
                </c:pt>
                <c:pt idx="16">
                  <c:v>77</c:v>
                </c:pt>
                <c:pt idx="17">
                  <c:v>79</c:v>
                </c:pt>
                <c:pt idx="18">
                  <c:v>76</c:v>
                </c:pt>
                <c:pt idx="19">
                  <c:v>81</c:v>
                </c:pt>
                <c:pt idx="20">
                  <c:v>82.8</c:v>
                </c:pt>
                <c:pt idx="21">
                  <c:v>81.099999999999994</c:v>
                </c:pt>
                <c:pt idx="22">
                  <c:v>82.7</c:v>
                </c:pt>
                <c:pt idx="23">
                  <c:v>85.5</c:v>
                </c:pt>
                <c:pt idx="24">
                  <c:v>80.599999999999994</c:v>
                </c:pt>
                <c:pt idx="25">
                  <c:v>81.599999999999994</c:v>
                </c:pt>
                <c:pt idx="26">
                  <c:v>85.6</c:v>
                </c:pt>
                <c:pt idx="27">
                  <c:v>81.7</c:v>
                </c:pt>
                <c:pt idx="28">
                  <c:v>81.5</c:v>
                </c:pt>
                <c:pt idx="29">
                  <c:v>81.599999999999994</c:v>
                </c:pt>
                <c:pt idx="30">
                  <c:v>74.7</c:v>
                </c:pt>
                <c:pt idx="31">
                  <c:v>75.7</c:v>
                </c:pt>
                <c:pt idx="32">
                  <c:v>73.400000000000006</c:v>
                </c:pt>
                <c:pt idx="33">
                  <c:v>72.2</c:v>
                </c:pt>
                <c:pt idx="34">
                  <c:v>75.599999999999994</c:v>
                </c:pt>
                <c:pt idx="35">
                  <c:v>70.599999999999994</c:v>
                </c:pt>
                <c:pt idx="36">
                  <c:v>72</c:v>
                </c:pt>
                <c:pt idx="37">
                  <c:v>72.400000000000006</c:v>
                </c:pt>
                <c:pt idx="38">
                  <c:v>70.5</c:v>
                </c:pt>
                <c:pt idx="39">
                  <c:v>72.3</c:v>
                </c:pt>
                <c:pt idx="40">
                  <c:v>69</c:v>
                </c:pt>
                <c:pt idx="41">
                  <c:v>73</c:v>
                </c:pt>
                <c:pt idx="42">
                  <c:v>71.400000000000006</c:v>
                </c:pt>
                <c:pt idx="43">
                  <c:v>69.8</c:v>
                </c:pt>
                <c:pt idx="44">
                  <c:v>68.2</c:v>
                </c:pt>
                <c:pt idx="45">
                  <c:v>68.3</c:v>
                </c:pt>
                <c:pt idx="46">
                  <c:v>63.6</c:v>
                </c:pt>
                <c:pt idx="47">
                  <c:v>67.7</c:v>
                </c:pt>
                <c:pt idx="48">
                  <c:v>67.099999999999994</c:v>
                </c:pt>
                <c:pt idx="49">
                  <c:v>65.2</c:v>
                </c:pt>
                <c:pt idx="50">
                  <c:v>67.400000000000006</c:v>
                </c:pt>
                <c:pt idx="51">
                  <c:v>65.400000000000006</c:v>
                </c:pt>
                <c:pt idx="52">
                  <c:v>67.7</c:v>
                </c:pt>
                <c:pt idx="53">
                  <c:v>66.7</c:v>
                </c:pt>
                <c:pt idx="54">
                  <c:v>65.5</c:v>
                </c:pt>
                <c:pt idx="55">
                  <c:v>64</c:v>
                </c:pt>
                <c:pt idx="56">
                  <c:v>63</c:v>
                </c:pt>
                <c:pt idx="57">
                  <c:v>64.5</c:v>
                </c:pt>
                <c:pt idx="58">
                  <c:v>62</c:v>
                </c:pt>
                <c:pt idx="59">
                  <c:v>63.5</c:v>
                </c:pt>
                <c:pt idx="60">
                  <c:v>61.9</c:v>
                </c:pt>
                <c:pt idx="61">
                  <c:v>63.5</c:v>
                </c:pt>
                <c:pt idx="62">
                  <c:v>64.8</c:v>
                </c:pt>
                <c:pt idx="63">
                  <c:v>63.7</c:v>
                </c:pt>
                <c:pt idx="64">
                  <c:v>65.2</c:v>
                </c:pt>
                <c:pt idx="65">
                  <c:v>61.6</c:v>
                </c:pt>
                <c:pt idx="66">
                  <c:v>62.9</c:v>
                </c:pt>
                <c:pt idx="67">
                  <c:v>64.7</c:v>
                </c:pt>
                <c:pt idx="68">
                  <c:v>58.3</c:v>
                </c:pt>
                <c:pt idx="69">
                  <c:v>61.3</c:v>
                </c:pt>
                <c:pt idx="70">
                  <c:v>64.2</c:v>
                </c:pt>
                <c:pt idx="71">
                  <c:v>59.3</c:v>
                </c:pt>
                <c:pt idx="72">
                  <c:v>58.7</c:v>
                </c:pt>
                <c:pt idx="73">
                  <c:v>60.1</c:v>
                </c:pt>
                <c:pt idx="74">
                  <c:v>57.1</c:v>
                </c:pt>
                <c:pt idx="75">
                  <c:v>57.6</c:v>
                </c:pt>
                <c:pt idx="76">
                  <c:v>57.2</c:v>
                </c:pt>
                <c:pt idx="77">
                  <c:v>58.8</c:v>
                </c:pt>
                <c:pt idx="78">
                  <c:v>57.68</c:v>
                </c:pt>
                <c:pt idx="79">
                  <c:v>56.1</c:v>
                </c:pt>
                <c:pt idx="80">
                  <c:v>55.05</c:v>
                </c:pt>
                <c:pt idx="81">
                  <c:v>54.73</c:v>
                </c:pt>
                <c:pt idx="82">
                  <c:v>53.06</c:v>
                </c:pt>
                <c:pt idx="83">
                  <c:v>52.36</c:v>
                </c:pt>
                <c:pt idx="84">
                  <c:v>51.68</c:v>
                </c:pt>
                <c:pt idx="85">
                  <c:v>51.12</c:v>
                </c:pt>
                <c:pt idx="86">
                  <c:v>50.46</c:v>
                </c:pt>
                <c:pt idx="87">
                  <c:v>49.76</c:v>
                </c:pt>
                <c:pt idx="88">
                  <c:v>49.75</c:v>
                </c:pt>
                <c:pt idx="89">
                  <c:v>50.73</c:v>
                </c:pt>
                <c:pt idx="90">
                  <c:v>48.73</c:v>
                </c:pt>
                <c:pt idx="91">
                  <c:v>47.72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Data2'!$G$127:$CT$127</c:f>
              <c:numCache>
                <c:formatCode>General</c:formatCode>
                <c:ptCount val="92"/>
                <c:pt idx="0">
                  <c:v>48</c:v>
                </c:pt>
                <c:pt idx="1">
                  <c:v>40</c:v>
                </c:pt>
                <c:pt idx="2">
                  <c:v>61</c:v>
                </c:pt>
                <c:pt idx="3">
                  <c:v>48</c:v>
                </c:pt>
                <c:pt idx="4">
                  <c:v>46</c:v>
                </c:pt>
                <c:pt idx="5">
                  <c:v>43</c:v>
                </c:pt>
                <c:pt idx="6">
                  <c:v>55</c:v>
                </c:pt>
                <c:pt idx="7">
                  <c:v>53</c:v>
                </c:pt>
                <c:pt idx="8">
                  <c:v>53</c:v>
                </c:pt>
                <c:pt idx="9">
                  <c:v>46</c:v>
                </c:pt>
                <c:pt idx="10">
                  <c:v>56</c:v>
                </c:pt>
                <c:pt idx="11">
                  <c:v>46</c:v>
                </c:pt>
                <c:pt idx="12">
                  <c:v>55</c:v>
                </c:pt>
                <c:pt idx="13">
                  <c:v>50</c:v>
                </c:pt>
                <c:pt idx="14">
                  <c:v>59</c:v>
                </c:pt>
                <c:pt idx="15">
                  <c:v>53</c:v>
                </c:pt>
                <c:pt idx="16">
                  <c:v>51</c:v>
                </c:pt>
                <c:pt idx="17">
                  <c:v>47</c:v>
                </c:pt>
                <c:pt idx="18">
                  <c:v>61</c:v>
                </c:pt>
                <c:pt idx="19">
                  <c:v>63</c:v>
                </c:pt>
                <c:pt idx="20">
                  <c:v>57.1</c:v>
                </c:pt>
                <c:pt idx="21">
                  <c:v>59.2</c:v>
                </c:pt>
                <c:pt idx="22">
                  <c:v>57.3</c:v>
                </c:pt>
                <c:pt idx="23">
                  <c:v>57.1</c:v>
                </c:pt>
                <c:pt idx="24">
                  <c:v>58.6</c:v>
                </c:pt>
                <c:pt idx="25">
                  <c:v>56.9</c:v>
                </c:pt>
                <c:pt idx="26">
                  <c:v>57.5</c:v>
                </c:pt>
                <c:pt idx="27">
                  <c:v>56.9</c:v>
                </c:pt>
                <c:pt idx="28">
                  <c:v>59.4</c:v>
                </c:pt>
                <c:pt idx="29">
                  <c:v>57.3</c:v>
                </c:pt>
                <c:pt idx="30">
                  <c:v>56.8</c:v>
                </c:pt>
                <c:pt idx="31">
                  <c:v>55.7</c:v>
                </c:pt>
                <c:pt idx="32">
                  <c:v>53.1</c:v>
                </c:pt>
                <c:pt idx="33">
                  <c:v>53.7</c:v>
                </c:pt>
                <c:pt idx="34">
                  <c:v>55.3</c:v>
                </c:pt>
                <c:pt idx="35">
                  <c:v>56.3</c:v>
                </c:pt>
                <c:pt idx="36">
                  <c:v>52.6</c:v>
                </c:pt>
                <c:pt idx="37">
                  <c:v>55.4</c:v>
                </c:pt>
                <c:pt idx="38">
                  <c:v>53.2</c:v>
                </c:pt>
                <c:pt idx="39">
                  <c:v>52.1</c:v>
                </c:pt>
                <c:pt idx="40">
                  <c:v>49.7</c:v>
                </c:pt>
                <c:pt idx="41">
                  <c:v>51.1</c:v>
                </c:pt>
                <c:pt idx="42">
                  <c:v>49.8</c:v>
                </c:pt>
                <c:pt idx="43">
                  <c:v>51.2</c:v>
                </c:pt>
                <c:pt idx="44">
                  <c:v>53.9</c:v>
                </c:pt>
                <c:pt idx="45">
                  <c:v>51.7</c:v>
                </c:pt>
                <c:pt idx="46">
                  <c:v>54</c:v>
                </c:pt>
                <c:pt idx="47">
                  <c:v>49.7</c:v>
                </c:pt>
                <c:pt idx="48">
                  <c:v>49.3</c:v>
                </c:pt>
                <c:pt idx="49">
                  <c:v>48.3</c:v>
                </c:pt>
                <c:pt idx="50">
                  <c:v>47.4</c:v>
                </c:pt>
                <c:pt idx="51">
                  <c:v>52.2</c:v>
                </c:pt>
                <c:pt idx="52">
                  <c:v>44.1</c:v>
                </c:pt>
                <c:pt idx="53">
                  <c:v>50.5</c:v>
                </c:pt>
                <c:pt idx="54">
                  <c:v>46</c:v>
                </c:pt>
                <c:pt idx="55">
                  <c:v>47.7</c:v>
                </c:pt>
                <c:pt idx="56">
                  <c:v>47.3</c:v>
                </c:pt>
                <c:pt idx="57">
                  <c:v>48.2</c:v>
                </c:pt>
                <c:pt idx="58">
                  <c:v>49.4</c:v>
                </c:pt>
                <c:pt idx="59">
                  <c:v>45.4</c:v>
                </c:pt>
                <c:pt idx="60">
                  <c:v>46.9</c:v>
                </c:pt>
                <c:pt idx="61">
                  <c:v>51.1</c:v>
                </c:pt>
                <c:pt idx="62">
                  <c:v>49.4</c:v>
                </c:pt>
                <c:pt idx="63">
                  <c:v>47.1</c:v>
                </c:pt>
                <c:pt idx="64">
                  <c:v>49.2</c:v>
                </c:pt>
                <c:pt idx="65">
                  <c:v>48.6</c:v>
                </c:pt>
                <c:pt idx="66">
                  <c:v>46.9</c:v>
                </c:pt>
                <c:pt idx="67">
                  <c:v>48</c:v>
                </c:pt>
                <c:pt idx="68">
                  <c:v>47</c:v>
                </c:pt>
                <c:pt idx="69">
                  <c:v>42.7</c:v>
                </c:pt>
                <c:pt idx="70">
                  <c:v>43.9</c:v>
                </c:pt>
                <c:pt idx="71">
                  <c:v>44.3</c:v>
                </c:pt>
                <c:pt idx="72">
                  <c:v>45</c:v>
                </c:pt>
                <c:pt idx="73">
                  <c:v>44.2</c:v>
                </c:pt>
                <c:pt idx="74">
                  <c:v>46.2</c:v>
                </c:pt>
                <c:pt idx="75">
                  <c:v>47.3</c:v>
                </c:pt>
                <c:pt idx="76">
                  <c:v>47.9</c:v>
                </c:pt>
                <c:pt idx="77">
                  <c:v>45.8</c:v>
                </c:pt>
                <c:pt idx="78">
                  <c:v>45.1</c:v>
                </c:pt>
                <c:pt idx="79">
                  <c:v>44.68</c:v>
                </c:pt>
                <c:pt idx="80">
                  <c:v>43.28</c:v>
                </c:pt>
                <c:pt idx="81">
                  <c:v>42.84</c:v>
                </c:pt>
                <c:pt idx="82">
                  <c:v>42.54</c:v>
                </c:pt>
                <c:pt idx="83">
                  <c:v>42.75</c:v>
                </c:pt>
                <c:pt idx="84">
                  <c:v>42.59</c:v>
                </c:pt>
                <c:pt idx="85">
                  <c:v>42.32</c:v>
                </c:pt>
                <c:pt idx="86">
                  <c:v>40.82</c:v>
                </c:pt>
                <c:pt idx="87">
                  <c:v>42.23</c:v>
                </c:pt>
                <c:pt idx="88">
                  <c:v>40.93</c:v>
                </c:pt>
                <c:pt idx="89">
                  <c:v>40.17</c:v>
                </c:pt>
                <c:pt idx="90">
                  <c:v>40.799999999999997</c:v>
                </c:pt>
                <c:pt idx="91">
                  <c:v>39.64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Data2'!$G$128:$CT$128</c:f>
              <c:numCache>
                <c:formatCode>General</c:formatCode>
                <c:ptCount val="92"/>
                <c:pt idx="0">
                  <c:v>49</c:v>
                </c:pt>
                <c:pt idx="1">
                  <c:v>45</c:v>
                </c:pt>
                <c:pt idx="2">
                  <c:v>57</c:v>
                </c:pt>
                <c:pt idx="3">
                  <c:v>57</c:v>
                </c:pt>
                <c:pt idx="4">
                  <c:v>61</c:v>
                </c:pt>
                <c:pt idx="5">
                  <c:v>68</c:v>
                </c:pt>
                <c:pt idx="6">
                  <c:v>60</c:v>
                </c:pt>
                <c:pt idx="7">
                  <c:v>53</c:v>
                </c:pt>
                <c:pt idx="8">
                  <c:v>54</c:v>
                </c:pt>
                <c:pt idx="9">
                  <c:v>55</c:v>
                </c:pt>
                <c:pt idx="10">
                  <c:v>46</c:v>
                </c:pt>
                <c:pt idx="11">
                  <c:v>58</c:v>
                </c:pt>
                <c:pt idx="12">
                  <c:v>52</c:v>
                </c:pt>
                <c:pt idx="13">
                  <c:v>64</c:v>
                </c:pt>
                <c:pt idx="14">
                  <c:v>53</c:v>
                </c:pt>
                <c:pt idx="15">
                  <c:v>53</c:v>
                </c:pt>
                <c:pt idx="16">
                  <c:v>61</c:v>
                </c:pt>
                <c:pt idx="17">
                  <c:v>51</c:v>
                </c:pt>
                <c:pt idx="18">
                  <c:v>65</c:v>
                </c:pt>
                <c:pt idx="19">
                  <c:v>55</c:v>
                </c:pt>
                <c:pt idx="20">
                  <c:v>60.6</c:v>
                </c:pt>
                <c:pt idx="21">
                  <c:v>62.2</c:v>
                </c:pt>
                <c:pt idx="22">
                  <c:v>59.9</c:v>
                </c:pt>
                <c:pt idx="23">
                  <c:v>58.2</c:v>
                </c:pt>
                <c:pt idx="24">
                  <c:v>58.4</c:v>
                </c:pt>
                <c:pt idx="25">
                  <c:v>58.8</c:v>
                </c:pt>
                <c:pt idx="26">
                  <c:v>56.9</c:v>
                </c:pt>
                <c:pt idx="27">
                  <c:v>56.1</c:v>
                </c:pt>
                <c:pt idx="28">
                  <c:v>56.3</c:v>
                </c:pt>
                <c:pt idx="29">
                  <c:v>56.1</c:v>
                </c:pt>
                <c:pt idx="30">
                  <c:v>52.8</c:v>
                </c:pt>
                <c:pt idx="31">
                  <c:v>56.9</c:v>
                </c:pt>
                <c:pt idx="32">
                  <c:v>56.1</c:v>
                </c:pt>
                <c:pt idx="33">
                  <c:v>54.6</c:v>
                </c:pt>
                <c:pt idx="34">
                  <c:v>53.6</c:v>
                </c:pt>
                <c:pt idx="35">
                  <c:v>53.3</c:v>
                </c:pt>
                <c:pt idx="36">
                  <c:v>51.2</c:v>
                </c:pt>
                <c:pt idx="37">
                  <c:v>52</c:v>
                </c:pt>
                <c:pt idx="38">
                  <c:v>50.5</c:v>
                </c:pt>
                <c:pt idx="39">
                  <c:v>52.9</c:v>
                </c:pt>
                <c:pt idx="40">
                  <c:v>54.4</c:v>
                </c:pt>
                <c:pt idx="41">
                  <c:v>47.4</c:v>
                </c:pt>
                <c:pt idx="42">
                  <c:v>50.2</c:v>
                </c:pt>
                <c:pt idx="43">
                  <c:v>51.7</c:v>
                </c:pt>
                <c:pt idx="44">
                  <c:v>51.6</c:v>
                </c:pt>
                <c:pt idx="45">
                  <c:v>50.2</c:v>
                </c:pt>
                <c:pt idx="46">
                  <c:v>50.2</c:v>
                </c:pt>
                <c:pt idx="47">
                  <c:v>50.2</c:v>
                </c:pt>
                <c:pt idx="48">
                  <c:v>47.7</c:v>
                </c:pt>
                <c:pt idx="49">
                  <c:v>50.3</c:v>
                </c:pt>
                <c:pt idx="50">
                  <c:v>44.7</c:v>
                </c:pt>
                <c:pt idx="51">
                  <c:v>46.9</c:v>
                </c:pt>
                <c:pt idx="52">
                  <c:v>44.4</c:v>
                </c:pt>
                <c:pt idx="53">
                  <c:v>47.2</c:v>
                </c:pt>
                <c:pt idx="54">
                  <c:v>46.6</c:v>
                </c:pt>
                <c:pt idx="55">
                  <c:v>50</c:v>
                </c:pt>
                <c:pt idx="56">
                  <c:v>48.7</c:v>
                </c:pt>
                <c:pt idx="57">
                  <c:v>43.4</c:v>
                </c:pt>
                <c:pt idx="58">
                  <c:v>45.5</c:v>
                </c:pt>
                <c:pt idx="59">
                  <c:v>46.6</c:v>
                </c:pt>
                <c:pt idx="60">
                  <c:v>45.3</c:v>
                </c:pt>
                <c:pt idx="61">
                  <c:v>45.3</c:v>
                </c:pt>
                <c:pt idx="62">
                  <c:v>47.3</c:v>
                </c:pt>
                <c:pt idx="63">
                  <c:v>47.3</c:v>
                </c:pt>
                <c:pt idx="64">
                  <c:v>45.8</c:v>
                </c:pt>
                <c:pt idx="65">
                  <c:v>42.8</c:v>
                </c:pt>
                <c:pt idx="66">
                  <c:v>45.3</c:v>
                </c:pt>
                <c:pt idx="67">
                  <c:v>41.9</c:v>
                </c:pt>
                <c:pt idx="68">
                  <c:v>43.7</c:v>
                </c:pt>
                <c:pt idx="69">
                  <c:v>42</c:v>
                </c:pt>
                <c:pt idx="70">
                  <c:v>43.2</c:v>
                </c:pt>
                <c:pt idx="71">
                  <c:v>42.3</c:v>
                </c:pt>
                <c:pt idx="72">
                  <c:v>43.9</c:v>
                </c:pt>
                <c:pt idx="73">
                  <c:v>42</c:v>
                </c:pt>
                <c:pt idx="74">
                  <c:v>41.4</c:v>
                </c:pt>
                <c:pt idx="75">
                  <c:v>42.3</c:v>
                </c:pt>
                <c:pt idx="76">
                  <c:v>44.1</c:v>
                </c:pt>
                <c:pt idx="77">
                  <c:v>44.5</c:v>
                </c:pt>
                <c:pt idx="78">
                  <c:v>41.27</c:v>
                </c:pt>
                <c:pt idx="79">
                  <c:v>41.79</c:v>
                </c:pt>
                <c:pt idx="80">
                  <c:v>39.659999999999997</c:v>
                </c:pt>
                <c:pt idx="81">
                  <c:v>39.630000000000003</c:v>
                </c:pt>
                <c:pt idx="82">
                  <c:v>39.200000000000003</c:v>
                </c:pt>
                <c:pt idx="83">
                  <c:v>37.840000000000003</c:v>
                </c:pt>
                <c:pt idx="84">
                  <c:v>37.409999999999997</c:v>
                </c:pt>
                <c:pt idx="85">
                  <c:v>37.479999999999997</c:v>
                </c:pt>
                <c:pt idx="86">
                  <c:v>36.549999999999997</c:v>
                </c:pt>
                <c:pt idx="87">
                  <c:v>36.6</c:v>
                </c:pt>
                <c:pt idx="88">
                  <c:v>36.28</c:v>
                </c:pt>
                <c:pt idx="89">
                  <c:v>37.1</c:v>
                </c:pt>
                <c:pt idx="90">
                  <c:v>35.49</c:v>
                </c:pt>
                <c:pt idx="91">
                  <c:v>36.020000000000003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Data2'!$G$129:$CT$129</c:f>
              <c:numCache>
                <c:formatCode>General</c:formatCode>
                <c:ptCount val="92"/>
                <c:pt idx="0">
                  <c:v>55</c:v>
                </c:pt>
                <c:pt idx="1">
                  <c:v>48</c:v>
                </c:pt>
                <c:pt idx="2">
                  <c:v>46</c:v>
                </c:pt>
                <c:pt idx="3">
                  <c:v>38</c:v>
                </c:pt>
                <c:pt idx="4">
                  <c:v>45</c:v>
                </c:pt>
                <c:pt idx="5">
                  <c:v>42</c:v>
                </c:pt>
                <c:pt idx="6">
                  <c:v>45</c:v>
                </c:pt>
                <c:pt idx="7">
                  <c:v>47</c:v>
                </c:pt>
                <c:pt idx="8">
                  <c:v>38</c:v>
                </c:pt>
                <c:pt idx="9">
                  <c:v>41</c:v>
                </c:pt>
                <c:pt idx="10">
                  <c:v>45</c:v>
                </c:pt>
                <c:pt idx="11">
                  <c:v>43</c:v>
                </c:pt>
                <c:pt idx="12">
                  <c:v>38</c:v>
                </c:pt>
                <c:pt idx="13">
                  <c:v>44</c:v>
                </c:pt>
                <c:pt idx="14">
                  <c:v>42</c:v>
                </c:pt>
                <c:pt idx="15">
                  <c:v>43</c:v>
                </c:pt>
                <c:pt idx="16">
                  <c:v>48</c:v>
                </c:pt>
                <c:pt idx="17">
                  <c:v>50</c:v>
                </c:pt>
                <c:pt idx="18">
                  <c:v>46</c:v>
                </c:pt>
                <c:pt idx="19">
                  <c:v>42</c:v>
                </c:pt>
                <c:pt idx="20">
                  <c:v>44.9</c:v>
                </c:pt>
                <c:pt idx="21">
                  <c:v>45.7</c:v>
                </c:pt>
                <c:pt idx="22">
                  <c:v>46.9</c:v>
                </c:pt>
                <c:pt idx="23">
                  <c:v>44.8</c:v>
                </c:pt>
                <c:pt idx="24">
                  <c:v>47.7</c:v>
                </c:pt>
                <c:pt idx="25">
                  <c:v>46.8</c:v>
                </c:pt>
                <c:pt idx="26">
                  <c:v>46.3</c:v>
                </c:pt>
                <c:pt idx="27">
                  <c:v>43.6</c:v>
                </c:pt>
                <c:pt idx="28">
                  <c:v>43.1</c:v>
                </c:pt>
                <c:pt idx="29">
                  <c:v>43.5</c:v>
                </c:pt>
                <c:pt idx="30">
                  <c:v>42.7</c:v>
                </c:pt>
                <c:pt idx="31">
                  <c:v>44.8</c:v>
                </c:pt>
                <c:pt idx="32">
                  <c:v>45.6</c:v>
                </c:pt>
                <c:pt idx="33">
                  <c:v>42</c:v>
                </c:pt>
                <c:pt idx="34">
                  <c:v>42.8</c:v>
                </c:pt>
                <c:pt idx="35">
                  <c:v>39.799999999999997</c:v>
                </c:pt>
                <c:pt idx="36">
                  <c:v>40.5</c:v>
                </c:pt>
                <c:pt idx="37">
                  <c:v>40.799999999999997</c:v>
                </c:pt>
                <c:pt idx="38">
                  <c:v>39.5</c:v>
                </c:pt>
                <c:pt idx="39">
                  <c:v>42.7</c:v>
                </c:pt>
                <c:pt idx="40">
                  <c:v>43.1</c:v>
                </c:pt>
                <c:pt idx="41">
                  <c:v>41.5</c:v>
                </c:pt>
                <c:pt idx="42">
                  <c:v>38.700000000000003</c:v>
                </c:pt>
                <c:pt idx="43">
                  <c:v>39</c:v>
                </c:pt>
                <c:pt idx="44">
                  <c:v>41.4</c:v>
                </c:pt>
                <c:pt idx="45">
                  <c:v>40.6</c:v>
                </c:pt>
                <c:pt idx="46">
                  <c:v>40.5</c:v>
                </c:pt>
                <c:pt idx="47">
                  <c:v>39.200000000000003</c:v>
                </c:pt>
                <c:pt idx="48">
                  <c:v>39</c:v>
                </c:pt>
                <c:pt idx="49">
                  <c:v>38.1</c:v>
                </c:pt>
                <c:pt idx="50">
                  <c:v>41.3</c:v>
                </c:pt>
                <c:pt idx="51">
                  <c:v>39.4</c:v>
                </c:pt>
                <c:pt idx="52">
                  <c:v>38.4</c:v>
                </c:pt>
                <c:pt idx="53">
                  <c:v>39</c:v>
                </c:pt>
                <c:pt idx="54">
                  <c:v>37.9</c:v>
                </c:pt>
                <c:pt idx="55">
                  <c:v>38</c:v>
                </c:pt>
                <c:pt idx="56">
                  <c:v>38.4</c:v>
                </c:pt>
                <c:pt idx="57">
                  <c:v>36.799999999999997</c:v>
                </c:pt>
                <c:pt idx="58">
                  <c:v>38.200000000000003</c:v>
                </c:pt>
                <c:pt idx="59">
                  <c:v>36.799999999999997</c:v>
                </c:pt>
                <c:pt idx="60">
                  <c:v>36.1</c:v>
                </c:pt>
                <c:pt idx="61">
                  <c:v>38.799999999999997</c:v>
                </c:pt>
                <c:pt idx="62">
                  <c:v>37.1</c:v>
                </c:pt>
                <c:pt idx="63">
                  <c:v>38.299999999999997</c:v>
                </c:pt>
                <c:pt idx="64">
                  <c:v>38.4</c:v>
                </c:pt>
                <c:pt idx="65">
                  <c:v>35</c:v>
                </c:pt>
                <c:pt idx="66">
                  <c:v>35.799999999999997</c:v>
                </c:pt>
                <c:pt idx="67">
                  <c:v>36.6</c:v>
                </c:pt>
                <c:pt idx="68">
                  <c:v>34.4</c:v>
                </c:pt>
                <c:pt idx="69">
                  <c:v>35.1</c:v>
                </c:pt>
                <c:pt idx="70">
                  <c:v>37.799999999999997</c:v>
                </c:pt>
                <c:pt idx="71">
                  <c:v>35.1</c:v>
                </c:pt>
                <c:pt idx="72">
                  <c:v>33.6</c:v>
                </c:pt>
                <c:pt idx="73">
                  <c:v>37.6</c:v>
                </c:pt>
                <c:pt idx="74">
                  <c:v>34.9</c:v>
                </c:pt>
                <c:pt idx="75">
                  <c:v>37.9</c:v>
                </c:pt>
                <c:pt idx="76">
                  <c:v>35.200000000000003</c:v>
                </c:pt>
                <c:pt idx="77">
                  <c:v>35.299999999999997</c:v>
                </c:pt>
                <c:pt idx="78">
                  <c:v>36.32</c:v>
                </c:pt>
                <c:pt idx="79">
                  <c:v>35.130000000000003</c:v>
                </c:pt>
                <c:pt idx="80">
                  <c:v>34.31</c:v>
                </c:pt>
                <c:pt idx="81">
                  <c:v>34.119999999999997</c:v>
                </c:pt>
                <c:pt idx="82">
                  <c:v>33.950000000000003</c:v>
                </c:pt>
                <c:pt idx="83">
                  <c:v>33.01</c:v>
                </c:pt>
                <c:pt idx="84">
                  <c:v>32.369999999999997</c:v>
                </c:pt>
                <c:pt idx="85">
                  <c:v>32.6</c:v>
                </c:pt>
                <c:pt idx="86">
                  <c:v>32.299999999999997</c:v>
                </c:pt>
                <c:pt idx="87">
                  <c:v>32.35</c:v>
                </c:pt>
                <c:pt idx="88">
                  <c:v>31.69</c:v>
                </c:pt>
                <c:pt idx="89">
                  <c:v>31.52</c:v>
                </c:pt>
                <c:pt idx="90">
                  <c:v>32.19</c:v>
                </c:pt>
                <c:pt idx="91">
                  <c:v>31.34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Data2'!$G$130:$CT$130</c:f>
              <c:numCache>
                <c:formatCode>General</c:formatCode>
                <c:ptCount val="92"/>
                <c:pt idx="0">
                  <c:v>48</c:v>
                </c:pt>
                <c:pt idx="1">
                  <c:v>58</c:v>
                </c:pt>
                <c:pt idx="2">
                  <c:v>50</c:v>
                </c:pt>
                <c:pt idx="3">
                  <c:v>49</c:v>
                </c:pt>
                <c:pt idx="4">
                  <c:v>61</c:v>
                </c:pt>
                <c:pt idx="5">
                  <c:v>61</c:v>
                </c:pt>
                <c:pt idx="6">
                  <c:v>63</c:v>
                </c:pt>
                <c:pt idx="7">
                  <c:v>62</c:v>
                </c:pt>
                <c:pt idx="8">
                  <c:v>50</c:v>
                </c:pt>
                <c:pt idx="9">
                  <c:v>60</c:v>
                </c:pt>
                <c:pt idx="10">
                  <c:v>49</c:v>
                </c:pt>
                <c:pt idx="11">
                  <c:v>58</c:v>
                </c:pt>
                <c:pt idx="12">
                  <c:v>43</c:v>
                </c:pt>
                <c:pt idx="13">
                  <c:v>42</c:v>
                </c:pt>
                <c:pt idx="14">
                  <c:v>59</c:v>
                </c:pt>
                <c:pt idx="15">
                  <c:v>57</c:v>
                </c:pt>
                <c:pt idx="16">
                  <c:v>57</c:v>
                </c:pt>
                <c:pt idx="17">
                  <c:v>52</c:v>
                </c:pt>
                <c:pt idx="18">
                  <c:v>59</c:v>
                </c:pt>
                <c:pt idx="19">
                  <c:v>67</c:v>
                </c:pt>
                <c:pt idx="20">
                  <c:v>56.5</c:v>
                </c:pt>
                <c:pt idx="21">
                  <c:v>56.7</c:v>
                </c:pt>
                <c:pt idx="22">
                  <c:v>59.5</c:v>
                </c:pt>
                <c:pt idx="23">
                  <c:v>58</c:v>
                </c:pt>
                <c:pt idx="24">
                  <c:v>54</c:v>
                </c:pt>
                <c:pt idx="25">
                  <c:v>59.3</c:v>
                </c:pt>
                <c:pt idx="26">
                  <c:v>54.9</c:v>
                </c:pt>
                <c:pt idx="27">
                  <c:v>54.3</c:v>
                </c:pt>
                <c:pt idx="28">
                  <c:v>53.3</c:v>
                </c:pt>
                <c:pt idx="29">
                  <c:v>54</c:v>
                </c:pt>
                <c:pt idx="30">
                  <c:v>51.7</c:v>
                </c:pt>
                <c:pt idx="31">
                  <c:v>48.3</c:v>
                </c:pt>
                <c:pt idx="32">
                  <c:v>52</c:v>
                </c:pt>
                <c:pt idx="33">
                  <c:v>50.6</c:v>
                </c:pt>
                <c:pt idx="34">
                  <c:v>52.3</c:v>
                </c:pt>
                <c:pt idx="35">
                  <c:v>51.3</c:v>
                </c:pt>
                <c:pt idx="36">
                  <c:v>48.2</c:v>
                </c:pt>
                <c:pt idx="37">
                  <c:v>49.4</c:v>
                </c:pt>
                <c:pt idx="38">
                  <c:v>48.5</c:v>
                </c:pt>
                <c:pt idx="39">
                  <c:v>45.9</c:v>
                </c:pt>
                <c:pt idx="40">
                  <c:v>48.5</c:v>
                </c:pt>
                <c:pt idx="41">
                  <c:v>47</c:v>
                </c:pt>
                <c:pt idx="42">
                  <c:v>49.6</c:v>
                </c:pt>
                <c:pt idx="43">
                  <c:v>46</c:v>
                </c:pt>
                <c:pt idx="44">
                  <c:v>47.6</c:v>
                </c:pt>
                <c:pt idx="45">
                  <c:v>46.3</c:v>
                </c:pt>
                <c:pt idx="46">
                  <c:v>43.9</c:v>
                </c:pt>
                <c:pt idx="47">
                  <c:v>44.9</c:v>
                </c:pt>
                <c:pt idx="48">
                  <c:v>45.4</c:v>
                </c:pt>
                <c:pt idx="49">
                  <c:v>46.3</c:v>
                </c:pt>
                <c:pt idx="50">
                  <c:v>42</c:v>
                </c:pt>
                <c:pt idx="51">
                  <c:v>46.2</c:v>
                </c:pt>
                <c:pt idx="52">
                  <c:v>45.2</c:v>
                </c:pt>
                <c:pt idx="53">
                  <c:v>43.3</c:v>
                </c:pt>
                <c:pt idx="54">
                  <c:v>45.2</c:v>
                </c:pt>
                <c:pt idx="55">
                  <c:v>41.3</c:v>
                </c:pt>
                <c:pt idx="56">
                  <c:v>43.7</c:v>
                </c:pt>
                <c:pt idx="57">
                  <c:v>43.5</c:v>
                </c:pt>
                <c:pt idx="58">
                  <c:v>43.3</c:v>
                </c:pt>
                <c:pt idx="59">
                  <c:v>38.799999999999997</c:v>
                </c:pt>
                <c:pt idx="60">
                  <c:v>42.9</c:v>
                </c:pt>
                <c:pt idx="61">
                  <c:v>41.7</c:v>
                </c:pt>
                <c:pt idx="62">
                  <c:v>43.8</c:v>
                </c:pt>
                <c:pt idx="63">
                  <c:v>41.3</c:v>
                </c:pt>
                <c:pt idx="64">
                  <c:v>41.3</c:v>
                </c:pt>
                <c:pt idx="65">
                  <c:v>41.7</c:v>
                </c:pt>
                <c:pt idx="66">
                  <c:v>41.2</c:v>
                </c:pt>
                <c:pt idx="67">
                  <c:v>44.3</c:v>
                </c:pt>
                <c:pt idx="68">
                  <c:v>38.299999999999997</c:v>
                </c:pt>
                <c:pt idx="69">
                  <c:v>39.9</c:v>
                </c:pt>
                <c:pt idx="70">
                  <c:v>40.700000000000003</c:v>
                </c:pt>
                <c:pt idx="71">
                  <c:v>41.8</c:v>
                </c:pt>
                <c:pt idx="72">
                  <c:v>40.700000000000003</c:v>
                </c:pt>
                <c:pt idx="73">
                  <c:v>41.1</c:v>
                </c:pt>
                <c:pt idx="74">
                  <c:v>40.700000000000003</c:v>
                </c:pt>
                <c:pt idx="75">
                  <c:v>40</c:v>
                </c:pt>
                <c:pt idx="76">
                  <c:v>37.9</c:v>
                </c:pt>
                <c:pt idx="77">
                  <c:v>39.4</c:v>
                </c:pt>
                <c:pt idx="78">
                  <c:v>38.450000000000003</c:v>
                </c:pt>
                <c:pt idx="79">
                  <c:v>36.97</c:v>
                </c:pt>
                <c:pt idx="80">
                  <c:v>36.93</c:v>
                </c:pt>
                <c:pt idx="81">
                  <c:v>35.64</c:v>
                </c:pt>
                <c:pt idx="82">
                  <c:v>35.229999999999997</c:v>
                </c:pt>
                <c:pt idx="83">
                  <c:v>34.979999999999997</c:v>
                </c:pt>
                <c:pt idx="84">
                  <c:v>34.04</c:v>
                </c:pt>
                <c:pt idx="85">
                  <c:v>33.39</c:v>
                </c:pt>
                <c:pt idx="86">
                  <c:v>33.28</c:v>
                </c:pt>
                <c:pt idx="87">
                  <c:v>32.909999999999997</c:v>
                </c:pt>
                <c:pt idx="88">
                  <c:v>33.06</c:v>
                </c:pt>
                <c:pt idx="89">
                  <c:v>32.67</c:v>
                </c:pt>
                <c:pt idx="90">
                  <c:v>32.229999999999997</c:v>
                </c:pt>
                <c:pt idx="91">
                  <c:v>31.9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Data2'!$G$131:$CT$131</c:f>
              <c:numCache>
                <c:formatCode>General</c:formatCode>
                <c:ptCount val="92"/>
                <c:pt idx="0">
                  <c:v>35</c:v>
                </c:pt>
                <c:pt idx="1">
                  <c:v>33</c:v>
                </c:pt>
                <c:pt idx="2">
                  <c:v>40</c:v>
                </c:pt>
                <c:pt idx="3">
                  <c:v>31</c:v>
                </c:pt>
                <c:pt idx="4">
                  <c:v>35</c:v>
                </c:pt>
                <c:pt idx="5">
                  <c:v>33</c:v>
                </c:pt>
                <c:pt idx="6">
                  <c:v>41</c:v>
                </c:pt>
                <c:pt idx="7">
                  <c:v>35</c:v>
                </c:pt>
                <c:pt idx="8">
                  <c:v>39</c:v>
                </c:pt>
                <c:pt idx="9">
                  <c:v>35</c:v>
                </c:pt>
                <c:pt idx="10">
                  <c:v>39</c:v>
                </c:pt>
                <c:pt idx="11">
                  <c:v>36</c:v>
                </c:pt>
                <c:pt idx="12">
                  <c:v>44</c:v>
                </c:pt>
                <c:pt idx="13">
                  <c:v>40</c:v>
                </c:pt>
                <c:pt idx="14">
                  <c:v>41</c:v>
                </c:pt>
                <c:pt idx="15">
                  <c:v>34</c:v>
                </c:pt>
                <c:pt idx="16">
                  <c:v>37</c:v>
                </c:pt>
                <c:pt idx="17">
                  <c:v>43</c:v>
                </c:pt>
                <c:pt idx="18">
                  <c:v>40</c:v>
                </c:pt>
                <c:pt idx="19">
                  <c:v>43</c:v>
                </c:pt>
                <c:pt idx="20">
                  <c:v>38.9</c:v>
                </c:pt>
                <c:pt idx="21">
                  <c:v>41.3</c:v>
                </c:pt>
                <c:pt idx="22">
                  <c:v>42.3</c:v>
                </c:pt>
                <c:pt idx="23">
                  <c:v>40.5</c:v>
                </c:pt>
                <c:pt idx="24">
                  <c:v>42.9</c:v>
                </c:pt>
                <c:pt idx="25">
                  <c:v>41.7</c:v>
                </c:pt>
                <c:pt idx="26">
                  <c:v>38.4</c:v>
                </c:pt>
                <c:pt idx="27">
                  <c:v>38.4</c:v>
                </c:pt>
                <c:pt idx="28">
                  <c:v>38.200000000000003</c:v>
                </c:pt>
                <c:pt idx="29">
                  <c:v>39.799999999999997</c:v>
                </c:pt>
                <c:pt idx="30">
                  <c:v>38.6</c:v>
                </c:pt>
                <c:pt idx="31">
                  <c:v>38.4</c:v>
                </c:pt>
                <c:pt idx="32">
                  <c:v>37.9</c:v>
                </c:pt>
                <c:pt idx="33">
                  <c:v>40.700000000000003</c:v>
                </c:pt>
                <c:pt idx="34">
                  <c:v>37.4</c:v>
                </c:pt>
                <c:pt idx="35">
                  <c:v>38.9</c:v>
                </c:pt>
                <c:pt idx="36">
                  <c:v>38.4</c:v>
                </c:pt>
                <c:pt idx="37">
                  <c:v>39.200000000000003</c:v>
                </c:pt>
                <c:pt idx="38">
                  <c:v>35.700000000000003</c:v>
                </c:pt>
                <c:pt idx="39">
                  <c:v>34.299999999999997</c:v>
                </c:pt>
                <c:pt idx="40">
                  <c:v>35.5</c:v>
                </c:pt>
                <c:pt idx="41">
                  <c:v>36.1</c:v>
                </c:pt>
                <c:pt idx="42">
                  <c:v>34.200000000000003</c:v>
                </c:pt>
                <c:pt idx="43">
                  <c:v>34.200000000000003</c:v>
                </c:pt>
                <c:pt idx="44">
                  <c:v>37.799999999999997</c:v>
                </c:pt>
                <c:pt idx="45">
                  <c:v>37.6</c:v>
                </c:pt>
                <c:pt idx="46">
                  <c:v>34.200000000000003</c:v>
                </c:pt>
                <c:pt idx="47">
                  <c:v>33.9</c:v>
                </c:pt>
                <c:pt idx="48">
                  <c:v>34.5</c:v>
                </c:pt>
                <c:pt idx="49">
                  <c:v>32</c:v>
                </c:pt>
                <c:pt idx="50">
                  <c:v>36.1</c:v>
                </c:pt>
                <c:pt idx="51">
                  <c:v>33</c:v>
                </c:pt>
                <c:pt idx="52">
                  <c:v>33.1</c:v>
                </c:pt>
                <c:pt idx="53">
                  <c:v>32.799999999999997</c:v>
                </c:pt>
                <c:pt idx="54">
                  <c:v>33.4</c:v>
                </c:pt>
                <c:pt idx="55">
                  <c:v>34</c:v>
                </c:pt>
                <c:pt idx="56">
                  <c:v>35.4</c:v>
                </c:pt>
                <c:pt idx="57">
                  <c:v>34</c:v>
                </c:pt>
                <c:pt idx="58">
                  <c:v>31.9</c:v>
                </c:pt>
                <c:pt idx="59">
                  <c:v>33.6</c:v>
                </c:pt>
                <c:pt idx="60">
                  <c:v>32.5</c:v>
                </c:pt>
                <c:pt idx="61">
                  <c:v>31.3</c:v>
                </c:pt>
                <c:pt idx="62">
                  <c:v>31.5</c:v>
                </c:pt>
                <c:pt idx="63">
                  <c:v>33.799999999999997</c:v>
                </c:pt>
                <c:pt idx="64">
                  <c:v>32.299999999999997</c:v>
                </c:pt>
                <c:pt idx="65">
                  <c:v>33.799999999999997</c:v>
                </c:pt>
                <c:pt idx="66">
                  <c:v>31.2</c:v>
                </c:pt>
                <c:pt idx="67">
                  <c:v>34.200000000000003</c:v>
                </c:pt>
                <c:pt idx="68">
                  <c:v>33.9</c:v>
                </c:pt>
                <c:pt idx="69">
                  <c:v>35.299999999999997</c:v>
                </c:pt>
                <c:pt idx="70">
                  <c:v>33.700000000000003</c:v>
                </c:pt>
                <c:pt idx="71">
                  <c:v>32</c:v>
                </c:pt>
                <c:pt idx="72">
                  <c:v>33</c:v>
                </c:pt>
                <c:pt idx="73">
                  <c:v>35.200000000000003</c:v>
                </c:pt>
                <c:pt idx="74">
                  <c:v>32.6</c:v>
                </c:pt>
                <c:pt idx="75">
                  <c:v>30.5</c:v>
                </c:pt>
                <c:pt idx="76">
                  <c:v>31.4</c:v>
                </c:pt>
                <c:pt idx="77">
                  <c:v>32.299999999999997</c:v>
                </c:pt>
                <c:pt idx="78">
                  <c:v>31.58</c:v>
                </c:pt>
                <c:pt idx="79">
                  <c:v>30.86</c:v>
                </c:pt>
                <c:pt idx="80">
                  <c:v>30.93</c:v>
                </c:pt>
                <c:pt idx="81">
                  <c:v>29.88</c:v>
                </c:pt>
                <c:pt idx="82">
                  <c:v>27.56</c:v>
                </c:pt>
                <c:pt idx="83">
                  <c:v>28.79</c:v>
                </c:pt>
                <c:pt idx="84">
                  <c:v>29.19</c:v>
                </c:pt>
                <c:pt idx="85">
                  <c:v>28.99</c:v>
                </c:pt>
                <c:pt idx="86">
                  <c:v>28.82</c:v>
                </c:pt>
                <c:pt idx="87">
                  <c:v>28.2</c:v>
                </c:pt>
                <c:pt idx="88">
                  <c:v>28.76</c:v>
                </c:pt>
                <c:pt idx="89">
                  <c:v>28.64</c:v>
                </c:pt>
                <c:pt idx="90">
                  <c:v>28.41</c:v>
                </c:pt>
                <c:pt idx="91">
                  <c:v>27.7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Data2'!$G$132:$CT$132</c:f>
              <c:numCache>
                <c:formatCode>General</c:formatCode>
                <c:ptCount val="92"/>
                <c:pt idx="0">
                  <c:v>35</c:v>
                </c:pt>
                <c:pt idx="1">
                  <c:v>29</c:v>
                </c:pt>
                <c:pt idx="2">
                  <c:v>23</c:v>
                </c:pt>
                <c:pt idx="3">
                  <c:v>30</c:v>
                </c:pt>
                <c:pt idx="4">
                  <c:v>26</c:v>
                </c:pt>
                <c:pt idx="5">
                  <c:v>35</c:v>
                </c:pt>
                <c:pt idx="6">
                  <c:v>36</c:v>
                </c:pt>
                <c:pt idx="7">
                  <c:v>30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34</c:v>
                </c:pt>
                <c:pt idx="12">
                  <c:v>33</c:v>
                </c:pt>
                <c:pt idx="13">
                  <c:v>29</c:v>
                </c:pt>
                <c:pt idx="14">
                  <c:v>29</c:v>
                </c:pt>
                <c:pt idx="15">
                  <c:v>32</c:v>
                </c:pt>
                <c:pt idx="16">
                  <c:v>27</c:v>
                </c:pt>
                <c:pt idx="17">
                  <c:v>29</c:v>
                </c:pt>
                <c:pt idx="18">
                  <c:v>25</c:v>
                </c:pt>
                <c:pt idx="19">
                  <c:v>28</c:v>
                </c:pt>
                <c:pt idx="20">
                  <c:v>29.6</c:v>
                </c:pt>
                <c:pt idx="21">
                  <c:v>30.4</c:v>
                </c:pt>
                <c:pt idx="22">
                  <c:v>31.7</c:v>
                </c:pt>
                <c:pt idx="23">
                  <c:v>31.4</c:v>
                </c:pt>
                <c:pt idx="24">
                  <c:v>29.7</c:v>
                </c:pt>
                <c:pt idx="25">
                  <c:v>29.6</c:v>
                </c:pt>
                <c:pt idx="26">
                  <c:v>28.6</c:v>
                </c:pt>
                <c:pt idx="27">
                  <c:v>29.7</c:v>
                </c:pt>
                <c:pt idx="28">
                  <c:v>29</c:v>
                </c:pt>
                <c:pt idx="29">
                  <c:v>29.2</c:v>
                </c:pt>
                <c:pt idx="30">
                  <c:v>29</c:v>
                </c:pt>
                <c:pt idx="31">
                  <c:v>28.5</c:v>
                </c:pt>
                <c:pt idx="32">
                  <c:v>29.1</c:v>
                </c:pt>
                <c:pt idx="33">
                  <c:v>27.6</c:v>
                </c:pt>
                <c:pt idx="34">
                  <c:v>26.1</c:v>
                </c:pt>
                <c:pt idx="35">
                  <c:v>29.2</c:v>
                </c:pt>
                <c:pt idx="36">
                  <c:v>26.7</c:v>
                </c:pt>
                <c:pt idx="37">
                  <c:v>27.6</c:v>
                </c:pt>
                <c:pt idx="38">
                  <c:v>26.9</c:v>
                </c:pt>
                <c:pt idx="39">
                  <c:v>27.9</c:v>
                </c:pt>
                <c:pt idx="40">
                  <c:v>26.8</c:v>
                </c:pt>
                <c:pt idx="41">
                  <c:v>26.5</c:v>
                </c:pt>
                <c:pt idx="42">
                  <c:v>26.4</c:v>
                </c:pt>
                <c:pt idx="43">
                  <c:v>26.4</c:v>
                </c:pt>
                <c:pt idx="44">
                  <c:v>28.6</c:v>
                </c:pt>
                <c:pt idx="45">
                  <c:v>25.7</c:v>
                </c:pt>
                <c:pt idx="46">
                  <c:v>25.3</c:v>
                </c:pt>
                <c:pt idx="47">
                  <c:v>26.5</c:v>
                </c:pt>
                <c:pt idx="48">
                  <c:v>25</c:v>
                </c:pt>
                <c:pt idx="49">
                  <c:v>24.5</c:v>
                </c:pt>
                <c:pt idx="50">
                  <c:v>27.9</c:v>
                </c:pt>
                <c:pt idx="51">
                  <c:v>27.9</c:v>
                </c:pt>
                <c:pt idx="52">
                  <c:v>25.6</c:v>
                </c:pt>
                <c:pt idx="53">
                  <c:v>23.2</c:v>
                </c:pt>
                <c:pt idx="54">
                  <c:v>25</c:v>
                </c:pt>
                <c:pt idx="55">
                  <c:v>24.6</c:v>
                </c:pt>
                <c:pt idx="56">
                  <c:v>25.1</c:v>
                </c:pt>
                <c:pt idx="57">
                  <c:v>25.4</c:v>
                </c:pt>
                <c:pt idx="58">
                  <c:v>26.4</c:v>
                </c:pt>
                <c:pt idx="59">
                  <c:v>27.3</c:v>
                </c:pt>
                <c:pt idx="60">
                  <c:v>26.3</c:v>
                </c:pt>
                <c:pt idx="61">
                  <c:v>24.1</c:v>
                </c:pt>
                <c:pt idx="62">
                  <c:v>25.7</c:v>
                </c:pt>
                <c:pt idx="63">
                  <c:v>24.1</c:v>
                </c:pt>
                <c:pt idx="64">
                  <c:v>25.7</c:v>
                </c:pt>
                <c:pt idx="65">
                  <c:v>24.3</c:v>
                </c:pt>
                <c:pt idx="66">
                  <c:v>25</c:v>
                </c:pt>
                <c:pt idx="67">
                  <c:v>24.2</c:v>
                </c:pt>
                <c:pt idx="68">
                  <c:v>25</c:v>
                </c:pt>
                <c:pt idx="69">
                  <c:v>25.8</c:v>
                </c:pt>
                <c:pt idx="70">
                  <c:v>24.1</c:v>
                </c:pt>
                <c:pt idx="71">
                  <c:v>25.7</c:v>
                </c:pt>
                <c:pt idx="72">
                  <c:v>25</c:v>
                </c:pt>
                <c:pt idx="73">
                  <c:v>24.8</c:v>
                </c:pt>
                <c:pt idx="74">
                  <c:v>24.6</c:v>
                </c:pt>
                <c:pt idx="75">
                  <c:v>26</c:v>
                </c:pt>
                <c:pt idx="76">
                  <c:v>25.1</c:v>
                </c:pt>
                <c:pt idx="77">
                  <c:v>25.8</c:v>
                </c:pt>
                <c:pt idx="78">
                  <c:v>23.87</c:v>
                </c:pt>
                <c:pt idx="79">
                  <c:v>23.97</c:v>
                </c:pt>
                <c:pt idx="80">
                  <c:v>23.97</c:v>
                </c:pt>
                <c:pt idx="81">
                  <c:v>23.32</c:v>
                </c:pt>
                <c:pt idx="82">
                  <c:v>23.65</c:v>
                </c:pt>
                <c:pt idx="83">
                  <c:v>22.94</c:v>
                </c:pt>
                <c:pt idx="84">
                  <c:v>22.99</c:v>
                </c:pt>
                <c:pt idx="85">
                  <c:v>22.69</c:v>
                </c:pt>
                <c:pt idx="86">
                  <c:v>22.33</c:v>
                </c:pt>
                <c:pt idx="87">
                  <c:v>23.07</c:v>
                </c:pt>
                <c:pt idx="88">
                  <c:v>22.55</c:v>
                </c:pt>
                <c:pt idx="89">
                  <c:v>22.57</c:v>
                </c:pt>
                <c:pt idx="90">
                  <c:v>22.41</c:v>
                </c:pt>
                <c:pt idx="91">
                  <c:v>22.57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Data2'!$G$133:$CT$133</c:f>
              <c:numCache>
                <c:formatCode>General</c:formatCode>
                <c:ptCount val="92"/>
                <c:pt idx="0">
                  <c:v>31</c:v>
                </c:pt>
                <c:pt idx="1">
                  <c:v>35</c:v>
                </c:pt>
                <c:pt idx="2">
                  <c:v>27</c:v>
                </c:pt>
                <c:pt idx="3">
                  <c:v>30</c:v>
                </c:pt>
                <c:pt idx="4">
                  <c:v>32</c:v>
                </c:pt>
                <c:pt idx="5">
                  <c:v>26</c:v>
                </c:pt>
                <c:pt idx="6">
                  <c:v>33</c:v>
                </c:pt>
                <c:pt idx="7">
                  <c:v>36</c:v>
                </c:pt>
                <c:pt idx="8">
                  <c:v>32</c:v>
                </c:pt>
                <c:pt idx="9">
                  <c:v>36</c:v>
                </c:pt>
                <c:pt idx="10">
                  <c:v>28</c:v>
                </c:pt>
                <c:pt idx="11">
                  <c:v>38</c:v>
                </c:pt>
                <c:pt idx="12">
                  <c:v>30</c:v>
                </c:pt>
                <c:pt idx="13">
                  <c:v>34</c:v>
                </c:pt>
                <c:pt idx="14">
                  <c:v>34</c:v>
                </c:pt>
                <c:pt idx="15">
                  <c:v>23</c:v>
                </c:pt>
                <c:pt idx="16">
                  <c:v>25</c:v>
                </c:pt>
                <c:pt idx="17">
                  <c:v>31</c:v>
                </c:pt>
                <c:pt idx="18">
                  <c:v>35</c:v>
                </c:pt>
                <c:pt idx="19">
                  <c:v>33</c:v>
                </c:pt>
                <c:pt idx="20">
                  <c:v>33.6</c:v>
                </c:pt>
                <c:pt idx="21">
                  <c:v>33.1</c:v>
                </c:pt>
                <c:pt idx="22">
                  <c:v>32.700000000000003</c:v>
                </c:pt>
                <c:pt idx="23">
                  <c:v>32.5</c:v>
                </c:pt>
                <c:pt idx="24">
                  <c:v>32.200000000000003</c:v>
                </c:pt>
                <c:pt idx="25">
                  <c:v>32.4</c:v>
                </c:pt>
                <c:pt idx="26">
                  <c:v>30.2</c:v>
                </c:pt>
                <c:pt idx="27">
                  <c:v>34</c:v>
                </c:pt>
                <c:pt idx="28">
                  <c:v>31.7</c:v>
                </c:pt>
                <c:pt idx="29">
                  <c:v>29.5</c:v>
                </c:pt>
                <c:pt idx="30">
                  <c:v>31.1</c:v>
                </c:pt>
                <c:pt idx="31">
                  <c:v>31</c:v>
                </c:pt>
                <c:pt idx="32">
                  <c:v>30.8</c:v>
                </c:pt>
                <c:pt idx="33">
                  <c:v>31.5</c:v>
                </c:pt>
                <c:pt idx="34">
                  <c:v>30.7</c:v>
                </c:pt>
                <c:pt idx="35">
                  <c:v>27.8</c:v>
                </c:pt>
                <c:pt idx="36">
                  <c:v>30.1</c:v>
                </c:pt>
                <c:pt idx="37">
                  <c:v>28.5</c:v>
                </c:pt>
                <c:pt idx="38">
                  <c:v>29.3</c:v>
                </c:pt>
                <c:pt idx="39">
                  <c:v>31.3</c:v>
                </c:pt>
                <c:pt idx="40">
                  <c:v>27.7</c:v>
                </c:pt>
                <c:pt idx="41">
                  <c:v>27.7</c:v>
                </c:pt>
                <c:pt idx="42">
                  <c:v>27.8</c:v>
                </c:pt>
                <c:pt idx="43">
                  <c:v>29.9</c:v>
                </c:pt>
                <c:pt idx="44">
                  <c:v>31.2</c:v>
                </c:pt>
                <c:pt idx="45">
                  <c:v>29.9</c:v>
                </c:pt>
                <c:pt idx="46">
                  <c:v>28.2</c:v>
                </c:pt>
                <c:pt idx="47">
                  <c:v>29.2</c:v>
                </c:pt>
                <c:pt idx="48">
                  <c:v>28.4</c:v>
                </c:pt>
                <c:pt idx="49">
                  <c:v>28.7</c:v>
                </c:pt>
                <c:pt idx="50">
                  <c:v>28.1</c:v>
                </c:pt>
                <c:pt idx="51">
                  <c:v>26.3</c:v>
                </c:pt>
                <c:pt idx="52">
                  <c:v>26.5</c:v>
                </c:pt>
                <c:pt idx="53">
                  <c:v>28.9</c:v>
                </c:pt>
                <c:pt idx="54">
                  <c:v>27.8</c:v>
                </c:pt>
                <c:pt idx="55">
                  <c:v>28.2</c:v>
                </c:pt>
                <c:pt idx="56">
                  <c:v>28.5</c:v>
                </c:pt>
                <c:pt idx="57">
                  <c:v>25.5</c:v>
                </c:pt>
                <c:pt idx="58">
                  <c:v>26</c:v>
                </c:pt>
                <c:pt idx="59">
                  <c:v>24.9</c:v>
                </c:pt>
                <c:pt idx="60">
                  <c:v>27.8</c:v>
                </c:pt>
                <c:pt idx="61">
                  <c:v>28.5</c:v>
                </c:pt>
                <c:pt idx="62">
                  <c:v>26.9</c:v>
                </c:pt>
                <c:pt idx="63">
                  <c:v>22.4</c:v>
                </c:pt>
                <c:pt idx="64">
                  <c:v>25.3</c:v>
                </c:pt>
                <c:pt idx="65">
                  <c:v>26.2</c:v>
                </c:pt>
                <c:pt idx="66">
                  <c:v>25</c:v>
                </c:pt>
                <c:pt idx="67">
                  <c:v>24.8</c:v>
                </c:pt>
                <c:pt idx="68">
                  <c:v>23.4</c:v>
                </c:pt>
                <c:pt idx="69">
                  <c:v>25.8</c:v>
                </c:pt>
                <c:pt idx="70">
                  <c:v>25.6</c:v>
                </c:pt>
                <c:pt idx="71">
                  <c:v>26.7</c:v>
                </c:pt>
                <c:pt idx="72">
                  <c:v>27.5</c:v>
                </c:pt>
                <c:pt idx="73">
                  <c:v>25.8</c:v>
                </c:pt>
                <c:pt idx="74">
                  <c:v>26.2</c:v>
                </c:pt>
                <c:pt idx="75">
                  <c:v>24.9</c:v>
                </c:pt>
                <c:pt idx="76">
                  <c:v>24.5</c:v>
                </c:pt>
                <c:pt idx="77">
                  <c:v>23.3</c:v>
                </c:pt>
                <c:pt idx="78">
                  <c:v>25.76</c:v>
                </c:pt>
                <c:pt idx="79">
                  <c:v>24.68</c:v>
                </c:pt>
                <c:pt idx="80">
                  <c:v>25.2</c:v>
                </c:pt>
                <c:pt idx="81">
                  <c:v>23.92</c:v>
                </c:pt>
                <c:pt idx="82">
                  <c:v>24.15</c:v>
                </c:pt>
                <c:pt idx="83">
                  <c:v>24.91</c:v>
                </c:pt>
                <c:pt idx="84">
                  <c:v>24.6</c:v>
                </c:pt>
                <c:pt idx="85">
                  <c:v>23.74</c:v>
                </c:pt>
                <c:pt idx="86">
                  <c:v>23.12</c:v>
                </c:pt>
                <c:pt idx="87">
                  <c:v>23.5</c:v>
                </c:pt>
                <c:pt idx="88">
                  <c:v>23.83</c:v>
                </c:pt>
                <c:pt idx="89">
                  <c:v>23.17</c:v>
                </c:pt>
                <c:pt idx="90">
                  <c:v>23.5</c:v>
                </c:pt>
                <c:pt idx="91">
                  <c:v>22.94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Data2'!$G$134:$CT$134</c:f>
              <c:numCache>
                <c:formatCode>General</c:formatCode>
                <c:ptCount val="92"/>
                <c:pt idx="0">
                  <c:v>37</c:v>
                </c:pt>
                <c:pt idx="1">
                  <c:v>33</c:v>
                </c:pt>
                <c:pt idx="2">
                  <c:v>44</c:v>
                </c:pt>
                <c:pt idx="3">
                  <c:v>34</c:v>
                </c:pt>
                <c:pt idx="4">
                  <c:v>33</c:v>
                </c:pt>
                <c:pt idx="5">
                  <c:v>36</c:v>
                </c:pt>
                <c:pt idx="6">
                  <c:v>46</c:v>
                </c:pt>
                <c:pt idx="7">
                  <c:v>42</c:v>
                </c:pt>
                <c:pt idx="8">
                  <c:v>41</c:v>
                </c:pt>
                <c:pt idx="9">
                  <c:v>42</c:v>
                </c:pt>
                <c:pt idx="10">
                  <c:v>40</c:v>
                </c:pt>
                <c:pt idx="11">
                  <c:v>38</c:v>
                </c:pt>
                <c:pt idx="12">
                  <c:v>38</c:v>
                </c:pt>
                <c:pt idx="13">
                  <c:v>42</c:v>
                </c:pt>
                <c:pt idx="14">
                  <c:v>42</c:v>
                </c:pt>
                <c:pt idx="15">
                  <c:v>32</c:v>
                </c:pt>
                <c:pt idx="16">
                  <c:v>35</c:v>
                </c:pt>
                <c:pt idx="17">
                  <c:v>34</c:v>
                </c:pt>
                <c:pt idx="18">
                  <c:v>35</c:v>
                </c:pt>
                <c:pt idx="19">
                  <c:v>40</c:v>
                </c:pt>
                <c:pt idx="20">
                  <c:v>39.799999999999997</c:v>
                </c:pt>
                <c:pt idx="21">
                  <c:v>39.1</c:v>
                </c:pt>
                <c:pt idx="22">
                  <c:v>41.3</c:v>
                </c:pt>
                <c:pt idx="23">
                  <c:v>39.5</c:v>
                </c:pt>
                <c:pt idx="24">
                  <c:v>38.4</c:v>
                </c:pt>
                <c:pt idx="25">
                  <c:v>39.700000000000003</c:v>
                </c:pt>
                <c:pt idx="26">
                  <c:v>39.9</c:v>
                </c:pt>
                <c:pt idx="27">
                  <c:v>35.5</c:v>
                </c:pt>
                <c:pt idx="28">
                  <c:v>39</c:v>
                </c:pt>
                <c:pt idx="29">
                  <c:v>36.299999999999997</c:v>
                </c:pt>
                <c:pt idx="30">
                  <c:v>35.6</c:v>
                </c:pt>
                <c:pt idx="31">
                  <c:v>35.9</c:v>
                </c:pt>
                <c:pt idx="32">
                  <c:v>37.6</c:v>
                </c:pt>
                <c:pt idx="33">
                  <c:v>33.700000000000003</c:v>
                </c:pt>
                <c:pt idx="34">
                  <c:v>35.9</c:v>
                </c:pt>
                <c:pt idx="35">
                  <c:v>32.5</c:v>
                </c:pt>
                <c:pt idx="36">
                  <c:v>33.6</c:v>
                </c:pt>
                <c:pt idx="37">
                  <c:v>32.700000000000003</c:v>
                </c:pt>
                <c:pt idx="38">
                  <c:v>34.9</c:v>
                </c:pt>
                <c:pt idx="39">
                  <c:v>32.1</c:v>
                </c:pt>
                <c:pt idx="40">
                  <c:v>33.5</c:v>
                </c:pt>
                <c:pt idx="41">
                  <c:v>32</c:v>
                </c:pt>
                <c:pt idx="42">
                  <c:v>32.299999999999997</c:v>
                </c:pt>
                <c:pt idx="43">
                  <c:v>31.3</c:v>
                </c:pt>
                <c:pt idx="44">
                  <c:v>34</c:v>
                </c:pt>
                <c:pt idx="45">
                  <c:v>30</c:v>
                </c:pt>
                <c:pt idx="46">
                  <c:v>35.1</c:v>
                </c:pt>
                <c:pt idx="47">
                  <c:v>32.9</c:v>
                </c:pt>
                <c:pt idx="48">
                  <c:v>34</c:v>
                </c:pt>
                <c:pt idx="49">
                  <c:v>31.6</c:v>
                </c:pt>
                <c:pt idx="50">
                  <c:v>34.200000000000003</c:v>
                </c:pt>
                <c:pt idx="51">
                  <c:v>30.2</c:v>
                </c:pt>
                <c:pt idx="52">
                  <c:v>31.6</c:v>
                </c:pt>
                <c:pt idx="53">
                  <c:v>31.9</c:v>
                </c:pt>
                <c:pt idx="54">
                  <c:v>31.4</c:v>
                </c:pt>
                <c:pt idx="55">
                  <c:v>30.3</c:v>
                </c:pt>
                <c:pt idx="56">
                  <c:v>28.5</c:v>
                </c:pt>
                <c:pt idx="57">
                  <c:v>30.2</c:v>
                </c:pt>
                <c:pt idx="58">
                  <c:v>27.9</c:v>
                </c:pt>
                <c:pt idx="59">
                  <c:v>30.4</c:v>
                </c:pt>
                <c:pt idx="60">
                  <c:v>28.2</c:v>
                </c:pt>
                <c:pt idx="61">
                  <c:v>29.6</c:v>
                </c:pt>
                <c:pt idx="62">
                  <c:v>32.1</c:v>
                </c:pt>
                <c:pt idx="63">
                  <c:v>27.9</c:v>
                </c:pt>
                <c:pt idx="64">
                  <c:v>27.5</c:v>
                </c:pt>
                <c:pt idx="65">
                  <c:v>29.2</c:v>
                </c:pt>
                <c:pt idx="66">
                  <c:v>29.3</c:v>
                </c:pt>
                <c:pt idx="67">
                  <c:v>30</c:v>
                </c:pt>
                <c:pt idx="68">
                  <c:v>29.2</c:v>
                </c:pt>
                <c:pt idx="69">
                  <c:v>30</c:v>
                </c:pt>
                <c:pt idx="70">
                  <c:v>28.6</c:v>
                </c:pt>
                <c:pt idx="71">
                  <c:v>30.8</c:v>
                </c:pt>
                <c:pt idx="72">
                  <c:v>29.3</c:v>
                </c:pt>
                <c:pt idx="73">
                  <c:v>28.6</c:v>
                </c:pt>
                <c:pt idx="74">
                  <c:v>27.3</c:v>
                </c:pt>
                <c:pt idx="75">
                  <c:v>31.1</c:v>
                </c:pt>
                <c:pt idx="76">
                  <c:v>28</c:v>
                </c:pt>
                <c:pt idx="77">
                  <c:v>28.1</c:v>
                </c:pt>
                <c:pt idx="78">
                  <c:v>28.35</c:v>
                </c:pt>
                <c:pt idx="79">
                  <c:v>27.02</c:v>
                </c:pt>
                <c:pt idx="80">
                  <c:v>26.23</c:v>
                </c:pt>
                <c:pt idx="81">
                  <c:v>25.75</c:v>
                </c:pt>
                <c:pt idx="82">
                  <c:v>25.12</c:v>
                </c:pt>
                <c:pt idx="83">
                  <c:v>26.06</c:v>
                </c:pt>
                <c:pt idx="84">
                  <c:v>25.12</c:v>
                </c:pt>
                <c:pt idx="85">
                  <c:v>25</c:v>
                </c:pt>
                <c:pt idx="86">
                  <c:v>24.78</c:v>
                </c:pt>
                <c:pt idx="87">
                  <c:v>24.64</c:v>
                </c:pt>
                <c:pt idx="88">
                  <c:v>23.94</c:v>
                </c:pt>
                <c:pt idx="89">
                  <c:v>24.11</c:v>
                </c:pt>
                <c:pt idx="90">
                  <c:v>24.05</c:v>
                </c:pt>
                <c:pt idx="91">
                  <c:v>24.19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Data2'!$G$135:$CT$135</c:f>
              <c:numCache>
                <c:formatCode>General</c:formatCode>
                <c:ptCount val="92"/>
                <c:pt idx="0">
                  <c:v>28</c:v>
                </c:pt>
                <c:pt idx="1">
                  <c:v>36</c:v>
                </c:pt>
                <c:pt idx="2">
                  <c:v>30</c:v>
                </c:pt>
                <c:pt idx="3">
                  <c:v>25</c:v>
                </c:pt>
                <c:pt idx="4">
                  <c:v>37</c:v>
                </c:pt>
                <c:pt idx="5">
                  <c:v>32</c:v>
                </c:pt>
                <c:pt idx="6">
                  <c:v>26</c:v>
                </c:pt>
                <c:pt idx="7">
                  <c:v>27</c:v>
                </c:pt>
                <c:pt idx="8">
                  <c:v>36</c:v>
                </c:pt>
                <c:pt idx="9">
                  <c:v>26</c:v>
                </c:pt>
                <c:pt idx="10">
                  <c:v>31</c:v>
                </c:pt>
                <c:pt idx="11">
                  <c:v>30</c:v>
                </c:pt>
                <c:pt idx="12">
                  <c:v>35</c:v>
                </c:pt>
                <c:pt idx="13">
                  <c:v>34</c:v>
                </c:pt>
                <c:pt idx="14">
                  <c:v>33</c:v>
                </c:pt>
                <c:pt idx="15">
                  <c:v>32</c:v>
                </c:pt>
                <c:pt idx="16">
                  <c:v>27</c:v>
                </c:pt>
                <c:pt idx="17">
                  <c:v>31</c:v>
                </c:pt>
                <c:pt idx="18">
                  <c:v>27</c:v>
                </c:pt>
                <c:pt idx="19">
                  <c:v>27</c:v>
                </c:pt>
                <c:pt idx="20">
                  <c:v>32.200000000000003</c:v>
                </c:pt>
                <c:pt idx="21">
                  <c:v>30.8</c:v>
                </c:pt>
                <c:pt idx="22">
                  <c:v>33.4</c:v>
                </c:pt>
                <c:pt idx="23">
                  <c:v>33.5</c:v>
                </c:pt>
                <c:pt idx="24">
                  <c:v>35.5</c:v>
                </c:pt>
                <c:pt idx="25">
                  <c:v>34.299999999999997</c:v>
                </c:pt>
                <c:pt idx="26">
                  <c:v>33.299999999999997</c:v>
                </c:pt>
                <c:pt idx="27">
                  <c:v>31.7</c:v>
                </c:pt>
                <c:pt idx="28">
                  <c:v>33</c:v>
                </c:pt>
                <c:pt idx="29">
                  <c:v>31.3</c:v>
                </c:pt>
                <c:pt idx="30">
                  <c:v>29.7</c:v>
                </c:pt>
                <c:pt idx="31">
                  <c:v>30.2</c:v>
                </c:pt>
                <c:pt idx="32">
                  <c:v>30.8</c:v>
                </c:pt>
                <c:pt idx="33">
                  <c:v>30.1</c:v>
                </c:pt>
                <c:pt idx="34">
                  <c:v>31</c:v>
                </c:pt>
                <c:pt idx="35">
                  <c:v>30.5</c:v>
                </c:pt>
                <c:pt idx="36">
                  <c:v>28</c:v>
                </c:pt>
                <c:pt idx="37">
                  <c:v>31.5</c:v>
                </c:pt>
                <c:pt idx="38">
                  <c:v>27.6</c:v>
                </c:pt>
                <c:pt idx="39">
                  <c:v>28.2</c:v>
                </c:pt>
                <c:pt idx="40">
                  <c:v>28.5</c:v>
                </c:pt>
                <c:pt idx="41">
                  <c:v>29.2</c:v>
                </c:pt>
                <c:pt idx="42">
                  <c:v>26.5</c:v>
                </c:pt>
                <c:pt idx="43">
                  <c:v>26.6</c:v>
                </c:pt>
                <c:pt idx="44">
                  <c:v>29.1</c:v>
                </c:pt>
                <c:pt idx="45">
                  <c:v>28.4</c:v>
                </c:pt>
                <c:pt idx="46">
                  <c:v>27.1</c:v>
                </c:pt>
                <c:pt idx="47">
                  <c:v>28</c:v>
                </c:pt>
                <c:pt idx="48">
                  <c:v>27.2</c:v>
                </c:pt>
                <c:pt idx="49">
                  <c:v>25</c:v>
                </c:pt>
                <c:pt idx="50">
                  <c:v>28.6</c:v>
                </c:pt>
                <c:pt idx="51">
                  <c:v>26.8</c:v>
                </c:pt>
                <c:pt idx="52">
                  <c:v>27.4</c:v>
                </c:pt>
                <c:pt idx="53">
                  <c:v>28.6</c:v>
                </c:pt>
                <c:pt idx="54">
                  <c:v>25.5</c:v>
                </c:pt>
                <c:pt idx="55">
                  <c:v>25.8</c:v>
                </c:pt>
                <c:pt idx="56">
                  <c:v>26.9</c:v>
                </c:pt>
                <c:pt idx="57">
                  <c:v>25.8</c:v>
                </c:pt>
                <c:pt idx="58">
                  <c:v>25.1</c:v>
                </c:pt>
                <c:pt idx="59">
                  <c:v>26</c:v>
                </c:pt>
                <c:pt idx="60">
                  <c:v>25.1</c:v>
                </c:pt>
                <c:pt idx="61">
                  <c:v>25.6</c:v>
                </c:pt>
                <c:pt idx="62">
                  <c:v>27.1</c:v>
                </c:pt>
                <c:pt idx="63">
                  <c:v>25.3</c:v>
                </c:pt>
                <c:pt idx="64">
                  <c:v>26.8</c:v>
                </c:pt>
                <c:pt idx="65">
                  <c:v>26.9</c:v>
                </c:pt>
                <c:pt idx="66">
                  <c:v>26</c:v>
                </c:pt>
                <c:pt idx="67">
                  <c:v>24.1</c:v>
                </c:pt>
                <c:pt idx="68">
                  <c:v>25.1</c:v>
                </c:pt>
                <c:pt idx="69">
                  <c:v>26.6</c:v>
                </c:pt>
                <c:pt idx="70">
                  <c:v>25.7</c:v>
                </c:pt>
                <c:pt idx="71">
                  <c:v>26.9</c:v>
                </c:pt>
                <c:pt idx="72">
                  <c:v>26</c:v>
                </c:pt>
                <c:pt idx="73">
                  <c:v>28.2</c:v>
                </c:pt>
                <c:pt idx="74">
                  <c:v>26.6</c:v>
                </c:pt>
                <c:pt idx="75">
                  <c:v>25.6</c:v>
                </c:pt>
                <c:pt idx="76">
                  <c:v>25.9</c:v>
                </c:pt>
                <c:pt idx="77">
                  <c:v>26.1</c:v>
                </c:pt>
                <c:pt idx="78">
                  <c:v>25.06</c:v>
                </c:pt>
                <c:pt idx="79">
                  <c:v>24.38</c:v>
                </c:pt>
                <c:pt idx="80">
                  <c:v>23.71</c:v>
                </c:pt>
                <c:pt idx="81">
                  <c:v>22.96</c:v>
                </c:pt>
                <c:pt idx="82">
                  <c:v>23.24</c:v>
                </c:pt>
                <c:pt idx="83">
                  <c:v>23.45</c:v>
                </c:pt>
                <c:pt idx="84">
                  <c:v>22.72</c:v>
                </c:pt>
                <c:pt idx="85">
                  <c:v>22.64</c:v>
                </c:pt>
                <c:pt idx="86">
                  <c:v>22.49</c:v>
                </c:pt>
                <c:pt idx="87">
                  <c:v>22.18</c:v>
                </c:pt>
                <c:pt idx="88">
                  <c:v>22.51</c:v>
                </c:pt>
                <c:pt idx="89">
                  <c:v>21.68</c:v>
                </c:pt>
                <c:pt idx="90">
                  <c:v>22.64</c:v>
                </c:pt>
                <c:pt idx="91">
                  <c:v>22.44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57536"/>
        <c:axId val="47067904"/>
      </c:scatterChart>
      <c:valAx>
        <c:axId val="4705753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067904"/>
        <c:crosses val="autoZero"/>
        <c:crossBetween val="midCat"/>
      </c:valAx>
      <c:valAx>
        <c:axId val="470679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0575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Data2'!$G$136:$CT$136</c:f>
              <c:numCache>
                <c:formatCode>General</c:formatCode>
                <c:ptCount val="92"/>
                <c:pt idx="0">
                  <c:v>208</c:v>
                </c:pt>
                <c:pt idx="1">
                  <c:v>189</c:v>
                </c:pt>
                <c:pt idx="2">
                  <c:v>206</c:v>
                </c:pt>
                <c:pt idx="3">
                  <c:v>198</c:v>
                </c:pt>
                <c:pt idx="4">
                  <c:v>187</c:v>
                </c:pt>
                <c:pt idx="5">
                  <c:v>184</c:v>
                </c:pt>
                <c:pt idx="6">
                  <c:v>198</c:v>
                </c:pt>
                <c:pt idx="7">
                  <c:v>199</c:v>
                </c:pt>
                <c:pt idx="8">
                  <c:v>190</c:v>
                </c:pt>
                <c:pt idx="9">
                  <c:v>179</c:v>
                </c:pt>
                <c:pt idx="10">
                  <c:v>196</c:v>
                </c:pt>
                <c:pt idx="11">
                  <c:v>194</c:v>
                </c:pt>
                <c:pt idx="12">
                  <c:v>204</c:v>
                </c:pt>
                <c:pt idx="13">
                  <c:v>198</c:v>
                </c:pt>
                <c:pt idx="14">
                  <c:v>188</c:v>
                </c:pt>
                <c:pt idx="15">
                  <c:v>191</c:v>
                </c:pt>
                <c:pt idx="16">
                  <c:v>196</c:v>
                </c:pt>
                <c:pt idx="17">
                  <c:v>180</c:v>
                </c:pt>
                <c:pt idx="18">
                  <c:v>199</c:v>
                </c:pt>
                <c:pt idx="19">
                  <c:v>207</c:v>
                </c:pt>
                <c:pt idx="20">
                  <c:v>188.5</c:v>
                </c:pt>
                <c:pt idx="21">
                  <c:v>184.3</c:v>
                </c:pt>
                <c:pt idx="22">
                  <c:v>178.5</c:v>
                </c:pt>
                <c:pt idx="23">
                  <c:v>173.4</c:v>
                </c:pt>
                <c:pt idx="24">
                  <c:v>164.7</c:v>
                </c:pt>
                <c:pt idx="25">
                  <c:v>157.4</c:v>
                </c:pt>
                <c:pt idx="26">
                  <c:v>149.69999999999999</c:v>
                </c:pt>
                <c:pt idx="27">
                  <c:v>148.30000000000001</c:v>
                </c:pt>
                <c:pt idx="28">
                  <c:v>138.5</c:v>
                </c:pt>
                <c:pt idx="29">
                  <c:v>136</c:v>
                </c:pt>
                <c:pt idx="30">
                  <c:v>132.30000000000001</c:v>
                </c:pt>
                <c:pt idx="31">
                  <c:v>129.6</c:v>
                </c:pt>
                <c:pt idx="32">
                  <c:v>123</c:v>
                </c:pt>
                <c:pt idx="33">
                  <c:v>120.2</c:v>
                </c:pt>
                <c:pt idx="34">
                  <c:v>116.7</c:v>
                </c:pt>
                <c:pt idx="35">
                  <c:v>116.9</c:v>
                </c:pt>
                <c:pt idx="36">
                  <c:v>110.1</c:v>
                </c:pt>
                <c:pt idx="37">
                  <c:v>110.5</c:v>
                </c:pt>
                <c:pt idx="38">
                  <c:v>103.5</c:v>
                </c:pt>
                <c:pt idx="39">
                  <c:v>103</c:v>
                </c:pt>
                <c:pt idx="40">
                  <c:v>95.5</c:v>
                </c:pt>
                <c:pt idx="41">
                  <c:v>92.5</c:v>
                </c:pt>
                <c:pt idx="42">
                  <c:v>95.6</c:v>
                </c:pt>
                <c:pt idx="43">
                  <c:v>90.5</c:v>
                </c:pt>
                <c:pt idx="44">
                  <c:v>87.8</c:v>
                </c:pt>
                <c:pt idx="45">
                  <c:v>87.7</c:v>
                </c:pt>
                <c:pt idx="46">
                  <c:v>84.8</c:v>
                </c:pt>
                <c:pt idx="47">
                  <c:v>80.8</c:v>
                </c:pt>
                <c:pt idx="48">
                  <c:v>84.1</c:v>
                </c:pt>
                <c:pt idx="49">
                  <c:v>80.8</c:v>
                </c:pt>
                <c:pt idx="50">
                  <c:v>80.099999999999994</c:v>
                </c:pt>
                <c:pt idx="51">
                  <c:v>77.5</c:v>
                </c:pt>
                <c:pt idx="52">
                  <c:v>75.5</c:v>
                </c:pt>
                <c:pt idx="53">
                  <c:v>72.099999999999994</c:v>
                </c:pt>
                <c:pt idx="54">
                  <c:v>70.3</c:v>
                </c:pt>
                <c:pt idx="55">
                  <c:v>73.2</c:v>
                </c:pt>
                <c:pt idx="56">
                  <c:v>68.8</c:v>
                </c:pt>
                <c:pt idx="57">
                  <c:v>65.7</c:v>
                </c:pt>
                <c:pt idx="58">
                  <c:v>69.099999999999994</c:v>
                </c:pt>
                <c:pt idx="59">
                  <c:v>67.7</c:v>
                </c:pt>
                <c:pt idx="60">
                  <c:v>62.2</c:v>
                </c:pt>
                <c:pt idx="61">
                  <c:v>64.900000000000006</c:v>
                </c:pt>
                <c:pt idx="62">
                  <c:v>63.6</c:v>
                </c:pt>
                <c:pt idx="63">
                  <c:v>65.7</c:v>
                </c:pt>
                <c:pt idx="64">
                  <c:v>62.4</c:v>
                </c:pt>
                <c:pt idx="65">
                  <c:v>61</c:v>
                </c:pt>
                <c:pt idx="66">
                  <c:v>59.4</c:v>
                </c:pt>
                <c:pt idx="67">
                  <c:v>59.7</c:v>
                </c:pt>
                <c:pt idx="68">
                  <c:v>59.9</c:v>
                </c:pt>
                <c:pt idx="69">
                  <c:v>60.8</c:v>
                </c:pt>
                <c:pt idx="70">
                  <c:v>55.9</c:v>
                </c:pt>
                <c:pt idx="71">
                  <c:v>62.4</c:v>
                </c:pt>
                <c:pt idx="72">
                  <c:v>56.6</c:v>
                </c:pt>
                <c:pt idx="73">
                  <c:v>55.5</c:v>
                </c:pt>
                <c:pt idx="74">
                  <c:v>56.3</c:v>
                </c:pt>
                <c:pt idx="75">
                  <c:v>57</c:v>
                </c:pt>
                <c:pt idx="76">
                  <c:v>55</c:v>
                </c:pt>
                <c:pt idx="77">
                  <c:v>50.4</c:v>
                </c:pt>
                <c:pt idx="78">
                  <c:v>51.14</c:v>
                </c:pt>
                <c:pt idx="79">
                  <c:v>46.17</c:v>
                </c:pt>
                <c:pt idx="80">
                  <c:v>43.16</c:v>
                </c:pt>
                <c:pt idx="81">
                  <c:v>39.56</c:v>
                </c:pt>
                <c:pt idx="82">
                  <c:v>38.549999999999997</c:v>
                </c:pt>
                <c:pt idx="83">
                  <c:v>36.42</c:v>
                </c:pt>
                <c:pt idx="84">
                  <c:v>35.36</c:v>
                </c:pt>
                <c:pt idx="85">
                  <c:v>34.06</c:v>
                </c:pt>
                <c:pt idx="86">
                  <c:v>32.75</c:v>
                </c:pt>
                <c:pt idx="87">
                  <c:v>32</c:v>
                </c:pt>
                <c:pt idx="88">
                  <c:v>30.88</c:v>
                </c:pt>
                <c:pt idx="89">
                  <c:v>29.59</c:v>
                </c:pt>
                <c:pt idx="90">
                  <c:v>29.39</c:v>
                </c:pt>
                <c:pt idx="91">
                  <c:v>28.93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Data2'!$G$137:$CT$137</c:f>
              <c:numCache>
                <c:formatCode>General</c:formatCode>
                <c:ptCount val="92"/>
                <c:pt idx="0">
                  <c:v>123</c:v>
                </c:pt>
                <c:pt idx="1">
                  <c:v>111</c:v>
                </c:pt>
                <c:pt idx="2">
                  <c:v>117</c:v>
                </c:pt>
                <c:pt idx="3">
                  <c:v>110</c:v>
                </c:pt>
                <c:pt idx="4">
                  <c:v>115</c:v>
                </c:pt>
                <c:pt idx="5">
                  <c:v>119</c:v>
                </c:pt>
                <c:pt idx="6">
                  <c:v>127</c:v>
                </c:pt>
                <c:pt idx="7">
                  <c:v>134</c:v>
                </c:pt>
                <c:pt idx="8">
                  <c:v>127</c:v>
                </c:pt>
                <c:pt idx="9">
                  <c:v>115</c:v>
                </c:pt>
                <c:pt idx="10">
                  <c:v>120</c:v>
                </c:pt>
                <c:pt idx="11">
                  <c:v>130</c:v>
                </c:pt>
                <c:pt idx="12">
                  <c:v>109</c:v>
                </c:pt>
                <c:pt idx="13">
                  <c:v>109</c:v>
                </c:pt>
                <c:pt idx="14">
                  <c:v>121</c:v>
                </c:pt>
                <c:pt idx="15">
                  <c:v>121</c:v>
                </c:pt>
                <c:pt idx="16">
                  <c:v>116</c:v>
                </c:pt>
                <c:pt idx="17">
                  <c:v>127</c:v>
                </c:pt>
                <c:pt idx="18">
                  <c:v>110</c:v>
                </c:pt>
                <c:pt idx="19">
                  <c:v>121</c:v>
                </c:pt>
                <c:pt idx="20">
                  <c:v>115.8</c:v>
                </c:pt>
                <c:pt idx="21">
                  <c:v>112.6</c:v>
                </c:pt>
                <c:pt idx="22">
                  <c:v>108.1</c:v>
                </c:pt>
                <c:pt idx="23">
                  <c:v>112.2</c:v>
                </c:pt>
                <c:pt idx="24">
                  <c:v>104.8</c:v>
                </c:pt>
                <c:pt idx="25">
                  <c:v>101.3</c:v>
                </c:pt>
                <c:pt idx="26">
                  <c:v>103.1</c:v>
                </c:pt>
                <c:pt idx="27">
                  <c:v>95</c:v>
                </c:pt>
                <c:pt idx="28">
                  <c:v>93.8</c:v>
                </c:pt>
                <c:pt idx="29">
                  <c:v>86.6</c:v>
                </c:pt>
                <c:pt idx="30">
                  <c:v>88.5</c:v>
                </c:pt>
                <c:pt idx="31">
                  <c:v>85.9</c:v>
                </c:pt>
                <c:pt idx="32">
                  <c:v>81.599999999999994</c:v>
                </c:pt>
                <c:pt idx="33">
                  <c:v>80.7</c:v>
                </c:pt>
                <c:pt idx="34">
                  <c:v>75.5</c:v>
                </c:pt>
                <c:pt idx="35">
                  <c:v>72.400000000000006</c:v>
                </c:pt>
                <c:pt idx="36">
                  <c:v>75.2</c:v>
                </c:pt>
                <c:pt idx="37">
                  <c:v>73.7</c:v>
                </c:pt>
                <c:pt idx="38">
                  <c:v>70</c:v>
                </c:pt>
                <c:pt idx="39">
                  <c:v>68.5</c:v>
                </c:pt>
                <c:pt idx="40">
                  <c:v>65.900000000000006</c:v>
                </c:pt>
                <c:pt idx="41">
                  <c:v>68.7</c:v>
                </c:pt>
                <c:pt idx="42">
                  <c:v>62.9</c:v>
                </c:pt>
                <c:pt idx="43">
                  <c:v>61.9</c:v>
                </c:pt>
                <c:pt idx="44">
                  <c:v>59.7</c:v>
                </c:pt>
                <c:pt idx="45">
                  <c:v>60.9</c:v>
                </c:pt>
                <c:pt idx="46">
                  <c:v>60.4</c:v>
                </c:pt>
                <c:pt idx="47">
                  <c:v>58.6</c:v>
                </c:pt>
                <c:pt idx="48">
                  <c:v>58.1</c:v>
                </c:pt>
                <c:pt idx="49">
                  <c:v>54.4</c:v>
                </c:pt>
                <c:pt idx="50">
                  <c:v>60.1</c:v>
                </c:pt>
                <c:pt idx="51">
                  <c:v>51.9</c:v>
                </c:pt>
                <c:pt idx="52">
                  <c:v>56.9</c:v>
                </c:pt>
                <c:pt idx="53">
                  <c:v>54.9</c:v>
                </c:pt>
                <c:pt idx="54">
                  <c:v>50.3</c:v>
                </c:pt>
                <c:pt idx="55">
                  <c:v>53.7</c:v>
                </c:pt>
                <c:pt idx="56">
                  <c:v>53.8</c:v>
                </c:pt>
                <c:pt idx="57">
                  <c:v>48.4</c:v>
                </c:pt>
                <c:pt idx="58">
                  <c:v>50</c:v>
                </c:pt>
                <c:pt idx="59">
                  <c:v>48.7</c:v>
                </c:pt>
                <c:pt idx="60">
                  <c:v>50.7</c:v>
                </c:pt>
                <c:pt idx="61">
                  <c:v>47</c:v>
                </c:pt>
                <c:pt idx="62">
                  <c:v>48.5</c:v>
                </c:pt>
                <c:pt idx="63">
                  <c:v>48.1</c:v>
                </c:pt>
                <c:pt idx="64">
                  <c:v>48.8</c:v>
                </c:pt>
                <c:pt idx="65">
                  <c:v>47.2</c:v>
                </c:pt>
                <c:pt idx="66">
                  <c:v>48.3</c:v>
                </c:pt>
                <c:pt idx="67">
                  <c:v>44.9</c:v>
                </c:pt>
                <c:pt idx="68">
                  <c:v>46.4</c:v>
                </c:pt>
                <c:pt idx="69">
                  <c:v>43.7</c:v>
                </c:pt>
                <c:pt idx="70">
                  <c:v>44.4</c:v>
                </c:pt>
                <c:pt idx="71">
                  <c:v>43.6</c:v>
                </c:pt>
                <c:pt idx="72">
                  <c:v>41.9</c:v>
                </c:pt>
                <c:pt idx="73">
                  <c:v>41.9</c:v>
                </c:pt>
                <c:pt idx="74">
                  <c:v>43</c:v>
                </c:pt>
                <c:pt idx="75">
                  <c:v>43.8</c:v>
                </c:pt>
                <c:pt idx="76">
                  <c:v>43.6</c:v>
                </c:pt>
                <c:pt idx="77">
                  <c:v>41.1</c:v>
                </c:pt>
                <c:pt idx="78">
                  <c:v>40.32</c:v>
                </c:pt>
                <c:pt idx="79">
                  <c:v>37.58</c:v>
                </c:pt>
                <c:pt idx="80">
                  <c:v>35.76</c:v>
                </c:pt>
                <c:pt idx="81">
                  <c:v>34</c:v>
                </c:pt>
                <c:pt idx="82">
                  <c:v>32.35</c:v>
                </c:pt>
                <c:pt idx="83">
                  <c:v>31.33</c:v>
                </c:pt>
                <c:pt idx="84">
                  <c:v>29.88</c:v>
                </c:pt>
                <c:pt idx="85">
                  <c:v>29.19</c:v>
                </c:pt>
                <c:pt idx="86">
                  <c:v>28</c:v>
                </c:pt>
                <c:pt idx="87">
                  <c:v>27.81</c:v>
                </c:pt>
                <c:pt idx="88">
                  <c:v>27.85</c:v>
                </c:pt>
                <c:pt idx="89">
                  <c:v>26.85</c:v>
                </c:pt>
                <c:pt idx="90">
                  <c:v>26.35</c:v>
                </c:pt>
                <c:pt idx="91">
                  <c:v>25.22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Data2'!$G$138:$CT$138</c:f>
              <c:numCache>
                <c:formatCode>General</c:formatCode>
                <c:ptCount val="92"/>
                <c:pt idx="0">
                  <c:v>89</c:v>
                </c:pt>
                <c:pt idx="1">
                  <c:v>98</c:v>
                </c:pt>
                <c:pt idx="2">
                  <c:v>79</c:v>
                </c:pt>
                <c:pt idx="3">
                  <c:v>75</c:v>
                </c:pt>
                <c:pt idx="4">
                  <c:v>74</c:v>
                </c:pt>
                <c:pt idx="5">
                  <c:v>78</c:v>
                </c:pt>
                <c:pt idx="6">
                  <c:v>86</c:v>
                </c:pt>
                <c:pt idx="7">
                  <c:v>89</c:v>
                </c:pt>
                <c:pt idx="8">
                  <c:v>70</c:v>
                </c:pt>
                <c:pt idx="9">
                  <c:v>80</c:v>
                </c:pt>
                <c:pt idx="10">
                  <c:v>75</c:v>
                </c:pt>
                <c:pt idx="11">
                  <c:v>75</c:v>
                </c:pt>
                <c:pt idx="12">
                  <c:v>74</c:v>
                </c:pt>
                <c:pt idx="13">
                  <c:v>74</c:v>
                </c:pt>
                <c:pt idx="14">
                  <c:v>77</c:v>
                </c:pt>
                <c:pt idx="15">
                  <c:v>74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77</c:v>
                </c:pt>
                <c:pt idx="20">
                  <c:v>76.2</c:v>
                </c:pt>
                <c:pt idx="21">
                  <c:v>71.8</c:v>
                </c:pt>
                <c:pt idx="22">
                  <c:v>78.3</c:v>
                </c:pt>
                <c:pt idx="23">
                  <c:v>74.900000000000006</c:v>
                </c:pt>
                <c:pt idx="24">
                  <c:v>69.599999999999994</c:v>
                </c:pt>
                <c:pt idx="25">
                  <c:v>66.400000000000006</c:v>
                </c:pt>
                <c:pt idx="26">
                  <c:v>65.400000000000006</c:v>
                </c:pt>
                <c:pt idx="27">
                  <c:v>60.6</c:v>
                </c:pt>
                <c:pt idx="28">
                  <c:v>59.3</c:v>
                </c:pt>
                <c:pt idx="29">
                  <c:v>57.7</c:v>
                </c:pt>
                <c:pt idx="30">
                  <c:v>57.1</c:v>
                </c:pt>
                <c:pt idx="31">
                  <c:v>54.3</c:v>
                </c:pt>
                <c:pt idx="32">
                  <c:v>56</c:v>
                </c:pt>
                <c:pt idx="33">
                  <c:v>53.4</c:v>
                </c:pt>
                <c:pt idx="34">
                  <c:v>53.3</c:v>
                </c:pt>
                <c:pt idx="35">
                  <c:v>48.8</c:v>
                </c:pt>
                <c:pt idx="36">
                  <c:v>48</c:v>
                </c:pt>
                <c:pt idx="37">
                  <c:v>49.2</c:v>
                </c:pt>
                <c:pt idx="38">
                  <c:v>48</c:v>
                </c:pt>
                <c:pt idx="39">
                  <c:v>42.4</c:v>
                </c:pt>
                <c:pt idx="40">
                  <c:v>42.3</c:v>
                </c:pt>
                <c:pt idx="41">
                  <c:v>43.1</c:v>
                </c:pt>
                <c:pt idx="42">
                  <c:v>40.4</c:v>
                </c:pt>
                <c:pt idx="43">
                  <c:v>40.700000000000003</c:v>
                </c:pt>
                <c:pt idx="44">
                  <c:v>38.9</c:v>
                </c:pt>
                <c:pt idx="45">
                  <c:v>38.5</c:v>
                </c:pt>
                <c:pt idx="46">
                  <c:v>40.4</c:v>
                </c:pt>
                <c:pt idx="47">
                  <c:v>40.700000000000003</c:v>
                </c:pt>
                <c:pt idx="48">
                  <c:v>38</c:v>
                </c:pt>
                <c:pt idx="49">
                  <c:v>34</c:v>
                </c:pt>
                <c:pt idx="50">
                  <c:v>35.6</c:v>
                </c:pt>
                <c:pt idx="51">
                  <c:v>35.5</c:v>
                </c:pt>
                <c:pt idx="52">
                  <c:v>35.299999999999997</c:v>
                </c:pt>
                <c:pt idx="53">
                  <c:v>35.700000000000003</c:v>
                </c:pt>
                <c:pt idx="54">
                  <c:v>36</c:v>
                </c:pt>
                <c:pt idx="55">
                  <c:v>33.9</c:v>
                </c:pt>
                <c:pt idx="56">
                  <c:v>34.200000000000003</c:v>
                </c:pt>
                <c:pt idx="57">
                  <c:v>32.9</c:v>
                </c:pt>
                <c:pt idx="58">
                  <c:v>30.3</c:v>
                </c:pt>
                <c:pt idx="59">
                  <c:v>30.1</c:v>
                </c:pt>
                <c:pt idx="60">
                  <c:v>30.3</c:v>
                </c:pt>
                <c:pt idx="61">
                  <c:v>31</c:v>
                </c:pt>
                <c:pt idx="62">
                  <c:v>30.8</c:v>
                </c:pt>
                <c:pt idx="63">
                  <c:v>29.3</c:v>
                </c:pt>
                <c:pt idx="64">
                  <c:v>29.9</c:v>
                </c:pt>
                <c:pt idx="65">
                  <c:v>30.2</c:v>
                </c:pt>
                <c:pt idx="66">
                  <c:v>30.5</c:v>
                </c:pt>
                <c:pt idx="67">
                  <c:v>27.2</c:v>
                </c:pt>
                <c:pt idx="68">
                  <c:v>28.3</c:v>
                </c:pt>
                <c:pt idx="69">
                  <c:v>27.6</c:v>
                </c:pt>
                <c:pt idx="70">
                  <c:v>27.6</c:v>
                </c:pt>
                <c:pt idx="71">
                  <c:v>25.3</c:v>
                </c:pt>
                <c:pt idx="72">
                  <c:v>28.8</c:v>
                </c:pt>
                <c:pt idx="73">
                  <c:v>27.2</c:v>
                </c:pt>
                <c:pt idx="74">
                  <c:v>27.6</c:v>
                </c:pt>
                <c:pt idx="75">
                  <c:v>26.5</c:v>
                </c:pt>
                <c:pt idx="76">
                  <c:v>26.3</c:v>
                </c:pt>
                <c:pt idx="77">
                  <c:v>24.3</c:v>
                </c:pt>
                <c:pt idx="78">
                  <c:v>24.5</c:v>
                </c:pt>
                <c:pt idx="79">
                  <c:v>23.82</c:v>
                </c:pt>
                <c:pt idx="80">
                  <c:v>22.2</c:v>
                </c:pt>
                <c:pt idx="81">
                  <c:v>20.92</c:v>
                </c:pt>
                <c:pt idx="82">
                  <c:v>20.28</c:v>
                </c:pt>
                <c:pt idx="83">
                  <c:v>19.670000000000002</c:v>
                </c:pt>
                <c:pt idx="84">
                  <c:v>18.84</c:v>
                </c:pt>
                <c:pt idx="85">
                  <c:v>17.989999999999998</c:v>
                </c:pt>
                <c:pt idx="86">
                  <c:v>18.05</c:v>
                </c:pt>
                <c:pt idx="87">
                  <c:v>17.29</c:v>
                </c:pt>
                <c:pt idx="88">
                  <c:v>17.61</c:v>
                </c:pt>
                <c:pt idx="89">
                  <c:v>16.350000000000001</c:v>
                </c:pt>
                <c:pt idx="90">
                  <c:v>16.329999999999998</c:v>
                </c:pt>
                <c:pt idx="91">
                  <c:v>16.22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Data2'!$G$139:$CT$139</c:f>
              <c:numCache>
                <c:formatCode>General</c:formatCode>
                <c:ptCount val="92"/>
                <c:pt idx="0">
                  <c:v>121</c:v>
                </c:pt>
                <c:pt idx="1">
                  <c:v>119</c:v>
                </c:pt>
                <c:pt idx="2">
                  <c:v>118</c:v>
                </c:pt>
                <c:pt idx="3">
                  <c:v>111</c:v>
                </c:pt>
                <c:pt idx="4">
                  <c:v>104</c:v>
                </c:pt>
                <c:pt idx="5">
                  <c:v>109</c:v>
                </c:pt>
                <c:pt idx="6">
                  <c:v>129</c:v>
                </c:pt>
                <c:pt idx="7">
                  <c:v>120</c:v>
                </c:pt>
                <c:pt idx="8">
                  <c:v>119</c:v>
                </c:pt>
                <c:pt idx="9">
                  <c:v>111</c:v>
                </c:pt>
                <c:pt idx="10">
                  <c:v>123</c:v>
                </c:pt>
                <c:pt idx="11">
                  <c:v>114</c:v>
                </c:pt>
                <c:pt idx="12">
                  <c:v>111</c:v>
                </c:pt>
                <c:pt idx="13">
                  <c:v>98</c:v>
                </c:pt>
                <c:pt idx="14">
                  <c:v>126</c:v>
                </c:pt>
                <c:pt idx="15">
                  <c:v>112</c:v>
                </c:pt>
                <c:pt idx="16">
                  <c:v>107</c:v>
                </c:pt>
                <c:pt idx="17">
                  <c:v>111</c:v>
                </c:pt>
                <c:pt idx="18">
                  <c:v>130</c:v>
                </c:pt>
                <c:pt idx="19">
                  <c:v>108</c:v>
                </c:pt>
                <c:pt idx="20">
                  <c:v>112.1</c:v>
                </c:pt>
                <c:pt idx="21">
                  <c:v>107</c:v>
                </c:pt>
                <c:pt idx="22">
                  <c:v>105.4</c:v>
                </c:pt>
                <c:pt idx="23">
                  <c:v>100.4</c:v>
                </c:pt>
                <c:pt idx="24">
                  <c:v>98.5</c:v>
                </c:pt>
                <c:pt idx="25">
                  <c:v>95.8</c:v>
                </c:pt>
                <c:pt idx="26">
                  <c:v>87.7</c:v>
                </c:pt>
                <c:pt idx="27">
                  <c:v>90</c:v>
                </c:pt>
                <c:pt idx="28">
                  <c:v>86.9</c:v>
                </c:pt>
                <c:pt idx="29">
                  <c:v>82.3</c:v>
                </c:pt>
                <c:pt idx="30">
                  <c:v>78.8</c:v>
                </c:pt>
                <c:pt idx="31">
                  <c:v>73.7</c:v>
                </c:pt>
                <c:pt idx="32">
                  <c:v>75.7</c:v>
                </c:pt>
                <c:pt idx="33">
                  <c:v>75.3</c:v>
                </c:pt>
                <c:pt idx="34">
                  <c:v>75.900000000000006</c:v>
                </c:pt>
                <c:pt idx="35">
                  <c:v>68.2</c:v>
                </c:pt>
                <c:pt idx="36">
                  <c:v>66.8</c:v>
                </c:pt>
                <c:pt idx="37">
                  <c:v>66.7</c:v>
                </c:pt>
                <c:pt idx="38">
                  <c:v>64.5</c:v>
                </c:pt>
                <c:pt idx="39">
                  <c:v>62.4</c:v>
                </c:pt>
                <c:pt idx="40">
                  <c:v>59.5</c:v>
                </c:pt>
                <c:pt idx="41">
                  <c:v>59.7</c:v>
                </c:pt>
                <c:pt idx="42">
                  <c:v>56.9</c:v>
                </c:pt>
                <c:pt idx="43">
                  <c:v>58</c:v>
                </c:pt>
                <c:pt idx="44">
                  <c:v>55.7</c:v>
                </c:pt>
                <c:pt idx="45">
                  <c:v>55</c:v>
                </c:pt>
                <c:pt idx="46">
                  <c:v>53.2</c:v>
                </c:pt>
                <c:pt idx="47">
                  <c:v>49.1</c:v>
                </c:pt>
                <c:pt idx="48">
                  <c:v>54.1</c:v>
                </c:pt>
                <c:pt idx="49">
                  <c:v>47.9</c:v>
                </c:pt>
                <c:pt idx="50">
                  <c:v>48.1</c:v>
                </c:pt>
                <c:pt idx="51">
                  <c:v>47.3</c:v>
                </c:pt>
                <c:pt idx="52">
                  <c:v>49</c:v>
                </c:pt>
                <c:pt idx="53">
                  <c:v>47.8</c:v>
                </c:pt>
                <c:pt idx="54">
                  <c:v>45.4</c:v>
                </c:pt>
                <c:pt idx="55">
                  <c:v>43.5</c:v>
                </c:pt>
                <c:pt idx="56">
                  <c:v>45.7</c:v>
                </c:pt>
                <c:pt idx="57">
                  <c:v>45.6</c:v>
                </c:pt>
                <c:pt idx="58">
                  <c:v>44.4</c:v>
                </c:pt>
                <c:pt idx="59">
                  <c:v>43.3</c:v>
                </c:pt>
                <c:pt idx="60">
                  <c:v>39</c:v>
                </c:pt>
                <c:pt idx="61">
                  <c:v>44.7</c:v>
                </c:pt>
                <c:pt idx="62">
                  <c:v>40.5</c:v>
                </c:pt>
                <c:pt idx="63">
                  <c:v>41.1</c:v>
                </c:pt>
                <c:pt idx="64">
                  <c:v>36.700000000000003</c:v>
                </c:pt>
                <c:pt idx="65">
                  <c:v>38.5</c:v>
                </c:pt>
                <c:pt idx="66">
                  <c:v>36.1</c:v>
                </c:pt>
                <c:pt idx="67">
                  <c:v>37.700000000000003</c:v>
                </c:pt>
                <c:pt idx="68">
                  <c:v>39</c:v>
                </c:pt>
                <c:pt idx="69">
                  <c:v>34.6</c:v>
                </c:pt>
                <c:pt idx="70">
                  <c:v>37</c:v>
                </c:pt>
                <c:pt idx="71">
                  <c:v>37.6</c:v>
                </c:pt>
                <c:pt idx="72">
                  <c:v>33.299999999999997</c:v>
                </c:pt>
                <c:pt idx="73">
                  <c:v>35.799999999999997</c:v>
                </c:pt>
                <c:pt idx="74">
                  <c:v>34.299999999999997</c:v>
                </c:pt>
                <c:pt idx="75">
                  <c:v>38.299999999999997</c:v>
                </c:pt>
                <c:pt idx="76">
                  <c:v>32.299999999999997</c:v>
                </c:pt>
                <c:pt idx="77">
                  <c:v>33.6</c:v>
                </c:pt>
                <c:pt idx="78">
                  <c:v>33.32</c:v>
                </c:pt>
                <c:pt idx="79">
                  <c:v>29.85</c:v>
                </c:pt>
                <c:pt idx="80">
                  <c:v>28.37</c:v>
                </c:pt>
                <c:pt idx="81">
                  <c:v>26.74</c:v>
                </c:pt>
                <c:pt idx="82">
                  <c:v>25.84</c:v>
                </c:pt>
                <c:pt idx="83">
                  <c:v>24.72</c:v>
                </c:pt>
                <c:pt idx="84">
                  <c:v>23.8</c:v>
                </c:pt>
                <c:pt idx="85">
                  <c:v>23.25</c:v>
                </c:pt>
                <c:pt idx="86">
                  <c:v>22.09</c:v>
                </c:pt>
                <c:pt idx="87">
                  <c:v>21.52</c:v>
                </c:pt>
                <c:pt idx="88">
                  <c:v>20.74</c:v>
                </c:pt>
                <c:pt idx="89">
                  <c:v>20.49</c:v>
                </c:pt>
                <c:pt idx="90">
                  <c:v>19.64</c:v>
                </c:pt>
                <c:pt idx="91">
                  <c:v>19.79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Data2'!$G$140:$CT$140</c:f>
              <c:numCache>
                <c:formatCode>General</c:formatCode>
                <c:ptCount val="92"/>
                <c:pt idx="0">
                  <c:v>136</c:v>
                </c:pt>
                <c:pt idx="1">
                  <c:v>139</c:v>
                </c:pt>
                <c:pt idx="2">
                  <c:v>153</c:v>
                </c:pt>
                <c:pt idx="3">
                  <c:v>153</c:v>
                </c:pt>
                <c:pt idx="4">
                  <c:v>132</c:v>
                </c:pt>
                <c:pt idx="5">
                  <c:v>150</c:v>
                </c:pt>
                <c:pt idx="6">
                  <c:v>142</c:v>
                </c:pt>
                <c:pt idx="7">
                  <c:v>145</c:v>
                </c:pt>
                <c:pt idx="8">
                  <c:v>133</c:v>
                </c:pt>
                <c:pt idx="9">
                  <c:v>134</c:v>
                </c:pt>
                <c:pt idx="10">
                  <c:v>147</c:v>
                </c:pt>
                <c:pt idx="11">
                  <c:v>128</c:v>
                </c:pt>
                <c:pt idx="12">
                  <c:v>130</c:v>
                </c:pt>
                <c:pt idx="13">
                  <c:v>145</c:v>
                </c:pt>
                <c:pt idx="14">
                  <c:v>135</c:v>
                </c:pt>
                <c:pt idx="15">
                  <c:v>134</c:v>
                </c:pt>
                <c:pt idx="16">
                  <c:v>118</c:v>
                </c:pt>
                <c:pt idx="17">
                  <c:v>125</c:v>
                </c:pt>
                <c:pt idx="18">
                  <c:v>132</c:v>
                </c:pt>
                <c:pt idx="19">
                  <c:v>132</c:v>
                </c:pt>
                <c:pt idx="20">
                  <c:v>134.80000000000001</c:v>
                </c:pt>
                <c:pt idx="21">
                  <c:v>132.9</c:v>
                </c:pt>
                <c:pt idx="22">
                  <c:v>123.1</c:v>
                </c:pt>
                <c:pt idx="23">
                  <c:v>124.3</c:v>
                </c:pt>
                <c:pt idx="24">
                  <c:v>118.5</c:v>
                </c:pt>
                <c:pt idx="25">
                  <c:v>112.7</c:v>
                </c:pt>
                <c:pt idx="26">
                  <c:v>108.4</c:v>
                </c:pt>
                <c:pt idx="27">
                  <c:v>104.1</c:v>
                </c:pt>
                <c:pt idx="28">
                  <c:v>104.4</c:v>
                </c:pt>
                <c:pt idx="29">
                  <c:v>98.1</c:v>
                </c:pt>
                <c:pt idx="30">
                  <c:v>96.6</c:v>
                </c:pt>
                <c:pt idx="31">
                  <c:v>91</c:v>
                </c:pt>
                <c:pt idx="32">
                  <c:v>91.9</c:v>
                </c:pt>
                <c:pt idx="33">
                  <c:v>84.1</c:v>
                </c:pt>
                <c:pt idx="34">
                  <c:v>84.4</c:v>
                </c:pt>
                <c:pt idx="35">
                  <c:v>81.8</c:v>
                </c:pt>
                <c:pt idx="36">
                  <c:v>80.2</c:v>
                </c:pt>
                <c:pt idx="37">
                  <c:v>77.400000000000006</c:v>
                </c:pt>
                <c:pt idx="38">
                  <c:v>73.2</c:v>
                </c:pt>
                <c:pt idx="39">
                  <c:v>78.8</c:v>
                </c:pt>
                <c:pt idx="40">
                  <c:v>72</c:v>
                </c:pt>
                <c:pt idx="41">
                  <c:v>68.5</c:v>
                </c:pt>
                <c:pt idx="42">
                  <c:v>65.400000000000006</c:v>
                </c:pt>
                <c:pt idx="43">
                  <c:v>66</c:v>
                </c:pt>
                <c:pt idx="44">
                  <c:v>63.8</c:v>
                </c:pt>
                <c:pt idx="45">
                  <c:v>62.2</c:v>
                </c:pt>
                <c:pt idx="46">
                  <c:v>62.6</c:v>
                </c:pt>
                <c:pt idx="47">
                  <c:v>60.4</c:v>
                </c:pt>
                <c:pt idx="48">
                  <c:v>58</c:v>
                </c:pt>
                <c:pt idx="49">
                  <c:v>56.9</c:v>
                </c:pt>
                <c:pt idx="50">
                  <c:v>51.4</c:v>
                </c:pt>
                <c:pt idx="51">
                  <c:v>53.5</c:v>
                </c:pt>
                <c:pt idx="52">
                  <c:v>53.7</c:v>
                </c:pt>
                <c:pt idx="53">
                  <c:v>52.1</c:v>
                </c:pt>
                <c:pt idx="54">
                  <c:v>50.3</c:v>
                </c:pt>
                <c:pt idx="55">
                  <c:v>50.9</c:v>
                </c:pt>
                <c:pt idx="56">
                  <c:v>46.1</c:v>
                </c:pt>
                <c:pt idx="57">
                  <c:v>49.4</c:v>
                </c:pt>
                <c:pt idx="58">
                  <c:v>47</c:v>
                </c:pt>
                <c:pt idx="59">
                  <c:v>45.3</c:v>
                </c:pt>
                <c:pt idx="60">
                  <c:v>46.7</c:v>
                </c:pt>
                <c:pt idx="61">
                  <c:v>44.8</c:v>
                </c:pt>
                <c:pt idx="62">
                  <c:v>45.4</c:v>
                </c:pt>
                <c:pt idx="63">
                  <c:v>43.2</c:v>
                </c:pt>
                <c:pt idx="64">
                  <c:v>42.3</c:v>
                </c:pt>
                <c:pt idx="65">
                  <c:v>42.3</c:v>
                </c:pt>
                <c:pt idx="66">
                  <c:v>40.6</c:v>
                </c:pt>
                <c:pt idx="67">
                  <c:v>39.799999999999997</c:v>
                </c:pt>
                <c:pt idx="68">
                  <c:v>41.5</c:v>
                </c:pt>
                <c:pt idx="69">
                  <c:v>39.200000000000003</c:v>
                </c:pt>
                <c:pt idx="70">
                  <c:v>40.4</c:v>
                </c:pt>
                <c:pt idx="71">
                  <c:v>39.299999999999997</c:v>
                </c:pt>
                <c:pt idx="72">
                  <c:v>35.9</c:v>
                </c:pt>
                <c:pt idx="73">
                  <c:v>34.700000000000003</c:v>
                </c:pt>
                <c:pt idx="74">
                  <c:v>37.299999999999997</c:v>
                </c:pt>
                <c:pt idx="75">
                  <c:v>38.1</c:v>
                </c:pt>
                <c:pt idx="76">
                  <c:v>39.4</c:v>
                </c:pt>
                <c:pt idx="77">
                  <c:v>33</c:v>
                </c:pt>
                <c:pt idx="78">
                  <c:v>35.31</c:v>
                </c:pt>
                <c:pt idx="79">
                  <c:v>32.11</c:v>
                </c:pt>
                <c:pt idx="80">
                  <c:v>29.71</c:v>
                </c:pt>
                <c:pt idx="81">
                  <c:v>27.61</c:v>
                </c:pt>
                <c:pt idx="82">
                  <c:v>25.66</c:v>
                </c:pt>
                <c:pt idx="83">
                  <c:v>24.97</c:v>
                </c:pt>
                <c:pt idx="84">
                  <c:v>24.16</c:v>
                </c:pt>
                <c:pt idx="85">
                  <c:v>22.31</c:v>
                </c:pt>
                <c:pt idx="86">
                  <c:v>22.22</c:v>
                </c:pt>
                <c:pt idx="87">
                  <c:v>21.54</c:v>
                </c:pt>
                <c:pt idx="88">
                  <c:v>20.98</c:v>
                </c:pt>
                <c:pt idx="89">
                  <c:v>19.989999999999998</c:v>
                </c:pt>
                <c:pt idx="90">
                  <c:v>19.36</c:v>
                </c:pt>
                <c:pt idx="91">
                  <c:v>18.91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Data2'!$G$141:$CT$141</c:f>
              <c:numCache>
                <c:formatCode>General</c:formatCode>
                <c:ptCount val="92"/>
                <c:pt idx="0">
                  <c:v>116</c:v>
                </c:pt>
                <c:pt idx="1">
                  <c:v>121</c:v>
                </c:pt>
                <c:pt idx="2">
                  <c:v>118</c:v>
                </c:pt>
                <c:pt idx="3">
                  <c:v>105</c:v>
                </c:pt>
                <c:pt idx="4">
                  <c:v>107</c:v>
                </c:pt>
                <c:pt idx="5">
                  <c:v>107</c:v>
                </c:pt>
                <c:pt idx="6">
                  <c:v>102</c:v>
                </c:pt>
                <c:pt idx="7">
                  <c:v>112</c:v>
                </c:pt>
                <c:pt idx="8">
                  <c:v>106</c:v>
                </c:pt>
                <c:pt idx="9">
                  <c:v>109</c:v>
                </c:pt>
                <c:pt idx="10">
                  <c:v>130</c:v>
                </c:pt>
                <c:pt idx="11">
                  <c:v>127</c:v>
                </c:pt>
                <c:pt idx="12">
                  <c:v>110</c:v>
                </c:pt>
                <c:pt idx="13">
                  <c:v>125</c:v>
                </c:pt>
                <c:pt idx="14">
                  <c:v>114</c:v>
                </c:pt>
                <c:pt idx="15">
                  <c:v>114</c:v>
                </c:pt>
                <c:pt idx="16">
                  <c:v>121</c:v>
                </c:pt>
                <c:pt idx="17">
                  <c:v>106</c:v>
                </c:pt>
                <c:pt idx="18">
                  <c:v>106</c:v>
                </c:pt>
                <c:pt idx="19">
                  <c:v>118</c:v>
                </c:pt>
                <c:pt idx="20">
                  <c:v>112.7</c:v>
                </c:pt>
                <c:pt idx="21">
                  <c:v>109.5</c:v>
                </c:pt>
                <c:pt idx="22">
                  <c:v>106.7</c:v>
                </c:pt>
                <c:pt idx="23">
                  <c:v>102.3</c:v>
                </c:pt>
                <c:pt idx="24">
                  <c:v>102.6</c:v>
                </c:pt>
                <c:pt idx="25">
                  <c:v>93.2</c:v>
                </c:pt>
                <c:pt idx="26">
                  <c:v>89.7</c:v>
                </c:pt>
                <c:pt idx="27">
                  <c:v>92.3</c:v>
                </c:pt>
                <c:pt idx="28">
                  <c:v>88.7</c:v>
                </c:pt>
                <c:pt idx="29">
                  <c:v>85.5</c:v>
                </c:pt>
                <c:pt idx="30">
                  <c:v>81</c:v>
                </c:pt>
                <c:pt idx="31">
                  <c:v>80.900000000000006</c:v>
                </c:pt>
                <c:pt idx="32">
                  <c:v>77.2</c:v>
                </c:pt>
                <c:pt idx="33">
                  <c:v>74</c:v>
                </c:pt>
                <c:pt idx="34">
                  <c:v>70.8</c:v>
                </c:pt>
                <c:pt idx="35">
                  <c:v>71.900000000000006</c:v>
                </c:pt>
                <c:pt idx="36">
                  <c:v>70.400000000000006</c:v>
                </c:pt>
                <c:pt idx="37">
                  <c:v>66.7</c:v>
                </c:pt>
                <c:pt idx="38">
                  <c:v>67.3</c:v>
                </c:pt>
                <c:pt idx="39">
                  <c:v>67.3</c:v>
                </c:pt>
                <c:pt idx="40">
                  <c:v>63.1</c:v>
                </c:pt>
                <c:pt idx="41">
                  <c:v>62.1</c:v>
                </c:pt>
                <c:pt idx="42">
                  <c:v>60.3</c:v>
                </c:pt>
                <c:pt idx="43">
                  <c:v>62.1</c:v>
                </c:pt>
                <c:pt idx="44">
                  <c:v>59.7</c:v>
                </c:pt>
                <c:pt idx="45">
                  <c:v>59.6</c:v>
                </c:pt>
                <c:pt idx="46">
                  <c:v>58.3</c:v>
                </c:pt>
                <c:pt idx="47">
                  <c:v>56</c:v>
                </c:pt>
                <c:pt idx="48">
                  <c:v>53.4</c:v>
                </c:pt>
                <c:pt idx="49">
                  <c:v>53.4</c:v>
                </c:pt>
                <c:pt idx="50">
                  <c:v>51.8</c:v>
                </c:pt>
                <c:pt idx="51">
                  <c:v>51.2</c:v>
                </c:pt>
                <c:pt idx="52">
                  <c:v>47</c:v>
                </c:pt>
                <c:pt idx="53">
                  <c:v>50.4</c:v>
                </c:pt>
                <c:pt idx="54">
                  <c:v>47.7</c:v>
                </c:pt>
                <c:pt idx="55">
                  <c:v>48.2</c:v>
                </c:pt>
                <c:pt idx="56">
                  <c:v>48.3</c:v>
                </c:pt>
                <c:pt idx="57">
                  <c:v>47.5</c:v>
                </c:pt>
                <c:pt idx="58">
                  <c:v>45.2</c:v>
                </c:pt>
                <c:pt idx="59">
                  <c:v>46.1</c:v>
                </c:pt>
                <c:pt idx="60">
                  <c:v>46.3</c:v>
                </c:pt>
                <c:pt idx="61">
                  <c:v>44.8</c:v>
                </c:pt>
                <c:pt idx="62">
                  <c:v>41.5</c:v>
                </c:pt>
                <c:pt idx="63">
                  <c:v>42.2</c:v>
                </c:pt>
                <c:pt idx="64">
                  <c:v>44.2</c:v>
                </c:pt>
                <c:pt idx="65">
                  <c:v>43</c:v>
                </c:pt>
                <c:pt idx="66">
                  <c:v>42.4</c:v>
                </c:pt>
                <c:pt idx="67">
                  <c:v>38.799999999999997</c:v>
                </c:pt>
                <c:pt idx="68">
                  <c:v>40.799999999999997</c:v>
                </c:pt>
                <c:pt idx="69">
                  <c:v>40.700000000000003</c:v>
                </c:pt>
                <c:pt idx="70">
                  <c:v>42.3</c:v>
                </c:pt>
                <c:pt idx="71">
                  <c:v>37.700000000000003</c:v>
                </c:pt>
                <c:pt idx="72">
                  <c:v>38.6</c:v>
                </c:pt>
                <c:pt idx="73">
                  <c:v>36.299999999999997</c:v>
                </c:pt>
                <c:pt idx="74">
                  <c:v>35.299999999999997</c:v>
                </c:pt>
                <c:pt idx="75">
                  <c:v>38.5</c:v>
                </c:pt>
                <c:pt idx="76">
                  <c:v>34.6</c:v>
                </c:pt>
                <c:pt idx="77">
                  <c:v>37.1</c:v>
                </c:pt>
                <c:pt idx="78">
                  <c:v>34.43</c:v>
                </c:pt>
                <c:pt idx="79">
                  <c:v>32.21</c:v>
                </c:pt>
                <c:pt idx="80">
                  <c:v>30.92</c:v>
                </c:pt>
                <c:pt idx="81">
                  <c:v>29.14</c:v>
                </c:pt>
                <c:pt idx="82">
                  <c:v>28.05</c:v>
                </c:pt>
                <c:pt idx="83">
                  <c:v>26.1</c:v>
                </c:pt>
                <c:pt idx="84">
                  <c:v>24.8</c:v>
                </c:pt>
                <c:pt idx="85">
                  <c:v>23.99</c:v>
                </c:pt>
                <c:pt idx="86">
                  <c:v>23.17</c:v>
                </c:pt>
                <c:pt idx="87">
                  <c:v>22.64</c:v>
                </c:pt>
                <c:pt idx="88">
                  <c:v>21.85</c:v>
                </c:pt>
                <c:pt idx="89">
                  <c:v>21.24</c:v>
                </c:pt>
                <c:pt idx="90">
                  <c:v>21.45</c:v>
                </c:pt>
                <c:pt idx="91">
                  <c:v>20.56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Data2'!$G$142:$CT$142</c:f>
              <c:numCache>
                <c:formatCode>General</c:formatCode>
                <c:ptCount val="92"/>
                <c:pt idx="0">
                  <c:v>295</c:v>
                </c:pt>
                <c:pt idx="1">
                  <c:v>270</c:v>
                </c:pt>
                <c:pt idx="2">
                  <c:v>266</c:v>
                </c:pt>
                <c:pt idx="3">
                  <c:v>236</c:v>
                </c:pt>
                <c:pt idx="4">
                  <c:v>263</c:v>
                </c:pt>
                <c:pt idx="5">
                  <c:v>261</c:v>
                </c:pt>
                <c:pt idx="6">
                  <c:v>251</c:v>
                </c:pt>
                <c:pt idx="7">
                  <c:v>238</c:v>
                </c:pt>
                <c:pt idx="8">
                  <c:v>257</c:v>
                </c:pt>
                <c:pt idx="9">
                  <c:v>275</c:v>
                </c:pt>
                <c:pt idx="10">
                  <c:v>262</c:v>
                </c:pt>
                <c:pt idx="11">
                  <c:v>256</c:v>
                </c:pt>
                <c:pt idx="12">
                  <c:v>241</c:v>
                </c:pt>
                <c:pt idx="13">
                  <c:v>259</c:v>
                </c:pt>
                <c:pt idx="14">
                  <c:v>251</c:v>
                </c:pt>
                <c:pt idx="15">
                  <c:v>243</c:v>
                </c:pt>
                <c:pt idx="16">
                  <c:v>259</c:v>
                </c:pt>
                <c:pt idx="17">
                  <c:v>270</c:v>
                </c:pt>
                <c:pt idx="18">
                  <c:v>260</c:v>
                </c:pt>
                <c:pt idx="19">
                  <c:v>256</c:v>
                </c:pt>
                <c:pt idx="20">
                  <c:v>254.2</c:v>
                </c:pt>
                <c:pt idx="21">
                  <c:v>242.1</c:v>
                </c:pt>
                <c:pt idx="22">
                  <c:v>233.6</c:v>
                </c:pt>
                <c:pt idx="23">
                  <c:v>232.4</c:v>
                </c:pt>
                <c:pt idx="24">
                  <c:v>220</c:v>
                </c:pt>
                <c:pt idx="25">
                  <c:v>218.1</c:v>
                </c:pt>
                <c:pt idx="26">
                  <c:v>200.9</c:v>
                </c:pt>
                <c:pt idx="27">
                  <c:v>191.3</c:v>
                </c:pt>
                <c:pt idx="28">
                  <c:v>196.3</c:v>
                </c:pt>
                <c:pt idx="29">
                  <c:v>189.8</c:v>
                </c:pt>
                <c:pt idx="30">
                  <c:v>180</c:v>
                </c:pt>
                <c:pt idx="31">
                  <c:v>169.7</c:v>
                </c:pt>
                <c:pt idx="32">
                  <c:v>166.4</c:v>
                </c:pt>
                <c:pt idx="33">
                  <c:v>158.80000000000001</c:v>
                </c:pt>
                <c:pt idx="34">
                  <c:v>154.9</c:v>
                </c:pt>
                <c:pt idx="35">
                  <c:v>150.4</c:v>
                </c:pt>
                <c:pt idx="36">
                  <c:v>142.9</c:v>
                </c:pt>
                <c:pt idx="37">
                  <c:v>140.4</c:v>
                </c:pt>
                <c:pt idx="38">
                  <c:v>135.4</c:v>
                </c:pt>
                <c:pt idx="39">
                  <c:v>133</c:v>
                </c:pt>
                <c:pt idx="40">
                  <c:v>129.5</c:v>
                </c:pt>
                <c:pt idx="41">
                  <c:v>129</c:v>
                </c:pt>
                <c:pt idx="42">
                  <c:v>119.1</c:v>
                </c:pt>
                <c:pt idx="43">
                  <c:v>120.4</c:v>
                </c:pt>
                <c:pt idx="44">
                  <c:v>117.5</c:v>
                </c:pt>
                <c:pt idx="45">
                  <c:v>112.5</c:v>
                </c:pt>
                <c:pt idx="46">
                  <c:v>106.5</c:v>
                </c:pt>
                <c:pt idx="47">
                  <c:v>109.7</c:v>
                </c:pt>
                <c:pt idx="48">
                  <c:v>101.4</c:v>
                </c:pt>
                <c:pt idx="49">
                  <c:v>96</c:v>
                </c:pt>
                <c:pt idx="50">
                  <c:v>99.3</c:v>
                </c:pt>
                <c:pt idx="51">
                  <c:v>97.5</c:v>
                </c:pt>
                <c:pt idx="52">
                  <c:v>93.5</c:v>
                </c:pt>
                <c:pt idx="53">
                  <c:v>95.6</c:v>
                </c:pt>
                <c:pt idx="54">
                  <c:v>94.6</c:v>
                </c:pt>
                <c:pt idx="55">
                  <c:v>90.5</c:v>
                </c:pt>
                <c:pt idx="56">
                  <c:v>90</c:v>
                </c:pt>
                <c:pt idx="57">
                  <c:v>92.6</c:v>
                </c:pt>
                <c:pt idx="58">
                  <c:v>82.4</c:v>
                </c:pt>
                <c:pt idx="59">
                  <c:v>85.6</c:v>
                </c:pt>
                <c:pt idx="60">
                  <c:v>84.5</c:v>
                </c:pt>
                <c:pt idx="61">
                  <c:v>84.8</c:v>
                </c:pt>
                <c:pt idx="62">
                  <c:v>76.900000000000006</c:v>
                </c:pt>
                <c:pt idx="63">
                  <c:v>77.099999999999994</c:v>
                </c:pt>
                <c:pt idx="64">
                  <c:v>78.400000000000006</c:v>
                </c:pt>
                <c:pt idx="65">
                  <c:v>75.900000000000006</c:v>
                </c:pt>
                <c:pt idx="66">
                  <c:v>78.599999999999994</c:v>
                </c:pt>
                <c:pt idx="67">
                  <c:v>78.5</c:v>
                </c:pt>
                <c:pt idx="68">
                  <c:v>70.099999999999994</c:v>
                </c:pt>
                <c:pt idx="69">
                  <c:v>74.900000000000006</c:v>
                </c:pt>
                <c:pt idx="70">
                  <c:v>66.599999999999994</c:v>
                </c:pt>
                <c:pt idx="71">
                  <c:v>69.5</c:v>
                </c:pt>
                <c:pt idx="72">
                  <c:v>69.099999999999994</c:v>
                </c:pt>
                <c:pt idx="73">
                  <c:v>67.5</c:v>
                </c:pt>
                <c:pt idx="74">
                  <c:v>70.900000000000006</c:v>
                </c:pt>
                <c:pt idx="75">
                  <c:v>68.5</c:v>
                </c:pt>
                <c:pt idx="76">
                  <c:v>65.900000000000006</c:v>
                </c:pt>
                <c:pt idx="77">
                  <c:v>40.799999999999997</c:v>
                </c:pt>
                <c:pt idx="78">
                  <c:v>62.68</c:v>
                </c:pt>
                <c:pt idx="79">
                  <c:v>54.33</c:v>
                </c:pt>
                <c:pt idx="80">
                  <c:v>50.55</c:v>
                </c:pt>
                <c:pt idx="81">
                  <c:v>47.94</c:v>
                </c:pt>
                <c:pt idx="82">
                  <c:v>43.05</c:v>
                </c:pt>
                <c:pt idx="83">
                  <c:v>40.17</c:v>
                </c:pt>
                <c:pt idx="84">
                  <c:v>38.909999999999997</c:v>
                </c:pt>
                <c:pt idx="85">
                  <c:v>37.130000000000003</c:v>
                </c:pt>
                <c:pt idx="86">
                  <c:v>35.65</c:v>
                </c:pt>
                <c:pt idx="87">
                  <c:v>33.36</c:v>
                </c:pt>
                <c:pt idx="88">
                  <c:v>32.22</c:v>
                </c:pt>
                <c:pt idx="89">
                  <c:v>31.2</c:v>
                </c:pt>
                <c:pt idx="90">
                  <c:v>30.23</c:v>
                </c:pt>
                <c:pt idx="91">
                  <c:v>28.78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Data2'!$G$143:$CT$143</c:f>
              <c:numCache>
                <c:formatCode>General</c:formatCode>
                <c:ptCount val="92"/>
                <c:pt idx="0">
                  <c:v>121</c:v>
                </c:pt>
                <c:pt idx="1">
                  <c:v>128</c:v>
                </c:pt>
                <c:pt idx="2">
                  <c:v>114</c:v>
                </c:pt>
                <c:pt idx="3">
                  <c:v>126</c:v>
                </c:pt>
                <c:pt idx="4">
                  <c:v>133</c:v>
                </c:pt>
                <c:pt idx="5">
                  <c:v>121</c:v>
                </c:pt>
                <c:pt idx="6">
                  <c:v>124</c:v>
                </c:pt>
                <c:pt idx="7">
                  <c:v>124</c:v>
                </c:pt>
                <c:pt idx="8">
                  <c:v>126</c:v>
                </c:pt>
                <c:pt idx="9">
                  <c:v>123</c:v>
                </c:pt>
                <c:pt idx="10">
                  <c:v>128</c:v>
                </c:pt>
                <c:pt idx="11">
                  <c:v>115</c:v>
                </c:pt>
                <c:pt idx="12">
                  <c:v>120</c:v>
                </c:pt>
                <c:pt idx="13">
                  <c:v>124</c:v>
                </c:pt>
                <c:pt idx="14">
                  <c:v>120</c:v>
                </c:pt>
                <c:pt idx="15">
                  <c:v>124</c:v>
                </c:pt>
                <c:pt idx="16">
                  <c:v>114</c:v>
                </c:pt>
                <c:pt idx="17">
                  <c:v>144</c:v>
                </c:pt>
                <c:pt idx="18">
                  <c:v>120</c:v>
                </c:pt>
                <c:pt idx="19">
                  <c:v>116</c:v>
                </c:pt>
                <c:pt idx="20">
                  <c:v>120.6</c:v>
                </c:pt>
                <c:pt idx="21">
                  <c:v>125.6</c:v>
                </c:pt>
                <c:pt idx="22">
                  <c:v>119.1</c:v>
                </c:pt>
                <c:pt idx="23">
                  <c:v>111.7</c:v>
                </c:pt>
                <c:pt idx="24">
                  <c:v>107.4</c:v>
                </c:pt>
                <c:pt idx="25">
                  <c:v>109.2</c:v>
                </c:pt>
                <c:pt idx="26">
                  <c:v>106.4</c:v>
                </c:pt>
                <c:pt idx="27">
                  <c:v>97.7</c:v>
                </c:pt>
                <c:pt idx="28">
                  <c:v>98.5</c:v>
                </c:pt>
                <c:pt idx="29">
                  <c:v>93.2</c:v>
                </c:pt>
                <c:pt idx="30">
                  <c:v>96.2</c:v>
                </c:pt>
                <c:pt idx="31">
                  <c:v>85.8</c:v>
                </c:pt>
                <c:pt idx="32">
                  <c:v>87.2</c:v>
                </c:pt>
                <c:pt idx="33">
                  <c:v>86.8</c:v>
                </c:pt>
                <c:pt idx="34">
                  <c:v>83</c:v>
                </c:pt>
                <c:pt idx="35">
                  <c:v>80.8</c:v>
                </c:pt>
                <c:pt idx="36">
                  <c:v>79.7</c:v>
                </c:pt>
                <c:pt idx="37">
                  <c:v>78</c:v>
                </c:pt>
                <c:pt idx="38">
                  <c:v>71.900000000000006</c:v>
                </c:pt>
                <c:pt idx="39">
                  <c:v>75.7</c:v>
                </c:pt>
                <c:pt idx="40">
                  <c:v>74.5</c:v>
                </c:pt>
                <c:pt idx="41">
                  <c:v>71</c:v>
                </c:pt>
                <c:pt idx="42">
                  <c:v>71.8</c:v>
                </c:pt>
                <c:pt idx="43">
                  <c:v>63.2</c:v>
                </c:pt>
                <c:pt idx="44">
                  <c:v>64.400000000000006</c:v>
                </c:pt>
                <c:pt idx="45">
                  <c:v>64.7</c:v>
                </c:pt>
                <c:pt idx="46">
                  <c:v>62.9</c:v>
                </c:pt>
                <c:pt idx="47">
                  <c:v>62.7</c:v>
                </c:pt>
                <c:pt idx="48">
                  <c:v>60.7</c:v>
                </c:pt>
                <c:pt idx="49">
                  <c:v>64</c:v>
                </c:pt>
                <c:pt idx="50">
                  <c:v>61.5</c:v>
                </c:pt>
                <c:pt idx="51">
                  <c:v>58.6</c:v>
                </c:pt>
                <c:pt idx="52">
                  <c:v>58.3</c:v>
                </c:pt>
                <c:pt idx="53">
                  <c:v>55.3</c:v>
                </c:pt>
                <c:pt idx="54">
                  <c:v>56</c:v>
                </c:pt>
                <c:pt idx="55">
                  <c:v>55.1</c:v>
                </c:pt>
                <c:pt idx="56">
                  <c:v>54</c:v>
                </c:pt>
                <c:pt idx="57">
                  <c:v>52.1</c:v>
                </c:pt>
                <c:pt idx="58">
                  <c:v>53.3</c:v>
                </c:pt>
                <c:pt idx="59">
                  <c:v>51.3</c:v>
                </c:pt>
                <c:pt idx="60">
                  <c:v>52.7</c:v>
                </c:pt>
                <c:pt idx="61">
                  <c:v>54.9</c:v>
                </c:pt>
                <c:pt idx="62">
                  <c:v>51.8</c:v>
                </c:pt>
                <c:pt idx="63">
                  <c:v>49.5</c:v>
                </c:pt>
                <c:pt idx="64">
                  <c:v>49.1</c:v>
                </c:pt>
                <c:pt idx="65">
                  <c:v>49</c:v>
                </c:pt>
                <c:pt idx="66">
                  <c:v>48.7</c:v>
                </c:pt>
                <c:pt idx="67">
                  <c:v>50.1</c:v>
                </c:pt>
                <c:pt idx="68">
                  <c:v>50</c:v>
                </c:pt>
                <c:pt idx="69">
                  <c:v>48.1</c:v>
                </c:pt>
                <c:pt idx="70">
                  <c:v>46.8</c:v>
                </c:pt>
                <c:pt idx="71">
                  <c:v>47.5</c:v>
                </c:pt>
                <c:pt idx="72">
                  <c:v>45.5</c:v>
                </c:pt>
                <c:pt idx="73">
                  <c:v>46</c:v>
                </c:pt>
                <c:pt idx="74">
                  <c:v>45.3</c:v>
                </c:pt>
                <c:pt idx="75">
                  <c:v>42.9</c:v>
                </c:pt>
                <c:pt idx="76">
                  <c:v>45.8</c:v>
                </c:pt>
                <c:pt idx="77">
                  <c:v>45.3</c:v>
                </c:pt>
                <c:pt idx="78">
                  <c:v>42.38</c:v>
                </c:pt>
                <c:pt idx="79">
                  <c:v>39.31</c:v>
                </c:pt>
                <c:pt idx="80">
                  <c:v>36.729999999999997</c:v>
                </c:pt>
                <c:pt idx="81">
                  <c:v>34.869999999999997</c:v>
                </c:pt>
                <c:pt idx="82">
                  <c:v>33.17</c:v>
                </c:pt>
                <c:pt idx="83">
                  <c:v>32.26</c:v>
                </c:pt>
                <c:pt idx="84">
                  <c:v>30.57</c:v>
                </c:pt>
                <c:pt idx="85">
                  <c:v>29.56</c:v>
                </c:pt>
                <c:pt idx="86">
                  <c:v>27.55</c:v>
                </c:pt>
                <c:pt idx="87">
                  <c:v>27.98</c:v>
                </c:pt>
                <c:pt idx="88">
                  <c:v>26.75</c:v>
                </c:pt>
                <c:pt idx="89">
                  <c:v>26.76</c:v>
                </c:pt>
                <c:pt idx="90">
                  <c:v>25.19</c:v>
                </c:pt>
                <c:pt idx="91">
                  <c:v>25.61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Data2'!$G$144:$CT$144</c:f>
              <c:numCache>
                <c:formatCode>General</c:formatCode>
                <c:ptCount val="9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12</c:v>
                </c:pt>
                <c:pt idx="4">
                  <c:v>12</c:v>
                </c:pt>
                <c:pt idx="5">
                  <c:v>7</c:v>
                </c:pt>
                <c:pt idx="6">
                  <c:v>13</c:v>
                </c:pt>
                <c:pt idx="7">
                  <c:v>11</c:v>
                </c:pt>
                <c:pt idx="8">
                  <c:v>9</c:v>
                </c:pt>
                <c:pt idx="9">
                  <c:v>13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8</c:v>
                </c:pt>
                <c:pt idx="14">
                  <c:v>12</c:v>
                </c:pt>
                <c:pt idx="15">
                  <c:v>7</c:v>
                </c:pt>
                <c:pt idx="16">
                  <c:v>11</c:v>
                </c:pt>
                <c:pt idx="17">
                  <c:v>10</c:v>
                </c:pt>
                <c:pt idx="18">
                  <c:v>7</c:v>
                </c:pt>
                <c:pt idx="19">
                  <c:v>8</c:v>
                </c:pt>
                <c:pt idx="20">
                  <c:v>8.6</c:v>
                </c:pt>
                <c:pt idx="21">
                  <c:v>11</c:v>
                </c:pt>
                <c:pt idx="22">
                  <c:v>10.6</c:v>
                </c:pt>
                <c:pt idx="23">
                  <c:v>9.5</c:v>
                </c:pt>
                <c:pt idx="24">
                  <c:v>9.6999999999999993</c:v>
                </c:pt>
                <c:pt idx="25">
                  <c:v>10.5</c:v>
                </c:pt>
                <c:pt idx="26">
                  <c:v>10.199999999999999</c:v>
                </c:pt>
                <c:pt idx="27">
                  <c:v>9.6</c:v>
                </c:pt>
                <c:pt idx="28">
                  <c:v>9.5</c:v>
                </c:pt>
                <c:pt idx="29">
                  <c:v>11.4</c:v>
                </c:pt>
                <c:pt idx="30">
                  <c:v>10.7</c:v>
                </c:pt>
                <c:pt idx="31">
                  <c:v>10.199999999999999</c:v>
                </c:pt>
                <c:pt idx="32">
                  <c:v>10.199999999999999</c:v>
                </c:pt>
                <c:pt idx="33">
                  <c:v>9.8000000000000007</c:v>
                </c:pt>
                <c:pt idx="34">
                  <c:v>10.7</c:v>
                </c:pt>
                <c:pt idx="35">
                  <c:v>10.3</c:v>
                </c:pt>
                <c:pt idx="36">
                  <c:v>11.8</c:v>
                </c:pt>
                <c:pt idx="37">
                  <c:v>10.4</c:v>
                </c:pt>
                <c:pt idx="38">
                  <c:v>11.2</c:v>
                </c:pt>
                <c:pt idx="39">
                  <c:v>8.8000000000000007</c:v>
                </c:pt>
                <c:pt idx="40">
                  <c:v>10.9</c:v>
                </c:pt>
                <c:pt idx="41">
                  <c:v>11</c:v>
                </c:pt>
                <c:pt idx="42">
                  <c:v>10</c:v>
                </c:pt>
                <c:pt idx="43">
                  <c:v>10.8</c:v>
                </c:pt>
                <c:pt idx="44">
                  <c:v>9.1</c:v>
                </c:pt>
                <c:pt idx="45">
                  <c:v>9.8000000000000007</c:v>
                </c:pt>
                <c:pt idx="46">
                  <c:v>10</c:v>
                </c:pt>
                <c:pt idx="47">
                  <c:v>10.9</c:v>
                </c:pt>
                <c:pt idx="48">
                  <c:v>9.4</c:v>
                </c:pt>
                <c:pt idx="49">
                  <c:v>11</c:v>
                </c:pt>
                <c:pt idx="50">
                  <c:v>9.6</c:v>
                </c:pt>
                <c:pt idx="51">
                  <c:v>10.199999999999999</c:v>
                </c:pt>
                <c:pt idx="52">
                  <c:v>8.4</c:v>
                </c:pt>
                <c:pt idx="53">
                  <c:v>9.5</c:v>
                </c:pt>
                <c:pt idx="54">
                  <c:v>10.4</c:v>
                </c:pt>
                <c:pt idx="55">
                  <c:v>10.3</c:v>
                </c:pt>
                <c:pt idx="56">
                  <c:v>8.5</c:v>
                </c:pt>
                <c:pt idx="57">
                  <c:v>9.5</c:v>
                </c:pt>
                <c:pt idx="58">
                  <c:v>10.199999999999999</c:v>
                </c:pt>
                <c:pt idx="59">
                  <c:v>8.4</c:v>
                </c:pt>
                <c:pt idx="60">
                  <c:v>10.9</c:v>
                </c:pt>
                <c:pt idx="61">
                  <c:v>9.6</c:v>
                </c:pt>
                <c:pt idx="62">
                  <c:v>9.8000000000000007</c:v>
                </c:pt>
                <c:pt idx="63">
                  <c:v>8.1</c:v>
                </c:pt>
                <c:pt idx="64">
                  <c:v>10.1</c:v>
                </c:pt>
                <c:pt idx="65">
                  <c:v>9.8000000000000007</c:v>
                </c:pt>
                <c:pt idx="66">
                  <c:v>9.5</c:v>
                </c:pt>
                <c:pt idx="67">
                  <c:v>8.9</c:v>
                </c:pt>
                <c:pt idx="68">
                  <c:v>9.1999999999999993</c:v>
                </c:pt>
                <c:pt idx="69">
                  <c:v>10.199999999999999</c:v>
                </c:pt>
                <c:pt idx="70">
                  <c:v>9</c:v>
                </c:pt>
                <c:pt idx="71">
                  <c:v>11</c:v>
                </c:pt>
                <c:pt idx="72">
                  <c:v>9.5</c:v>
                </c:pt>
                <c:pt idx="73">
                  <c:v>8.9</c:v>
                </c:pt>
                <c:pt idx="74">
                  <c:v>9</c:v>
                </c:pt>
                <c:pt idx="75">
                  <c:v>9.5</c:v>
                </c:pt>
                <c:pt idx="76">
                  <c:v>9.3000000000000007</c:v>
                </c:pt>
                <c:pt idx="77">
                  <c:v>8.8000000000000007</c:v>
                </c:pt>
                <c:pt idx="78">
                  <c:v>9.19</c:v>
                </c:pt>
                <c:pt idx="79">
                  <c:v>9.16</c:v>
                </c:pt>
                <c:pt idx="80">
                  <c:v>9.4499999999999993</c:v>
                </c:pt>
                <c:pt idx="81">
                  <c:v>8.93</c:v>
                </c:pt>
                <c:pt idx="82">
                  <c:v>8.84</c:v>
                </c:pt>
                <c:pt idx="83">
                  <c:v>8.9499999999999993</c:v>
                </c:pt>
                <c:pt idx="84">
                  <c:v>8.39</c:v>
                </c:pt>
                <c:pt idx="85">
                  <c:v>8.9600000000000009</c:v>
                </c:pt>
                <c:pt idx="86">
                  <c:v>8.82</c:v>
                </c:pt>
                <c:pt idx="87">
                  <c:v>8.99</c:v>
                </c:pt>
                <c:pt idx="88">
                  <c:v>8.68</c:v>
                </c:pt>
                <c:pt idx="89">
                  <c:v>8.66</c:v>
                </c:pt>
                <c:pt idx="90">
                  <c:v>8.59</c:v>
                </c:pt>
                <c:pt idx="91">
                  <c:v>8.5299999999999994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Data2'!$G$145:$CT$145</c:f>
              <c:numCache>
                <c:formatCode>General</c:formatCode>
                <c:ptCount val="92"/>
                <c:pt idx="0">
                  <c:v>103</c:v>
                </c:pt>
                <c:pt idx="1">
                  <c:v>118</c:v>
                </c:pt>
                <c:pt idx="2">
                  <c:v>111</c:v>
                </c:pt>
                <c:pt idx="3">
                  <c:v>114</c:v>
                </c:pt>
                <c:pt idx="4">
                  <c:v>104</c:v>
                </c:pt>
                <c:pt idx="5">
                  <c:v>116</c:v>
                </c:pt>
                <c:pt idx="6">
                  <c:v>95</c:v>
                </c:pt>
                <c:pt idx="7">
                  <c:v>109</c:v>
                </c:pt>
                <c:pt idx="8">
                  <c:v>113</c:v>
                </c:pt>
                <c:pt idx="9">
                  <c:v>114</c:v>
                </c:pt>
                <c:pt idx="10">
                  <c:v>124</c:v>
                </c:pt>
                <c:pt idx="11">
                  <c:v>111</c:v>
                </c:pt>
                <c:pt idx="12">
                  <c:v>114</c:v>
                </c:pt>
                <c:pt idx="13">
                  <c:v>108</c:v>
                </c:pt>
                <c:pt idx="14">
                  <c:v>112</c:v>
                </c:pt>
                <c:pt idx="15">
                  <c:v>114</c:v>
                </c:pt>
                <c:pt idx="16">
                  <c:v>117</c:v>
                </c:pt>
                <c:pt idx="17">
                  <c:v>116</c:v>
                </c:pt>
                <c:pt idx="18">
                  <c:v>112</c:v>
                </c:pt>
                <c:pt idx="19">
                  <c:v>102</c:v>
                </c:pt>
                <c:pt idx="20">
                  <c:v>112.6</c:v>
                </c:pt>
                <c:pt idx="21">
                  <c:v>107.4</c:v>
                </c:pt>
                <c:pt idx="22">
                  <c:v>101.8</c:v>
                </c:pt>
                <c:pt idx="23">
                  <c:v>97.6</c:v>
                </c:pt>
                <c:pt idx="24">
                  <c:v>95</c:v>
                </c:pt>
                <c:pt idx="25">
                  <c:v>94.1</c:v>
                </c:pt>
                <c:pt idx="26">
                  <c:v>90.1</c:v>
                </c:pt>
                <c:pt idx="27">
                  <c:v>85.7</c:v>
                </c:pt>
                <c:pt idx="28">
                  <c:v>80.5</c:v>
                </c:pt>
                <c:pt idx="29">
                  <c:v>77.599999999999994</c:v>
                </c:pt>
                <c:pt idx="30">
                  <c:v>75.900000000000006</c:v>
                </c:pt>
                <c:pt idx="31">
                  <c:v>76.3</c:v>
                </c:pt>
                <c:pt idx="32">
                  <c:v>74.099999999999994</c:v>
                </c:pt>
                <c:pt idx="33">
                  <c:v>71.7</c:v>
                </c:pt>
                <c:pt idx="34">
                  <c:v>68.599999999999994</c:v>
                </c:pt>
                <c:pt idx="35">
                  <c:v>65.099999999999994</c:v>
                </c:pt>
                <c:pt idx="36">
                  <c:v>63.7</c:v>
                </c:pt>
                <c:pt idx="37">
                  <c:v>62.3</c:v>
                </c:pt>
                <c:pt idx="38">
                  <c:v>61</c:v>
                </c:pt>
                <c:pt idx="39">
                  <c:v>58</c:v>
                </c:pt>
                <c:pt idx="40">
                  <c:v>56</c:v>
                </c:pt>
                <c:pt idx="41">
                  <c:v>55.7</c:v>
                </c:pt>
                <c:pt idx="42">
                  <c:v>55</c:v>
                </c:pt>
                <c:pt idx="43">
                  <c:v>58.4</c:v>
                </c:pt>
                <c:pt idx="44">
                  <c:v>51.9</c:v>
                </c:pt>
                <c:pt idx="45">
                  <c:v>50.3</c:v>
                </c:pt>
                <c:pt idx="46">
                  <c:v>48.1</c:v>
                </c:pt>
                <c:pt idx="47">
                  <c:v>50.4</c:v>
                </c:pt>
                <c:pt idx="48">
                  <c:v>48.4</c:v>
                </c:pt>
                <c:pt idx="49">
                  <c:v>46.5</c:v>
                </c:pt>
                <c:pt idx="50">
                  <c:v>49.1</c:v>
                </c:pt>
                <c:pt idx="51">
                  <c:v>44.4</c:v>
                </c:pt>
                <c:pt idx="52">
                  <c:v>44.6</c:v>
                </c:pt>
                <c:pt idx="53">
                  <c:v>44.1</c:v>
                </c:pt>
                <c:pt idx="54">
                  <c:v>43.5</c:v>
                </c:pt>
                <c:pt idx="55">
                  <c:v>45</c:v>
                </c:pt>
                <c:pt idx="56">
                  <c:v>43.6</c:v>
                </c:pt>
                <c:pt idx="57">
                  <c:v>39.200000000000003</c:v>
                </c:pt>
                <c:pt idx="58">
                  <c:v>41.9</c:v>
                </c:pt>
                <c:pt idx="59">
                  <c:v>40.9</c:v>
                </c:pt>
                <c:pt idx="60">
                  <c:v>39.6</c:v>
                </c:pt>
                <c:pt idx="61">
                  <c:v>38.6</c:v>
                </c:pt>
                <c:pt idx="62">
                  <c:v>39</c:v>
                </c:pt>
                <c:pt idx="63">
                  <c:v>39</c:v>
                </c:pt>
                <c:pt idx="64">
                  <c:v>34.700000000000003</c:v>
                </c:pt>
                <c:pt idx="65">
                  <c:v>37</c:v>
                </c:pt>
                <c:pt idx="66">
                  <c:v>36.4</c:v>
                </c:pt>
                <c:pt idx="67">
                  <c:v>36.1</c:v>
                </c:pt>
                <c:pt idx="68">
                  <c:v>34.9</c:v>
                </c:pt>
                <c:pt idx="69">
                  <c:v>34.9</c:v>
                </c:pt>
                <c:pt idx="70">
                  <c:v>35.9</c:v>
                </c:pt>
                <c:pt idx="71">
                  <c:v>34.5</c:v>
                </c:pt>
                <c:pt idx="72">
                  <c:v>34.799999999999997</c:v>
                </c:pt>
                <c:pt idx="73">
                  <c:v>33.799999999999997</c:v>
                </c:pt>
                <c:pt idx="74">
                  <c:v>34</c:v>
                </c:pt>
                <c:pt idx="75">
                  <c:v>28.1</c:v>
                </c:pt>
                <c:pt idx="76">
                  <c:v>31.4</c:v>
                </c:pt>
                <c:pt idx="77">
                  <c:v>30.5</c:v>
                </c:pt>
                <c:pt idx="78">
                  <c:v>30.51</c:v>
                </c:pt>
                <c:pt idx="79">
                  <c:v>27.7</c:v>
                </c:pt>
                <c:pt idx="80">
                  <c:v>25.83</c:v>
                </c:pt>
                <c:pt idx="81">
                  <c:v>24.23</c:v>
                </c:pt>
                <c:pt idx="82">
                  <c:v>23.01</c:v>
                </c:pt>
                <c:pt idx="83">
                  <c:v>21.97</c:v>
                </c:pt>
                <c:pt idx="84">
                  <c:v>21.23</c:v>
                </c:pt>
                <c:pt idx="85">
                  <c:v>20.149999999999999</c:v>
                </c:pt>
                <c:pt idx="86">
                  <c:v>19.600000000000001</c:v>
                </c:pt>
                <c:pt idx="87">
                  <c:v>19.11</c:v>
                </c:pt>
                <c:pt idx="88">
                  <c:v>18.21</c:v>
                </c:pt>
                <c:pt idx="89">
                  <c:v>17.8</c:v>
                </c:pt>
                <c:pt idx="90">
                  <c:v>17.559999999999999</c:v>
                </c:pt>
                <c:pt idx="91">
                  <c:v>16.79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Data2'!$G$146:$CT$146</c:f>
              <c:numCache>
                <c:formatCode>General</c:formatCode>
                <c:ptCount val="92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91</c:v>
                </c:pt>
                <c:pt idx="4">
                  <c:v>73</c:v>
                </c:pt>
                <c:pt idx="5">
                  <c:v>74</c:v>
                </c:pt>
                <c:pt idx="6">
                  <c:v>84</c:v>
                </c:pt>
                <c:pt idx="7">
                  <c:v>77</c:v>
                </c:pt>
                <c:pt idx="8">
                  <c:v>79</c:v>
                </c:pt>
                <c:pt idx="9">
                  <c:v>66</c:v>
                </c:pt>
                <c:pt idx="10">
                  <c:v>81</c:v>
                </c:pt>
                <c:pt idx="11">
                  <c:v>87</c:v>
                </c:pt>
                <c:pt idx="12">
                  <c:v>78</c:v>
                </c:pt>
                <c:pt idx="13">
                  <c:v>87</c:v>
                </c:pt>
                <c:pt idx="14">
                  <c:v>85</c:v>
                </c:pt>
                <c:pt idx="15">
                  <c:v>86</c:v>
                </c:pt>
                <c:pt idx="16">
                  <c:v>75</c:v>
                </c:pt>
                <c:pt idx="17">
                  <c:v>82</c:v>
                </c:pt>
                <c:pt idx="18">
                  <c:v>80</c:v>
                </c:pt>
                <c:pt idx="19">
                  <c:v>72</c:v>
                </c:pt>
                <c:pt idx="20">
                  <c:v>74</c:v>
                </c:pt>
                <c:pt idx="21">
                  <c:v>75.7</c:v>
                </c:pt>
                <c:pt idx="22">
                  <c:v>72.400000000000006</c:v>
                </c:pt>
                <c:pt idx="23">
                  <c:v>69.900000000000006</c:v>
                </c:pt>
                <c:pt idx="24">
                  <c:v>68.3</c:v>
                </c:pt>
                <c:pt idx="25">
                  <c:v>63.7</c:v>
                </c:pt>
                <c:pt idx="26">
                  <c:v>64.099999999999994</c:v>
                </c:pt>
                <c:pt idx="27">
                  <c:v>59.2</c:v>
                </c:pt>
                <c:pt idx="28">
                  <c:v>59.3</c:v>
                </c:pt>
                <c:pt idx="29">
                  <c:v>56.9</c:v>
                </c:pt>
                <c:pt idx="30">
                  <c:v>52.6</c:v>
                </c:pt>
                <c:pt idx="31">
                  <c:v>52.7</c:v>
                </c:pt>
                <c:pt idx="32">
                  <c:v>49.9</c:v>
                </c:pt>
                <c:pt idx="33">
                  <c:v>49.1</c:v>
                </c:pt>
                <c:pt idx="34">
                  <c:v>46.1</c:v>
                </c:pt>
                <c:pt idx="35">
                  <c:v>44.9</c:v>
                </c:pt>
                <c:pt idx="36">
                  <c:v>45</c:v>
                </c:pt>
                <c:pt idx="37">
                  <c:v>45.4</c:v>
                </c:pt>
                <c:pt idx="38">
                  <c:v>45.2</c:v>
                </c:pt>
                <c:pt idx="39">
                  <c:v>41.1</c:v>
                </c:pt>
                <c:pt idx="40">
                  <c:v>40.799999999999997</c:v>
                </c:pt>
                <c:pt idx="41">
                  <c:v>38.299999999999997</c:v>
                </c:pt>
                <c:pt idx="42">
                  <c:v>39</c:v>
                </c:pt>
                <c:pt idx="43">
                  <c:v>37.799999999999997</c:v>
                </c:pt>
                <c:pt idx="44">
                  <c:v>37.5</c:v>
                </c:pt>
                <c:pt idx="45">
                  <c:v>38.9</c:v>
                </c:pt>
                <c:pt idx="46">
                  <c:v>35.700000000000003</c:v>
                </c:pt>
                <c:pt idx="47">
                  <c:v>34.5</c:v>
                </c:pt>
                <c:pt idx="48">
                  <c:v>35.700000000000003</c:v>
                </c:pt>
                <c:pt idx="49">
                  <c:v>33.4</c:v>
                </c:pt>
                <c:pt idx="50">
                  <c:v>32.200000000000003</c:v>
                </c:pt>
                <c:pt idx="51">
                  <c:v>33.200000000000003</c:v>
                </c:pt>
                <c:pt idx="52">
                  <c:v>33.200000000000003</c:v>
                </c:pt>
                <c:pt idx="53">
                  <c:v>28.8</c:v>
                </c:pt>
                <c:pt idx="54">
                  <c:v>31.7</c:v>
                </c:pt>
                <c:pt idx="55">
                  <c:v>31</c:v>
                </c:pt>
                <c:pt idx="56">
                  <c:v>28.4</c:v>
                </c:pt>
                <c:pt idx="57">
                  <c:v>29.1</c:v>
                </c:pt>
                <c:pt idx="58">
                  <c:v>28</c:v>
                </c:pt>
                <c:pt idx="59">
                  <c:v>27.2</c:v>
                </c:pt>
                <c:pt idx="60">
                  <c:v>29</c:v>
                </c:pt>
                <c:pt idx="61">
                  <c:v>28.3</c:v>
                </c:pt>
                <c:pt idx="62">
                  <c:v>27.5</c:v>
                </c:pt>
                <c:pt idx="63">
                  <c:v>25.6</c:v>
                </c:pt>
                <c:pt idx="64">
                  <c:v>25.5</c:v>
                </c:pt>
                <c:pt idx="65">
                  <c:v>24.9</c:v>
                </c:pt>
                <c:pt idx="66">
                  <c:v>27.1</c:v>
                </c:pt>
                <c:pt idx="67">
                  <c:v>25.4</c:v>
                </c:pt>
                <c:pt idx="68">
                  <c:v>27.5</c:v>
                </c:pt>
                <c:pt idx="69">
                  <c:v>25.5</c:v>
                </c:pt>
                <c:pt idx="70">
                  <c:v>26.9</c:v>
                </c:pt>
                <c:pt idx="71">
                  <c:v>22.4</c:v>
                </c:pt>
                <c:pt idx="72">
                  <c:v>23.6</c:v>
                </c:pt>
                <c:pt idx="73">
                  <c:v>21.5</c:v>
                </c:pt>
                <c:pt idx="74">
                  <c:v>23.9</c:v>
                </c:pt>
                <c:pt idx="75">
                  <c:v>24.2</c:v>
                </c:pt>
                <c:pt idx="76">
                  <c:v>23.4</c:v>
                </c:pt>
                <c:pt idx="77">
                  <c:v>22.1</c:v>
                </c:pt>
                <c:pt idx="78">
                  <c:v>22.19</c:v>
                </c:pt>
                <c:pt idx="79">
                  <c:v>20.76</c:v>
                </c:pt>
                <c:pt idx="80">
                  <c:v>19.03</c:v>
                </c:pt>
                <c:pt idx="81">
                  <c:v>18</c:v>
                </c:pt>
                <c:pt idx="82">
                  <c:v>17.3</c:v>
                </c:pt>
                <c:pt idx="83">
                  <c:v>16.66</c:v>
                </c:pt>
                <c:pt idx="84">
                  <c:v>16.09</c:v>
                </c:pt>
                <c:pt idx="85">
                  <c:v>15.47</c:v>
                </c:pt>
                <c:pt idx="86">
                  <c:v>15.07</c:v>
                </c:pt>
                <c:pt idx="87">
                  <c:v>14.56</c:v>
                </c:pt>
                <c:pt idx="88">
                  <c:v>14.09</c:v>
                </c:pt>
                <c:pt idx="89">
                  <c:v>13.57</c:v>
                </c:pt>
                <c:pt idx="90">
                  <c:v>13.23</c:v>
                </c:pt>
                <c:pt idx="91">
                  <c:v>13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Data2'!$G$147:$CT$147</c:f>
              <c:numCache>
                <c:formatCode>General</c:formatCode>
                <c:ptCount val="92"/>
                <c:pt idx="0">
                  <c:v>109</c:v>
                </c:pt>
                <c:pt idx="1">
                  <c:v>104</c:v>
                </c:pt>
                <c:pt idx="2">
                  <c:v>118</c:v>
                </c:pt>
                <c:pt idx="3">
                  <c:v>106</c:v>
                </c:pt>
                <c:pt idx="4">
                  <c:v>115</c:v>
                </c:pt>
                <c:pt idx="5">
                  <c:v>110</c:v>
                </c:pt>
                <c:pt idx="6">
                  <c:v>104</c:v>
                </c:pt>
                <c:pt idx="7">
                  <c:v>121</c:v>
                </c:pt>
                <c:pt idx="8">
                  <c:v>117</c:v>
                </c:pt>
                <c:pt idx="9">
                  <c:v>114</c:v>
                </c:pt>
                <c:pt idx="10">
                  <c:v>105</c:v>
                </c:pt>
                <c:pt idx="11">
                  <c:v>105</c:v>
                </c:pt>
                <c:pt idx="12">
                  <c:v>111</c:v>
                </c:pt>
                <c:pt idx="13">
                  <c:v>127</c:v>
                </c:pt>
                <c:pt idx="14">
                  <c:v>111</c:v>
                </c:pt>
                <c:pt idx="15">
                  <c:v>120</c:v>
                </c:pt>
                <c:pt idx="16">
                  <c:v>117</c:v>
                </c:pt>
                <c:pt idx="17">
                  <c:v>117</c:v>
                </c:pt>
                <c:pt idx="18">
                  <c:v>111</c:v>
                </c:pt>
                <c:pt idx="19">
                  <c:v>108</c:v>
                </c:pt>
                <c:pt idx="20">
                  <c:v>113.9</c:v>
                </c:pt>
                <c:pt idx="21">
                  <c:v>102.2</c:v>
                </c:pt>
                <c:pt idx="22">
                  <c:v>99.6</c:v>
                </c:pt>
                <c:pt idx="23">
                  <c:v>100.8</c:v>
                </c:pt>
                <c:pt idx="24">
                  <c:v>96.2</c:v>
                </c:pt>
                <c:pt idx="25">
                  <c:v>96</c:v>
                </c:pt>
                <c:pt idx="26">
                  <c:v>88.2</c:v>
                </c:pt>
                <c:pt idx="27">
                  <c:v>87</c:v>
                </c:pt>
                <c:pt idx="28">
                  <c:v>81.3</c:v>
                </c:pt>
                <c:pt idx="29">
                  <c:v>84.7</c:v>
                </c:pt>
                <c:pt idx="30">
                  <c:v>78.599999999999994</c:v>
                </c:pt>
                <c:pt idx="31">
                  <c:v>76.7</c:v>
                </c:pt>
                <c:pt idx="32">
                  <c:v>72.099999999999994</c:v>
                </c:pt>
                <c:pt idx="33">
                  <c:v>74.3</c:v>
                </c:pt>
                <c:pt idx="34">
                  <c:v>69.099999999999994</c:v>
                </c:pt>
                <c:pt idx="35">
                  <c:v>66.3</c:v>
                </c:pt>
                <c:pt idx="36">
                  <c:v>66.3</c:v>
                </c:pt>
                <c:pt idx="37">
                  <c:v>66.099999999999994</c:v>
                </c:pt>
                <c:pt idx="38">
                  <c:v>61.7</c:v>
                </c:pt>
                <c:pt idx="39">
                  <c:v>63.3</c:v>
                </c:pt>
                <c:pt idx="40">
                  <c:v>55.8</c:v>
                </c:pt>
                <c:pt idx="41">
                  <c:v>57</c:v>
                </c:pt>
                <c:pt idx="42">
                  <c:v>58.1</c:v>
                </c:pt>
                <c:pt idx="43">
                  <c:v>57</c:v>
                </c:pt>
                <c:pt idx="44">
                  <c:v>53.1</c:v>
                </c:pt>
                <c:pt idx="45">
                  <c:v>54.7</c:v>
                </c:pt>
                <c:pt idx="46">
                  <c:v>50.4</c:v>
                </c:pt>
                <c:pt idx="47">
                  <c:v>49.9</c:v>
                </c:pt>
                <c:pt idx="48">
                  <c:v>49.5</c:v>
                </c:pt>
                <c:pt idx="49">
                  <c:v>49.2</c:v>
                </c:pt>
                <c:pt idx="50">
                  <c:v>46.4</c:v>
                </c:pt>
                <c:pt idx="51">
                  <c:v>44.6</c:v>
                </c:pt>
                <c:pt idx="52">
                  <c:v>47.2</c:v>
                </c:pt>
                <c:pt idx="53">
                  <c:v>47.2</c:v>
                </c:pt>
                <c:pt idx="54">
                  <c:v>45.6</c:v>
                </c:pt>
                <c:pt idx="55">
                  <c:v>46.2</c:v>
                </c:pt>
                <c:pt idx="56">
                  <c:v>44</c:v>
                </c:pt>
                <c:pt idx="57">
                  <c:v>41.2</c:v>
                </c:pt>
                <c:pt idx="58">
                  <c:v>44</c:v>
                </c:pt>
                <c:pt idx="59">
                  <c:v>41.1</c:v>
                </c:pt>
                <c:pt idx="60">
                  <c:v>41.6</c:v>
                </c:pt>
                <c:pt idx="61">
                  <c:v>43.1</c:v>
                </c:pt>
                <c:pt idx="62">
                  <c:v>39</c:v>
                </c:pt>
                <c:pt idx="63">
                  <c:v>42</c:v>
                </c:pt>
                <c:pt idx="64">
                  <c:v>38.1</c:v>
                </c:pt>
                <c:pt idx="65">
                  <c:v>38.9</c:v>
                </c:pt>
                <c:pt idx="66">
                  <c:v>37.700000000000003</c:v>
                </c:pt>
                <c:pt idx="67">
                  <c:v>36.1</c:v>
                </c:pt>
                <c:pt idx="68">
                  <c:v>36.299999999999997</c:v>
                </c:pt>
                <c:pt idx="69">
                  <c:v>35.6</c:v>
                </c:pt>
                <c:pt idx="70">
                  <c:v>35.9</c:v>
                </c:pt>
                <c:pt idx="71">
                  <c:v>38.700000000000003</c:v>
                </c:pt>
                <c:pt idx="72">
                  <c:v>34.700000000000003</c:v>
                </c:pt>
                <c:pt idx="73">
                  <c:v>37.200000000000003</c:v>
                </c:pt>
                <c:pt idx="74">
                  <c:v>32.700000000000003</c:v>
                </c:pt>
                <c:pt idx="75">
                  <c:v>35.5</c:v>
                </c:pt>
                <c:pt idx="76">
                  <c:v>34.5</c:v>
                </c:pt>
                <c:pt idx="77">
                  <c:v>32.799999999999997</c:v>
                </c:pt>
                <c:pt idx="78">
                  <c:v>31.75</c:v>
                </c:pt>
                <c:pt idx="79">
                  <c:v>29.65</c:v>
                </c:pt>
                <c:pt idx="80">
                  <c:v>27.54</c:v>
                </c:pt>
                <c:pt idx="81">
                  <c:v>25.79</c:v>
                </c:pt>
                <c:pt idx="82">
                  <c:v>24.39</c:v>
                </c:pt>
                <c:pt idx="83">
                  <c:v>23.24</c:v>
                </c:pt>
                <c:pt idx="84">
                  <c:v>22.12</c:v>
                </c:pt>
                <c:pt idx="85">
                  <c:v>21.78</c:v>
                </c:pt>
                <c:pt idx="86">
                  <c:v>20.94</c:v>
                </c:pt>
                <c:pt idx="87">
                  <c:v>20.25</c:v>
                </c:pt>
                <c:pt idx="88">
                  <c:v>19.260000000000002</c:v>
                </c:pt>
                <c:pt idx="89">
                  <c:v>18.690000000000001</c:v>
                </c:pt>
                <c:pt idx="90">
                  <c:v>17.920000000000002</c:v>
                </c:pt>
                <c:pt idx="91">
                  <c:v>17.899999999999999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23456"/>
        <c:axId val="47133824"/>
      </c:scatterChart>
      <c:valAx>
        <c:axId val="4712345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133824"/>
        <c:crosses val="autoZero"/>
        <c:crossBetween val="midCat"/>
      </c:valAx>
      <c:valAx>
        <c:axId val="47133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1234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Data2'!$G$148:$CT$148</c:f>
              <c:numCache>
                <c:formatCode>General</c:formatCode>
                <c:ptCount val="92"/>
                <c:pt idx="0">
                  <c:v>39</c:v>
                </c:pt>
                <c:pt idx="1">
                  <c:v>45</c:v>
                </c:pt>
                <c:pt idx="2">
                  <c:v>42</c:v>
                </c:pt>
                <c:pt idx="3">
                  <c:v>41</c:v>
                </c:pt>
                <c:pt idx="4">
                  <c:v>39</c:v>
                </c:pt>
                <c:pt idx="5">
                  <c:v>37</c:v>
                </c:pt>
                <c:pt idx="6">
                  <c:v>40</c:v>
                </c:pt>
                <c:pt idx="7">
                  <c:v>33</c:v>
                </c:pt>
                <c:pt idx="8">
                  <c:v>43</c:v>
                </c:pt>
                <c:pt idx="9">
                  <c:v>33</c:v>
                </c:pt>
                <c:pt idx="10">
                  <c:v>40</c:v>
                </c:pt>
                <c:pt idx="11">
                  <c:v>45</c:v>
                </c:pt>
                <c:pt idx="12">
                  <c:v>35</c:v>
                </c:pt>
                <c:pt idx="13">
                  <c:v>32</c:v>
                </c:pt>
                <c:pt idx="14">
                  <c:v>36</c:v>
                </c:pt>
                <c:pt idx="15">
                  <c:v>42</c:v>
                </c:pt>
                <c:pt idx="16">
                  <c:v>46</c:v>
                </c:pt>
                <c:pt idx="17">
                  <c:v>49</c:v>
                </c:pt>
                <c:pt idx="18">
                  <c:v>47</c:v>
                </c:pt>
                <c:pt idx="19">
                  <c:v>42</c:v>
                </c:pt>
                <c:pt idx="20">
                  <c:v>39.299999999999997</c:v>
                </c:pt>
                <c:pt idx="21">
                  <c:v>42.3</c:v>
                </c:pt>
                <c:pt idx="22">
                  <c:v>40.9</c:v>
                </c:pt>
                <c:pt idx="23">
                  <c:v>44</c:v>
                </c:pt>
                <c:pt idx="24">
                  <c:v>43.2</c:v>
                </c:pt>
                <c:pt idx="25">
                  <c:v>38.200000000000003</c:v>
                </c:pt>
                <c:pt idx="26">
                  <c:v>43.7</c:v>
                </c:pt>
                <c:pt idx="27">
                  <c:v>39</c:v>
                </c:pt>
                <c:pt idx="28">
                  <c:v>40.799999999999997</c:v>
                </c:pt>
                <c:pt idx="29">
                  <c:v>41.4</c:v>
                </c:pt>
                <c:pt idx="30">
                  <c:v>37</c:v>
                </c:pt>
                <c:pt idx="31">
                  <c:v>40.4</c:v>
                </c:pt>
                <c:pt idx="32">
                  <c:v>40.4</c:v>
                </c:pt>
                <c:pt idx="33">
                  <c:v>36.299999999999997</c:v>
                </c:pt>
                <c:pt idx="34">
                  <c:v>37.9</c:v>
                </c:pt>
                <c:pt idx="35">
                  <c:v>38.4</c:v>
                </c:pt>
                <c:pt idx="36">
                  <c:v>36.4</c:v>
                </c:pt>
                <c:pt idx="37">
                  <c:v>34.9</c:v>
                </c:pt>
                <c:pt idx="38">
                  <c:v>34.6</c:v>
                </c:pt>
                <c:pt idx="39">
                  <c:v>36.700000000000003</c:v>
                </c:pt>
                <c:pt idx="40">
                  <c:v>38.200000000000003</c:v>
                </c:pt>
                <c:pt idx="41">
                  <c:v>34.5</c:v>
                </c:pt>
                <c:pt idx="42">
                  <c:v>34.799999999999997</c:v>
                </c:pt>
                <c:pt idx="43">
                  <c:v>34.1</c:v>
                </c:pt>
                <c:pt idx="44">
                  <c:v>36.799999999999997</c:v>
                </c:pt>
                <c:pt idx="45">
                  <c:v>32.6</c:v>
                </c:pt>
                <c:pt idx="46">
                  <c:v>34.9</c:v>
                </c:pt>
                <c:pt idx="47">
                  <c:v>34.5</c:v>
                </c:pt>
                <c:pt idx="48">
                  <c:v>32.4</c:v>
                </c:pt>
                <c:pt idx="49">
                  <c:v>31.4</c:v>
                </c:pt>
                <c:pt idx="50">
                  <c:v>32.5</c:v>
                </c:pt>
                <c:pt idx="51">
                  <c:v>32.9</c:v>
                </c:pt>
                <c:pt idx="52">
                  <c:v>32.1</c:v>
                </c:pt>
                <c:pt idx="53">
                  <c:v>34.200000000000003</c:v>
                </c:pt>
                <c:pt idx="54">
                  <c:v>32.6</c:v>
                </c:pt>
                <c:pt idx="55">
                  <c:v>35.700000000000003</c:v>
                </c:pt>
                <c:pt idx="56">
                  <c:v>31.3</c:v>
                </c:pt>
                <c:pt idx="57">
                  <c:v>31.5</c:v>
                </c:pt>
                <c:pt idx="58">
                  <c:v>31.9</c:v>
                </c:pt>
                <c:pt idx="59">
                  <c:v>33.1</c:v>
                </c:pt>
                <c:pt idx="60">
                  <c:v>32.5</c:v>
                </c:pt>
                <c:pt idx="61">
                  <c:v>30.6</c:v>
                </c:pt>
                <c:pt idx="62">
                  <c:v>32.299999999999997</c:v>
                </c:pt>
                <c:pt idx="63">
                  <c:v>32.5</c:v>
                </c:pt>
                <c:pt idx="64">
                  <c:v>30.3</c:v>
                </c:pt>
                <c:pt idx="65">
                  <c:v>30</c:v>
                </c:pt>
                <c:pt idx="66">
                  <c:v>30.7</c:v>
                </c:pt>
                <c:pt idx="67">
                  <c:v>29.2</c:v>
                </c:pt>
                <c:pt idx="68">
                  <c:v>30.9</c:v>
                </c:pt>
                <c:pt idx="69">
                  <c:v>30.2</c:v>
                </c:pt>
                <c:pt idx="70">
                  <c:v>30.7</c:v>
                </c:pt>
                <c:pt idx="71">
                  <c:v>29.6</c:v>
                </c:pt>
                <c:pt idx="72">
                  <c:v>29.3</c:v>
                </c:pt>
                <c:pt idx="73">
                  <c:v>30.7</c:v>
                </c:pt>
                <c:pt idx="74">
                  <c:v>31.4</c:v>
                </c:pt>
                <c:pt idx="75">
                  <c:v>29.9</c:v>
                </c:pt>
                <c:pt idx="76">
                  <c:v>29.4</c:v>
                </c:pt>
                <c:pt idx="77">
                  <c:v>29.6</c:v>
                </c:pt>
                <c:pt idx="78">
                  <c:v>29.31</c:v>
                </c:pt>
                <c:pt idx="79">
                  <c:v>28.45</c:v>
                </c:pt>
                <c:pt idx="80">
                  <c:v>27.44</c:v>
                </c:pt>
                <c:pt idx="81">
                  <c:v>27.08</c:v>
                </c:pt>
                <c:pt idx="82">
                  <c:v>25.85</c:v>
                </c:pt>
                <c:pt idx="83">
                  <c:v>25.54</c:v>
                </c:pt>
                <c:pt idx="84">
                  <c:v>25.81</c:v>
                </c:pt>
                <c:pt idx="85">
                  <c:v>25.1</c:v>
                </c:pt>
                <c:pt idx="86">
                  <c:v>25.25</c:v>
                </c:pt>
                <c:pt idx="87">
                  <c:v>24.12</c:v>
                </c:pt>
                <c:pt idx="88">
                  <c:v>24.69</c:v>
                </c:pt>
                <c:pt idx="89">
                  <c:v>23.66</c:v>
                </c:pt>
                <c:pt idx="90">
                  <c:v>23.98</c:v>
                </c:pt>
                <c:pt idx="91">
                  <c:v>23.72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Data2'!$G$149:$CT$149</c:f>
              <c:numCache>
                <c:formatCode>General</c:formatCode>
                <c:ptCount val="92"/>
                <c:pt idx="0">
                  <c:v>29</c:v>
                </c:pt>
                <c:pt idx="1">
                  <c:v>22</c:v>
                </c:pt>
                <c:pt idx="2">
                  <c:v>34</c:v>
                </c:pt>
                <c:pt idx="3">
                  <c:v>26</c:v>
                </c:pt>
                <c:pt idx="4">
                  <c:v>24</c:v>
                </c:pt>
                <c:pt idx="5">
                  <c:v>27</c:v>
                </c:pt>
                <c:pt idx="6">
                  <c:v>22</c:v>
                </c:pt>
                <c:pt idx="7">
                  <c:v>33</c:v>
                </c:pt>
                <c:pt idx="8">
                  <c:v>29</c:v>
                </c:pt>
                <c:pt idx="9">
                  <c:v>30</c:v>
                </c:pt>
                <c:pt idx="10">
                  <c:v>24</c:v>
                </c:pt>
                <c:pt idx="11">
                  <c:v>31</c:v>
                </c:pt>
                <c:pt idx="12">
                  <c:v>25</c:v>
                </c:pt>
                <c:pt idx="13">
                  <c:v>30</c:v>
                </c:pt>
                <c:pt idx="14">
                  <c:v>32</c:v>
                </c:pt>
                <c:pt idx="15">
                  <c:v>21</c:v>
                </c:pt>
                <c:pt idx="16">
                  <c:v>30</c:v>
                </c:pt>
                <c:pt idx="17">
                  <c:v>23</c:v>
                </c:pt>
                <c:pt idx="18">
                  <c:v>28</c:v>
                </c:pt>
                <c:pt idx="19">
                  <c:v>27</c:v>
                </c:pt>
                <c:pt idx="20">
                  <c:v>27.5</c:v>
                </c:pt>
                <c:pt idx="21">
                  <c:v>28</c:v>
                </c:pt>
                <c:pt idx="22">
                  <c:v>29.9</c:v>
                </c:pt>
                <c:pt idx="23">
                  <c:v>28.8</c:v>
                </c:pt>
                <c:pt idx="24">
                  <c:v>28.6</c:v>
                </c:pt>
                <c:pt idx="25">
                  <c:v>26.9</c:v>
                </c:pt>
                <c:pt idx="26">
                  <c:v>29.4</c:v>
                </c:pt>
                <c:pt idx="27">
                  <c:v>27.7</c:v>
                </c:pt>
                <c:pt idx="28">
                  <c:v>28.7</c:v>
                </c:pt>
                <c:pt idx="29">
                  <c:v>26.1</c:v>
                </c:pt>
                <c:pt idx="30">
                  <c:v>26.7</c:v>
                </c:pt>
                <c:pt idx="31">
                  <c:v>26.1</c:v>
                </c:pt>
                <c:pt idx="32">
                  <c:v>27.5</c:v>
                </c:pt>
                <c:pt idx="33">
                  <c:v>26.3</c:v>
                </c:pt>
                <c:pt idx="34">
                  <c:v>27.4</c:v>
                </c:pt>
                <c:pt idx="35">
                  <c:v>27.1</c:v>
                </c:pt>
                <c:pt idx="36">
                  <c:v>25.7</c:v>
                </c:pt>
                <c:pt idx="37">
                  <c:v>27.6</c:v>
                </c:pt>
                <c:pt idx="38">
                  <c:v>25.7</c:v>
                </c:pt>
                <c:pt idx="39">
                  <c:v>24.2</c:v>
                </c:pt>
                <c:pt idx="40">
                  <c:v>26.6</c:v>
                </c:pt>
                <c:pt idx="41">
                  <c:v>25.3</c:v>
                </c:pt>
                <c:pt idx="42">
                  <c:v>21.8</c:v>
                </c:pt>
                <c:pt idx="43">
                  <c:v>23.5</c:v>
                </c:pt>
                <c:pt idx="44">
                  <c:v>23.6</c:v>
                </c:pt>
                <c:pt idx="45">
                  <c:v>24.9</c:v>
                </c:pt>
                <c:pt idx="46">
                  <c:v>23.9</c:v>
                </c:pt>
                <c:pt idx="47">
                  <c:v>23.2</c:v>
                </c:pt>
                <c:pt idx="48">
                  <c:v>24</c:v>
                </c:pt>
                <c:pt idx="49">
                  <c:v>23.3</c:v>
                </c:pt>
                <c:pt idx="50">
                  <c:v>25</c:v>
                </c:pt>
                <c:pt idx="51">
                  <c:v>24.5</c:v>
                </c:pt>
                <c:pt idx="52">
                  <c:v>25.3</c:v>
                </c:pt>
                <c:pt idx="53">
                  <c:v>23.6</c:v>
                </c:pt>
                <c:pt idx="54">
                  <c:v>23.3</c:v>
                </c:pt>
                <c:pt idx="55">
                  <c:v>23.7</c:v>
                </c:pt>
                <c:pt idx="56">
                  <c:v>21.6</c:v>
                </c:pt>
                <c:pt idx="57">
                  <c:v>25.3</c:v>
                </c:pt>
                <c:pt idx="58">
                  <c:v>22.3</c:v>
                </c:pt>
                <c:pt idx="59">
                  <c:v>22.5</c:v>
                </c:pt>
                <c:pt idx="60">
                  <c:v>21.4</c:v>
                </c:pt>
                <c:pt idx="61">
                  <c:v>23.3</c:v>
                </c:pt>
                <c:pt idx="62">
                  <c:v>23</c:v>
                </c:pt>
                <c:pt idx="63">
                  <c:v>22.8</c:v>
                </c:pt>
                <c:pt idx="64">
                  <c:v>21.7</c:v>
                </c:pt>
                <c:pt idx="65">
                  <c:v>22.1</c:v>
                </c:pt>
                <c:pt idx="66">
                  <c:v>22.7</c:v>
                </c:pt>
                <c:pt idx="67">
                  <c:v>21</c:v>
                </c:pt>
                <c:pt idx="68">
                  <c:v>23.8</c:v>
                </c:pt>
                <c:pt idx="69">
                  <c:v>20.8</c:v>
                </c:pt>
                <c:pt idx="70">
                  <c:v>21.9</c:v>
                </c:pt>
                <c:pt idx="71">
                  <c:v>23.5</c:v>
                </c:pt>
                <c:pt idx="72">
                  <c:v>22</c:v>
                </c:pt>
                <c:pt idx="73">
                  <c:v>21</c:v>
                </c:pt>
                <c:pt idx="74">
                  <c:v>21.8</c:v>
                </c:pt>
                <c:pt idx="75">
                  <c:v>22.1</c:v>
                </c:pt>
                <c:pt idx="76">
                  <c:v>21.8</c:v>
                </c:pt>
                <c:pt idx="77">
                  <c:v>20.100000000000001</c:v>
                </c:pt>
                <c:pt idx="78">
                  <c:v>21.31</c:v>
                </c:pt>
                <c:pt idx="79">
                  <c:v>20.84</c:v>
                </c:pt>
                <c:pt idx="80">
                  <c:v>20.93</c:v>
                </c:pt>
                <c:pt idx="81">
                  <c:v>21.2</c:v>
                </c:pt>
                <c:pt idx="82">
                  <c:v>19.920000000000002</c:v>
                </c:pt>
                <c:pt idx="83">
                  <c:v>19.850000000000001</c:v>
                </c:pt>
                <c:pt idx="84">
                  <c:v>19.32</c:v>
                </c:pt>
                <c:pt idx="85">
                  <c:v>19.8</c:v>
                </c:pt>
                <c:pt idx="86">
                  <c:v>19.829999999999998</c:v>
                </c:pt>
                <c:pt idx="87">
                  <c:v>19.059999999999999</c:v>
                </c:pt>
                <c:pt idx="88">
                  <c:v>18.670000000000002</c:v>
                </c:pt>
                <c:pt idx="89">
                  <c:v>18.68</c:v>
                </c:pt>
                <c:pt idx="90">
                  <c:v>19.2</c:v>
                </c:pt>
                <c:pt idx="91">
                  <c:v>19.41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Data2'!$G$150:$CT$150</c:f>
              <c:numCache>
                <c:formatCode>General</c:formatCode>
                <c:ptCount val="92"/>
                <c:pt idx="0">
                  <c:v>26</c:v>
                </c:pt>
                <c:pt idx="1">
                  <c:v>18</c:v>
                </c:pt>
                <c:pt idx="2">
                  <c:v>21</c:v>
                </c:pt>
                <c:pt idx="3">
                  <c:v>25</c:v>
                </c:pt>
                <c:pt idx="4">
                  <c:v>22</c:v>
                </c:pt>
                <c:pt idx="5">
                  <c:v>26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23</c:v>
                </c:pt>
                <c:pt idx="11">
                  <c:v>26</c:v>
                </c:pt>
                <c:pt idx="12">
                  <c:v>27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21</c:v>
                </c:pt>
                <c:pt idx="17">
                  <c:v>29</c:v>
                </c:pt>
                <c:pt idx="18">
                  <c:v>24</c:v>
                </c:pt>
                <c:pt idx="19">
                  <c:v>24</c:v>
                </c:pt>
                <c:pt idx="20">
                  <c:v>25.3</c:v>
                </c:pt>
                <c:pt idx="21">
                  <c:v>24.5</c:v>
                </c:pt>
                <c:pt idx="22">
                  <c:v>25.5</c:v>
                </c:pt>
                <c:pt idx="23">
                  <c:v>26.4</c:v>
                </c:pt>
                <c:pt idx="24">
                  <c:v>22.9</c:v>
                </c:pt>
                <c:pt idx="25">
                  <c:v>23.4</c:v>
                </c:pt>
                <c:pt idx="26">
                  <c:v>25.4</c:v>
                </c:pt>
                <c:pt idx="27">
                  <c:v>22.7</c:v>
                </c:pt>
                <c:pt idx="28">
                  <c:v>24.2</c:v>
                </c:pt>
                <c:pt idx="29">
                  <c:v>23.7</c:v>
                </c:pt>
                <c:pt idx="30">
                  <c:v>24.3</c:v>
                </c:pt>
                <c:pt idx="31">
                  <c:v>22.4</c:v>
                </c:pt>
                <c:pt idx="32">
                  <c:v>26</c:v>
                </c:pt>
                <c:pt idx="33">
                  <c:v>23.7</c:v>
                </c:pt>
                <c:pt idx="34">
                  <c:v>22.8</c:v>
                </c:pt>
                <c:pt idx="35">
                  <c:v>22.3</c:v>
                </c:pt>
                <c:pt idx="36">
                  <c:v>20.7</c:v>
                </c:pt>
                <c:pt idx="37">
                  <c:v>22.7</c:v>
                </c:pt>
                <c:pt idx="38">
                  <c:v>21.6</c:v>
                </c:pt>
                <c:pt idx="39">
                  <c:v>20.8</c:v>
                </c:pt>
                <c:pt idx="40">
                  <c:v>19</c:v>
                </c:pt>
                <c:pt idx="41">
                  <c:v>22.2</c:v>
                </c:pt>
                <c:pt idx="42">
                  <c:v>23.5</c:v>
                </c:pt>
                <c:pt idx="43">
                  <c:v>20</c:v>
                </c:pt>
                <c:pt idx="44">
                  <c:v>22.1</c:v>
                </c:pt>
                <c:pt idx="45">
                  <c:v>20.5</c:v>
                </c:pt>
                <c:pt idx="46">
                  <c:v>21.4</c:v>
                </c:pt>
                <c:pt idx="47">
                  <c:v>19.600000000000001</c:v>
                </c:pt>
                <c:pt idx="48">
                  <c:v>18.100000000000001</c:v>
                </c:pt>
                <c:pt idx="49">
                  <c:v>18.399999999999999</c:v>
                </c:pt>
                <c:pt idx="50">
                  <c:v>20.5</c:v>
                </c:pt>
                <c:pt idx="51">
                  <c:v>21.3</c:v>
                </c:pt>
                <c:pt idx="52">
                  <c:v>20.5</c:v>
                </c:pt>
                <c:pt idx="53">
                  <c:v>18.600000000000001</c:v>
                </c:pt>
                <c:pt idx="54">
                  <c:v>20.6</c:v>
                </c:pt>
                <c:pt idx="55">
                  <c:v>20.3</c:v>
                </c:pt>
                <c:pt idx="56">
                  <c:v>19.7</c:v>
                </c:pt>
                <c:pt idx="57">
                  <c:v>19.899999999999999</c:v>
                </c:pt>
                <c:pt idx="58">
                  <c:v>19.7</c:v>
                </c:pt>
                <c:pt idx="59">
                  <c:v>18.3</c:v>
                </c:pt>
                <c:pt idx="60">
                  <c:v>18.5</c:v>
                </c:pt>
                <c:pt idx="61">
                  <c:v>17.8</c:v>
                </c:pt>
                <c:pt idx="62">
                  <c:v>18.899999999999999</c:v>
                </c:pt>
                <c:pt idx="63">
                  <c:v>20.3</c:v>
                </c:pt>
                <c:pt idx="64">
                  <c:v>18.899999999999999</c:v>
                </c:pt>
                <c:pt idx="65">
                  <c:v>18</c:v>
                </c:pt>
                <c:pt idx="66">
                  <c:v>18.899999999999999</c:v>
                </c:pt>
                <c:pt idx="67">
                  <c:v>19.2</c:v>
                </c:pt>
                <c:pt idx="68">
                  <c:v>18.899999999999999</c:v>
                </c:pt>
                <c:pt idx="69">
                  <c:v>17</c:v>
                </c:pt>
                <c:pt idx="70">
                  <c:v>18.8</c:v>
                </c:pt>
                <c:pt idx="71">
                  <c:v>17.600000000000001</c:v>
                </c:pt>
                <c:pt idx="72">
                  <c:v>20</c:v>
                </c:pt>
                <c:pt idx="73">
                  <c:v>18.7</c:v>
                </c:pt>
                <c:pt idx="74">
                  <c:v>17.5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17.510000000000002</c:v>
                </c:pt>
                <c:pt idx="79">
                  <c:v>17.41</c:v>
                </c:pt>
                <c:pt idx="80">
                  <c:v>16.48</c:v>
                </c:pt>
                <c:pt idx="81">
                  <c:v>16.149999999999999</c:v>
                </c:pt>
                <c:pt idx="82">
                  <c:v>16.05</c:v>
                </c:pt>
                <c:pt idx="83">
                  <c:v>15.45</c:v>
                </c:pt>
                <c:pt idx="84">
                  <c:v>15.94</c:v>
                </c:pt>
                <c:pt idx="85">
                  <c:v>15.69</c:v>
                </c:pt>
                <c:pt idx="86">
                  <c:v>15.29</c:v>
                </c:pt>
                <c:pt idx="87">
                  <c:v>15.17</c:v>
                </c:pt>
                <c:pt idx="88">
                  <c:v>15.81</c:v>
                </c:pt>
                <c:pt idx="89">
                  <c:v>14.78</c:v>
                </c:pt>
                <c:pt idx="90">
                  <c:v>14.79</c:v>
                </c:pt>
                <c:pt idx="91">
                  <c:v>14.88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Data2'!$G$151:$CT$151</c:f>
              <c:numCache>
                <c:formatCode>General</c:formatCode>
                <c:ptCount val="92"/>
                <c:pt idx="0">
                  <c:v>22</c:v>
                </c:pt>
                <c:pt idx="1">
                  <c:v>21</c:v>
                </c:pt>
                <c:pt idx="2">
                  <c:v>24</c:v>
                </c:pt>
                <c:pt idx="3">
                  <c:v>17</c:v>
                </c:pt>
                <c:pt idx="4">
                  <c:v>19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21</c:v>
                </c:pt>
                <c:pt idx="9">
                  <c:v>19</c:v>
                </c:pt>
                <c:pt idx="10">
                  <c:v>19</c:v>
                </c:pt>
                <c:pt idx="11">
                  <c:v>22</c:v>
                </c:pt>
                <c:pt idx="12">
                  <c:v>22</c:v>
                </c:pt>
                <c:pt idx="13">
                  <c:v>19</c:v>
                </c:pt>
                <c:pt idx="14">
                  <c:v>21</c:v>
                </c:pt>
                <c:pt idx="15">
                  <c:v>19</c:v>
                </c:pt>
                <c:pt idx="16">
                  <c:v>25</c:v>
                </c:pt>
                <c:pt idx="17">
                  <c:v>14</c:v>
                </c:pt>
                <c:pt idx="18">
                  <c:v>28</c:v>
                </c:pt>
                <c:pt idx="19">
                  <c:v>25</c:v>
                </c:pt>
                <c:pt idx="20">
                  <c:v>20.399999999999999</c:v>
                </c:pt>
                <c:pt idx="21">
                  <c:v>20.5</c:v>
                </c:pt>
                <c:pt idx="22">
                  <c:v>22.9</c:v>
                </c:pt>
                <c:pt idx="23">
                  <c:v>20.7</c:v>
                </c:pt>
                <c:pt idx="24">
                  <c:v>22.1</c:v>
                </c:pt>
                <c:pt idx="25">
                  <c:v>21</c:v>
                </c:pt>
                <c:pt idx="26">
                  <c:v>20.6</c:v>
                </c:pt>
                <c:pt idx="27">
                  <c:v>19.7</c:v>
                </c:pt>
                <c:pt idx="28">
                  <c:v>19.8</c:v>
                </c:pt>
                <c:pt idx="29">
                  <c:v>19.2</c:v>
                </c:pt>
                <c:pt idx="30">
                  <c:v>20</c:v>
                </c:pt>
                <c:pt idx="31">
                  <c:v>17.5</c:v>
                </c:pt>
                <c:pt idx="32">
                  <c:v>18.5</c:v>
                </c:pt>
                <c:pt idx="33">
                  <c:v>20.9</c:v>
                </c:pt>
                <c:pt idx="34">
                  <c:v>18.100000000000001</c:v>
                </c:pt>
                <c:pt idx="35">
                  <c:v>16.8</c:v>
                </c:pt>
                <c:pt idx="36">
                  <c:v>19.100000000000001</c:v>
                </c:pt>
                <c:pt idx="37">
                  <c:v>17.3</c:v>
                </c:pt>
                <c:pt idx="38">
                  <c:v>16.7</c:v>
                </c:pt>
                <c:pt idx="39">
                  <c:v>17.3</c:v>
                </c:pt>
                <c:pt idx="40">
                  <c:v>18.100000000000001</c:v>
                </c:pt>
                <c:pt idx="41">
                  <c:v>18.3</c:v>
                </c:pt>
                <c:pt idx="42">
                  <c:v>17.399999999999999</c:v>
                </c:pt>
                <c:pt idx="43">
                  <c:v>16.3</c:v>
                </c:pt>
                <c:pt idx="44">
                  <c:v>16.600000000000001</c:v>
                </c:pt>
                <c:pt idx="45">
                  <c:v>17.2</c:v>
                </c:pt>
                <c:pt idx="46">
                  <c:v>17.899999999999999</c:v>
                </c:pt>
                <c:pt idx="47">
                  <c:v>19.100000000000001</c:v>
                </c:pt>
                <c:pt idx="48">
                  <c:v>16.8</c:v>
                </c:pt>
                <c:pt idx="49">
                  <c:v>15.9</c:v>
                </c:pt>
                <c:pt idx="50">
                  <c:v>16.7</c:v>
                </c:pt>
                <c:pt idx="51">
                  <c:v>16.5</c:v>
                </c:pt>
                <c:pt idx="52">
                  <c:v>16.3</c:v>
                </c:pt>
                <c:pt idx="53">
                  <c:v>16.899999999999999</c:v>
                </c:pt>
                <c:pt idx="54">
                  <c:v>16.5</c:v>
                </c:pt>
                <c:pt idx="55">
                  <c:v>16.3</c:v>
                </c:pt>
                <c:pt idx="56">
                  <c:v>16.399999999999999</c:v>
                </c:pt>
                <c:pt idx="57">
                  <c:v>17.8</c:v>
                </c:pt>
                <c:pt idx="58">
                  <c:v>15</c:v>
                </c:pt>
                <c:pt idx="59">
                  <c:v>18</c:v>
                </c:pt>
                <c:pt idx="60">
                  <c:v>15.9</c:v>
                </c:pt>
                <c:pt idx="61">
                  <c:v>15.7</c:v>
                </c:pt>
                <c:pt idx="62">
                  <c:v>15.9</c:v>
                </c:pt>
                <c:pt idx="63">
                  <c:v>16.600000000000001</c:v>
                </c:pt>
                <c:pt idx="64">
                  <c:v>14.9</c:v>
                </c:pt>
                <c:pt idx="65">
                  <c:v>15</c:v>
                </c:pt>
                <c:pt idx="66">
                  <c:v>15.9</c:v>
                </c:pt>
                <c:pt idx="67">
                  <c:v>15.4</c:v>
                </c:pt>
                <c:pt idx="68">
                  <c:v>15.8</c:v>
                </c:pt>
                <c:pt idx="69">
                  <c:v>16.3</c:v>
                </c:pt>
                <c:pt idx="70">
                  <c:v>15.2</c:v>
                </c:pt>
                <c:pt idx="71">
                  <c:v>15.9</c:v>
                </c:pt>
                <c:pt idx="72">
                  <c:v>16.100000000000001</c:v>
                </c:pt>
                <c:pt idx="73">
                  <c:v>15.1</c:v>
                </c:pt>
                <c:pt idx="74">
                  <c:v>14.4</c:v>
                </c:pt>
                <c:pt idx="75">
                  <c:v>15.2</c:v>
                </c:pt>
                <c:pt idx="76">
                  <c:v>15.2</c:v>
                </c:pt>
                <c:pt idx="77">
                  <c:v>15.8</c:v>
                </c:pt>
                <c:pt idx="78">
                  <c:v>15.1</c:v>
                </c:pt>
                <c:pt idx="79">
                  <c:v>15.03</c:v>
                </c:pt>
                <c:pt idx="80">
                  <c:v>14.57</c:v>
                </c:pt>
                <c:pt idx="81">
                  <c:v>14.37</c:v>
                </c:pt>
                <c:pt idx="82">
                  <c:v>14.31</c:v>
                </c:pt>
                <c:pt idx="83">
                  <c:v>13.69</c:v>
                </c:pt>
                <c:pt idx="84">
                  <c:v>14.05</c:v>
                </c:pt>
                <c:pt idx="85">
                  <c:v>13.55</c:v>
                </c:pt>
                <c:pt idx="86">
                  <c:v>14.07</c:v>
                </c:pt>
                <c:pt idx="87">
                  <c:v>14.08</c:v>
                </c:pt>
                <c:pt idx="88">
                  <c:v>13.41</c:v>
                </c:pt>
                <c:pt idx="89">
                  <c:v>13.34</c:v>
                </c:pt>
                <c:pt idx="90">
                  <c:v>13.39</c:v>
                </c:pt>
                <c:pt idx="91">
                  <c:v>12.99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Data2'!$G$152:$CT$152</c:f>
              <c:numCache>
                <c:formatCode>General</c:formatCode>
                <c:ptCount val="92"/>
                <c:pt idx="0">
                  <c:v>13</c:v>
                </c:pt>
                <c:pt idx="1">
                  <c:v>18</c:v>
                </c:pt>
                <c:pt idx="2">
                  <c:v>21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19</c:v>
                </c:pt>
                <c:pt idx="7">
                  <c:v>17</c:v>
                </c:pt>
                <c:pt idx="8">
                  <c:v>16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18</c:v>
                </c:pt>
                <c:pt idx="13">
                  <c:v>22</c:v>
                </c:pt>
                <c:pt idx="14">
                  <c:v>18</c:v>
                </c:pt>
                <c:pt idx="15">
                  <c:v>25</c:v>
                </c:pt>
                <c:pt idx="16">
                  <c:v>20</c:v>
                </c:pt>
                <c:pt idx="17">
                  <c:v>19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20.3</c:v>
                </c:pt>
                <c:pt idx="22">
                  <c:v>19.899999999999999</c:v>
                </c:pt>
                <c:pt idx="23">
                  <c:v>19.8</c:v>
                </c:pt>
                <c:pt idx="24">
                  <c:v>19.7</c:v>
                </c:pt>
                <c:pt idx="25">
                  <c:v>20.2</c:v>
                </c:pt>
                <c:pt idx="26">
                  <c:v>20</c:v>
                </c:pt>
                <c:pt idx="27">
                  <c:v>20</c:v>
                </c:pt>
                <c:pt idx="28">
                  <c:v>19.8</c:v>
                </c:pt>
                <c:pt idx="29">
                  <c:v>17.5</c:v>
                </c:pt>
                <c:pt idx="30">
                  <c:v>19.2</c:v>
                </c:pt>
                <c:pt idx="31">
                  <c:v>17.899999999999999</c:v>
                </c:pt>
                <c:pt idx="32">
                  <c:v>18.600000000000001</c:v>
                </c:pt>
                <c:pt idx="33">
                  <c:v>18.100000000000001</c:v>
                </c:pt>
                <c:pt idx="34">
                  <c:v>16.5</c:v>
                </c:pt>
                <c:pt idx="35">
                  <c:v>17.3</c:v>
                </c:pt>
                <c:pt idx="36">
                  <c:v>17.899999999999999</c:v>
                </c:pt>
                <c:pt idx="37">
                  <c:v>16.899999999999999</c:v>
                </c:pt>
                <c:pt idx="38">
                  <c:v>15.1</c:v>
                </c:pt>
                <c:pt idx="39">
                  <c:v>17.399999999999999</c:v>
                </c:pt>
                <c:pt idx="40">
                  <c:v>16.5</c:v>
                </c:pt>
                <c:pt idx="41">
                  <c:v>17</c:v>
                </c:pt>
                <c:pt idx="42">
                  <c:v>15.2</c:v>
                </c:pt>
                <c:pt idx="43">
                  <c:v>16.5</c:v>
                </c:pt>
                <c:pt idx="44">
                  <c:v>15.8</c:v>
                </c:pt>
                <c:pt idx="45">
                  <c:v>16.399999999999999</c:v>
                </c:pt>
                <c:pt idx="46">
                  <c:v>16.3</c:v>
                </c:pt>
                <c:pt idx="47">
                  <c:v>15.4</c:v>
                </c:pt>
                <c:pt idx="48">
                  <c:v>15</c:v>
                </c:pt>
                <c:pt idx="49">
                  <c:v>15.9</c:v>
                </c:pt>
                <c:pt idx="50">
                  <c:v>14.4</c:v>
                </c:pt>
                <c:pt idx="51">
                  <c:v>16.5</c:v>
                </c:pt>
                <c:pt idx="52">
                  <c:v>15.5</c:v>
                </c:pt>
                <c:pt idx="53">
                  <c:v>13.7</c:v>
                </c:pt>
                <c:pt idx="54">
                  <c:v>15</c:v>
                </c:pt>
                <c:pt idx="55">
                  <c:v>14.5</c:v>
                </c:pt>
                <c:pt idx="56">
                  <c:v>15.3</c:v>
                </c:pt>
                <c:pt idx="57">
                  <c:v>15.1</c:v>
                </c:pt>
                <c:pt idx="58">
                  <c:v>13.5</c:v>
                </c:pt>
                <c:pt idx="59">
                  <c:v>16.2</c:v>
                </c:pt>
                <c:pt idx="60">
                  <c:v>14.5</c:v>
                </c:pt>
                <c:pt idx="61">
                  <c:v>14.3</c:v>
                </c:pt>
                <c:pt idx="62">
                  <c:v>14.4</c:v>
                </c:pt>
                <c:pt idx="63">
                  <c:v>15.3</c:v>
                </c:pt>
                <c:pt idx="64">
                  <c:v>12.8</c:v>
                </c:pt>
                <c:pt idx="65">
                  <c:v>14</c:v>
                </c:pt>
                <c:pt idx="66">
                  <c:v>14</c:v>
                </c:pt>
                <c:pt idx="67">
                  <c:v>12.5</c:v>
                </c:pt>
                <c:pt idx="68">
                  <c:v>13.4</c:v>
                </c:pt>
                <c:pt idx="69">
                  <c:v>15.3</c:v>
                </c:pt>
                <c:pt idx="70">
                  <c:v>13.2</c:v>
                </c:pt>
                <c:pt idx="71">
                  <c:v>14.3</c:v>
                </c:pt>
                <c:pt idx="72">
                  <c:v>15.5</c:v>
                </c:pt>
                <c:pt idx="73">
                  <c:v>13.5</c:v>
                </c:pt>
                <c:pt idx="74">
                  <c:v>15.3</c:v>
                </c:pt>
                <c:pt idx="75">
                  <c:v>15</c:v>
                </c:pt>
                <c:pt idx="76">
                  <c:v>13.3</c:v>
                </c:pt>
                <c:pt idx="77">
                  <c:v>15.5</c:v>
                </c:pt>
                <c:pt idx="78">
                  <c:v>13.34</c:v>
                </c:pt>
                <c:pt idx="79">
                  <c:v>13.25</c:v>
                </c:pt>
                <c:pt idx="80">
                  <c:v>13.59</c:v>
                </c:pt>
                <c:pt idx="81">
                  <c:v>12.32</c:v>
                </c:pt>
                <c:pt idx="82">
                  <c:v>12.3</c:v>
                </c:pt>
                <c:pt idx="83">
                  <c:v>12.44</c:v>
                </c:pt>
                <c:pt idx="84">
                  <c:v>12.04</c:v>
                </c:pt>
                <c:pt idx="85">
                  <c:v>11.88</c:v>
                </c:pt>
                <c:pt idx="86">
                  <c:v>12.1</c:v>
                </c:pt>
                <c:pt idx="87">
                  <c:v>11.97</c:v>
                </c:pt>
                <c:pt idx="88">
                  <c:v>11.91</c:v>
                </c:pt>
                <c:pt idx="89">
                  <c:v>11.72</c:v>
                </c:pt>
                <c:pt idx="90">
                  <c:v>12.07</c:v>
                </c:pt>
                <c:pt idx="91">
                  <c:v>11.94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Data2'!$G$153:$CT$153</c:f>
              <c:numCache>
                <c:formatCode>General</c:formatCode>
                <c:ptCount val="92"/>
                <c:pt idx="0">
                  <c:v>21</c:v>
                </c:pt>
                <c:pt idx="1">
                  <c:v>12</c:v>
                </c:pt>
                <c:pt idx="2">
                  <c:v>22</c:v>
                </c:pt>
                <c:pt idx="3">
                  <c:v>16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15</c:v>
                </c:pt>
                <c:pt idx="11">
                  <c:v>15</c:v>
                </c:pt>
                <c:pt idx="12">
                  <c:v>19</c:v>
                </c:pt>
                <c:pt idx="13">
                  <c:v>15</c:v>
                </c:pt>
                <c:pt idx="14">
                  <c:v>20</c:v>
                </c:pt>
                <c:pt idx="15">
                  <c:v>20</c:v>
                </c:pt>
                <c:pt idx="16">
                  <c:v>22</c:v>
                </c:pt>
                <c:pt idx="17">
                  <c:v>12</c:v>
                </c:pt>
                <c:pt idx="18">
                  <c:v>18</c:v>
                </c:pt>
                <c:pt idx="19">
                  <c:v>17</c:v>
                </c:pt>
                <c:pt idx="20">
                  <c:v>18.8</c:v>
                </c:pt>
                <c:pt idx="21">
                  <c:v>16.8</c:v>
                </c:pt>
                <c:pt idx="22">
                  <c:v>17.2</c:v>
                </c:pt>
                <c:pt idx="23">
                  <c:v>17.600000000000001</c:v>
                </c:pt>
                <c:pt idx="24">
                  <c:v>17.2</c:v>
                </c:pt>
                <c:pt idx="25">
                  <c:v>17.3</c:v>
                </c:pt>
                <c:pt idx="26">
                  <c:v>17.100000000000001</c:v>
                </c:pt>
                <c:pt idx="27">
                  <c:v>16.399999999999999</c:v>
                </c:pt>
                <c:pt idx="28">
                  <c:v>15.8</c:v>
                </c:pt>
                <c:pt idx="29">
                  <c:v>17.399999999999999</c:v>
                </c:pt>
                <c:pt idx="30">
                  <c:v>17.399999999999999</c:v>
                </c:pt>
                <c:pt idx="31">
                  <c:v>16.3</c:v>
                </c:pt>
                <c:pt idx="32">
                  <c:v>18.5</c:v>
                </c:pt>
                <c:pt idx="33">
                  <c:v>17.5</c:v>
                </c:pt>
                <c:pt idx="34">
                  <c:v>16.600000000000001</c:v>
                </c:pt>
                <c:pt idx="35">
                  <c:v>15.3</c:v>
                </c:pt>
                <c:pt idx="36">
                  <c:v>14.6</c:v>
                </c:pt>
                <c:pt idx="37">
                  <c:v>14.4</c:v>
                </c:pt>
                <c:pt idx="38">
                  <c:v>16.399999999999999</c:v>
                </c:pt>
                <c:pt idx="39">
                  <c:v>15.3</c:v>
                </c:pt>
                <c:pt idx="40">
                  <c:v>15</c:v>
                </c:pt>
                <c:pt idx="41">
                  <c:v>14.8</c:v>
                </c:pt>
                <c:pt idx="42">
                  <c:v>14.9</c:v>
                </c:pt>
                <c:pt idx="43">
                  <c:v>15</c:v>
                </c:pt>
                <c:pt idx="44">
                  <c:v>13.9</c:v>
                </c:pt>
                <c:pt idx="45">
                  <c:v>13.9</c:v>
                </c:pt>
                <c:pt idx="46">
                  <c:v>14.3</c:v>
                </c:pt>
                <c:pt idx="47">
                  <c:v>13.4</c:v>
                </c:pt>
                <c:pt idx="48">
                  <c:v>14.8</c:v>
                </c:pt>
                <c:pt idx="49">
                  <c:v>14.9</c:v>
                </c:pt>
                <c:pt idx="50">
                  <c:v>13.3</c:v>
                </c:pt>
                <c:pt idx="51">
                  <c:v>14.2</c:v>
                </c:pt>
                <c:pt idx="52">
                  <c:v>13.6</c:v>
                </c:pt>
                <c:pt idx="53">
                  <c:v>12.9</c:v>
                </c:pt>
                <c:pt idx="54">
                  <c:v>13.8</c:v>
                </c:pt>
                <c:pt idx="55">
                  <c:v>13</c:v>
                </c:pt>
                <c:pt idx="56">
                  <c:v>14.6</c:v>
                </c:pt>
                <c:pt idx="57">
                  <c:v>12.2</c:v>
                </c:pt>
                <c:pt idx="58">
                  <c:v>14</c:v>
                </c:pt>
                <c:pt idx="59">
                  <c:v>12.8</c:v>
                </c:pt>
                <c:pt idx="60">
                  <c:v>14</c:v>
                </c:pt>
                <c:pt idx="61">
                  <c:v>12.6</c:v>
                </c:pt>
                <c:pt idx="62">
                  <c:v>12.4</c:v>
                </c:pt>
                <c:pt idx="63">
                  <c:v>13.8</c:v>
                </c:pt>
                <c:pt idx="64">
                  <c:v>14.5</c:v>
                </c:pt>
                <c:pt idx="65">
                  <c:v>12.5</c:v>
                </c:pt>
                <c:pt idx="66">
                  <c:v>14.9</c:v>
                </c:pt>
                <c:pt idx="67">
                  <c:v>14.2</c:v>
                </c:pt>
                <c:pt idx="68">
                  <c:v>12.5</c:v>
                </c:pt>
                <c:pt idx="69">
                  <c:v>12.1</c:v>
                </c:pt>
                <c:pt idx="70">
                  <c:v>11.5</c:v>
                </c:pt>
                <c:pt idx="71">
                  <c:v>13.2</c:v>
                </c:pt>
                <c:pt idx="72">
                  <c:v>13.7</c:v>
                </c:pt>
                <c:pt idx="73">
                  <c:v>12.9</c:v>
                </c:pt>
                <c:pt idx="74">
                  <c:v>13.1</c:v>
                </c:pt>
                <c:pt idx="75">
                  <c:v>12.6</c:v>
                </c:pt>
                <c:pt idx="76">
                  <c:v>14.1</c:v>
                </c:pt>
                <c:pt idx="77">
                  <c:v>13.1</c:v>
                </c:pt>
                <c:pt idx="78">
                  <c:v>12.49</c:v>
                </c:pt>
                <c:pt idx="79">
                  <c:v>12.68</c:v>
                </c:pt>
                <c:pt idx="80">
                  <c:v>11.86</c:v>
                </c:pt>
                <c:pt idx="81">
                  <c:v>11.76</c:v>
                </c:pt>
                <c:pt idx="82">
                  <c:v>11.88</c:v>
                </c:pt>
                <c:pt idx="83">
                  <c:v>11.71</c:v>
                </c:pt>
                <c:pt idx="84">
                  <c:v>11.63</c:v>
                </c:pt>
                <c:pt idx="85">
                  <c:v>11.17</c:v>
                </c:pt>
                <c:pt idx="86">
                  <c:v>11.34</c:v>
                </c:pt>
                <c:pt idx="87">
                  <c:v>11.46</c:v>
                </c:pt>
                <c:pt idx="88">
                  <c:v>11.38</c:v>
                </c:pt>
                <c:pt idx="89">
                  <c:v>10.51</c:v>
                </c:pt>
                <c:pt idx="90">
                  <c:v>10.66</c:v>
                </c:pt>
                <c:pt idx="91">
                  <c:v>11.28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Data2'!$G$154:$CT$154</c:f>
              <c:numCache>
                <c:formatCode>General</c:formatCode>
                <c:ptCount val="92"/>
                <c:pt idx="0">
                  <c:v>21</c:v>
                </c:pt>
                <c:pt idx="1">
                  <c:v>17</c:v>
                </c:pt>
                <c:pt idx="2">
                  <c:v>15</c:v>
                </c:pt>
                <c:pt idx="3">
                  <c:v>15</c:v>
                </c:pt>
                <c:pt idx="4">
                  <c:v>14</c:v>
                </c:pt>
                <c:pt idx="5">
                  <c:v>22</c:v>
                </c:pt>
                <c:pt idx="6">
                  <c:v>20</c:v>
                </c:pt>
                <c:pt idx="7">
                  <c:v>24</c:v>
                </c:pt>
                <c:pt idx="8">
                  <c:v>17</c:v>
                </c:pt>
                <c:pt idx="9">
                  <c:v>18</c:v>
                </c:pt>
                <c:pt idx="10">
                  <c:v>21</c:v>
                </c:pt>
                <c:pt idx="11">
                  <c:v>18</c:v>
                </c:pt>
                <c:pt idx="12">
                  <c:v>21</c:v>
                </c:pt>
                <c:pt idx="13">
                  <c:v>15</c:v>
                </c:pt>
                <c:pt idx="14">
                  <c:v>21</c:v>
                </c:pt>
                <c:pt idx="15">
                  <c:v>21</c:v>
                </c:pt>
                <c:pt idx="16">
                  <c:v>17</c:v>
                </c:pt>
                <c:pt idx="17">
                  <c:v>20</c:v>
                </c:pt>
                <c:pt idx="18">
                  <c:v>16</c:v>
                </c:pt>
                <c:pt idx="19">
                  <c:v>17</c:v>
                </c:pt>
                <c:pt idx="20">
                  <c:v>19</c:v>
                </c:pt>
                <c:pt idx="21">
                  <c:v>20.5</c:v>
                </c:pt>
                <c:pt idx="22">
                  <c:v>19.899999999999999</c:v>
                </c:pt>
                <c:pt idx="23">
                  <c:v>19.100000000000001</c:v>
                </c:pt>
                <c:pt idx="24">
                  <c:v>19.7</c:v>
                </c:pt>
                <c:pt idx="25">
                  <c:v>18</c:v>
                </c:pt>
                <c:pt idx="26">
                  <c:v>19.399999999999999</c:v>
                </c:pt>
                <c:pt idx="27">
                  <c:v>19</c:v>
                </c:pt>
                <c:pt idx="28">
                  <c:v>19.899999999999999</c:v>
                </c:pt>
                <c:pt idx="29">
                  <c:v>18.8</c:v>
                </c:pt>
                <c:pt idx="30">
                  <c:v>17.5</c:v>
                </c:pt>
                <c:pt idx="31">
                  <c:v>18.5</c:v>
                </c:pt>
                <c:pt idx="32">
                  <c:v>16.7</c:v>
                </c:pt>
                <c:pt idx="33">
                  <c:v>18.100000000000001</c:v>
                </c:pt>
                <c:pt idx="34">
                  <c:v>17.600000000000001</c:v>
                </c:pt>
                <c:pt idx="35">
                  <c:v>16</c:v>
                </c:pt>
                <c:pt idx="36">
                  <c:v>15.3</c:v>
                </c:pt>
                <c:pt idx="37">
                  <c:v>17</c:v>
                </c:pt>
                <c:pt idx="38">
                  <c:v>16.2</c:v>
                </c:pt>
                <c:pt idx="39">
                  <c:v>17</c:v>
                </c:pt>
                <c:pt idx="40">
                  <c:v>16.5</c:v>
                </c:pt>
                <c:pt idx="41">
                  <c:v>16.899999999999999</c:v>
                </c:pt>
                <c:pt idx="42">
                  <c:v>14.8</c:v>
                </c:pt>
                <c:pt idx="43">
                  <c:v>14.2</c:v>
                </c:pt>
                <c:pt idx="44">
                  <c:v>14.9</c:v>
                </c:pt>
                <c:pt idx="45">
                  <c:v>15.6</c:v>
                </c:pt>
                <c:pt idx="46">
                  <c:v>15.9</c:v>
                </c:pt>
                <c:pt idx="47">
                  <c:v>14.7</c:v>
                </c:pt>
                <c:pt idx="48">
                  <c:v>16.7</c:v>
                </c:pt>
                <c:pt idx="49">
                  <c:v>16.2</c:v>
                </c:pt>
                <c:pt idx="50">
                  <c:v>14.9</c:v>
                </c:pt>
                <c:pt idx="51">
                  <c:v>15.1</c:v>
                </c:pt>
                <c:pt idx="52">
                  <c:v>14.5</c:v>
                </c:pt>
                <c:pt idx="53">
                  <c:v>15.1</c:v>
                </c:pt>
                <c:pt idx="54">
                  <c:v>15.3</c:v>
                </c:pt>
                <c:pt idx="55">
                  <c:v>15.8</c:v>
                </c:pt>
                <c:pt idx="56">
                  <c:v>14.7</c:v>
                </c:pt>
                <c:pt idx="57">
                  <c:v>14.3</c:v>
                </c:pt>
                <c:pt idx="58">
                  <c:v>15</c:v>
                </c:pt>
                <c:pt idx="59">
                  <c:v>12.8</c:v>
                </c:pt>
                <c:pt idx="60">
                  <c:v>13.5</c:v>
                </c:pt>
                <c:pt idx="61">
                  <c:v>15.3</c:v>
                </c:pt>
                <c:pt idx="62">
                  <c:v>13.6</c:v>
                </c:pt>
                <c:pt idx="63">
                  <c:v>13.9</c:v>
                </c:pt>
                <c:pt idx="64">
                  <c:v>14.9</c:v>
                </c:pt>
                <c:pt idx="65">
                  <c:v>11.9</c:v>
                </c:pt>
                <c:pt idx="66">
                  <c:v>10.7</c:v>
                </c:pt>
                <c:pt idx="67">
                  <c:v>13.2</c:v>
                </c:pt>
                <c:pt idx="68">
                  <c:v>12.3</c:v>
                </c:pt>
                <c:pt idx="69">
                  <c:v>15</c:v>
                </c:pt>
                <c:pt idx="70">
                  <c:v>13.7</c:v>
                </c:pt>
                <c:pt idx="71">
                  <c:v>14.2</c:v>
                </c:pt>
                <c:pt idx="72">
                  <c:v>12.7</c:v>
                </c:pt>
                <c:pt idx="73">
                  <c:v>13.6</c:v>
                </c:pt>
                <c:pt idx="74">
                  <c:v>12.9</c:v>
                </c:pt>
                <c:pt idx="75">
                  <c:v>13.3</c:v>
                </c:pt>
                <c:pt idx="76">
                  <c:v>12.1</c:v>
                </c:pt>
                <c:pt idx="77">
                  <c:v>14.8</c:v>
                </c:pt>
                <c:pt idx="78">
                  <c:v>12.51</c:v>
                </c:pt>
                <c:pt idx="79">
                  <c:v>12.33</c:v>
                </c:pt>
                <c:pt idx="80">
                  <c:v>12.17</c:v>
                </c:pt>
                <c:pt idx="81">
                  <c:v>12.07</c:v>
                </c:pt>
                <c:pt idx="82">
                  <c:v>12.04</c:v>
                </c:pt>
                <c:pt idx="83">
                  <c:v>11.52</c:v>
                </c:pt>
                <c:pt idx="84">
                  <c:v>11.35</c:v>
                </c:pt>
                <c:pt idx="85">
                  <c:v>11.06</c:v>
                </c:pt>
                <c:pt idx="86">
                  <c:v>11.2</c:v>
                </c:pt>
                <c:pt idx="87">
                  <c:v>10.66</c:v>
                </c:pt>
                <c:pt idx="88">
                  <c:v>10.39</c:v>
                </c:pt>
                <c:pt idx="89">
                  <c:v>10.44</c:v>
                </c:pt>
                <c:pt idx="90">
                  <c:v>10.37</c:v>
                </c:pt>
                <c:pt idx="91">
                  <c:v>10.81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Data2'!$G$155:$CT$155</c:f>
              <c:numCache>
                <c:formatCode>General</c:formatCode>
                <c:ptCount val="92"/>
                <c:pt idx="0">
                  <c:v>17</c:v>
                </c:pt>
                <c:pt idx="1">
                  <c:v>11</c:v>
                </c:pt>
                <c:pt idx="2">
                  <c:v>12</c:v>
                </c:pt>
                <c:pt idx="3">
                  <c:v>15</c:v>
                </c:pt>
                <c:pt idx="4">
                  <c:v>12</c:v>
                </c:pt>
                <c:pt idx="5">
                  <c:v>15</c:v>
                </c:pt>
                <c:pt idx="6">
                  <c:v>10</c:v>
                </c:pt>
                <c:pt idx="7">
                  <c:v>15</c:v>
                </c:pt>
                <c:pt idx="8">
                  <c:v>16</c:v>
                </c:pt>
                <c:pt idx="9">
                  <c:v>15</c:v>
                </c:pt>
                <c:pt idx="10">
                  <c:v>19</c:v>
                </c:pt>
                <c:pt idx="11">
                  <c:v>13</c:v>
                </c:pt>
                <c:pt idx="12">
                  <c:v>11</c:v>
                </c:pt>
                <c:pt idx="13">
                  <c:v>13</c:v>
                </c:pt>
                <c:pt idx="14">
                  <c:v>20</c:v>
                </c:pt>
                <c:pt idx="15">
                  <c:v>15</c:v>
                </c:pt>
                <c:pt idx="16">
                  <c:v>20</c:v>
                </c:pt>
                <c:pt idx="17">
                  <c:v>15</c:v>
                </c:pt>
                <c:pt idx="18">
                  <c:v>12</c:v>
                </c:pt>
                <c:pt idx="19">
                  <c:v>20</c:v>
                </c:pt>
                <c:pt idx="20">
                  <c:v>16.7</c:v>
                </c:pt>
                <c:pt idx="21">
                  <c:v>15.8</c:v>
                </c:pt>
                <c:pt idx="22">
                  <c:v>15.4</c:v>
                </c:pt>
                <c:pt idx="23">
                  <c:v>16.7</c:v>
                </c:pt>
                <c:pt idx="24">
                  <c:v>15.1</c:v>
                </c:pt>
                <c:pt idx="25">
                  <c:v>16.600000000000001</c:v>
                </c:pt>
                <c:pt idx="26">
                  <c:v>16.7</c:v>
                </c:pt>
                <c:pt idx="27">
                  <c:v>15.8</c:v>
                </c:pt>
                <c:pt idx="28">
                  <c:v>15.1</c:v>
                </c:pt>
                <c:pt idx="29">
                  <c:v>15.4</c:v>
                </c:pt>
                <c:pt idx="30">
                  <c:v>15.1</c:v>
                </c:pt>
                <c:pt idx="31">
                  <c:v>15.2</c:v>
                </c:pt>
                <c:pt idx="32">
                  <c:v>13.5</c:v>
                </c:pt>
                <c:pt idx="33">
                  <c:v>14.4</c:v>
                </c:pt>
                <c:pt idx="34">
                  <c:v>14</c:v>
                </c:pt>
                <c:pt idx="35">
                  <c:v>14</c:v>
                </c:pt>
                <c:pt idx="36">
                  <c:v>13.7</c:v>
                </c:pt>
                <c:pt idx="37">
                  <c:v>13.7</c:v>
                </c:pt>
                <c:pt idx="38">
                  <c:v>13.7</c:v>
                </c:pt>
                <c:pt idx="39">
                  <c:v>13.4</c:v>
                </c:pt>
                <c:pt idx="40">
                  <c:v>12.7</c:v>
                </c:pt>
                <c:pt idx="41">
                  <c:v>14.2</c:v>
                </c:pt>
                <c:pt idx="42">
                  <c:v>13.2</c:v>
                </c:pt>
                <c:pt idx="43">
                  <c:v>13.8</c:v>
                </c:pt>
                <c:pt idx="44">
                  <c:v>13.6</c:v>
                </c:pt>
                <c:pt idx="45">
                  <c:v>12.9</c:v>
                </c:pt>
                <c:pt idx="46">
                  <c:v>15</c:v>
                </c:pt>
                <c:pt idx="47">
                  <c:v>13.4</c:v>
                </c:pt>
                <c:pt idx="48">
                  <c:v>12.6</c:v>
                </c:pt>
                <c:pt idx="49">
                  <c:v>13</c:v>
                </c:pt>
                <c:pt idx="50">
                  <c:v>14.8</c:v>
                </c:pt>
                <c:pt idx="51">
                  <c:v>12.7</c:v>
                </c:pt>
                <c:pt idx="52">
                  <c:v>12.7</c:v>
                </c:pt>
                <c:pt idx="53">
                  <c:v>11.6</c:v>
                </c:pt>
                <c:pt idx="54">
                  <c:v>12.1</c:v>
                </c:pt>
                <c:pt idx="55">
                  <c:v>13.3</c:v>
                </c:pt>
                <c:pt idx="56">
                  <c:v>11</c:v>
                </c:pt>
                <c:pt idx="57">
                  <c:v>13.3</c:v>
                </c:pt>
                <c:pt idx="58">
                  <c:v>10</c:v>
                </c:pt>
                <c:pt idx="59">
                  <c:v>11.6</c:v>
                </c:pt>
                <c:pt idx="60">
                  <c:v>12.2</c:v>
                </c:pt>
                <c:pt idx="61">
                  <c:v>12.3</c:v>
                </c:pt>
                <c:pt idx="62">
                  <c:v>14.5</c:v>
                </c:pt>
                <c:pt idx="63">
                  <c:v>10.8</c:v>
                </c:pt>
                <c:pt idx="64">
                  <c:v>10.9</c:v>
                </c:pt>
                <c:pt idx="65">
                  <c:v>13.9</c:v>
                </c:pt>
                <c:pt idx="66">
                  <c:v>11</c:v>
                </c:pt>
                <c:pt idx="67">
                  <c:v>11.8</c:v>
                </c:pt>
                <c:pt idx="68">
                  <c:v>11.7</c:v>
                </c:pt>
                <c:pt idx="69">
                  <c:v>11</c:v>
                </c:pt>
                <c:pt idx="70">
                  <c:v>12.6</c:v>
                </c:pt>
                <c:pt idx="71">
                  <c:v>11.4</c:v>
                </c:pt>
                <c:pt idx="72">
                  <c:v>10.9</c:v>
                </c:pt>
                <c:pt idx="73">
                  <c:v>10.6</c:v>
                </c:pt>
                <c:pt idx="74">
                  <c:v>11.4</c:v>
                </c:pt>
                <c:pt idx="75">
                  <c:v>12.3</c:v>
                </c:pt>
                <c:pt idx="76">
                  <c:v>11.3</c:v>
                </c:pt>
                <c:pt idx="77">
                  <c:v>13.1</c:v>
                </c:pt>
                <c:pt idx="78">
                  <c:v>11.27</c:v>
                </c:pt>
                <c:pt idx="79">
                  <c:v>10.74</c:v>
                </c:pt>
                <c:pt idx="80">
                  <c:v>10.99</c:v>
                </c:pt>
                <c:pt idx="81">
                  <c:v>11.1</c:v>
                </c:pt>
                <c:pt idx="82">
                  <c:v>10.82</c:v>
                </c:pt>
                <c:pt idx="83">
                  <c:v>10.97</c:v>
                </c:pt>
                <c:pt idx="84">
                  <c:v>10.76</c:v>
                </c:pt>
                <c:pt idx="85">
                  <c:v>10.95</c:v>
                </c:pt>
                <c:pt idx="86">
                  <c:v>10.16</c:v>
                </c:pt>
                <c:pt idx="87">
                  <c:v>9.73</c:v>
                </c:pt>
                <c:pt idx="88">
                  <c:v>10.07</c:v>
                </c:pt>
                <c:pt idx="89">
                  <c:v>9.9</c:v>
                </c:pt>
                <c:pt idx="90">
                  <c:v>9.61</c:v>
                </c:pt>
                <c:pt idx="91">
                  <c:v>9.49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Data2'!$G$156:$CT$156</c:f>
              <c:numCache>
                <c:formatCode>General</c:formatCode>
                <c:ptCount val="92"/>
                <c:pt idx="0">
                  <c:v>11</c:v>
                </c:pt>
                <c:pt idx="1">
                  <c:v>7</c:v>
                </c:pt>
                <c:pt idx="2">
                  <c:v>11</c:v>
                </c:pt>
                <c:pt idx="3">
                  <c:v>12</c:v>
                </c:pt>
                <c:pt idx="4">
                  <c:v>8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11</c:v>
                </c:pt>
                <c:pt idx="10">
                  <c:v>10</c:v>
                </c:pt>
                <c:pt idx="11">
                  <c:v>15</c:v>
                </c:pt>
                <c:pt idx="12">
                  <c:v>14</c:v>
                </c:pt>
                <c:pt idx="13">
                  <c:v>9</c:v>
                </c:pt>
                <c:pt idx="14">
                  <c:v>15</c:v>
                </c:pt>
                <c:pt idx="15">
                  <c:v>12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10</c:v>
                </c:pt>
                <c:pt idx="20">
                  <c:v>11.9</c:v>
                </c:pt>
                <c:pt idx="21">
                  <c:v>11.4</c:v>
                </c:pt>
                <c:pt idx="22">
                  <c:v>12</c:v>
                </c:pt>
                <c:pt idx="23">
                  <c:v>13.1</c:v>
                </c:pt>
                <c:pt idx="24">
                  <c:v>12.2</c:v>
                </c:pt>
                <c:pt idx="25">
                  <c:v>12.2</c:v>
                </c:pt>
                <c:pt idx="26">
                  <c:v>12</c:v>
                </c:pt>
                <c:pt idx="27">
                  <c:v>10.9</c:v>
                </c:pt>
                <c:pt idx="28">
                  <c:v>12.8</c:v>
                </c:pt>
                <c:pt idx="29">
                  <c:v>13</c:v>
                </c:pt>
                <c:pt idx="30">
                  <c:v>11.6</c:v>
                </c:pt>
                <c:pt idx="31">
                  <c:v>11.1</c:v>
                </c:pt>
                <c:pt idx="32">
                  <c:v>11.6</c:v>
                </c:pt>
                <c:pt idx="33">
                  <c:v>11.8</c:v>
                </c:pt>
                <c:pt idx="34">
                  <c:v>10.4</c:v>
                </c:pt>
                <c:pt idx="35">
                  <c:v>12</c:v>
                </c:pt>
                <c:pt idx="36">
                  <c:v>10.1</c:v>
                </c:pt>
                <c:pt idx="37">
                  <c:v>11.3</c:v>
                </c:pt>
                <c:pt idx="38">
                  <c:v>12.1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10.199999999999999</c:v>
                </c:pt>
                <c:pt idx="42">
                  <c:v>9.9</c:v>
                </c:pt>
                <c:pt idx="43">
                  <c:v>10.1</c:v>
                </c:pt>
                <c:pt idx="44">
                  <c:v>11.5</c:v>
                </c:pt>
                <c:pt idx="45">
                  <c:v>11.5</c:v>
                </c:pt>
                <c:pt idx="46">
                  <c:v>10.6</c:v>
                </c:pt>
                <c:pt idx="47">
                  <c:v>11</c:v>
                </c:pt>
                <c:pt idx="48">
                  <c:v>10</c:v>
                </c:pt>
                <c:pt idx="49">
                  <c:v>9.5</c:v>
                </c:pt>
                <c:pt idx="50">
                  <c:v>8.6999999999999993</c:v>
                </c:pt>
                <c:pt idx="51">
                  <c:v>10.7</c:v>
                </c:pt>
                <c:pt idx="52">
                  <c:v>10.5</c:v>
                </c:pt>
                <c:pt idx="53">
                  <c:v>9.8000000000000007</c:v>
                </c:pt>
                <c:pt idx="54">
                  <c:v>10.5</c:v>
                </c:pt>
                <c:pt idx="55">
                  <c:v>9.1</c:v>
                </c:pt>
                <c:pt idx="56">
                  <c:v>9.1</c:v>
                </c:pt>
                <c:pt idx="57">
                  <c:v>8.9</c:v>
                </c:pt>
                <c:pt idx="58">
                  <c:v>9.9</c:v>
                </c:pt>
                <c:pt idx="59">
                  <c:v>9.5</c:v>
                </c:pt>
                <c:pt idx="60">
                  <c:v>9</c:v>
                </c:pt>
                <c:pt idx="61">
                  <c:v>10.8</c:v>
                </c:pt>
                <c:pt idx="62">
                  <c:v>8.6</c:v>
                </c:pt>
                <c:pt idx="63">
                  <c:v>9.5</c:v>
                </c:pt>
                <c:pt idx="64">
                  <c:v>8.5</c:v>
                </c:pt>
                <c:pt idx="65">
                  <c:v>10.199999999999999</c:v>
                </c:pt>
                <c:pt idx="66">
                  <c:v>10.5</c:v>
                </c:pt>
                <c:pt idx="67">
                  <c:v>8.6999999999999993</c:v>
                </c:pt>
                <c:pt idx="68">
                  <c:v>9</c:v>
                </c:pt>
                <c:pt idx="69">
                  <c:v>9.3000000000000007</c:v>
                </c:pt>
                <c:pt idx="70">
                  <c:v>8.8000000000000007</c:v>
                </c:pt>
                <c:pt idx="71">
                  <c:v>10</c:v>
                </c:pt>
                <c:pt idx="72">
                  <c:v>9.1</c:v>
                </c:pt>
                <c:pt idx="73">
                  <c:v>10</c:v>
                </c:pt>
                <c:pt idx="74">
                  <c:v>9</c:v>
                </c:pt>
                <c:pt idx="75">
                  <c:v>10.3</c:v>
                </c:pt>
                <c:pt idx="76">
                  <c:v>10.199999999999999</c:v>
                </c:pt>
                <c:pt idx="77">
                  <c:v>8.1</c:v>
                </c:pt>
                <c:pt idx="78">
                  <c:v>9.23</c:v>
                </c:pt>
                <c:pt idx="79">
                  <c:v>8.75</c:v>
                </c:pt>
                <c:pt idx="80">
                  <c:v>9.08</c:v>
                </c:pt>
                <c:pt idx="81">
                  <c:v>8.74</c:v>
                </c:pt>
                <c:pt idx="82">
                  <c:v>8.8800000000000008</c:v>
                </c:pt>
                <c:pt idx="83">
                  <c:v>8.6</c:v>
                </c:pt>
                <c:pt idx="84">
                  <c:v>8.56</c:v>
                </c:pt>
                <c:pt idx="85">
                  <c:v>8.8699999999999992</c:v>
                </c:pt>
                <c:pt idx="86">
                  <c:v>8.69</c:v>
                </c:pt>
                <c:pt idx="87">
                  <c:v>8.83</c:v>
                </c:pt>
                <c:pt idx="88">
                  <c:v>8.86</c:v>
                </c:pt>
                <c:pt idx="89">
                  <c:v>8.58</c:v>
                </c:pt>
                <c:pt idx="90">
                  <c:v>8.5</c:v>
                </c:pt>
                <c:pt idx="91">
                  <c:v>8.48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Data2'!$G$157:$CT$157</c:f>
              <c:numCache>
                <c:formatCode>General</c:formatCode>
                <c:ptCount val="92"/>
                <c:pt idx="0">
                  <c:v>13</c:v>
                </c:pt>
                <c:pt idx="1">
                  <c:v>10</c:v>
                </c:pt>
                <c:pt idx="2">
                  <c:v>14</c:v>
                </c:pt>
                <c:pt idx="3">
                  <c:v>10</c:v>
                </c:pt>
                <c:pt idx="4">
                  <c:v>12</c:v>
                </c:pt>
                <c:pt idx="5">
                  <c:v>13</c:v>
                </c:pt>
                <c:pt idx="6">
                  <c:v>17</c:v>
                </c:pt>
                <c:pt idx="7">
                  <c:v>15</c:v>
                </c:pt>
                <c:pt idx="8">
                  <c:v>14</c:v>
                </c:pt>
                <c:pt idx="9">
                  <c:v>16</c:v>
                </c:pt>
                <c:pt idx="10">
                  <c:v>16</c:v>
                </c:pt>
                <c:pt idx="11">
                  <c:v>11</c:v>
                </c:pt>
                <c:pt idx="12">
                  <c:v>18</c:v>
                </c:pt>
                <c:pt idx="13">
                  <c:v>15</c:v>
                </c:pt>
                <c:pt idx="14">
                  <c:v>13</c:v>
                </c:pt>
                <c:pt idx="15">
                  <c:v>20</c:v>
                </c:pt>
                <c:pt idx="16">
                  <c:v>11</c:v>
                </c:pt>
                <c:pt idx="17">
                  <c:v>12</c:v>
                </c:pt>
                <c:pt idx="18">
                  <c:v>9</c:v>
                </c:pt>
                <c:pt idx="19">
                  <c:v>19</c:v>
                </c:pt>
                <c:pt idx="20">
                  <c:v>15.3</c:v>
                </c:pt>
                <c:pt idx="21">
                  <c:v>13.5</c:v>
                </c:pt>
                <c:pt idx="22">
                  <c:v>14.2</c:v>
                </c:pt>
                <c:pt idx="23">
                  <c:v>15.2</c:v>
                </c:pt>
                <c:pt idx="24">
                  <c:v>14</c:v>
                </c:pt>
                <c:pt idx="25">
                  <c:v>12.9</c:v>
                </c:pt>
                <c:pt idx="26">
                  <c:v>12.7</c:v>
                </c:pt>
                <c:pt idx="27">
                  <c:v>14.7</c:v>
                </c:pt>
                <c:pt idx="28">
                  <c:v>14.1</c:v>
                </c:pt>
                <c:pt idx="29">
                  <c:v>12.6</c:v>
                </c:pt>
                <c:pt idx="30">
                  <c:v>13.4</c:v>
                </c:pt>
                <c:pt idx="31">
                  <c:v>12.3</c:v>
                </c:pt>
                <c:pt idx="32">
                  <c:v>12.4</c:v>
                </c:pt>
                <c:pt idx="33">
                  <c:v>13.7</c:v>
                </c:pt>
                <c:pt idx="34">
                  <c:v>11.5</c:v>
                </c:pt>
                <c:pt idx="35">
                  <c:v>11.1</c:v>
                </c:pt>
                <c:pt idx="36">
                  <c:v>11.7</c:v>
                </c:pt>
                <c:pt idx="37">
                  <c:v>11.2</c:v>
                </c:pt>
                <c:pt idx="38">
                  <c:v>12.7</c:v>
                </c:pt>
                <c:pt idx="39">
                  <c:v>13.4</c:v>
                </c:pt>
                <c:pt idx="40">
                  <c:v>13.2</c:v>
                </c:pt>
                <c:pt idx="41">
                  <c:v>12.2</c:v>
                </c:pt>
                <c:pt idx="42">
                  <c:v>12.4</c:v>
                </c:pt>
                <c:pt idx="43">
                  <c:v>11.2</c:v>
                </c:pt>
                <c:pt idx="44">
                  <c:v>11.2</c:v>
                </c:pt>
                <c:pt idx="45">
                  <c:v>10.1</c:v>
                </c:pt>
                <c:pt idx="46">
                  <c:v>11.9</c:v>
                </c:pt>
                <c:pt idx="47">
                  <c:v>12.1</c:v>
                </c:pt>
                <c:pt idx="48">
                  <c:v>10.7</c:v>
                </c:pt>
                <c:pt idx="49">
                  <c:v>10.8</c:v>
                </c:pt>
                <c:pt idx="50">
                  <c:v>12.9</c:v>
                </c:pt>
                <c:pt idx="51">
                  <c:v>10.1</c:v>
                </c:pt>
                <c:pt idx="52">
                  <c:v>9.4</c:v>
                </c:pt>
                <c:pt idx="53">
                  <c:v>10.7</c:v>
                </c:pt>
                <c:pt idx="54">
                  <c:v>9.8000000000000007</c:v>
                </c:pt>
                <c:pt idx="55">
                  <c:v>9.8000000000000007</c:v>
                </c:pt>
                <c:pt idx="56">
                  <c:v>11.3</c:v>
                </c:pt>
                <c:pt idx="57">
                  <c:v>12.2</c:v>
                </c:pt>
                <c:pt idx="58">
                  <c:v>9.6999999999999993</c:v>
                </c:pt>
                <c:pt idx="59">
                  <c:v>11.6</c:v>
                </c:pt>
                <c:pt idx="60">
                  <c:v>10.4</c:v>
                </c:pt>
                <c:pt idx="61">
                  <c:v>11.5</c:v>
                </c:pt>
                <c:pt idx="62">
                  <c:v>10.6</c:v>
                </c:pt>
                <c:pt idx="63">
                  <c:v>9.1</c:v>
                </c:pt>
                <c:pt idx="64">
                  <c:v>11.3</c:v>
                </c:pt>
                <c:pt idx="65">
                  <c:v>10.4</c:v>
                </c:pt>
                <c:pt idx="66">
                  <c:v>9.8000000000000007</c:v>
                </c:pt>
                <c:pt idx="67">
                  <c:v>11</c:v>
                </c:pt>
                <c:pt idx="68">
                  <c:v>10.1</c:v>
                </c:pt>
                <c:pt idx="69">
                  <c:v>10.7</c:v>
                </c:pt>
                <c:pt idx="70">
                  <c:v>10</c:v>
                </c:pt>
                <c:pt idx="71">
                  <c:v>10.8</c:v>
                </c:pt>
                <c:pt idx="72">
                  <c:v>10.199999999999999</c:v>
                </c:pt>
                <c:pt idx="73">
                  <c:v>8.9</c:v>
                </c:pt>
                <c:pt idx="74">
                  <c:v>11.1</c:v>
                </c:pt>
                <c:pt idx="75">
                  <c:v>9.6999999999999993</c:v>
                </c:pt>
                <c:pt idx="76">
                  <c:v>9.9</c:v>
                </c:pt>
                <c:pt idx="77">
                  <c:v>9.1</c:v>
                </c:pt>
                <c:pt idx="78">
                  <c:v>10.1</c:v>
                </c:pt>
                <c:pt idx="79">
                  <c:v>9.77</c:v>
                </c:pt>
                <c:pt idx="80">
                  <c:v>10.18</c:v>
                </c:pt>
                <c:pt idx="81">
                  <c:v>9.61</c:v>
                </c:pt>
                <c:pt idx="82">
                  <c:v>10.3</c:v>
                </c:pt>
                <c:pt idx="83">
                  <c:v>9.68</c:v>
                </c:pt>
                <c:pt idx="84">
                  <c:v>9.5</c:v>
                </c:pt>
                <c:pt idx="85">
                  <c:v>9.26</c:v>
                </c:pt>
                <c:pt idx="86">
                  <c:v>8.6199999999999992</c:v>
                </c:pt>
                <c:pt idx="87">
                  <c:v>8.9600000000000009</c:v>
                </c:pt>
                <c:pt idx="88">
                  <c:v>8.74</c:v>
                </c:pt>
                <c:pt idx="89">
                  <c:v>8.64</c:v>
                </c:pt>
                <c:pt idx="90">
                  <c:v>8.5299999999999994</c:v>
                </c:pt>
                <c:pt idx="91">
                  <c:v>8.8000000000000007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Data2'!$G$158:$CT$158</c:f>
              <c:numCache>
                <c:formatCode>General</c:formatCode>
                <c:ptCount val="92"/>
                <c:pt idx="0">
                  <c:v>12</c:v>
                </c:pt>
                <c:pt idx="1">
                  <c:v>19</c:v>
                </c:pt>
                <c:pt idx="2">
                  <c:v>17</c:v>
                </c:pt>
                <c:pt idx="3">
                  <c:v>9</c:v>
                </c:pt>
                <c:pt idx="4">
                  <c:v>8</c:v>
                </c:pt>
                <c:pt idx="5">
                  <c:v>17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14</c:v>
                </c:pt>
                <c:pt idx="10">
                  <c:v>16</c:v>
                </c:pt>
                <c:pt idx="11">
                  <c:v>18</c:v>
                </c:pt>
                <c:pt idx="12">
                  <c:v>8</c:v>
                </c:pt>
                <c:pt idx="13">
                  <c:v>21</c:v>
                </c:pt>
                <c:pt idx="14">
                  <c:v>13</c:v>
                </c:pt>
                <c:pt idx="15">
                  <c:v>15</c:v>
                </c:pt>
                <c:pt idx="16">
                  <c:v>14</c:v>
                </c:pt>
                <c:pt idx="17">
                  <c:v>20</c:v>
                </c:pt>
                <c:pt idx="18">
                  <c:v>18</c:v>
                </c:pt>
                <c:pt idx="19">
                  <c:v>9</c:v>
                </c:pt>
                <c:pt idx="20">
                  <c:v>13.5</c:v>
                </c:pt>
                <c:pt idx="21">
                  <c:v>14.1</c:v>
                </c:pt>
                <c:pt idx="22">
                  <c:v>12.5</c:v>
                </c:pt>
                <c:pt idx="23">
                  <c:v>14.1</c:v>
                </c:pt>
                <c:pt idx="24">
                  <c:v>13.5</c:v>
                </c:pt>
                <c:pt idx="25">
                  <c:v>11.2</c:v>
                </c:pt>
                <c:pt idx="26">
                  <c:v>14.9</c:v>
                </c:pt>
                <c:pt idx="27">
                  <c:v>12</c:v>
                </c:pt>
                <c:pt idx="28">
                  <c:v>12.7</c:v>
                </c:pt>
                <c:pt idx="29">
                  <c:v>11.9</c:v>
                </c:pt>
                <c:pt idx="30">
                  <c:v>11.4</c:v>
                </c:pt>
                <c:pt idx="31">
                  <c:v>12.1</c:v>
                </c:pt>
                <c:pt idx="32">
                  <c:v>12.9</c:v>
                </c:pt>
                <c:pt idx="33">
                  <c:v>12.3</c:v>
                </c:pt>
                <c:pt idx="34">
                  <c:v>12</c:v>
                </c:pt>
                <c:pt idx="35">
                  <c:v>11.4</c:v>
                </c:pt>
                <c:pt idx="36">
                  <c:v>12.4</c:v>
                </c:pt>
                <c:pt idx="37">
                  <c:v>11.3</c:v>
                </c:pt>
                <c:pt idx="38">
                  <c:v>11.4</c:v>
                </c:pt>
                <c:pt idx="39">
                  <c:v>10.7</c:v>
                </c:pt>
                <c:pt idx="40">
                  <c:v>11.9</c:v>
                </c:pt>
                <c:pt idx="41">
                  <c:v>11.3</c:v>
                </c:pt>
                <c:pt idx="42">
                  <c:v>11.3</c:v>
                </c:pt>
                <c:pt idx="43">
                  <c:v>10.1</c:v>
                </c:pt>
                <c:pt idx="44">
                  <c:v>11.5</c:v>
                </c:pt>
                <c:pt idx="45">
                  <c:v>12</c:v>
                </c:pt>
                <c:pt idx="46">
                  <c:v>9.6999999999999993</c:v>
                </c:pt>
                <c:pt idx="47">
                  <c:v>10.3</c:v>
                </c:pt>
                <c:pt idx="48">
                  <c:v>11.4</c:v>
                </c:pt>
                <c:pt idx="49">
                  <c:v>11.5</c:v>
                </c:pt>
                <c:pt idx="50">
                  <c:v>10.6</c:v>
                </c:pt>
                <c:pt idx="51">
                  <c:v>11.3</c:v>
                </c:pt>
                <c:pt idx="52">
                  <c:v>10.4</c:v>
                </c:pt>
                <c:pt idx="53">
                  <c:v>9.6999999999999993</c:v>
                </c:pt>
                <c:pt idx="54">
                  <c:v>10.4</c:v>
                </c:pt>
                <c:pt idx="55">
                  <c:v>9</c:v>
                </c:pt>
                <c:pt idx="56">
                  <c:v>9.9</c:v>
                </c:pt>
                <c:pt idx="57">
                  <c:v>10.1</c:v>
                </c:pt>
                <c:pt idx="58">
                  <c:v>10.3</c:v>
                </c:pt>
                <c:pt idx="59">
                  <c:v>10.3</c:v>
                </c:pt>
                <c:pt idx="60">
                  <c:v>9.6999999999999993</c:v>
                </c:pt>
                <c:pt idx="61">
                  <c:v>9.5</c:v>
                </c:pt>
                <c:pt idx="62">
                  <c:v>8.9</c:v>
                </c:pt>
                <c:pt idx="63">
                  <c:v>8.8000000000000007</c:v>
                </c:pt>
                <c:pt idx="64">
                  <c:v>8.9</c:v>
                </c:pt>
                <c:pt idx="65">
                  <c:v>11.2</c:v>
                </c:pt>
                <c:pt idx="66">
                  <c:v>9.1999999999999993</c:v>
                </c:pt>
                <c:pt idx="67">
                  <c:v>10.5</c:v>
                </c:pt>
                <c:pt idx="68">
                  <c:v>10.3</c:v>
                </c:pt>
                <c:pt idx="69">
                  <c:v>10.5</c:v>
                </c:pt>
                <c:pt idx="70">
                  <c:v>9.9</c:v>
                </c:pt>
                <c:pt idx="71">
                  <c:v>9.9</c:v>
                </c:pt>
                <c:pt idx="72">
                  <c:v>8.9</c:v>
                </c:pt>
                <c:pt idx="73">
                  <c:v>10.8</c:v>
                </c:pt>
                <c:pt idx="74">
                  <c:v>9.5</c:v>
                </c:pt>
                <c:pt idx="75">
                  <c:v>10.199999999999999</c:v>
                </c:pt>
                <c:pt idx="76">
                  <c:v>10.199999999999999</c:v>
                </c:pt>
                <c:pt idx="77">
                  <c:v>10.199999999999999</c:v>
                </c:pt>
                <c:pt idx="78">
                  <c:v>9.19</c:v>
                </c:pt>
                <c:pt idx="79">
                  <c:v>9.43</c:v>
                </c:pt>
                <c:pt idx="80">
                  <c:v>9.33</c:v>
                </c:pt>
                <c:pt idx="81">
                  <c:v>9.15</c:v>
                </c:pt>
                <c:pt idx="82">
                  <c:v>8.74</c:v>
                </c:pt>
                <c:pt idx="83">
                  <c:v>8.92</c:v>
                </c:pt>
                <c:pt idx="84">
                  <c:v>8.6999999999999993</c:v>
                </c:pt>
                <c:pt idx="85">
                  <c:v>8.67</c:v>
                </c:pt>
                <c:pt idx="86">
                  <c:v>8.93</c:v>
                </c:pt>
                <c:pt idx="87">
                  <c:v>8.34</c:v>
                </c:pt>
                <c:pt idx="88">
                  <c:v>8.6999999999999993</c:v>
                </c:pt>
                <c:pt idx="89">
                  <c:v>8.1</c:v>
                </c:pt>
                <c:pt idx="90">
                  <c:v>8.1300000000000008</c:v>
                </c:pt>
                <c:pt idx="91">
                  <c:v>8.2799999999999994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Data2'!$G$159:$CT$159</c:f>
              <c:numCache>
                <c:formatCode>General</c:formatCode>
                <c:ptCount val="92"/>
                <c:pt idx="0">
                  <c:v>16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18</c:v>
                </c:pt>
                <c:pt idx="8">
                  <c:v>14</c:v>
                </c:pt>
                <c:pt idx="9">
                  <c:v>16</c:v>
                </c:pt>
                <c:pt idx="10">
                  <c:v>17</c:v>
                </c:pt>
                <c:pt idx="11">
                  <c:v>15</c:v>
                </c:pt>
                <c:pt idx="12">
                  <c:v>15</c:v>
                </c:pt>
                <c:pt idx="13">
                  <c:v>13</c:v>
                </c:pt>
                <c:pt idx="14">
                  <c:v>9</c:v>
                </c:pt>
                <c:pt idx="15">
                  <c:v>16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11</c:v>
                </c:pt>
                <c:pt idx="20">
                  <c:v>13.6</c:v>
                </c:pt>
                <c:pt idx="21">
                  <c:v>14.4</c:v>
                </c:pt>
                <c:pt idx="22">
                  <c:v>13.4</c:v>
                </c:pt>
                <c:pt idx="23">
                  <c:v>15.6</c:v>
                </c:pt>
                <c:pt idx="24">
                  <c:v>13.2</c:v>
                </c:pt>
                <c:pt idx="25">
                  <c:v>14.7</c:v>
                </c:pt>
                <c:pt idx="26">
                  <c:v>12.7</c:v>
                </c:pt>
                <c:pt idx="27">
                  <c:v>12.5</c:v>
                </c:pt>
                <c:pt idx="28">
                  <c:v>13.5</c:v>
                </c:pt>
                <c:pt idx="29">
                  <c:v>12.6</c:v>
                </c:pt>
                <c:pt idx="30">
                  <c:v>13</c:v>
                </c:pt>
                <c:pt idx="31">
                  <c:v>12.2</c:v>
                </c:pt>
                <c:pt idx="32">
                  <c:v>13</c:v>
                </c:pt>
                <c:pt idx="33">
                  <c:v>11.6</c:v>
                </c:pt>
                <c:pt idx="34">
                  <c:v>14.2</c:v>
                </c:pt>
                <c:pt idx="35">
                  <c:v>13.2</c:v>
                </c:pt>
                <c:pt idx="36">
                  <c:v>11.1</c:v>
                </c:pt>
                <c:pt idx="37">
                  <c:v>11.6</c:v>
                </c:pt>
                <c:pt idx="38">
                  <c:v>11.1</c:v>
                </c:pt>
                <c:pt idx="39">
                  <c:v>11.3</c:v>
                </c:pt>
                <c:pt idx="40">
                  <c:v>11.6</c:v>
                </c:pt>
                <c:pt idx="41">
                  <c:v>13</c:v>
                </c:pt>
                <c:pt idx="42">
                  <c:v>10.9</c:v>
                </c:pt>
                <c:pt idx="43">
                  <c:v>12</c:v>
                </c:pt>
                <c:pt idx="44">
                  <c:v>11.2</c:v>
                </c:pt>
                <c:pt idx="45">
                  <c:v>12</c:v>
                </c:pt>
                <c:pt idx="46">
                  <c:v>11.6</c:v>
                </c:pt>
                <c:pt idx="47">
                  <c:v>10.3</c:v>
                </c:pt>
                <c:pt idx="48">
                  <c:v>12.6</c:v>
                </c:pt>
                <c:pt idx="49">
                  <c:v>11.4</c:v>
                </c:pt>
                <c:pt idx="50">
                  <c:v>11.1</c:v>
                </c:pt>
                <c:pt idx="51">
                  <c:v>9.6999999999999993</c:v>
                </c:pt>
                <c:pt idx="52">
                  <c:v>10.4</c:v>
                </c:pt>
                <c:pt idx="53">
                  <c:v>10</c:v>
                </c:pt>
                <c:pt idx="54">
                  <c:v>9.6999999999999993</c:v>
                </c:pt>
                <c:pt idx="55">
                  <c:v>10.6</c:v>
                </c:pt>
                <c:pt idx="56">
                  <c:v>10.3</c:v>
                </c:pt>
                <c:pt idx="57">
                  <c:v>9.1</c:v>
                </c:pt>
                <c:pt idx="58">
                  <c:v>11</c:v>
                </c:pt>
                <c:pt idx="59">
                  <c:v>9.8000000000000007</c:v>
                </c:pt>
                <c:pt idx="60">
                  <c:v>10.7</c:v>
                </c:pt>
                <c:pt idx="61">
                  <c:v>9.8000000000000007</c:v>
                </c:pt>
                <c:pt idx="62">
                  <c:v>9.6</c:v>
                </c:pt>
                <c:pt idx="63">
                  <c:v>10</c:v>
                </c:pt>
                <c:pt idx="64">
                  <c:v>10.199999999999999</c:v>
                </c:pt>
                <c:pt idx="65">
                  <c:v>10.4</c:v>
                </c:pt>
                <c:pt idx="66">
                  <c:v>9</c:v>
                </c:pt>
                <c:pt idx="67">
                  <c:v>9.8000000000000007</c:v>
                </c:pt>
                <c:pt idx="68">
                  <c:v>9.1999999999999993</c:v>
                </c:pt>
                <c:pt idx="69">
                  <c:v>8.6</c:v>
                </c:pt>
                <c:pt idx="70">
                  <c:v>10.5</c:v>
                </c:pt>
                <c:pt idx="71">
                  <c:v>9.6</c:v>
                </c:pt>
                <c:pt idx="72">
                  <c:v>8.1</c:v>
                </c:pt>
                <c:pt idx="73">
                  <c:v>8.8000000000000007</c:v>
                </c:pt>
                <c:pt idx="74">
                  <c:v>9.6</c:v>
                </c:pt>
                <c:pt idx="75">
                  <c:v>9.1999999999999993</c:v>
                </c:pt>
                <c:pt idx="76">
                  <c:v>9.6</c:v>
                </c:pt>
                <c:pt idx="77">
                  <c:v>10.8</c:v>
                </c:pt>
                <c:pt idx="78">
                  <c:v>9.36</c:v>
                </c:pt>
                <c:pt idx="79">
                  <c:v>9.52</c:v>
                </c:pt>
                <c:pt idx="80">
                  <c:v>9.16</c:v>
                </c:pt>
                <c:pt idx="81">
                  <c:v>8.7200000000000006</c:v>
                </c:pt>
                <c:pt idx="82">
                  <c:v>9.17</c:v>
                </c:pt>
                <c:pt idx="83">
                  <c:v>8.8000000000000007</c:v>
                </c:pt>
                <c:pt idx="84">
                  <c:v>8.65</c:v>
                </c:pt>
                <c:pt idx="85">
                  <c:v>8.65</c:v>
                </c:pt>
                <c:pt idx="86">
                  <c:v>8.16</c:v>
                </c:pt>
                <c:pt idx="87">
                  <c:v>8.43</c:v>
                </c:pt>
                <c:pt idx="88">
                  <c:v>8.1300000000000008</c:v>
                </c:pt>
                <c:pt idx="89">
                  <c:v>8.65</c:v>
                </c:pt>
                <c:pt idx="90">
                  <c:v>8.24</c:v>
                </c:pt>
                <c:pt idx="91">
                  <c:v>8.52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5280"/>
        <c:axId val="47261184"/>
      </c:scatterChart>
      <c:valAx>
        <c:axId val="4718528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261184"/>
        <c:crosses val="autoZero"/>
        <c:crossBetween val="midCat"/>
      </c:valAx>
      <c:valAx>
        <c:axId val="47261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1852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Data2'!$G$160:$CT$160</c:f>
              <c:numCache>
                <c:formatCode>General</c:formatCode>
                <c:ptCount val="92"/>
                <c:pt idx="0">
                  <c:v>83</c:v>
                </c:pt>
                <c:pt idx="1">
                  <c:v>88</c:v>
                </c:pt>
                <c:pt idx="2">
                  <c:v>74</c:v>
                </c:pt>
                <c:pt idx="3">
                  <c:v>91</c:v>
                </c:pt>
                <c:pt idx="4">
                  <c:v>73</c:v>
                </c:pt>
                <c:pt idx="5">
                  <c:v>78</c:v>
                </c:pt>
                <c:pt idx="6">
                  <c:v>67</c:v>
                </c:pt>
                <c:pt idx="7">
                  <c:v>81</c:v>
                </c:pt>
                <c:pt idx="8">
                  <c:v>87</c:v>
                </c:pt>
                <c:pt idx="9">
                  <c:v>99</c:v>
                </c:pt>
                <c:pt idx="10">
                  <c:v>90</c:v>
                </c:pt>
                <c:pt idx="11">
                  <c:v>84</c:v>
                </c:pt>
                <c:pt idx="12">
                  <c:v>101</c:v>
                </c:pt>
                <c:pt idx="13">
                  <c:v>90</c:v>
                </c:pt>
                <c:pt idx="14">
                  <c:v>96</c:v>
                </c:pt>
                <c:pt idx="15">
                  <c:v>91</c:v>
                </c:pt>
                <c:pt idx="16">
                  <c:v>83</c:v>
                </c:pt>
                <c:pt idx="17">
                  <c:v>93</c:v>
                </c:pt>
                <c:pt idx="18">
                  <c:v>86</c:v>
                </c:pt>
                <c:pt idx="19">
                  <c:v>106</c:v>
                </c:pt>
                <c:pt idx="20">
                  <c:v>88.1</c:v>
                </c:pt>
                <c:pt idx="21">
                  <c:v>83.6</c:v>
                </c:pt>
                <c:pt idx="22">
                  <c:v>91.6</c:v>
                </c:pt>
                <c:pt idx="23">
                  <c:v>87.5</c:v>
                </c:pt>
                <c:pt idx="24">
                  <c:v>84.6</c:v>
                </c:pt>
                <c:pt idx="25">
                  <c:v>88.4</c:v>
                </c:pt>
                <c:pt idx="26">
                  <c:v>85.1</c:v>
                </c:pt>
                <c:pt idx="27">
                  <c:v>86.1</c:v>
                </c:pt>
                <c:pt idx="28">
                  <c:v>79.099999999999994</c:v>
                </c:pt>
                <c:pt idx="29">
                  <c:v>85.3</c:v>
                </c:pt>
                <c:pt idx="30">
                  <c:v>76.3</c:v>
                </c:pt>
                <c:pt idx="31">
                  <c:v>81.7</c:v>
                </c:pt>
                <c:pt idx="32">
                  <c:v>76.900000000000006</c:v>
                </c:pt>
                <c:pt idx="33">
                  <c:v>74.3</c:v>
                </c:pt>
                <c:pt idx="34">
                  <c:v>72.5</c:v>
                </c:pt>
                <c:pt idx="35">
                  <c:v>72.599999999999994</c:v>
                </c:pt>
                <c:pt idx="36">
                  <c:v>72.599999999999994</c:v>
                </c:pt>
                <c:pt idx="37">
                  <c:v>74.5</c:v>
                </c:pt>
                <c:pt idx="38">
                  <c:v>72.5</c:v>
                </c:pt>
                <c:pt idx="39">
                  <c:v>67.099999999999994</c:v>
                </c:pt>
                <c:pt idx="40">
                  <c:v>75.099999999999994</c:v>
                </c:pt>
                <c:pt idx="41">
                  <c:v>67.599999999999994</c:v>
                </c:pt>
                <c:pt idx="42">
                  <c:v>71.2</c:v>
                </c:pt>
                <c:pt idx="43">
                  <c:v>68.400000000000006</c:v>
                </c:pt>
                <c:pt idx="44">
                  <c:v>69.7</c:v>
                </c:pt>
                <c:pt idx="45">
                  <c:v>66.900000000000006</c:v>
                </c:pt>
                <c:pt idx="46">
                  <c:v>69.7</c:v>
                </c:pt>
                <c:pt idx="47">
                  <c:v>63.4</c:v>
                </c:pt>
                <c:pt idx="48">
                  <c:v>68.400000000000006</c:v>
                </c:pt>
                <c:pt idx="49">
                  <c:v>66.400000000000006</c:v>
                </c:pt>
                <c:pt idx="50">
                  <c:v>67.400000000000006</c:v>
                </c:pt>
                <c:pt idx="51">
                  <c:v>65.900000000000006</c:v>
                </c:pt>
                <c:pt idx="52">
                  <c:v>63.9</c:v>
                </c:pt>
                <c:pt idx="53">
                  <c:v>66.599999999999994</c:v>
                </c:pt>
                <c:pt idx="54">
                  <c:v>62.4</c:v>
                </c:pt>
                <c:pt idx="55">
                  <c:v>67.599999999999994</c:v>
                </c:pt>
                <c:pt idx="56">
                  <c:v>63.5</c:v>
                </c:pt>
                <c:pt idx="57">
                  <c:v>66</c:v>
                </c:pt>
                <c:pt idx="58">
                  <c:v>63.6</c:v>
                </c:pt>
                <c:pt idx="59">
                  <c:v>68</c:v>
                </c:pt>
                <c:pt idx="60">
                  <c:v>62</c:v>
                </c:pt>
                <c:pt idx="61">
                  <c:v>61.2</c:v>
                </c:pt>
                <c:pt idx="62">
                  <c:v>63.5</c:v>
                </c:pt>
                <c:pt idx="63">
                  <c:v>61.8</c:v>
                </c:pt>
                <c:pt idx="64">
                  <c:v>61.9</c:v>
                </c:pt>
                <c:pt idx="65">
                  <c:v>64.2</c:v>
                </c:pt>
                <c:pt idx="66">
                  <c:v>60</c:v>
                </c:pt>
                <c:pt idx="67">
                  <c:v>59.8</c:v>
                </c:pt>
                <c:pt idx="68">
                  <c:v>61.8</c:v>
                </c:pt>
                <c:pt idx="69">
                  <c:v>60.4</c:v>
                </c:pt>
                <c:pt idx="70">
                  <c:v>60.2</c:v>
                </c:pt>
                <c:pt idx="71">
                  <c:v>60.2</c:v>
                </c:pt>
                <c:pt idx="72">
                  <c:v>63.3</c:v>
                </c:pt>
                <c:pt idx="73">
                  <c:v>59.5</c:v>
                </c:pt>
                <c:pt idx="74">
                  <c:v>61.2</c:v>
                </c:pt>
                <c:pt idx="75">
                  <c:v>57.8</c:v>
                </c:pt>
                <c:pt idx="76">
                  <c:v>63.9</c:v>
                </c:pt>
                <c:pt idx="77">
                  <c:v>58.5</c:v>
                </c:pt>
                <c:pt idx="78">
                  <c:v>57.91</c:v>
                </c:pt>
                <c:pt idx="79">
                  <c:v>57.13</c:v>
                </c:pt>
                <c:pt idx="80">
                  <c:v>54.53</c:v>
                </c:pt>
                <c:pt idx="81">
                  <c:v>54.9</c:v>
                </c:pt>
                <c:pt idx="82">
                  <c:v>52.9</c:v>
                </c:pt>
                <c:pt idx="83">
                  <c:v>52.06</c:v>
                </c:pt>
                <c:pt idx="84">
                  <c:v>51.13</c:v>
                </c:pt>
                <c:pt idx="85">
                  <c:v>49.87</c:v>
                </c:pt>
                <c:pt idx="86">
                  <c:v>50.19</c:v>
                </c:pt>
                <c:pt idx="87">
                  <c:v>49.29</c:v>
                </c:pt>
                <c:pt idx="88">
                  <c:v>47.87</c:v>
                </c:pt>
                <c:pt idx="89">
                  <c:v>48.13</c:v>
                </c:pt>
                <c:pt idx="90">
                  <c:v>48.47</c:v>
                </c:pt>
                <c:pt idx="91">
                  <c:v>47.92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Data2'!$G$161:$CT$161</c:f>
              <c:numCache>
                <c:formatCode>General</c:formatCode>
                <c:ptCount val="92"/>
                <c:pt idx="0">
                  <c:v>50</c:v>
                </c:pt>
                <c:pt idx="1">
                  <c:v>49</c:v>
                </c:pt>
                <c:pt idx="2">
                  <c:v>54</c:v>
                </c:pt>
                <c:pt idx="3">
                  <c:v>53</c:v>
                </c:pt>
                <c:pt idx="4">
                  <c:v>53</c:v>
                </c:pt>
                <c:pt idx="5">
                  <c:v>58</c:v>
                </c:pt>
                <c:pt idx="6">
                  <c:v>55</c:v>
                </c:pt>
                <c:pt idx="7">
                  <c:v>54</c:v>
                </c:pt>
                <c:pt idx="8">
                  <c:v>64</c:v>
                </c:pt>
                <c:pt idx="9">
                  <c:v>60</c:v>
                </c:pt>
                <c:pt idx="10">
                  <c:v>59</c:v>
                </c:pt>
                <c:pt idx="11">
                  <c:v>60</c:v>
                </c:pt>
                <c:pt idx="12">
                  <c:v>60</c:v>
                </c:pt>
                <c:pt idx="13">
                  <c:v>57</c:v>
                </c:pt>
                <c:pt idx="14">
                  <c:v>63</c:v>
                </c:pt>
                <c:pt idx="15">
                  <c:v>62</c:v>
                </c:pt>
                <c:pt idx="16">
                  <c:v>59</c:v>
                </c:pt>
                <c:pt idx="17">
                  <c:v>61</c:v>
                </c:pt>
                <c:pt idx="18">
                  <c:v>65</c:v>
                </c:pt>
                <c:pt idx="19">
                  <c:v>57</c:v>
                </c:pt>
                <c:pt idx="20">
                  <c:v>61.6</c:v>
                </c:pt>
                <c:pt idx="21">
                  <c:v>62.6</c:v>
                </c:pt>
                <c:pt idx="22">
                  <c:v>60.4</c:v>
                </c:pt>
                <c:pt idx="23">
                  <c:v>60.8</c:v>
                </c:pt>
                <c:pt idx="24">
                  <c:v>59.2</c:v>
                </c:pt>
                <c:pt idx="25">
                  <c:v>59.2</c:v>
                </c:pt>
                <c:pt idx="26">
                  <c:v>57.7</c:v>
                </c:pt>
                <c:pt idx="27">
                  <c:v>55.1</c:v>
                </c:pt>
                <c:pt idx="28">
                  <c:v>56.9</c:v>
                </c:pt>
                <c:pt idx="29">
                  <c:v>57.5</c:v>
                </c:pt>
                <c:pt idx="30">
                  <c:v>54.4</c:v>
                </c:pt>
                <c:pt idx="31">
                  <c:v>53.9</c:v>
                </c:pt>
                <c:pt idx="32">
                  <c:v>55.3</c:v>
                </c:pt>
                <c:pt idx="33">
                  <c:v>55.9</c:v>
                </c:pt>
                <c:pt idx="34">
                  <c:v>48.8</c:v>
                </c:pt>
                <c:pt idx="35">
                  <c:v>50.5</c:v>
                </c:pt>
                <c:pt idx="36">
                  <c:v>53.2</c:v>
                </c:pt>
                <c:pt idx="37">
                  <c:v>51.9</c:v>
                </c:pt>
                <c:pt idx="38">
                  <c:v>50.3</c:v>
                </c:pt>
                <c:pt idx="39">
                  <c:v>48.8</c:v>
                </c:pt>
                <c:pt idx="40">
                  <c:v>52.3</c:v>
                </c:pt>
                <c:pt idx="41">
                  <c:v>52.9</c:v>
                </c:pt>
                <c:pt idx="42">
                  <c:v>49.8</c:v>
                </c:pt>
                <c:pt idx="43">
                  <c:v>48.7</c:v>
                </c:pt>
                <c:pt idx="44">
                  <c:v>46.2</c:v>
                </c:pt>
                <c:pt idx="45">
                  <c:v>50.9</c:v>
                </c:pt>
                <c:pt idx="46">
                  <c:v>48.6</c:v>
                </c:pt>
                <c:pt idx="47">
                  <c:v>47.9</c:v>
                </c:pt>
                <c:pt idx="48">
                  <c:v>47.6</c:v>
                </c:pt>
                <c:pt idx="49">
                  <c:v>49.8</c:v>
                </c:pt>
                <c:pt idx="50">
                  <c:v>48.7</c:v>
                </c:pt>
                <c:pt idx="51">
                  <c:v>48.6</c:v>
                </c:pt>
                <c:pt idx="52">
                  <c:v>44.8</c:v>
                </c:pt>
                <c:pt idx="53">
                  <c:v>47.4</c:v>
                </c:pt>
                <c:pt idx="54">
                  <c:v>46.1</c:v>
                </c:pt>
                <c:pt idx="55">
                  <c:v>45.8</c:v>
                </c:pt>
                <c:pt idx="56">
                  <c:v>44.7</c:v>
                </c:pt>
                <c:pt idx="57">
                  <c:v>47.8</c:v>
                </c:pt>
                <c:pt idx="58">
                  <c:v>41.4</c:v>
                </c:pt>
                <c:pt idx="59">
                  <c:v>44.5</c:v>
                </c:pt>
                <c:pt idx="60">
                  <c:v>45.8</c:v>
                </c:pt>
                <c:pt idx="61">
                  <c:v>45.9</c:v>
                </c:pt>
                <c:pt idx="62">
                  <c:v>44.8</c:v>
                </c:pt>
                <c:pt idx="63">
                  <c:v>42.1</c:v>
                </c:pt>
                <c:pt idx="64">
                  <c:v>46.2</c:v>
                </c:pt>
                <c:pt idx="65">
                  <c:v>44.7</c:v>
                </c:pt>
                <c:pt idx="66">
                  <c:v>44.9</c:v>
                </c:pt>
                <c:pt idx="67">
                  <c:v>45</c:v>
                </c:pt>
                <c:pt idx="68">
                  <c:v>43</c:v>
                </c:pt>
                <c:pt idx="69">
                  <c:v>45.1</c:v>
                </c:pt>
                <c:pt idx="70">
                  <c:v>41.8</c:v>
                </c:pt>
                <c:pt idx="71">
                  <c:v>42.5</c:v>
                </c:pt>
                <c:pt idx="72">
                  <c:v>44.3</c:v>
                </c:pt>
                <c:pt idx="73">
                  <c:v>42.7</c:v>
                </c:pt>
                <c:pt idx="74">
                  <c:v>42.5</c:v>
                </c:pt>
                <c:pt idx="75">
                  <c:v>41.2</c:v>
                </c:pt>
                <c:pt idx="76">
                  <c:v>42</c:v>
                </c:pt>
                <c:pt idx="77">
                  <c:v>43.5</c:v>
                </c:pt>
                <c:pt idx="78">
                  <c:v>42.4</c:v>
                </c:pt>
                <c:pt idx="79">
                  <c:v>41.97</c:v>
                </c:pt>
                <c:pt idx="80">
                  <c:v>41.16</c:v>
                </c:pt>
                <c:pt idx="81">
                  <c:v>40.74</c:v>
                </c:pt>
                <c:pt idx="82">
                  <c:v>40.25</c:v>
                </c:pt>
                <c:pt idx="83">
                  <c:v>39.340000000000003</c:v>
                </c:pt>
                <c:pt idx="84">
                  <c:v>38.69</c:v>
                </c:pt>
                <c:pt idx="85">
                  <c:v>39.78</c:v>
                </c:pt>
                <c:pt idx="86">
                  <c:v>38.28</c:v>
                </c:pt>
                <c:pt idx="87">
                  <c:v>38.17</c:v>
                </c:pt>
                <c:pt idx="88">
                  <c:v>38.340000000000003</c:v>
                </c:pt>
                <c:pt idx="89">
                  <c:v>37.78</c:v>
                </c:pt>
                <c:pt idx="90">
                  <c:v>37.31</c:v>
                </c:pt>
                <c:pt idx="91">
                  <c:v>37.700000000000003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Data2'!$G$162:$CT$162</c:f>
              <c:numCache>
                <c:formatCode>General</c:formatCode>
                <c:ptCount val="92"/>
                <c:pt idx="0">
                  <c:v>53</c:v>
                </c:pt>
                <c:pt idx="1">
                  <c:v>64</c:v>
                </c:pt>
                <c:pt idx="2">
                  <c:v>60</c:v>
                </c:pt>
                <c:pt idx="3">
                  <c:v>63</c:v>
                </c:pt>
                <c:pt idx="4">
                  <c:v>50</c:v>
                </c:pt>
                <c:pt idx="5">
                  <c:v>54</c:v>
                </c:pt>
                <c:pt idx="6">
                  <c:v>56</c:v>
                </c:pt>
                <c:pt idx="7">
                  <c:v>54</c:v>
                </c:pt>
                <c:pt idx="8">
                  <c:v>55</c:v>
                </c:pt>
                <c:pt idx="9">
                  <c:v>52</c:v>
                </c:pt>
                <c:pt idx="10">
                  <c:v>62</c:v>
                </c:pt>
                <c:pt idx="11">
                  <c:v>48</c:v>
                </c:pt>
                <c:pt idx="12">
                  <c:v>60</c:v>
                </c:pt>
                <c:pt idx="13">
                  <c:v>53</c:v>
                </c:pt>
                <c:pt idx="14">
                  <c:v>54</c:v>
                </c:pt>
                <c:pt idx="15">
                  <c:v>62</c:v>
                </c:pt>
                <c:pt idx="16">
                  <c:v>69</c:v>
                </c:pt>
                <c:pt idx="17">
                  <c:v>46</c:v>
                </c:pt>
                <c:pt idx="18">
                  <c:v>45</c:v>
                </c:pt>
                <c:pt idx="19">
                  <c:v>51</c:v>
                </c:pt>
                <c:pt idx="20">
                  <c:v>60.3</c:v>
                </c:pt>
                <c:pt idx="21">
                  <c:v>57.2</c:v>
                </c:pt>
                <c:pt idx="22">
                  <c:v>56.6</c:v>
                </c:pt>
                <c:pt idx="23">
                  <c:v>59.2</c:v>
                </c:pt>
                <c:pt idx="24">
                  <c:v>57.1</c:v>
                </c:pt>
                <c:pt idx="25">
                  <c:v>59.5</c:v>
                </c:pt>
                <c:pt idx="26">
                  <c:v>55.6</c:v>
                </c:pt>
                <c:pt idx="27">
                  <c:v>55.5</c:v>
                </c:pt>
                <c:pt idx="28">
                  <c:v>52.6</c:v>
                </c:pt>
                <c:pt idx="29">
                  <c:v>54.8</c:v>
                </c:pt>
                <c:pt idx="30">
                  <c:v>52.9</c:v>
                </c:pt>
                <c:pt idx="31">
                  <c:v>53.7</c:v>
                </c:pt>
                <c:pt idx="32">
                  <c:v>53.3</c:v>
                </c:pt>
                <c:pt idx="33">
                  <c:v>51.8</c:v>
                </c:pt>
                <c:pt idx="34">
                  <c:v>51.6</c:v>
                </c:pt>
                <c:pt idx="35">
                  <c:v>47.6</c:v>
                </c:pt>
                <c:pt idx="36">
                  <c:v>51.6</c:v>
                </c:pt>
                <c:pt idx="37">
                  <c:v>47.9</c:v>
                </c:pt>
                <c:pt idx="38">
                  <c:v>49.4</c:v>
                </c:pt>
                <c:pt idx="39">
                  <c:v>48.2</c:v>
                </c:pt>
                <c:pt idx="40">
                  <c:v>48.6</c:v>
                </c:pt>
                <c:pt idx="41">
                  <c:v>48.1</c:v>
                </c:pt>
                <c:pt idx="42">
                  <c:v>45.4</c:v>
                </c:pt>
                <c:pt idx="43">
                  <c:v>47.5</c:v>
                </c:pt>
                <c:pt idx="44">
                  <c:v>47.5</c:v>
                </c:pt>
                <c:pt idx="45">
                  <c:v>44.2</c:v>
                </c:pt>
                <c:pt idx="46">
                  <c:v>46.5</c:v>
                </c:pt>
                <c:pt idx="47">
                  <c:v>44.9</c:v>
                </c:pt>
                <c:pt idx="48">
                  <c:v>44.6</c:v>
                </c:pt>
                <c:pt idx="49">
                  <c:v>42.5</c:v>
                </c:pt>
                <c:pt idx="50">
                  <c:v>44.8</c:v>
                </c:pt>
                <c:pt idx="51">
                  <c:v>42</c:v>
                </c:pt>
                <c:pt idx="52">
                  <c:v>44.6</c:v>
                </c:pt>
                <c:pt idx="53">
                  <c:v>42.3</c:v>
                </c:pt>
                <c:pt idx="54">
                  <c:v>43.1</c:v>
                </c:pt>
                <c:pt idx="55">
                  <c:v>39.6</c:v>
                </c:pt>
                <c:pt idx="56">
                  <c:v>40.6</c:v>
                </c:pt>
                <c:pt idx="57">
                  <c:v>43.5</c:v>
                </c:pt>
                <c:pt idx="58">
                  <c:v>42.9</c:v>
                </c:pt>
                <c:pt idx="59">
                  <c:v>41.6</c:v>
                </c:pt>
                <c:pt idx="60">
                  <c:v>40.799999999999997</c:v>
                </c:pt>
                <c:pt idx="61">
                  <c:v>41.5</c:v>
                </c:pt>
                <c:pt idx="62">
                  <c:v>42.1</c:v>
                </c:pt>
                <c:pt idx="63">
                  <c:v>41.2</c:v>
                </c:pt>
                <c:pt idx="64">
                  <c:v>41.7</c:v>
                </c:pt>
                <c:pt idx="65">
                  <c:v>42</c:v>
                </c:pt>
                <c:pt idx="66">
                  <c:v>39.799999999999997</c:v>
                </c:pt>
                <c:pt idx="67">
                  <c:v>40.5</c:v>
                </c:pt>
                <c:pt idx="68">
                  <c:v>38.700000000000003</c:v>
                </c:pt>
                <c:pt idx="69">
                  <c:v>39.6</c:v>
                </c:pt>
                <c:pt idx="70">
                  <c:v>39.799999999999997</c:v>
                </c:pt>
                <c:pt idx="71">
                  <c:v>41</c:v>
                </c:pt>
                <c:pt idx="72">
                  <c:v>38.9</c:v>
                </c:pt>
                <c:pt idx="73">
                  <c:v>37.5</c:v>
                </c:pt>
                <c:pt idx="74">
                  <c:v>40.700000000000003</c:v>
                </c:pt>
                <c:pt idx="75">
                  <c:v>39.9</c:v>
                </c:pt>
                <c:pt idx="76">
                  <c:v>39.6</c:v>
                </c:pt>
                <c:pt idx="77">
                  <c:v>40.799999999999997</c:v>
                </c:pt>
                <c:pt idx="78">
                  <c:v>38.479999999999997</c:v>
                </c:pt>
                <c:pt idx="79">
                  <c:v>36.590000000000003</c:v>
                </c:pt>
                <c:pt idx="80">
                  <c:v>36.43</c:v>
                </c:pt>
                <c:pt idx="81">
                  <c:v>35.950000000000003</c:v>
                </c:pt>
                <c:pt idx="82">
                  <c:v>34.119999999999997</c:v>
                </c:pt>
                <c:pt idx="83">
                  <c:v>34.340000000000003</c:v>
                </c:pt>
                <c:pt idx="84">
                  <c:v>33.78</c:v>
                </c:pt>
                <c:pt idx="85">
                  <c:v>33.58</c:v>
                </c:pt>
                <c:pt idx="86">
                  <c:v>33.04</c:v>
                </c:pt>
                <c:pt idx="87">
                  <c:v>32.56</c:v>
                </c:pt>
                <c:pt idx="88">
                  <c:v>32.880000000000003</c:v>
                </c:pt>
                <c:pt idx="89">
                  <c:v>31.88</c:v>
                </c:pt>
                <c:pt idx="90">
                  <c:v>31.71</c:v>
                </c:pt>
                <c:pt idx="91">
                  <c:v>31.69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Data2'!$G$163:$CT$163</c:f>
              <c:numCache>
                <c:formatCode>General</c:formatCode>
                <c:ptCount val="92"/>
                <c:pt idx="0">
                  <c:v>45</c:v>
                </c:pt>
                <c:pt idx="1">
                  <c:v>50</c:v>
                </c:pt>
                <c:pt idx="2">
                  <c:v>42</c:v>
                </c:pt>
                <c:pt idx="3">
                  <c:v>44</c:v>
                </c:pt>
                <c:pt idx="4">
                  <c:v>41</c:v>
                </c:pt>
                <c:pt idx="5">
                  <c:v>47</c:v>
                </c:pt>
                <c:pt idx="6">
                  <c:v>36</c:v>
                </c:pt>
                <c:pt idx="7">
                  <c:v>34</c:v>
                </c:pt>
                <c:pt idx="8">
                  <c:v>45</c:v>
                </c:pt>
                <c:pt idx="9">
                  <c:v>46</c:v>
                </c:pt>
                <c:pt idx="10">
                  <c:v>45</c:v>
                </c:pt>
                <c:pt idx="11">
                  <c:v>40</c:v>
                </c:pt>
                <c:pt idx="12">
                  <c:v>43</c:v>
                </c:pt>
                <c:pt idx="13">
                  <c:v>52</c:v>
                </c:pt>
                <c:pt idx="14">
                  <c:v>37</c:v>
                </c:pt>
                <c:pt idx="15">
                  <c:v>35</c:v>
                </c:pt>
                <c:pt idx="16">
                  <c:v>34</c:v>
                </c:pt>
                <c:pt idx="17">
                  <c:v>41</c:v>
                </c:pt>
                <c:pt idx="18">
                  <c:v>43</c:v>
                </c:pt>
                <c:pt idx="19">
                  <c:v>36</c:v>
                </c:pt>
                <c:pt idx="20">
                  <c:v>45.9</c:v>
                </c:pt>
                <c:pt idx="21">
                  <c:v>43.5</c:v>
                </c:pt>
                <c:pt idx="22">
                  <c:v>42.7</c:v>
                </c:pt>
                <c:pt idx="23">
                  <c:v>44.3</c:v>
                </c:pt>
                <c:pt idx="24">
                  <c:v>44</c:v>
                </c:pt>
                <c:pt idx="25">
                  <c:v>44.9</c:v>
                </c:pt>
                <c:pt idx="26">
                  <c:v>42.4</c:v>
                </c:pt>
                <c:pt idx="27">
                  <c:v>42.2</c:v>
                </c:pt>
                <c:pt idx="28">
                  <c:v>42.1</c:v>
                </c:pt>
                <c:pt idx="29">
                  <c:v>43</c:v>
                </c:pt>
                <c:pt idx="30">
                  <c:v>38.5</c:v>
                </c:pt>
                <c:pt idx="31">
                  <c:v>41</c:v>
                </c:pt>
                <c:pt idx="32">
                  <c:v>40.4</c:v>
                </c:pt>
                <c:pt idx="33">
                  <c:v>40.6</c:v>
                </c:pt>
                <c:pt idx="34">
                  <c:v>36.5</c:v>
                </c:pt>
                <c:pt idx="35">
                  <c:v>39</c:v>
                </c:pt>
                <c:pt idx="36">
                  <c:v>39.200000000000003</c:v>
                </c:pt>
                <c:pt idx="37">
                  <c:v>36.6</c:v>
                </c:pt>
                <c:pt idx="38">
                  <c:v>40.700000000000003</c:v>
                </c:pt>
                <c:pt idx="39">
                  <c:v>36.799999999999997</c:v>
                </c:pt>
                <c:pt idx="40">
                  <c:v>37.200000000000003</c:v>
                </c:pt>
                <c:pt idx="41">
                  <c:v>34.6</c:v>
                </c:pt>
                <c:pt idx="42">
                  <c:v>36.5</c:v>
                </c:pt>
                <c:pt idx="43">
                  <c:v>36.1</c:v>
                </c:pt>
                <c:pt idx="44">
                  <c:v>36.299999999999997</c:v>
                </c:pt>
                <c:pt idx="45">
                  <c:v>38.299999999999997</c:v>
                </c:pt>
                <c:pt idx="46">
                  <c:v>38</c:v>
                </c:pt>
                <c:pt idx="47">
                  <c:v>35.200000000000003</c:v>
                </c:pt>
                <c:pt idx="48">
                  <c:v>33.1</c:v>
                </c:pt>
                <c:pt idx="49">
                  <c:v>37.700000000000003</c:v>
                </c:pt>
                <c:pt idx="50">
                  <c:v>37.200000000000003</c:v>
                </c:pt>
                <c:pt idx="51">
                  <c:v>34.4</c:v>
                </c:pt>
                <c:pt idx="52">
                  <c:v>36.6</c:v>
                </c:pt>
                <c:pt idx="53">
                  <c:v>37.200000000000003</c:v>
                </c:pt>
                <c:pt idx="54">
                  <c:v>35.9</c:v>
                </c:pt>
                <c:pt idx="55">
                  <c:v>35.5</c:v>
                </c:pt>
                <c:pt idx="56">
                  <c:v>33.799999999999997</c:v>
                </c:pt>
                <c:pt idx="57">
                  <c:v>32.4</c:v>
                </c:pt>
                <c:pt idx="58">
                  <c:v>31.9</c:v>
                </c:pt>
                <c:pt idx="59">
                  <c:v>34</c:v>
                </c:pt>
                <c:pt idx="60">
                  <c:v>32.200000000000003</c:v>
                </c:pt>
                <c:pt idx="61">
                  <c:v>33.700000000000003</c:v>
                </c:pt>
                <c:pt idx="62">
                  <c:v>33.1</c:v>
                </c:pt>
                <c:pt idx="63">
                  <c:v>33.200000000000003</c:v>
                </c:pt>
                <c:pt idx="64">
                  <c:v>32.4</c:v>
                </c:pt>
                <c:pt idx="65">
                  <c:v>31.7</c:v>
                </c:pt>
                <c:pt idx="66">
                  <c:v>32.6</c:v>
                </c:pt>
                <c:pt idx="67">
                  <c:v>34.700000000000003</c:v>
                </c:pt>
                <c:pt idx="68">
                  <c:v>33.9</c:v>
                </c:pt>
                <c:pt idx="69">
                  <c:v>34.799999999999997</c:v>
                </c:pt>
                <c:pt idx="70">
                  <c:v>33.299999999999997</c:v>
                </c:pt>
                <c:pt idx="71">
                  <c:v>33.299999999999997</c:v>
                </c:pt>
                <c:pt idx="72">
                  <c:v>31</c:v>
                </c:pt>
                <c:pt idx="73">
                  <c:v>31.7</c:v>
                </c:pt>
                <c:pt idx="74">
                  <c:v>32.799999999999997</c:v>
                </c:pt>
                <c:pt idx="75">
                  <c:v>32.799999999999997</c:v>
                </c:pt>
                <c:pt idx="76">
                  <c:v>31.3</c:v>
                </c:pt>
                <c:pt idx="77">
                  <c:v>31</c:v>
                </c:pt>
                <c:pt idx="78">
                  <c:v>31.01</c:v>
                </c:pt>
                <c:pt idx="79">
                  <c:v>30.96</c:v>
                </c:pt>
                <c:pt idx="80">
                  <c:v>30.21</c:v>
                </c:pt>
                <c:pt idx="81">
                  <c:v>29.64</c:v>
                </c:pt>
                <c:pt idx="82">
                  <c:v>29.76</c:v>
                </c:pt>
                <c:pt idx="83">
                  <c:v>29.39</c:v>
                </c:pt>
                <c:pt idx="84">
                  <c:v>28.61</c:v>
                </c:pt>
                <c:pt idx="85">
                  <c:v>29.15</c:v>
                </c:pt>
                <c:pt idx="86">
                  <c:v>28.11</c:v>
                </c:pt>
                <c:pt idx="87">
                  <c:v>28.6</c:v>
                </c:pt>
                <c:pt idx="88">
                  <c:v>28.3</c:v>
                </c:pt>
                <c:pt idx="89">
                  <c:v>27.39</c:v>
                </c:pt>
                <c:pt idx="90">
                  <c:v>27.04</c:v>
                </c:pt>
                <c:pt idx="91">
                  <c:v>26.96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Data2'!$G$164:$CT$164</c:f>
              <c:numCache>
                <c:formatCode>General</c:formatCode>
                <c:ptCount val="92"/>
                <c:pt idx="0">
                  <c:v>43</c:v>
                </c:pt>
                <c:pt idx="1">
                  <c:v>45</c:v>
                </c:pt>
                <c:pt idx="2">
                  <c:v>31</c:v>
                </c:pt>
                <c:pt idx="3">
                  <c:v>34</c:v>
                </c:pt>
                <c:pt idx="4">
                  <c:v>39</c:v>
                </c:pt>
                <c:pt idx="5">
                  <c:v>41</c:v>
                </c:pt>
                <c:pt idx="6">
                  <c:v>44</c:v>
                </c:pt>
                <c:pt idx="7">
                  <c:v>36</c:v>
                </c:pt>
                <c:pt idx="8">
                  <c:v>38</c:v>
                </c:pt>
                <c:pt idx="9">
                  <c:v>32</c:v>
                </c:pt>
                <c:pt idx="10">
                  <c:v>47</c:v>
                </c:pt>
                <c:pt idx="11">
                  <c:v>32</c:v>
                </c:pt>
                <c:pt idx="12">
                  <c:v>44</c:v>
                </c:pt>
                <c:pt idx="13">
                  <c:v>37</c:v>
                </c:pt>
                <c:pt idx="14">
                  <c:v>41</c:v>
                </c:pt>
                <c:pt idx="15">
                  <c:v>39</c:v>
                </c:pt>
                <c:pt idx="16">
                  <c:v>39</c:v>
                </c:pt>
                <c:pt idx="17">
                  <c:v>34</c:v>
                </c:pt>
                <c:pt idx="18">
                  <c:v>45</c:v>
                </c:pt>
                <c:pt idx="19">
                  <c:v>44</c:v>
                </c:pt>
                <c:pt idx="20">
                  <c:v>41.9</c:v>
                </c:pt>
                <c:pt idx="21">
                  <c:v>41.3</c:v>
                </c:pt>
                <c:pt idx="22">
                  <c:v>41.5</c:v>
                </c:pt>
                <c:pt idx="23">
                  <c:v>40.299999999999997</c:v>
                </c:pt>
                <c:pt idx="24">
                  <c:v>40.9</c:v>
                </c:pt>
                <c:pt idx="25">
                  <c:v>40.6</c:v>
                </c:pt>
                <c:pt idx="26">
                  <c:v>38.4</c:v>
                </c:pt>
                <c:pt idx="27">
                  <c:v>37.6</c:v>
                </c:pt>
                <c:pt idx="28">
                  <c:v>40.200000000000003</c:v>
                </c:pt>
                <c:pt idx="29">
                  <c:v>40.299999999999997</c:v>
                </c:pt>
                <c:pt idx="30">
                  <c:v>36.5</c:v>
                </c:pt>
                <c:pt idx="31">
                  <c:v>35.5</c:v>
                </c:pt>
                <c:pt idx="32">
                  <c:v>37.5</c:v>
                </c:pt>
                <c:pt idx="33">
                  <c:v>40.1</c:v>
                </c:pt>
                <c:pt idx="34">
                  <c:v>35.299999999999997</c:v>
                </c:pt>
                <c:pt idx="35">
                  <c:v>36.700000000000003</c:v>
                </c:pt>
                <c:pt idx="36">
                  <c:v>33.6</c:v>
                </c:pt>
                <c:pt idx="37">
                  <c:v>33.1</c:v>
                </c:pt>
                <c:pt idx="38">
                  <c:v>35.700000000000003</c:v>
                </c:pt>
                <c:pt idx="39">
                  <c:v>35.1</c:v>
                </c:pt>
                <c:pt idx="40">
                  <c:v>36.200000000000003</c:v>
                </c:pt>
                <c:pt idx="41">
                  <c:v>32.5</c:v>
                </c:pt>
                <c:pt idx="42">
                  <c:v>33.9</c:v>
                </c:pt>
                <c:pt idx="43">
                  <c:v>32.5</c:v>
                </c:pt>
                <c:pt idx="44">
                  <c:v>33.299999999999997</c:v>
                </c:pt>
                <c:pt idx="45">
                  <c:v>33.200000000000003</c:v>
                </c:pt>
                <c:pt idx="46">
                  <c:v>33.1</c:v>
                </c:pt>
                <c:pt idx="47">
                  <c:v>32.299999999999997</c:v>
                </c:pt>
                <c:pt idx="48">
                  <c:v>32</c:v>
                </c:pt>
                <c:pt idx="49">
                  <c:v>30.9</c:v>
                </c:pt>
                <c:pt idx="50">
                  <c:v>30.2</c:v>
                </c:pt>
                <c:pt idx="51">
                  <c:v>30.1</c:v>
                </c:pt>
                <c:pt idx="52">
                  <c:v>33.5</c:v>
                </c:pt>
                <c:pt idx="53">
                  <c:v>34</c:v>
                </c:pt>
                <c:pt idx="54">
                  <c:v>30</c:v>
                </c:pt>
                <c:pt idx="55">
                  <c:v>32.200000000000003</c:v>
                </c:pt>
                <c:pt idx="56">
                  <c:v>31.7</c:v>
                </c:pt>
                <c:pt idx="57">
                  <c:v>32.9</c:v>
                </c:pt>
                <c:pt idx="58">
                  <c:v>28.8</c:v>
                </c:pt>
                <c:pt idx="59">
                  <c:v>29.5</c:v>
                </c:pt>
                <c:pt idx="60">
                  <c:v>28.7</c:v>
                </c:pt>
                <c:pt idx="61">
                  <c:v>30.4</c:v>
                </c:pt>
                <c:pt idx="62">
                  <c:v>30.6</c:v>
                </c:pt>
                <c:pt idx="63">
                  <c:v>30.5</c:v>
                </c:pt>
                <c:pt idx="64">
                  <c:v>31.5</c:v>
                </c:pt>
                <c:pt idx="65">
                  <c:v>31.6</c:v>
                </c:pt>
                <c:pt idx="66">
                  <c:v>28.5</c:v>
                </c:pt>
                <c:pt idx="67">
                  <c:v>29.2</c:v>
                </c:pt>
                <c:pt idx="68">
                  <c:v>30.1</c:v>
                </c:pt>
                <c:pt idx="69">
                  <c:v>31.2</c:v>
                </c:pt>
                <c:pt idx="70">
                  <c:v>30.3</c:v>
                </c:pt>
                <c:pt idx="71">
                  <c:v>28.2</c:v>
                </c:pt>
                <c:pt idx="72">
                  <c:v>29.4</c:v>
                </c:pt>
                <c:pt idx="73">
                  <c:v>27.7</c:v>
                </c:pt>
                <c:pt idx="74">
                  <c:v>28.2</c:v>
                </c:pt>
                <c:pt idx="75">
                  <c:v>28.3</c:v>
                </c:pt>
                <c:pt idx="76">
                  <c:v>29.7</c:v>
                </c:pt>
                <c:pt idx="77">
                  <c:v>27.7</c:v>
                </c:pt>
                <c:pt idx="78">
                  <c:v>28.65</c:v>
                </c:pt>
                <c:pt idx="79">
                  <c:v>27.33</c:v>
                </c:pt>
                <c:pt idx="80">
                  <c:v>27.05</c:v>
                </c:pt>
                <c:pt idx="81">
                  <c:v>26.92</c:v>
                </c:pt>
                <c:pt idx="82">
                  <c:v>25.7</c:v>
                </c:pt>
                <c:pt idx="83">
                  <c:v>25.7</c:v>
                </c:pt>
                <c:pt idx="84">
                  <c:v>26.1</c:v>
                </c:pt>
                <c:pt idx="85">
                  <c:v>25.81</c:v>
                </c:pt>
                <c:pt idx="86">
                  <c:v>25.52</c:v>
                </c:pt>
                <c:pt idx="87">
                  <c:v>24.38</c:v>
                </c:pt>
                <c:pt idx="88">
                  <c:v>24.6</c:v>
                </c:pt>
                <c:pt idx="89">
                  <c:v>24.19</c:v>
                </c:pt>
                <c:pt idx="90">
                  <c:v>24.2</c:v>
                </c:pt>
                <c:pt idx="91">
                  <c:v>24.59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Data2'!$G$165:$CT$165</c:f>
              <c:numCache>
                <c:formatCode>General</c:formatCode>
                <c:ptCount val="92"/>
                <c:pt idx="0">
                  <c:v>23</c:v>
                </c:pt>
                <c:pt idx="1">
                  <c:v>35</c:v>
                </c:pt>
                <c:pt idx="2">
                  <c:v>36</c:v>
                </c:pt>
                <c:pt idx="3">
                  <c:v>27</c:v>
                </c:pt>
                <c:pt idx="4">
                  <c:v>31</c:v>
                </c:pt>
                <c:pt idx="5">
                  <c:v>34</c:v>
                </c:pt>
                <c:pt idx="6">
                  <c:v>33</c:v>
                </c:pt>
                <c:pt idx="7">
                  <c:v>39</c:v>
                </c:pt>
                <c:pt idx="8">
                  <c:v>34</c:v>
                </c:pt>
                <c:pt idx="9">
                  <c:v>36</c:v>
                </c:pt>
                <c:pt idx="10">
                  <c:v>28</c:v>
                </c:pt>
                <c:pt idx="11">
                  <c:v>36</c:v>
                </c:pt>
                <c:pt idx="12">
                  <c:v>36</c:v>
                </c:pt>
                <c:pt idx="13">
                  <c:v>43</c:v>
                </c:pt>
                <c:pt idx="14">
                  <c:v>45</c:v>
                </c:pt>
                <c:pt idx="15">
                  <c:v>28</c:v>
                </c:pt>
                <c:pt idx="16">
                  <c:v>33</c:v>
                </c:pt>
                <c:pt idx="17">
                  <c:v>32</c:v>
                </c:pt>
                <c:pt idx="18">
                  <c:v>33</c:v>
                </c:pt>
                <c:pt idx="19">
                  <c:v>31</c:v>
                </c:pt>
                <c:pt idx="20">
                  <c:v>37.299999999999997</c:v>
                </c:pt>
                <c:pt idx="21">
                  <c:v>39.700000000000003</c:v>
                </c:pt>
                <c:pt idx="22">
                  <c:v>37.700000000000003</c:v>
                </c:pt>
                <c:pt idx="23">
                  <c:v>37.6</c:v>
                </c:pt>
                <c:pt idx="24">
                  <c:v>33.799999999999997</c:v>
                </c:pt>
                <c:pt idx="25">
                  <c:v>37.799999999999997</c:v>
                </c:pt>
                <c:pt idx="26">
                  <c:v>38.4</c:v>
                </c:pt>
                <c:pt idx="27">
                  <c:v>36.700000000000003</c:v>
                </c:pt>
                <c:pt idx="28">
                  <c:v>34.1</c:v>
                </c:pt>
                <c:pt idx="29">
                  <c:v>37.4</c:v>
                </c:pt>
                <c:pt idx="30">
                  <c:v>31.7</c:v>
                </c:pt>
                <c:pt idx="31">
                  <c:v>31.2</c:v>
                </c:pt>
                <c:pt idx="32">
                  <c:v>31.9</c:v>
                </c:pt>
                <c:pt idx="33">
                  <c:v>34.700000000000003</c:v>
                </c:pt>
                <c:pt idx="34">
                  <c:v>32.4</c:v>
                </c:pt>
                <c:pt idx="35">
                  <c:v>32.700000000000003</c:v>
                </c:pt>
                <c:pt idx="36">
                  <c:v>32.1</c:v>
                </c:pt>
                <c:pt idx="37">
                  <c:v>30.9</c:v>
                </c:pt>
                <c:pt idx="38">
                  <c:v>30.4</c:v>
                </c:pt>
                <c:pt idx="39">
                  <c:v>29.7</c:v>
                </c:pt>
                <c:pt idx="40">
                  <c:v>28.9</c:v>
                </c:pt>
                <c:pt idx="41">
                  <c:v>30.2</c:v>
                </c:pt>
                <c:pt idx="42">
                  <c:v>29</c:v>
                </c:pt>
                <c:pt idx="43">
                  <c:v>27.4</c:v>
                </c:pt>
                <c:pt idx="44">
                  <c:v>31.1</c:v>
                </c:pt>
                <c:pt idx="45">
                  <c:v>31</c:v>
                </c:pt>
                <c:pt idx="46">
                  <c:v>30</c:v>
                </c:pt>
                <c:pt idx="47">
                  <c:v>29.4</c:v>
                </c:pt>
                <c:pt idx="48">
                  <c:v>30.2</c:v>
                </c:pt>
                <c:pt idx="49">
                  <c:v>28.8</c:v>
                </c:pt>
                <c:pt idx="50">
                  <c:v>31.3</c:v>
                </c:pt>
                <c:pt idx="51">
                  <c:v>29.4</c:v>
                </c:pt>
                <c:pt idx="52">
                  <c:v>27.5</c:v>
                </c:pt>
                <c:pt idx="53">
                  <c:v>29.4</c:v>
                </c:pt>
                <c:pt idx="54">
                  <c:v>26.7</c:v>
                </c:pt>
                <c:pt idx="55">
                  <c:v>26.4</c:v>
                </c:pt>
                <c:pt idx="56">
                  <c:v>28.5</c:v>
                </c:pt>
                <c:pt idx="57">
                  <c:v>30.4</c:v>
                </c:pt>
                <c:pt idx="58">
                  <c:v>28.4</c:v>
                </c:pt>
                <c:pt idx="59">
                  <c:v>27.6</c:v>
                </c:pt>
                <c:pt idx="60">
                  <c:v>30.1</c:v>
                </c:pt>
                <c:pt idx="61">
                  <c:v>26.5</c:v>
                </c:pt>
                <c:pt idx="62">
                  <c:v>27.1</c:v>
                </c:pt>
                <c:pt idx="63">
                  <c:v>27.1</c:v>
                </c:pt>
                <c:pt idx="64">
                  <c:v>25.6</c:v>
                </c:pt>
                <c:pt idx="65">
                  <c:v>26.9</c:v>
                </c:pt>
                <c:pt idx="66">
                  <c:v>28.5</c:v>
                </c:pt>
                <c:pt idx="67">
                  <c:v>27.1</c:v>
                </c:pt>
                <c:pt idx="68">
                  <c:v>27.3</c:v>
                </c:pt>
                <c:pt idx="69">
                  <c:v>26.9</c:v>
                </c:pt>
                <c:pt idx="70">
                  <c:v>27.4</c:v>
                </c:pt>
                <c:pt idx="71">
                  <c:v>28.3</c:v>
                </c:pt>
                <c:pt idx="72">
                  <c:v>28.1</c:v>
                </c:pt>
                <c:pt idx="73">
                  <c:v>26.5</c:v>
                </c:pt>
                <c:pt idx="74">
                  <c:v>25</c:v>
                </c:pt>
                <c:pt idx="75">
                  <c:v>25.1</c:v>
                </c:pt>
                <c:pt idx="76">
                  <c:v>26.7</c:v>
                </c:pt>
                <c:pt idx="77">
                  <c:v>26.7</c:v>
                </c:pt>
                <c:pt idx="78">
                  <c:v>26.79</c:v>
                </c:pt>
                <c:pt idx="79">
                  <c:v>25.59</c:v>
                </c:pt>
                <c:pt idx="80">
                  <c:v>25.05</c:v>
                </c:pt>
                <c:pt idx="81">
                  <c:v>24.92</c:v>
                </c:pt>
                <c:pt idx="82">
                  <c:v>25.27</c:v>
                </c:pt>
                <c:pt idx="83">
                  <c:v>23.79</c:v>
                </c:pt>
                <c:pt idx="84">
                  <c:v>23.29</c:v>
                </c:pt>
                <c:pt idx="85">
                  <c:v>23.94</c:v>
                </c:pt>
                <c:pt idx="86">
                  <c:v>23.28</c:v>
                </c:pt>
                <c:pt idx="87">
                  <c:v>23.42</c:v>
                </c:pt>
                <c:pt idx="88">
                  <c:v>23.13</c:v>
                </c:pt>
                <c:pt idx="89">
                  <c:v>22.59</c:v>
                </c:pt>
                <c:pt idx="90">
                  <c:v>23.29</c:v>
                </c:pt>
                <c:pt idx="91">
                  <c:v>22.86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Data2'!$G$166:$CT$166</c:f>
              <c:numCache>
                <c:formatCode>General</c:formatCode>
                <c:ptCount val="92"/>
                <c:pt idx="0">
                  <c:v>40</c:v>
                </c:pt>
                <c:pt idx="1">
                  <c:v>36</c:v>
                </c:pt>
                <c:pt idx="2">
                  <c:v>41</c:v>
                </c:pt>
                <c:pt idx="3">
                  <c:v>37</c:v>
                </c:pt>
                <c:pt idx="4">
                  <c:v>38</c:v>
                </c:pt>
                <c:pt idx="5">
                  <c:v>32</c:v>
                </c:pt>
                <c:pt idx="6">
                  <c:v>29</c:v>
                </c:pt>
                <c:pt idx="7">
                  <c:v>39</c:v>
                </c:pt>
                <c:pt idx="8">
                  <c:v>39</c:v>
                </c:pt>
                <c:pt idx="9">
                  <c:v>44</c:v>
                </c:pt>
                <c:pt idx="10">
                  <c:v>46</c:v>
                </c:pt>
                <c:pt idx="11">
                  <c:v>38</c:v>
                </c:pt>
                <c:pt idx="12">
                  <c:v>37</c:v>
                </c:pt>
                <c:pt idx="13">
                  <c:v>39</c:v>
                </c:pt>
                <c:pt idx="14">
                  <c:v>41</c:v>
                </c:pt>
                <c:pt idx="15">
                  <c:v>39</c:v>
                </c:pt>
                <c:pt idx="16">
                  <c:v>34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39.6</c:v>
                </c:pt>
                <c:pt idx="22">
                  <c:v>41.2</c:v>
                </c:pt>
                <c:pt idx="23">
                  <c:v>40.799999999999997</c:v>
                </c:pt>
                <c:pt idx="24">
                  <c:v>39.200000000000003</c:v>
                </c:pt>
                <c:pt idx="25">
                  <c:v>40.299999999999997</c:v>
                </c:pt>
                <c:pt idx="26">
                  <c:v>37.299999999999997</c:v>
                </c:pt>
                <c:pt idx="27">
                  <c:v>37.6</c:v>
                </c:pt>
                <c:pt idx="28">
                  <c:v>35.700000000000003</c:v>
                </c:pt>
                <c:pt idx="29">
                  <c:v>35.4</c:v>
                </c:pt>
                <c:pt idx="30">
                  <c:v>34.4</c:v>
                </c:pt>
                <c:pt idx="31">
                  <c:v>36.4</c:v>
                </c:pt>
                <c:pt idx="32">
                  <c:v>38.6</c:v>
                </c:pt>
                <c:pt idx="33">
                  <c:v>36.700000000000003</c:v>
                </c:pt>
                <c:pt idx="34">
                  <c:v>35.200000000000003</c:v>
                </c:pt>
                <c:pt idx="35">
                  <c:v>33.9</c:v>
                </c:pt>
                <c:pt idx="36">
                  <c:v>35.799999999999997</c:v>
                </c:pt>
                <c:pt idx="37">
                  <c:v>34.200000000000003</c:v>
                </c:pt>
                <c:pt idx="38">
                  <c:v>33</c:v>
                </c:pt>
                <c:pt idx="39">
                  <c:v>33.299999999999997</c:v>
                </c:pt>
                <c:pt idx="40">
                  <c:v>32.1</c:v>
                </c:pt>
                <c:pt idx="41">
                  <c:v>34</c:v>
                </c:pt>
                <c:pt idx="42">
                  <c:v>31.5</c:v>
                </c:pt>
                <c:pt idx="43">
                  <c:v>29.6</c:v>
                </c:pt>
                <c:pt idx="44">
                  <c:v>31.4</c:v>
                </c:pt>
                <c:pt idx="45">
                  <c:v>31.7</c:v>
                </c:pt>
                <c:pt idx="46">
                  <c:v>33.4</c:v>
                </c:pt>
                <c:pt idx="47">
                  <c:v>31.3</c:v>
                </c:pt>
                <c:pt idx="48">
                  <c:v>30.3</c:v>
                </c:pt>
                <c:pt idx="49">
                  <c:v>29.4</c:v>
                </c:pt>
                <c:pt idx="50">
                  <c:v>28</c:v>
                </c:pt>
                <c:pt idx="51">
                  <c:v>30.8</c:v>
                </c:pt>
                <c:pt idx="52">
                  <c:v>32.1</c:v>
                </c:pt>
                <c:pt idx="53">
                  <c:v>31.3</c:v>
                </c:pt>
                <c:pt idx="54">
                  <c:v>30.4</c:v>
                </c:pt>
                <c:pt idx="55">
                  <c:v>28.5</c:v>
                </c:pt>
                <c:pt idx="56">
                  <c:v>30.3</c:v>
                </c:pt>
                <c:pt idx="57">
                  <c:v>29.3</c:v>
                </c:pt>
                <c:pt idx="58">
                  <c:v>30.4</c:v>
                </c:pt>
                <c:pt idx="59">
                  <c:v>29.8</c:v>
                </c:pt>
                <c:pt idx="60">
                  <c:v>27.4</c:v>
                </c:pt>
                <c:pt idx="61">
                  <c:v>28.5</c:v>
                </c:pt>
                <c:pt idx="62">
                  <c:v>29.7</c:v>
                </c:pt>
                <c:pt idx="63">
                  <c:v>27</c:v>
                </c:pt>
                <c:pt idx="64">
                  <c:v>28.7</c:v>
                </c:pt>
                <c:pt idx="65">
                  <c:v>30.7</c:v>
                </c:pt>
                <c:pt idx="66">
                  <c:v>31</c:v>
                </c:pt>
                <c:pt idx="67">
                  <c:v>29.5</c:v>
                </c:pt>
                <c:pt idx="68">
                  <c:v>28.5</c:v>
                </c:pt>
                <c:pt idx="69">
                  <c:v>28.3</c:v>
                </c:pt>
                <c:pt idx="70">
                  <c:v>28</c:v>
                </c:pt>
                <c:pt idx="71">
                  <c:v>28.8</c:v>
                </c:pt>
                <c:pt idx="72">
                  <c:v>28.4</c:v>
                </c:pt>
                <c:pt idx="73">
                  <c:v>26.1</c:v>
                </c:pt>
                <c:pt idx="74">
                  <c:v>29</c:v>
                </c:pt>
                <c:pt idx="75">
                  <c:v>29</c:v>
                </c:pt>
                <c:pt idx="76">
                  <c:v>25.8</c:v>
                </c:pt>
                <c:pt idx="77">
                  <c:v>27.7</c:v>
                </c:pt>
                <c:pt idx="78">
                  <c:v>26.74</c:v>
                </c:pt>
                <c:pt idx="79">
                  <c:v>25.96</c:v>
                </c:pt>
                <c:pt idx="80">
                  <c:v>25.12</c:v>
                </c:pt>
                <c:pt idx="81">
                  <c:v>24.87</c:v>
                </c:pt>
                <c:pt idx="82">
                  <c:v>24.53</c:v>
                </c:pt>
                <c:pt idx="83">
                  <c:v>24.1</c:v>
                </c:pt>
                <c:pt idx="84">
                  <c:v>25.19</c:v>
                </c:pt>
                <c:pt idx="85">
                  <c:v>23.13</c:v>
                </c:pt>
                <c:pt idx="86">
                  <c:v>23.56</c:v>
                </c:pt>
                <c:pt idx="87">
                  <c:v>22.74</c:v>
                </c:pt>
                <c:pt idx="88">
                  <c:v>23.05</c:v>
                </c:pt>
                <c:pt idx="89">
                  <c:v>23.52</c:v>
                </c:pt>
                <c:pt idx="90">
                  <c:v>22.77</c:v>
                </c:pt>
                <c:pt idx="91">
                  <c:v>22.56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Data2'!$G$167:$CT$167</c:f>
              <c:numCache>
                <c:formatCode>General</c:formatCode>
                <c:ptCount val="92"/>
                <c:pt idx="0">
                  <c:v>25</c:v>
                </c:pt>
                <c:pt idx="1">
                  <c:v>31</c:v>
                </c:pt>
                <c:pt idx="2">
                  <c:v>25</c:v>
                </c:pt>
                <c:pt idx="3">
                  <c:v>29</c:v>
                </c:pt>
                <c:pt idx="4">
                  <c:v>36</c:v>
                </c:pt>
                <c:pt idx="5">
                  <c:v>35</c:v>
                </c:pt>
                <c:pt idx="6">
                  <c:v>35</c:v>
                </c:pt>
                <c:pt idx="7">
                  <c:v>25</c:v>
                </c:pt>
                <c:pt idx="8">
                  <c:v>30</c:v>
                </c:pt>
                <c:pt idx="9">
                  <c:v>35</c:v>
                </c:pt>
                <c:pt idx="10">
                  <c:v>32</c:v>
                </c:pt>
                <c:pt idx="11">
                  <c:v>28</c:v>
                </c:pt>
                <c:pt idx="12">
                  <c:v>33</c:v>
                </c:pt>
                <c:pt idx="13">
                  <c:v>37</c:v>
                </c:pt>
                <c:pt idx="14">
                  <c:v>35</c:v>
                </c:pt>
                <c:pt idx="15">
                  <c:v>38</c:v>
                </c:pt>
                <c:pt idx="16">
                  <c:v>28</c:v>
                </c:pt>
                <c:pt idx="17">
                  <c:v>40</c:v>
                </c:pt>
                <c:pt idx="18">
                  <c:v>40</c:v>
                </c:pt>
                <c:pt idx="19">
                  <c:v>31</c:v>
                </c:pt>
                <c:pt idx="20">
                  <c:v>36.1</c:v>
                </c:pt>
                <c:pt idx="21">
                  <c:v>35.6</c:v>
                </c:pt>
                <c:pt idx="22">
                  <c:v>35.5</c:v>
                </c:pt>
                <c:pt idx="23">
                  <c:v>36.299999999999997</c:v>
                </c:pt>
                <c:pt idx="24">
                  <c:v>37.4</c:v>
                </c:pt>
                <c:pt idx="25">
                  <c:v>34.1</c:v>
                </c:pt>
                <c:pt idx="26">
                  <c:v>33.700000000000003</c:v>
                </c:pt>
                <c:pt idx="27">
                  <c:v>33.5</c:v>
                </c:pt>
                <c:pt idx="28">
                  <c:v>31.6</c:v>
                </c:pt>
                <c:pt idx="29">
                  <c:v>30.2</c:v>
                </c:pt>
                <c:pt idx="30">
                  <c:v>32.5</c:v>
                </c:pt>
                <c:pt idx="31">
                  <c:v>30.4</c:v>
                </c:pt>
                <c:pt idx="32">
                  <c:v>29.8</c:v>
                </c:pt>
                <c:pt idx="33">
                  <c:v>32.1</c:v>
                </c:pt>
                <c:pt idx="34">
                  <c:v>31.6</c:v>
                </c:pt>
                <c:pt idx="35">
                  <c:v>29.7</c:v>
                </c:pt>
                <c:pt idx="36">
                  <c:v>30.1</c:v>
                </c:pt>
                <c:pt idx="37">
                  <c:v>28.8</c:v>
                </c:pt>
                <c:pt idx="38">
                  <c:v>29.7</c:v>
                </c:pt>
                <c:pt idx="39">
                  <c:v>28.3</c:v>
                </c:pt>
                <c:pt idx="40">
                  <c:v>28.4</c:v>
                </c:pt>
                <c:pt idx="41">
                  <c:v>28.9</c:v>
                </c:pt>
                <c:pt idx="42">
                  <c:v>30.6</c:v>
                </c:pt>
                <c:pt idx="43">
                  <c:v>27.2</c:v>
                </c:pt>
                <c:pt idx="44">
                  <c:v>31.3</c:v>
                </c:pt>
                <c:pt idx="45">
                  <c:v>28.9</c:v>
                </c:pt>
                <c:pt idx="46">
                  <c:v>27.1</c:v>
                </c:pt>
                <c:pt idx="47">
                  <c:v>27.6</c:v>
                </c:pt>
                <c:pt idx="48">
                  <c:v>26</c:v>
                </c:pt>
                <c:pt idx="49">
                  <c:v>27.8</c:v>
                </c:pt>
                <c:pt idx="50">
                  <c:v>27.1</c:v>
                </c:pt>
                <c:pt idx="51">
                  <c:v>28.1</c:v>
                </c:pt>
                <c:pt idx="52">
                  <c:v>28.1</c:v>
                </c:pt>
                <c:pt idx="53">
                  <c:v>24.8</c:v>
                </c:pt>
                <c:pt idx="54">
                  <c:v>27.4</c:v>
                </c:pt>
                <c:pt idx="55">
                  <c:v>25.2</c:v>
                </c:pt>
                <c:pt idx="56">
                  <c:v>28.8</c:v>
                </c:pt>
                <c:pt idx="57">
                  <c:v>25</c:v>
                </c:pt>
                <c:pt idx="58">
                  <c:v>24.5</c:v>
                </c:pt>
                <c:pt idx="59">
                  <c:v>26.8</c:v>
                </c:pt>
                <c:pt idx="60">
                  <c:v>24.8</c:v>
                </c:pt>
                <c:pt idx="61">
                  <c:v>24.9</c:v>
                </c:pt>
                <c:pt idx="62">
                  <c:v>24.7</c:v>
                </c:pt>
                <c:pt idx="63">
                  <c:v>26.4</c:v>
                </c:pt>
                <c:pt idx="64">
                  <c:v>26.3</c:v>
                </c:pt>
                <c:pt idx="65">
                  <c:v>24.4</c:v>
                </c:pt>
                <c:pt idx="66">
                  <c:v>25.1</c:v>
                </c:pt>
                <c:pt idx="67">
                  <c:v>25.5</c:v>
                </c:pt>
                <c:pt idx="68">
                  <c:v>25.9</c:v>
                </c:pt>
                <c:pt idx="69">
                  <c:v>24.1</c:v>
                </c:pt>
                <c:pt idx="70">
                  <c:v>25.3</c:v>
                </c:pt>
                <c:pt idx="71">
                  <c:v>25.4</c:v>
                </c:pt>
                <c:pt idx="72">
                  <c:v>25.3</c:v>
                </c:pt>
                <c:pt idx="73">
                  <c:v>23.8</c:v>
                </c:pt>
                <c:pt idx="74">
                  <c:v>24.4</c:v>
                </c:pt>
                <c:pt idx="75">
                  <c:v>23.6</c:v>
                </c:pt>
                <c:pt idx="76">
                  <c:v>22.2</c:v>
                </c:pt>
                <c:pt idx="77">
                  <c:v>25.1</c:v>
                </c:pt>
                <c:pt idx="78">
                  <c:v>24.5</c:v>
                </c:pt>
                <c:pt idx="79">
                  <c:v>21.01</c:v>
                </c:pt>
                <c:pt idx="80">
                  <c:v>23.38</c:v>
                </c:pt>
                <c:pt idx="81">
                  <c:v>22.8</c:v>
                </c:pt>
                <c:pt idx="82">
                  <c:v>23.16</c:v>
                </c:pt>
                <c:pt idx="83">
                  <c:v>22.32</c:v>
                </c:pt>
                <c:pt idx="84">
                  <c:v>21.93</c:v>
                </c:pt>
                <c:pt idx="85">
                  <c:v>21.99</c:v>
                </c:pt>
                <c:pt idx="86">
                  <c:v>21.92</c:v>
                </c:pt>
                <c:pt idx="87">
                  <c:v>21.39</c:v>
                </c:pt>
                <c:pt idx="88">
                  <c:v>21.08</c:v>
                </c:pt>
                <c:pt idx="89">
                  <c:v>21.43</c:v>
                </c:pt>
                <c:pt idx="90">
                  <c:v>20.92</c:v>
                </c:pt>
                <c:pt idx="91">
                  <c:v>20.52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Data2'!$G$168:$CT$168</c:f>
              <c:numCache>
                <c:formatCode>General</c:formatCode>
                <c:ptCount val="92"/>
                <c:pt idx="0">
                  <c:v>21</c:v>
                </c:pt>
                <c:pt idx="1">
                  <c:v>25</c:v>
                </c:pt>
                <c:pt idx="2">
                  <c:v>25</c:v>
                </c:pt>
                <c:pt idx="3">
                  <c:v>27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27</c:v>
                </c:pt>
                <c:pt idx="8">
                  <c:v>26</c:v>
                </c:pt>
                <c:pt idx="9">
                  <c:v>30</c:v>
                </c:pt>
                <c:pt idx="10">
                  <c:v>27</c:v>
                </c:pt>
                <c:pt idx="11">
                  <c:v>30</c:v>
                </c:pt>
                <c:pt idx="12">
                  <c:v>36</c:v>
                </c:pt>
                <c:pt idx="13">
                  <c:v>30</c:v>
                </c:pt>
                <c:pt idx="14">
                  <c:v>28</c:v>
                </c:pt>
                <c:pt idx="15">
                  <c:v>29</c:v>
                </c:pt>
                <c:pt idx="16">
                  <c:v>22</c:v>
                </c:pt>
                <c:pt idx="17">
                  <c:v>27</c:v>
                </c:pt>
                <c:pt idx="18">
                  <c:v>31</c:v>
                </c:pt>
                <c:pt idx="19">
                  <c:v>29</c:v>
                </c:pt>
                <c:pt idx="20">
                  <c:v>29.1</c:v>
                </c:pt>
                <c:pt idx="21">
                  <c:v>27.2</c:v>
                </c:pt>
                <c:pt idx="22">
                  <c:v>26.5</c:v>
                </c:pt>
                <c:pt idx="23">
                  <c:v>26</c:v>
                </c:pt>
                <c:pt idx="24">
                  <c:v>28.4</c:v>
                </c:pt>
                <c:pt idx="25">
                  <c:v>27.2</c:v>
                </c:pt>
                <c:pt idx="26">
                  <c:v>26.4</c:v>
                </c:pt>
                <c:pt idx="27">
                  <c:v>25.9</c:v>
                </c:pt>
                <c:pt idx="28">
                  <c:v>25.7</c:v>
                </c:pt>
                <c:pt idx="29">
                  <c:v>26.6</c:v>
                </c:pt>
                <c:pt idx="30">
                  <c:v>27.4</c:v>
                </c:pt>
                <c:pt idx="31">
                  <c:v>25.7</c:v>
                </c:pt>
                <c:pt idx="32">
                  <c:v>23.1</c:v>
                </c:pt>
                <c:pt idx="33">
                  <c:v>26.5</c:v>
                </c:pt>
                <c:pt idx="34">
                  <c:v>25.4</c:v>
                </c:pt>
                <c:pt idx="35">
                  <c:v>24.3</c:v>
                </c:pt>
                <c:pt idx="36">
                  <c:v>23.9</c:v>
                </c:pt>
                <c:pt idx="37">
                  <c:v>22.8</c:v>
                </c:pt>
                <c:pt idx="38">
                  <c:v>23.9</c:v>
                </c:pt>
                <c:pt idx="39">
                  <c:v>23.6</c:v>
                </c:pt>
                <c:pt idx="40">
                  <c:v>24.3</c:v>
                </c:pt>
                <c:pt idx="41">
                  <c:v>23.9</c:v>
                </c:pt>
                <c:pt idx="42">
                  <c:v>23.8</c:v>
                </c:pt>
                <c:pt idx="43">
                  <c:v>22.9</c:v>
                </c:pt>
                <c:pt idx="44">
                  <c:v>22.4</c:v>
                </c:pt>
                <c:pt idx="45">
                  <c:v>22.1</c:v>
                </c:pt>
                <c:pt idx="46">
                  <c:v>21.8</c:v>
                </c:pt>
                <c:pt idx="47">
                  <c:v>21</c:v>
                </c:pt>
                <c:pt idx="48">
                  <c:v>23.7</c:v>
                </c:pt>
                <c:pt idx="49">
                  <c:v>22.2</c:v>
                </c:pt>
                <c:pt idx="50">
                  <c:v>20.3</c:v>
                </c:pt>
                <c:pt idx="51">
                  <c:v>21.8</c:v>
                </c:pt>
                <c:pt idx="52">
                  <c:v>21.9</c:v>
                </c:pt>
                <c:pt idx="53">
                  <c:v>22.2</c:v>
                </c:pt>
                <c:pt idx="54">
                  <c:v>22.4</c:v>
                </c:pt>
                <c:pt idx="55">
                  <c:v>22.9</c:v>
                </c:pt>
                <c:pt idx="56">
                  <c:v>20.8</c:v>
                </c:pt>
                <c:pt idx="57">
                  <c:v>21.9</c:v>
                </c:pt>
                <c:pt idx="58">
                  <c:v>22.6</c:v>
                </c:pt>
                <c:pt idx="59">
                  <c:v>22.6</c:v>
                </c:pt>
                <c:pt idx="60">
                  <c:v>20.399999999999999</c:v>
                </c:pt>
                <c:pt idx="61">
                  <c:v>19.8</c:v>
                </c:pt>
                <c:pt idx="62">
                  <c:v>20.7</c:v>
                </c:pt>
                <c:pt idx="63">
                  <c:v>20.9</c:v>
                </c:pt>
                <c:pt idx="64">
                  <c:v>22.2</c:v>
                </c:pt>
                <c:pt idx="65">
                  <c:v>20</c:v>
                </c:pt>
                <c:pt idx="66">
                  <c:v>23.8</c:v>
                </c:pt>
                <c:pt idx="67">
                  <c:v>21.8</c:v>
                </c:pt>
                <c:pt idx="68">
                  <c:v>21.7</c:v>
                </c:pt>
                <c:pt idx="69">
                  <c:v>20.2</c:v>
                </c:pt>
                <c:pt idx="70">
                  <c:v>21</c:v>
                </c:pt>
                <c:pt idx="71">
                  <c:v>19.600000000000001</c:v>
                </c:pt>
                <c:pt idx="72">
                  <c:v>21.8</c:v>
                </c:pt>
                <c:pt idx="73">
                  <c:v>18.5</c:v>
                </c:pt>
                <c:pt idx="74">
                  <c:v>19.600000000000001</c:v>
                </c:pt>
                <c:pt idx="75">
                  <c:v>22.9</c:v>
                </c:pt>
                <c:pt idx="76">
                  <c:v>21.8</c:v>
                </c:pt>
                <c:pt idx="77">
                  <c:v>20.6</c:v>
                </c:pt>
                <c:pt idx="78">
                  <c:v>20.239999999999998</c:v>
                </c:pt>
                <c:pt idx="79">
                  <c:v>20.12</c:v>
                </c:pt>
                <c:pt idx="80">
                  <c:v>18.73</c:v>
                </c:pt>
                <c:pt idx="81">
                  <c:v>19.71</c:v>
                </c:pt>
                <c:pt idx="82">
                  <c:v>18.829999999999998</c:v>
                </c:pt>
                <c:pt idx="83">
                  <c:v>19.37</c:v>
                </c:pt>
                <c:pt idx="84">
                  <c:v>19.260000000000002</c:v>
                </c:pt>
                <c:pt idx="85">
                  <c:v>18.559999999999999</c:v>
                </c:pt>
                <c:pt idx="86">
                  <c:v>18.670000000000002</c:v>
                </c:pt>
                <c:pt idx="87">
                  <c:v>17.940000000000001</c:v>
                </c:pt>
                <c:pt idx="88">
                  <c:v>18.05</c:v>
                </c:pt>
                <c:pt idx="89">
                  <c:v>18</c:v>
                </c:pt>
                <c:pt idx="90">
                  <c:v>18.420000000000002</c:v>
                </c:pt>
                <c:pt idx="91">
                  <c:v>18.12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Data2'!$G$169:$CT$169</c:f>
              <c:numCache>
                <c:formatCode>General</c:formatCode>
                <c:ptCount val="92"/>
                <c:pt idx="0">
                  <c:v>25</c:v>
                </c:pt>
                <c:pt idx="1">
                  <c:v>32</c:v>
                </c:pt>
                <c:pt idx="2">
                  <c:v>27</c:v>
                </c:pt>
                <c:pt idx="3">
                  <c:v>25</c:v>
                </c:pt>
                <c:pt idx="4">
                  <c:v>34</c:v>
                </c:pt>
                <c:pt idx="5">
                  <c:v>31</c:v>
                </c:pt>
                <c:pt idx="6">
                  <c:v>31</c:v>
                </c:pt>
                <c:pt idx="7">
                  <c:v>32</c:v>
                </c:pt>
                <c:pt idx="8">
                  <c:v>30</c:v>
                </c:pt>
                <c:pt idx="9">
                  <c:v>27</c:v>
                </c:pt>
                <c:pt idx="10">
                  <c:v>36</c:v>
                </c:pt>
                <c:pt idx="11">
                  <c:v>30</c:v>
                </c:pt>
                <c:pt idx="12">
                  <c:v>25</c:v>
                </c:pt>
                <c:pt idx="13">
                  <c:v>27</c:v>
                </c:pt>
                <c:pt idx="14">
                  <c:v>30</c:v>
                </c:pt>
                <c:pt idx="15">
                  <c:v>25</c:v>
                </c:pt>
                <c:pt idx="16">
                  <c:v>26</c:v>
                </c:pt>
                <c:pt idx="17">
                  <c:v>31</c:v>
                </c:pt>
                <c:pt idx="18">
                  <c:v>30</c:v>
                </c:pt>
                <c:pt idx="19">
                  <c:v>25</c:v>
                </c:pt>
                <c:pt idx="20">
                  <c:v>32.700000000000003</c:v>
                </c:pt>
                <c:pt idx="21">
                  <c:v>32</c:v>
                </c:pt>
                <c:pt idx="22">
                  <c:v>32.9</c:v>
                </c:pt>
                <c:pt idx="23">
                  <c:v>30.6</c:v>
                </c:pt>
                <c:pt idx="24">
                  <c:v>30.2</c:v>
                </c:pt>
                <c:pt idx="25">
                  <c:v>30.9</c:v>
                </c:pt>
                <c:pt idx="26">
                  <c:v>29.8</c:v>
                </c:pt>
                <c:pt idx="27">
                  <c:v>27</c:v>
                </c:pt>
                <c:pt idx="28">
                  <c:v>28</c:v>
                </c:pt>
                <c:pt idx="29">
                  <c:v>30.4</c:v>
                </c:pt>
                <c:pt idx="30">
                  <c:v>28.6</c:v>
                </c:pt>
                <c:pt idx="31">
                  <c:v>26.2</c:v>
                </c:pt>
                <c:pt idx="32">
                  <c:v>25.9</c:v>
                </c:pt>
                <c:pt idx="33">
                  <c:v>29</c:v>
                </c:pt>
                <c:pt idx="34">
                  <c:v>26.2</c:v>
                </c:pt>
                <c:pt idx="35">
                  <c:v>24.2</c:v>
                </c:pt>
                <c:pt idx="36">
                  <c:v>23.7</c:v>
                </c:pt>
                <c:pt idx="37">
                  <c:v>23.6</c:v>
                </c:pt>
                <c:pt idx="38">
                  <c:v>23.5</c:v>
                </c:pt>
                <c:pt idx="39">
                  <c:v>26.8</c:v>
                </c:pt>
                <c:pt idx="40">
                  <c:v>26.8</c:v>
                </c:pt>
                <c:pt idx="41">
                  <c:v>24.1</c:v>
                </c:pt>
                <c:pt idx="42">
                  <c:v>26</c:v>
                </c:pt>
                <c:pt idx="43">
                  <c:v>23.8</c:v>
                </c:pt>
                <c:pt idx="44">
                  <c:v>24.7</c:v>
                </c:pt>
                <c:pt idx="45">
                  <c:v>22.9</c:v>
                </c:pt>
                <c:pt idx="46">
                  <c:v>25</c:v>
                </c:pt>
                <c:pt idx="47">
                  <c:v>23.6</c:v>
                </c:pt>
                <c:pt idx="48">
                  <c:v>25.5</c:v>
                </c:pt>
                <c:pt idx="49">
                  <c:v>26.3</c:v>
                </c:pt>
                <c:pt idx="50">
                  <c:v>23</c:v>
                </c:pt>
                <c:pt idx="51">
                  <c:v>22.1</c:v>
                </c:pt>
                <c:pt idx="52">
                  <c:v>23.4</c:v>
                </c:pt>
                <c:pt idx="53">
                  <c:v>23.4</c:v>
                </c:pt>
                <c:pt idx="54">
                  <c:v>23.2</c:v>
                </c:pt>
                <c:pt idx="55">
                  <c:v>23.2</c:v>
                </c:pt>
                <c:pt idx="56">
                  <c:v>23.7</c:v>
                </c:pt>
                <c:pt idx="57">
                  <c:v>21.9</c:v>
                </c:pt>
                <c:pt idx="58">
                  <c:v>22.5</c:v>
                </c:pt>
                <c:pt idx="59">
                  <c:v>22.9</c:v>
                </c:pt>
                <c:pt idx="60">
                  <c:v>21.2</c:v>
                </c:pt>
                <c:pt idx="61">
                  <c:v>24</c:v>
                </c:pt>
                <c:pt idx="62">
                  <c:v>21.9</c:v>
                </c:pt>
                <c:pt idx="63">
                  <c:v>24.5</c:v>
                </c:pt>
                <c:pt idx="64">
                  <c:v>22.6</c:v>
                </c:pt>
                <c:pt idx="65">
                  <c:v>21.9</c:v>
                </c:pt>
                <c:pt idx="66">
                  <c:v>22.6</c:v>
                </c:pt>
                <c:pt idx="67">
                  <c:v>22.4</c:v>
                </c:pt>
                <c:pt idx="68">
                  <c:v>22.2</c:v>
                </c:pt>
                <c:pt idx="69">
                  <c:v>21.3</c:v>
                </c:pt>
                <c:pt idx="70">
                  <c:v>22.2</c:v>
                </c:pt>
                <c:pt idx="71">
                  <c:v>21.3</c:v>
                </c:pt>
                <c:pt idx="72">
                  <c:v>21.8</c:v>
                </c:pt>
                <c:pt idx="73">
                  <c:v>21.5</c:v>
                </c:pt>
                <c:pt idx="74">
                  <c:v>21.2</c:v>
                </c:pt>
                <c:pt idx="75">
                  <c:v>20.5</c:v>
                </c:pt>
                <c:pt idx="76">
                  <c:v>21.8</c:v>
                </c:pt>
                <c:pt idx="77">
                  <c:v>22.5</c:v>
                </c:pt>
                <c:pt idx="78">
                  <c:v>20.82</c:v>
                </c:pt>
                <c:pt idx="79">
                  <c:v>21.5</c:v>
                </c:pt>
                <c:pt idx="80">
                  <c:v>20.38</c:v>
                </c:pt>
                <c:pt idx="81">
                  <c:v>19.920000000000002</c:v>
                </c:pt>
                <c:pt idx="82">
                  <c:v>19.940000000000001</c:v>
                </c:pt>
                <c:pt idx="83">
                  <c:v>20.43</c:v>
                </c:pt>
                <c:pt idx="84">
                  <c:v>19.600000000000001</c:v>
                </c:pt>
                <c:pt idx="85">
                  <c:v>19.97</c:v>
                </c:pt>
                <c:pt idx="86">
                  <c:v>19.5</c:v>
                </c:pt>
                <c:pt idx="87">
                  <c:v>19.2</c:v>
                </c:pt>
                <c:pt idx="88">
                  <c:v>18.98</c:v>
                </c:pt>
                <c:pt idx="89">
                  <c:v>18.55</c:v>
                </c:pt>
                <c:pt idx="90">
                  <c:v>19.190000000000001</c:v>
                </c:pt>
                <c:pt idx="91">
                  <c:v>18.84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Data2'!$G$170:$CT$170</c:f>
              <c:numCache>
                <c:formatCode>General</c:formatCode>
                <c:ptCount val="92"/>
                <c:pt idx="0">
                  <c:v>29</c:v>
                </c:pt>
                <c:pt idx="1">
                  <c:v>27</c:v>
                </c:pt>
                <c:pt idx="2">
                  <c:v>28</c:v>
                </c:pt>
                <c:pt idx="3">
                  <c:v>25</c:v>
                </c:pt>
                <c:pt idx="4">
                  <c:v>30</c:v>
                </c:pt>
                <c:pt idx="5">
                  <c:v>28</c:v>
                </c:pt>
                <c:pt idx="6">
                  <c:v>20</c:v>
                </c:pt>
                <c:pt idx="7">
                  <c:v>24</c:v>
                </c:pt>
                <c:pt idx="8">
                  <c:v>30</c:v>
                </c:pt>
                <c:pt idx="9">
                  <c:v>22</c:v>
                </c:pt>
                <c:pt idx="10">
                  <c:v>21</c:v>
                </c:pt>
                <c:pt idx="11">
                  <c:v>31</c:v>
                </c:pt>
                <c:pt idx="12">
                  <c:v>36</c:v>
                </c:pt>
                <c:pt idx="13">
                  <c:v>26</c:v>
                </c:pt>
                <c:pt idx="14">
                  <c:v>28</c:v>
                </c:pt>
                <c:pt idx="15">
                  <c:v>17</c:v>
                </c:pt>
                <c:pt idx="16">
                  <c:v>26</c:v>
                </c:pt>
                <c:pt idx="17">
                  <c:v>29</c:v>
                </c:pt>
                <c:pt idx="18">
                  <c:v>32</c:v>
                </c:pt>
                <c:pt idx="19">
                  <c:v>33</c:v>
                </c:pt>
                <c:pt idx="20">
                  <c:v>29</c:v>
                </c:pt>
                <c:pt idx="21">
                  <c:v>30.3</c:v>
                </c:pt>
                <c:pt idx="22">
                  <c:v>29.7</c:v>
                </c:pt>
                <c:pt idx="23">
                  <c:v>27.4</c:v>
                </c:pt>
                <c:pt idx="24">
                  <c:v>30.6</c:v>
                </c:pt>
                <c:pt idx="25">
                  <c:v>28.4</c:v>
                </c:pt>
                <c:pt idx="26">
                  <c:v>29.4</c:v>
                </c:pt>
                <c:pt idx="27">
                  <c:v>26</c:v>
                </c:pt>
                <c:pt idx="28">
                  <c:v>24</c:v>
                </c:pt>
                <c:pt idx="29">
                  <c:v>25.5</c:v>
                </c:pt>
                <c:pt idx="30">
                  <c:v>27.2</c:v>
                </c:pt>
                <c:pt idx="31">
                  <c:v>25.1</c:v>
                </c:pt>
                <c:pt idx="32">
                  <c:v>29.4</c:v>
                </c:pt>
                <c:pt idx="33">
                  <c:v>26.6</c:v>
                </c:pt>
                <c:pt idx="34">
                  <c:v>26.4</c:v>
                </c:pt>
                <c:pt idx="35">
                  <c:v>27.4</c:v>
                </c:pt>
                <c:pt idx="36">
                  <c:v>25.5</c:v>
                </c:pt>
                <c:pt idx="37">
                  <c:v>27</c:v>
                </c:pt>
                <c:pt idx="38">
                  <c:v>26.7</c:v>
                </c:pt>
                <c:pt idx="39">
                  <c:v>26.5</c:v>
                </c:pt>
                <c:pt idx="40">
                  <c:v>25.3</c:v>
                </c:pt>
                <c:pt idx="41">
                  <c:v>23.8</c:v>
                </c:pt>
                <c:pt idx="42">
                  <c:v>22.9</c:v>
                </c:pt>
                <c:pt idx="43">
                  <c:v>25.2</c:v>
                </c:pt>
                <c:pt idx="44">
                  <c:v>24.8</c:v>
                </c:pt>
                <c:pt idx="45">
                  <c:v>24</c:v>
                </c:pt>
                <c:pt idx="46">
                  <c:v>25.9</c:v>
                </c:pt>
                <c:pt idx="47">
                  <c:v>23.2</c:v>
                </c:pt>
                <c:pt idx="48">
                  <c:v>24.1</c:v>
                </c:pt>
                <c:pt idx="49">
                  <c:v>24.3</c:v>
                </c:pt>
                <c:pt idx="50">
                  <c:v>22.4</c:v>
                </c:pt>
                <c:pt idx="51">
                  <c:v>23.2</c:v>
                </c:pt>
                <c:pt idx="52">
                  <c:v>22.7</c:v>
                </c:pt>
                <c:pt idx="53">
                  <c:v>23</c:v>
                </c:pt>
                <c:pt idx="54">
                  <c:v>24.3</c:v>
                </c:pt>
                <c:pt idx="55">
                  <c:v>22.9</c:v>
                </c:pt>
                <c:pt idx="56">
                  <c:v>24</c:v>
                </c:pt>
                <c:pt idx="57">
                  <c:v>22.4</c:v>
                </c:pt>
                <c:pt idx="58">
                  <c:v>23</c:v>
                </c:pt>
                <c:pt idx="59">
                  <c:v>24.1</c:v>
                </c:pt>
                <c:pt idx="60">
                  <c:v>21.9</c:v>
                </c:pt>
                <c:pt idx="61">
                  <c:v>24.2</c:v>
                </c:pt>
                <c:pt idx="62">
                  <c:v>23.2</c:v>
                </c:pt>
                <c:pt idx="63">
                  <c:v>21.8</c:v>
                </c:pt>
                <c:pt idx="64">
                  <c:v>21.2</c:v>
                </c:pt>
                <c:pt idx="65">
                  <c:v>22.8</c:v>
                </c:pt>
                <c:pt idx="66">
                  <c:v>20.8</c:v>
                </c:pt>
                <c:pt idx="67">
                  <c:v>20.8</c:v>
                </c:pt>
                <c:pt idx="68">
                  <c:v>22</c:v>
                </c:pt>
                <c:pt idx="69">
                  <c:v>18.8</c:v>
                </c:pt>
                <c:pt idx="70">
                  <c:v>23</c:v>
                </c:pt>
                <c:pt idx="71">
                  <c:v>19.8</c:v>
                </c:pt>
                <c:pt idx="72">
                  <c:v>21.2</c:v>
                </c:pt>
                <c:pt idx="73">
                  <c:v>21.3</c:v>
                </c:pt>
                <c:pt idx="74">
                  <c:v>20.3</c:v>
                </c:pt>
                <c:pt idx="75">
                  <c:v>20.8</c:v>
                </c:pt>
                <c:pt idx="76">
                  <c:v>20.3</c:v>
                </c:pt>
                <c:pt idx="77">
                  <c:v>19.7</c:v>
                </c:pt>
                <c:pt idx="78">
                  <c:v>20.399999999999999</c:v>
                </c:pt>
                <c:pt idx="79">
                  <c:v>19.75</c:v>
                </c:pt>
                <c:pt idx="80">
                  <c:v>20.260000000000002</c:v>
                </c:pt>
                <c:pt idx="81">
                  <c:v>18.850000000000001</c:v>
                </c:pt>
                <c:pt idx="82">
                  <c:v>19.059999999999999</c:v>
                </c:pt>
                <c:pt idx="83">
                  <c:v>19.170000000000002</c:v>
                </c:pt>
                <c:pt idx="84">
                  <c:v>18.82</c:v>
                </c:pt>
                <c:pt idx="85">
                  <c:v>18.38</c:v>
                </c:pt>
                <c:pt idx="86">
                  <c:v>18.71</c:v>
                </c:pt>
                <c:pt idx="87">
                  <c:v>18.25</c:v>
                </c:pt>
                <c:pt idx="88">
                  <c:v>18.71</c:v>
                </c:pt>
                <c:pt idx="89">
                  <c:v>17.920000000000002</c:v>
                </c:pt>
                <c:pt idx="90">
                  <c:v>18.11</c:v>
                </c:pt>
                <c:pt idx="91">
                  <c:v>17.940000000000001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Data2'!$G$171:$CT$171</c:f>
              <c:numCache>
                <c:formatCode>General</c:formatCode>
                <c:ptCount val="92"/>
                <c:pt idx="0">
                  <c:v>26</c:v>
                </c:pt>
                <c:pt idx="1">
                  <c:v>27</c:v>
                </c:pt>
                <c:pt idx="2">
                  <c:v>23</c:v>
                </c:pt>
                <c:pt idx="3">
                  <c:v>32</c:v>
                </c:pt>
                <c:pt idx="4">
                  <c:v>33</c:v>
                </c:pt>
                <c:pt idx="5">
                  <c:v>26</c:v>
                </c:pt>
                <c:pt idx="6">
                  <c:v>23</c:v>
                </c:pt>
                <c:pt idx="7">
                  <c:v>42</c:v>
                </c:pt>
                <c:pt idx="8">
                  <c:v>26</c:v>
                </c:pt>
                <c:pt idx="9">
                  <c:v>29</c:v>
                </c:pt>
                <c:pt idx="10">
                  <c:v>27</c:v>
                </c:pt>
                <c:pt idx="11">
                  <c:v>30</c:v>
                </c:pt>
                <c:pt idx="12">
                  <c:v>28</c:v>
                </c:pt>
                <c:pt idx="13">
                  <c:v>29</c:v>
                </c:pt>
                <c:pt idx="14">
                  <c:v>24</c:v>
                </c:pt>
                <c:pt idx="15">
                  <c:v>27</c:v>
                </c:pt>
                <c:pt idx="16">
                  <c:v>27</c:v>
                </c:pt>
                <c:pt idx="17">
                  <c:v>26</c:v>
                </c:pt>
                <c:pt idx="18">
                  <c:v>26</c:v>
                </c:pt>
                <c:pt idx="19">
                  <c:v>30</c:v>
                </c:pt>
                <c:pt idx="20">
                  <c:v>28.8</c:v>
                </c:pt>
                <c:pt idx="21">
                  <c:v>29.2</c:v>
                </c:pt>
                <c:pt idx="22">
                  <c:v>29.8</c:v>
                </c:pt>
                <c:pt idx="23">
                  <c:v>28.1</c:v>
                </c:pt>
                <c:pt idx="24">
                  <c:v>31.2</c:v>
                </c:pt>
                <c:pt idx="25">
                  <c:v>29</c:v>
                </c:pt>
                <c:pt idx="26">
                  <c:v>26.2</c:v>
                </c:pt>
                <c:pt idx="27">
                  <c:v>25.6</c:v>
                </c:pt>
                <c:pt idx="28">
                  <c:v>26.2</c:v>
                </c:pt>
                <c:pt idx="29">
                  <c:v>24.3</c:v>
                </c:pt>
                <c:pt idx="30">
                  <c:v>28.1</c:v>
                </c:pt>
                <c:pt idx="31">
                  <c:v>26.8</c:v>
                </c:pt>
                <c:pt idx="32">
                  <c:v>28</c:v>
                </c:pt>
                <c:pt idx="33">
                  <c:v>23</c:v>
                </c:pt>
                <c:pt idx="34">
                  <c:v>26</c:v>
                </c:pt>
                <c:pt idx="35">
                  <c:v>25.1</c:v>
                </c:pt>
                <c:pt idx="36">
                  <c:v>25.5</c:v>
                </c:pt>
                <c:pt idx="37">
                  <c:v>22.5</c:v>
                </c:pt>
                <c:pt idx="38">
                  <c:v>25</c:v>
                </c:pt>
                <c:pt idx="39">
                  <c:v>24.2</c:v>
                </c:pt>
                <c:pt idx="40">
                  <c:v>25.3</c:v>
                </c:pt>
                <c:pt idx="41">
                  <c:v>24.1</c:v>
                </c:pt>
                <c:pt idx="42">
                  <c:v>23.3</c:v>
                </c:pt>
                <c:pt idx="43">
                  <c:v>23.7</c:v>
                </c:pt>
                <c:pt idx="44">
                  <c:v>25.2</c:v>
                </c:pt>
                <c:pt idx="45">
                  <c:v>23</c:v>
                </c:pt>
                <c:pt idx="46">
                  <c:v>23.8</c:v>
                </c:pt>
                <c:pt idx="47">
                  <c:v>23.5</c:v>
                </c:pt>
                <c:pt idx="48">
                  <c:v>22.7</c:v>
                </c:pt>
                <c:pt idx="49">
                  <c:v>23.1</c:v>
                </c:pt>
                <c:pt idx="50">
                  <c:v>23.6</c:v>
                </c:pt>
                <c:pt idx="51">
                  <c:v>23.1</c:v>
                </c:pt>
                <c:pt idx="52">
                  <c:v>23.4</c:v>
                </c:pt>
                <c:pt idx="53">
                  <c:v>21.7</c:v>
                </c:pt>
                <c:pt idx="54">
                  <c:v>24.1</c:v>
                </c:pt>
                <c:pt idx="55">
                  <c:v>21.9</c:v>
                </c:pt>
                <c:pt idx="56">
                  <c:v>22.5</c:v>
                </c:pt>
                <c:pt idx="57">
                  <c:v>23.3</c:v>
                </c:pt>
                <c:pt idx="58">
                  <c:v>23.5</c:v>
                </c:pt>
                <c:pt idx="59">
                  <c:v>21</c:v>
                </c:pt>
                <c:pt idx="60">
                  <c:v>21.1</c:v>
                </c:pt>
                <c:pt idx="61">
                  <c:v>24</c:v>
                </c:pt>
                <c:pt idx="62">
                  <c:v>24.5</c:v>
                </c:pt>
                <c:pt idx="63">
                  <c:v>22.5</c:v>
                </c:pt>
                <c:pt idx="64">
                  <c:v>21.8</c:v>
                </c:pt>
                <c:pt idx="65">
                  <c:v>20.6</c:v>
                </c:pt>
                <c:pt idx="66">
                  <c:v>21.2</c:v>
                </c:pt>
                <c:pt idx="67">
                  <c:v>22.8</c:v>
                </c:pt>
                <c:pt idx="68">
                  <c:v>19.7</c:v>
                </c:pt>
                <c:pt idx="69">
                  <c:v>20.6</c:v>
                </c:pt>
                <c:pt idx="70">
                  <c:v>19.8</c:v>
                </c:pt>
                <c:pt idx="71">
                  <c:v>21.8</c:v>
                </c:pt>
                <c:pt idx="72">
                  <c:v>21.4</c:v>
                </c:pt>
                <c:pt idx="73">
                  <c:v>21.8</c:v>
                </c:pt>
                <c:pt idx="74">
                  <c:v>20.5</c:v>
                </c:pt>
                <c:pt idx="75">
                  <c:v>20.8</c:v>
                </c:pt>
                <c:pt idx="76">
                  <c:v>20.3</c:v>
                </c:pt>
                <c:pt idx="77">
                  <c:v>20.2</c:v>
                </c:pt>
                <c:pt idx="78">
                  <c:v>21.2</c:v>
                </c:pt>
                <c:pt idx="79">
                  <c:v>19.86</c:v>
                </c:pt>
                <c:pt idx="80">
                  <c:v>19.809999999999999</c:v>
                </c:pt>
                <c:pt idx="81">
                  <c:v>19.93</c:v>
                </c:pt>
                <c:pt idx="82">
                  <c:v>19.53</c:v>
                </c:pt>
                <c:pt idx="83">
                  <c:v>19.03</c:v>
                </c:pt>
                <c:pt idx="84">
                  <c:v>18.78</c:v>
                </c:pt>
                <c:pt idx="85">
                  <c:v>18.84</c:v>
                </c:pt>
                <c:pt idx="86">
                  <c:v>18.670000000000002</c:v>
                </c:pt>
                <c:pt idx="87">
                  <c:v>18.75</c:v>
                </c:pt>
                <c:pt idx="88">
                  <c:v>17.899999999999999</c:v>
                </c:pt>
                <c:pt idx="89">
                  <c:v>18.14</c:v>
                </c:pt>
                <c:pt idx="90">
                  <c:v>18.02</c:v>
                </c:pt>
                <c:pt idx="91">
                  <c:v>17.41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2160"/>
        <c:axId val="47454080"/>
      </c:scatterChart>
      <c:valAx>
        <c:axId val="4745216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454080"/>
        <c:crosses val="autoZero"/>
        <c:crossBetween val="midCat"/>
      </c:valAx>
      <c:valAx>
        <c:axId val="47454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4521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Data2'!$G$172:$CT$172</c:f>
              <c:numCache>
                <c:formatCode>General</c:formatCode>
                <c:ptCount val="92"/>
                <c:pt idx="0">
                  <c:v>727</c:v>
                </c:pt>
                <c:pt idx="1">
                  <c:v>733</c:v>
                </c:pt>
                <c:pt idx="2">
                  <c:v>749</c:v>
                </c:pt>
                <c:pt idx="3">
                  <c:v>743</c:v>
                </c:pt>
                <c:pt idx="4">
                  <c:v>742</c:v>
                </c:pt>
                <c:pt idx="5">
                  <c:v>734</c:v>
                </c:pt>
                <c:pt idx="6">
                  <c:v>757</c:v>
                </c:pt>
                <c:pt idx="7">
                  <c:v>727</c:v>
                </c:pt>
                <c:pt idx="8">
                  <c:v>698</c:v>
                </c:pt>
                <c:pt idx="9">
                  <c:v>721</c:v>
                </c:pt>
                <c:pt idx="10">
                  <c:v>731</c:v>
                </c:pt>
                <c:pt idx="11">
                  <c:v>704</c:v>
                </c:pt>
                <c:pt idx="12">
                  <c:v>714</c:v>
                </c:pt>
                <c:pt idx="13">
                  <c:v>723</c:v>
                </c:pt>
                <c:pt idx="14">
                  <c:v>731</c:v>
                </c:pt>
                <c:pt idx="15">
                  <c:v>685</c:v>
                </c:pt>
                <c:pt idx="16">
                  <c:v>697</c:v>
                </c:pt>
                <c:pt idx="17">
                  <c:v>699</c:v>
                </c:pt>
                <c:pt idx="18">
                  <c:v>701</c:v>
                </c:pt>
                <c:pt idx="19">
                  <c:v>725</c:v>
                </c:pt>
                <c:pt idx="20">
                  <c:v>674</c:v>
                </c:pt>
                <c:pt idx="21">
                  <c:v>641.70000000000005</c:v>
                </c:pt>
                <c:pt idx="22">
                  <c:v>617.4</c:v>
                </c:pt>
                <c:pt idx="23">
                  <c:v>586.20000000000005</c:v>
                </c:pt>
                <c:pt idx="24">
                  <c:v>588.70000000000005</c:v>
                </c:pt>
                <c:pt idx="25">
                  <c:v>527</c:v>
                </c:pt>
                <c:pt idx="26">
                  <c:v>505.6</c:v>
                </c:pt>
                <c:pt idx="27">
                  <c:v>487.4</c:v>
                </c:pt>
                <c:pt idx="28">
                  <c:v>452.3</c:v>
                </c:pt>
                <c:pt idx="29">
                  <c:v>446.5</c:v>
                </c:pt>
                <c:pt idx="30">
                  <c:v>415.7</c:v>
                </c:pt>
                <c:pt idx="31">
                  <c:v>405.8</c:v>
                </c:pt>
                <c:pt idx="32">
                  <c:v>381.2</c:v>
                </c:pt>
                <c:pt idx="33">
                  <c:v>366.5</c:v>
                </c:pt>
                <c:pt idx="34">
                  <c:v>354.5</c:v>
                </c:pt>
                <c:pt idx="35">
                  <c:v>343.5</c:v>
                </c:pt>
                <c:pt idx="36">
                  <c:v>330.9</c:v>
                </c:pt>
                <c:pt idx="37">
                  <c:v>314.10000000000002</c:v>
                </c:pt>
                <c:pt idx="38">
                  <c:v>298.7</c:v>
                </c:pt>
                <c:pt idx="39">
                  <c:v>298.5</c:v>
                </c:pt>
                <c:pt idx="40">
                  <c:v>284.2</c:v>
                </c:pt>
                <c:pt idx="41">
                  <c:v>276.8</c:v>
                </c:pt>
                <c:pt idx="42">
                  <c:v>267.10000000000002</c:v>
                </c:pt>
                <c:pt idx="43">
                  <c:v>254.3</c:v>
                </c:pt>
                <c:pt idx="44">
                  <c:v>249.5</c:v>
                </c:pt>
                <c:pt idx="45">
                  <c:v>239.1</c:v>
                </c:pt>
                <c:pt idx="46">
                  <c:v>233.1</c:v>
                </c:pt>
                <c:pt idx="47">
                  <c:v>228.6</c:v>
                </c:pt>
                <c:pt idx="48">
                  <c:v>225.3</c:v>
                </c:pt>
                <c:pt idx="49">
                  <c:v>215.6</c:v>
                </c:pt>
                <c:pt idx="50">
                  <c:v>207.5</c:v>
                </c:pt>
                <c:pt idx="51">
                  <c:v>202</c:v>
                </c:pt>
                <c:pt idx="52">
                  <c:v>195.3</c:v>
                </c:pt>
                <c:pt idx="53">
                  <c:v>192.1</c:v>
                </c:pt>
                <c:pt idx="54">
                  <c:v>182.4</c:v>
                </c:pt>
                <c:pt idx="55">
                  <c:v>177.2</c:v>
                </c:pt>
                <c:pt idx="56">
                  <c:v>178.3</c:v>
                </c:pt>
                <c:pt idx="57">
                  <c:v>171</c:v>
                </c:pt>
                <c:pt idx="58">
                  <c:v>166.6</c:v>
                </c:pt>
                <c:pt idx="59">
                  <c:v>163.4</c:v>
                </c:pt>
                <c:pt idx="60">
                  <c:v>159.5</c:v>
                </c:pt>
                <c:pt idx="61">
                  <c:v>154.5</c:v>
                </c:pt>
                <c:pt idx="62">
                  <c:v>151.1</c:v>
                </c:pt>
                <c:pt idx="63">
                  <c:v>146.30000000000001</c:v>
                </c:pt>
                <c:pt idx="64">
                  <c:v>148.4</c:v>
                </c:pt>
                <c:pt idx="65">
                  <c:v>149.5</c:v>
                </c:pt>
                <c:pt idx="66">
                  <c:v>143.1</c:v>
                </c:pt>
                <c:pt idx="67">
                  <c:v>143.80000000000001</c:v>
                </c:pt>
                <c:pt idx="68">
                  <c:v>134.30000000000001</c:v>
                </c:pt>
                <c:pt idx="69">
                  <c:v>131.1</c:v>
                </c:pt>
                <c:pt idx="70">
                  <c:v>127.8</c:v>
                </c:pt>
                <c:pt idx="71">
                  <c:v>129</c:v>
                </c:pt>
                <c:pt idx="72">
                  <c:v>124.7</c:v>
                </c:pt>
                <c:pt idx="73">
                  <c:v>115.6</c:v>
                </c:pt>
                <c:pt idx="74">
                  <c:v>124.3</c:v>
                </c:pt>
                <c:pt idx="75">
                  <c:v>117.4</c:v>
                </c:pt>
                <c:pt idx="76">
                  <c:v>115.1</c:v>
                </c:pt>
                <c:pt idx="77">
                  <c:v>112</c:v>
                </c:pt>
                <c:pt idx="78">
                  <c:v>105.45</c:v>
                </c:pt>
                <c:pt idx="79">
                  <c:v>91.4</c:v>
                </c:pt>
                <c:pt idx="80">
                  <c:v>81.41</c:v>
                </c:pt>
                <c:pt idx="81">
                  <c:v>72.7</c:v>
                </c:pt>
                <c:pt idx="82">
                  <c:v>66.569999999999993</c:v>
                </c:pt>
                <c:pt idx="83">
                  <c:v>61.39</c:v>
                </c:pt>
                <c:pt idx="84">
                  <c:v>56.47</c:v>
                </c:pt>
                <c:pt idx="85">
                  <c:v>52.54</c:v>
                </c:pt>
                <c:pt idx="86">
                  <c:v>50.06</c:v>
                </c:pt>
                <c:pt idx="87">
                  <c:v>47.05</c:v>
                </c:pt>
                <c:pt idx="88">
                  <c:v>45.39</c:v>
                </c:pt>
                <c:pt idx="89">
                  <c:v>42.97</c:v>
                </c:pt>
                <c:pt idx="90">
                  <c:v>41.51</c:v>
                </c:pt>
                <c:pt idx="91">
                  <c:v>40.409999999999997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Data2'!$G$173:$CT$173</c:f>
              <c:numCache>
                <c:formatCode>General</c:formatCode>
                <c:ptCount val="92"/>
                <c:pt idx="0">
                  <c:v>875</c:v>
                </c:pt>
                <c:pt idx="1">
                  <c:v>843</c:v>
                </c:pt>
                <c:pt idx="2">
                  <c:v>864</c:v>
                </c:pt>
                <c:pt idx="3">
                  <c:v>865</c:v>
                </c:pt>
                <c:pt idx="4">
                  <c:v>799</c:v>
                </c:pt>
                <c:pt idx="5">
                  <c:v>805</c:v>
                </c:pt>
                <c:pt idx="6">
                  <c:v>786</c:v>
                </c:pt>
                <c:pt idx="7">
                  <c:v>808</c:v>
                </c:pt>
                <c:pt idx="8">
                  <c:v>781</c:v>
                </c:pt>
                <c:pt idx="9">
                  <c:v>809</c:v>
                </c:pt>
                <c:pt idx="10">
                  <c:v>787</c:v>
                </c:pt>
                <c:pt idx="11">
                  <c:v>755</c:v>
                </c:pt>
                <c:pt idx="12">
                  <c:v>1023</c:v>
                </c:pt>
                <c:pt idx="13">
                  <c:v>780</c:v>
                </c:pt>
                <c:pt idx="14">
                  <c:v>770</c:v>
                </c:pt>
                <c:pt idx="15">
                  <c:v>770</c:v>
                </c:pt>
                <c:pt idx="16">
                  <c:v>770</c:v>
                </c:pt>
                <c:pt idx="17">
                  <c:v>741</c:v>
                </c:pt>
                <c:pt idx="18">
                  <c:v>772</c:v>
                </c:pt>
                <c:pt idx="19">
                  <c:v>757</c:v>
                </c:pt>
                <c:pt idx="20">
                  <c:v>749.3</c:v>
                </c:pt>
                <c:pt idx="21">
                  <c:v>697.2</c:v>
                </c:pt>
                <c:pt idx="22">
                  <c:v>671.2</c:v>
                </c:pt>
                <c:pt idx="23">
                  <c:v>631.4</c:v>
                </c:pt>
                <c:pt idx="24">
                  <c:v>604.79999999999995</c:v>
                </c:pt>
                <c:pt idx="25">
                  <c:v>577.70000000000005</c:v>
                </c:pt>
                <c:pt idx="26">
                  <c:v>550.20000000000005</c:v>
                </c:pt>
                <c:pt idx="27">
                  <c:v>522</c:v>
                </c:pt>
                <c:pt idx="28">
                  <c:v>497.5</c:v>
                </c:pt>
                <c:pt idx="29">
                  <c:v>476.8</c:v>
                </c:pt>
                <c:pt idx="30">
                  <c:v>486.3</c:v>
                </c:pt>
                <c:pt idx="31">
                  <c:v>440.1</c:v>
                </c:pt>
                <c:pt idx="32">
                  <c:v>418.9</c:v>
                </c:pt>
                <c:pt idx="33">
                  <c:v>401.7</c:v>
                </c:pt>
                <c:pt idx="34">
                  <c:v>394.4</c:v>
                </c:pt>
                <c:pt idx="35">
                  <c:v>374.3</c:v>
                </c:pt>
                <c:pt idx="36">
                  <c:v>353.2</c:v>
                </c:pt>
                <c:pt idx="37">
                  <c:v>343.3</c:v>
                </c:pt>
                <c:pt idx="38">
                  <c:v>334.8</c:v>
                </c:pt>
                <c:pt idx="39">
                  <c:v>319.3</c:v>
                </c:pt>
                <c:pt idx="40">
                  <c:v>306.2</c:v>
                </c:pt>
                <c:pt idx="41">
                  <c:v>299.5</c:v>
                </c:pt>
                <c:pt idx="42">
                  <c:v>285.10000000000002</c:v>
                </c:pt>
                <c:pt idx="43">
                  <c:v>274.3</c:v>
                </c:pt>
                <c:pt idx="44">
                  <c:v>269.7</c:v>
                </c:pt>
                <c:pt idx="45">
                  <c:v>261.5</c:v>
                </c:pt>
                <c:pt idx="46">
                  <c:v>253.9</c:v>
                </c:pt>
                <c:pt idx="47">
                  <c:v>249.5</c:v>
                </c:pt>
                <c:pt idx="48">
                  <c:v>240.5</c:v>
                </c:pt>
                <c:pt idx="49">
                  <c:v>228.4</c:v>
                </c:pt>
                <c:pt idx="50">
                  <c:v>233.4</c:v>
                </c:pt>
                <c:pt idx="51">
                  <c:v>218.2</c:v>
                </c:pt>
                <c:pt idx="52">
                  <c:v>212.6</c:v>
                </c:pt>
                <c:pt idx="53">
                  <c:v>211.4</c:v>
                </c:pt>
                <c:pt idx="54">
                  <c:v>206.9</c:v>
                </c:pt>
                <c:pt idx="55">
                  <c:v>198.7</c:v>
                </c:pt>
                <c:pt idx="56">
                  <c:v>192.3</c:v>
                </c:pt>
                <c:pt idx="57">
                  <c:v>185.1</c:v>
                </c:pt>
                <c:pt idx="58">
                  <c:v>179.2</c:v>
                </c:pt>
                <c:pt idx="59">
                  <c:v>182</c:v>
                </c:pt>
                <c:pt idx="60">
                  <c:v>176.7</c:v>
                </c:pt>
                <c:pt idx="61">
                  <c:v>174.7</c:v>
                </c:pt>
                <c:pt idx="62">
                  <c:v>172.6</c:v>
                </c:pt>
                <c:pt idx="63">
                  <c:v>165.2</c:v>
                </c:pt>
                <c:pt idx="64">
                  <c:v>158.5</c:v>
                </c:pt>
                <c:pt idx="65">
                  <c:v>155.19999999999999</c:v>
                </c:pt>
                <c:pt idx="66">
                  <c:v>156</c:v>
                </c:pt>
                <c:pt idx="67">
                  <c:v>154.80000000000001</c:v>
                </c:pt>
                <c:pt idx="68">
                  <c:v>146.80000000000001</c:v>
                </c:pt>
                <c:pt idx="69">
                  <c:v>147.19999999999999</c:v>
                </c:pt>
                <c:pt idx="70">
                  <c:v>145.19999999999999</c:v>
                </c:pt>
                <c:pt idx="71">
                  <c:v>138.6</c:v>
                </c:pt>
                <c:pt idx="72">
                  <c:v>136</c:v>
                </c:pt>
                <c:pt idx="73">
                  <c:v>109.5</c:v>
                </c:pt>
                <c:pt idx="74">
                  <c:v>137.9</c:v>
                </c:pt>
                <c:pt idx="75">
                  <c:v>134.1</c:v>
                </c:pt>
                <c:pt idx="76">
                  <c:v>131.69999999999999</c:v>
                </c:pt>
                <c:pt idx="77">
                  <c:v>122.1</c:v>
                </c:pt>
                <c:pt idx="78">
                  <c:v>119.04</c:v>
                </c:pt>
                <c:pt idx="79">
                  <c:v>103.63</c:v>
                </c:pt>
                <c:pt idx="80">
                  <c:v>91.93</c:v>
                </c:pt>
                <c:pt idx="81">
                  <c:v>83.8</c:v>
                </c:pt>
                <c:pt idx="82">
                  <c:v>76.89</c:v>
                </c:pt>
                <c:pt idx="83">
                  <c:v>71.930000000000007</c:v>
                </c:pt>
                <c:pt idx="84">
                  <c:v>66.12</c:v>
                </c:pt>
                <c:pt idx="85">
                  <c:v>62.74</c:v>
                </c:pt>
                <c:pt idx="86">
                  <c:v>59.06</c:v>
                </c:pt>
                <c:pt idx="87">
                  <c:v>55.81</c:v>
                </c:pt>
                <c:pt idx="88">
                  <c:v>53.88</c:v>
                </c:pt>
                <c:pt idx="89">
                  <c:v>52.65</c:v>
                </c:pt>
                <c:pt idx="90">
                  <c:v>48.92</c:v>
                </c:pt>
                <c:pt idx="91">
                  <c:v>49.42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Data2'!$G$174:$CT$174</c:f>
              <c:numCache>
                <c:formatCode>General</c:formatCode>
                <c:ptCount val="92"/>
                <c:pt idx="0">
                  <c:v>572</c:v>
                </c:pt>
                <c:pt idx="1">
                  <c:v>565</c:v>
                </c:pt>
                <c:pt idx="2">
                  <c:v>543</c:v>
                </c:pt>
                <c:pt idx="3">
                  <c:v>548</c:v>
                </c:pt>
                <c:pt idx="4">
                  <c:v>572</c:v>
                </c:pt>
                <c:pt idx="5">
                  <c:v>556</c:v>
                </c:pt>
                <c:pt idx="6">
                  <c:v>584</c:v>
                </c:pt>
                <c:pt idx="7">
                  <c:v>555</c:v>
                </c:pt>
                <c:pt idx="8">
                  <c:v>531</c:v>
                </c:pt>
                <c:pt idx="9">
                  <c:v>575</c:v>
                </c:pt>
                <c:pt idx="10">
                  <c:v>529</c:v>
                </c:pt>
                <c:pt idx="11">
                  <c:v>548</c:v>
                </c:pt>
                <c:pt idx="12">
                  <c:v>521</c:v>
                </c:pt>
                <c:pt idx="13">
                  <c:v>524</c:v>
                </c:pt>
                <c:pt idx="14">
                  <c:v>547</c:v>
                </c:pt>
                <c:pt idx="15">
                  <c:v>521</c:v>
                </c:pt>
                <c:pt idx="16">
                  <c:v>522</c:v>
                </c:pt>
                <c:pt idx="17">
                  <c:v>498</c:v>
                </c:pt>
                <c:pt idx="18">
                  <c:v>527</c:v>
                </c:pt>
                <c:pt idx="19">
                  <c:v>531</c:v>
                </c:pt>
                <c:pt idx="20">
                  <c:v>513.1</c:v>
                </c:pt>
                <c:pt idx="21">
                  <c:v>482.3</c:v>
                </c:pt>
                <c:pt idx="22">
                  <c:v>454.8</c:v>
                </c:pt>
                <c:pt idx="23">
                  <c:v>436.2</c:v>
                </c:pt>
                <c:pt idx="24">
                  <c:v>413.8</c:v>
                </c:pt>
                <c:pt idx="25">
                  <c:v>398.5</c:v>
                </c:pt>
                <c:pt idx="26">
                  <c:v>369.8</c:v>
                </c:pt>
                <c:pt idx="27">
                  <c:v>357.2</c:v>
                </c:pt>
                <c:pt idx="28">
                  <c:v>341.5</c:v>
                </c:pt>
                <c:pt idx="29">
                  <c:v>323.39999999999998</c:v>
                </c:pt>
                <c:pt idx="30">
                  <c:v>315.3</c:v>
                </c:pt>
                <c:pt idx="31">
                  <c:v>306.5</c:v>
                </c:pt>
                <c:pt idx="32">
                  <c:v>285</c:v>
                </c:pt>
                <c:pt idx="33">
                  <c:v>278.7</c:v>
                </c:pt>
                <c:pt idx="34">
                  <c:v>267.39999999999998</c:v>
                </c:pt>
                <c:pt idx="35">
                  <c:v>250.1</c:v>
                </c:pt>
                <c:pt idx="36">
                  <c:v>248.8</c:v>
                </c:pt>
                <c:pt idx="37">
                  <c:v>235.6</c:v>
                </c:pt>
                <c:pt idx="38">
                  <c:v>226.9</c:v>
                </c:pt>
                <c:pt idx="39">
                  <c:v>217.5</c:v>
                </c:pt>
                <c:pt idx="40">
                  <c:v>205.4</c:v>
                </c:pt>
                <c:pt idx="41">
                  <c:v>203.1</c:v>
                </c:pt>
                <c:pt idx="42">
                  <c:v>197</c:v>
                </c:pt>
                <c:pt idx="43">
                  <c:v>195.2</c:v>
                </c:pt>
                <c:pt idx="44">
                  <c:v>189.6</c:v>
                </c:pt>
                <c:pt idx="45">
                  <c:v>174.7</c:v>
                </c:pt>
                <c:pt idx="46">
                  <c:v>173</c:v>
                </c:pt>
                <c:pt idx="47">
                  <c:v>172.4</c:v>
                </c:pt>
                <c:pt idx="48">
                  <c:v>158.1</c:v>
                </c:pt>
                <c:pt idx="49">
                  <c:v>156</c:v>
                </c:pt>
                <c:pt idx="50">
                  <c:v>154.9</c:v>
                </c:pt>
                <c:pt idx="51">
                  <c:v>151</c:v>
                </c:pt>
                <c:pt idx="52">
                  <c:v>149.1</c:v>
                </c:pt>
                <c:pt idx="53">
                  <c:v>143.19999999999999</c:v>
                </c:pt>
                <c:pt idx="54">
                  <c:v>139.5</c:v>
                </c:pt>
                <c:pt idx="55">
                  <c:v>134.19999999999999</c:v>
                </c:pt>
                <c:pt idx="56">
                  <c:v>134.5</c:v>
                </c:pt>
                <c:pt idx="57">
                  <c:v>129.5</c:v>
                </c:pt>
                <c:pt idx="58">
                  <c:v>123.3</c:v>
                </c:pt>
                <c:pt idx="59">
                  <c:v>121.9</c:v>
                </c:pt>
                <c:pt idx="60">
                  <c:v>121.5</c:v>
                </c:pt>
                <c:pt idx="61">
                  <c:v>117.1</c:v>
                </c:pt>
                <c:pt idx="62">
                  <c:v>118.9</c:v>
                </c:pt>
                <c:pt idx="63">
                  <c:v>109.2</c:v>
                </c:pt>
                <c:pt idx="64">
                  <c:v>108</c:v>
                </c:pt>
                <c:pt idx="65">
                  <c:v>101.2</c:v>
                </c:pt>
                <c:pt idx="66">
                  <c:v>108.8</c:v>
                </c:pt>
                <c:pt idx="67">
                  <c:v>104.5</c:v>
                </c:pt>
                <c:pt idx="68">
                  <c:v>100.6</c:v>
                </c:pt>
                <c:pt idx="69">
                  <c:v>95.9</c:v>
                </c:pt>
                <c:pt idx="70">
                  <c:v>95.8</c:v>
                </c:pt>
                <c:pt idx="71">
                  <c:v>100.6</c:v>
                </c:pt>
                <c:pt idx="72">
                  <c:v>94</c:v>
                </c:pt>
                <c:pt idx="73">
                  <c:v>89</c:v>
                </c:pt>
                <c:pt idx="74">
                  <c:v>93.5</c:v>
                </c:pt>
                <c:pt idx="75">
                  <c:v>87.7</c:v>
                </c:pt>
                <c:pt idx="76">
                  <c:v>87.4</c:v>
                </c:pt>
                <c:pt idx="77">
                  <c:v>85.8</c:v>
                </c:pt>
                <c:pt idx="78">
                  <c:v>79.11</c:v>
                </c:pt>
                <c:pt idx="79">
                  <c:v>68.92</c:v>
                </c:pt>
                <c:pt idx="80">
                  <c:v>61.02</c:v>
                </c:pt>
                <c:pt idx="81">
                  <c:v>55.88</c:v>
                </c:pt>
                <c:pt idx="82">
                  <c:v>51.69</c:v>
                </c:pt>
                <c:pt idx="83">
                  <c:v>47.6</c:v>
                </c:pt>
                <c:pt idx="84">
                  <c:v>44.4</c:v>
                </c:pt>
                <c:pt idx="85">
                  <c:v>41.11</c:v>
                </c:pt>
                <c:pt idx="86">
                  <c:v>39.450000000000003</c:v>
                </c:pt>
                <c:pt idx="87">
                  <c:v>37.630000000000003</c:v>
                </c:pt>
                <c:pt idx="88">
                  <c:v>36.18</c:v>
                </c:pt>
                <c:pt idx="89">
                  <c:v>34.69</c:v>
                </c:pt>
                <c:pt idx="90">
                  <c:v>33.11</c:v>
                </c:pt>
                <c:pt idx="91">
                  <c:v>32.28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Data2'!$G$175:$CT$175</c:f>
              <c:numCache>
                <c:formatCode>General</c:formatCode>
                <c:ptCount val="92"/>
                <c:pt idx="0">
                  <c:v>925</c:v>
                </c:pt>
                <c:pt idx="1">
                  <c:v>913</c:v>
                </c:pt>
                <c:pt idx="2">
                  <c:v>886</c:v>
                </c:pt>
                <c:pt idx="3">
                  <c:v>923</c:v>
                </c:pt>
                <c:pt idx="4">
                  <c:v>918</c:v>
                </c:pt>
                <c:pt idx="5">
                  <c:v>894</c:v>
                </c:pt>
                <c:pt idx="6">
                  <c:v>914</c:v>
                </c:pt>
                <c:pt idx="7">
                  <c:v>860</c:v>
                </c:pt>
                <c:pt idx="8">
                  <c:v>905</c:v>
                </c:pt>
                <c:pt idx="9">
                  <c:v>864</c:v>
                </c:pt>
                <c:pt idx="10">
                  <c:v>928</c:v>
                </c:pt>
                <c:pt idx="11">
                  <c:v>888</c:v>
                </c:pt>
                <c:pt idx="12">
                  <c:v>871</c:v>
                </c:pt>
                <c:pt idx="13">
                  <c:v>858</c:v>
                </c:pt>
                <c:pt idx="14">
                  <c:v>872</c:v>
                </c:pt>
                <c:pt idx="15">
                  <c:v>878</c:v>
                </c:pt>
                <c:pt idx="16">
                  <c:v>826</c:v>
                </c:pt>
                <c:pt idx="17">
                  <c:v>893</c:v>
                </c:pt>
                <c:pt idx="18">
                  <c:v>864</c:v>
                </c:pt>
                <c:pt idx="19">
                  <c:v>866</c:v>
                </c:pt>
                <c:pt idx="20">
                  <c:v>834.4</c:v>
                </c:pt>
                <c:pt idx="21">
                  <c:v>779.1</c:v>
                </c:pt>
                <c:pt idx="22">
                  <c:v>752.6</c:v>
                </c:pt>
                <c:pt idx="23">
                  <c:v>705.1</c:v>
                </c:pt>
                <c:pt idx="24">
                  <c:v>683.2</c:v>
                </c:pt>
                <c:pt idx="25">
                  <c:v>651.4</c:v>
                </c:pt>
                <c:pt idx="26">
                  <c:v>615.79999999999995</c:v>
                </c:pt>
                <c:pt idx="27">
                  <c:v>591.70000000000005</c:v>
                </c:pt>
                <c:pt idx="28">
                  <c:v>559.79999999999995</c:v>
                </c:pt>
                <c:pt idx="29">
                  <c:v>538</c:v>
                </c:pt>
                <c:pt idx="30">
                  <c:v>509.5</c:v>
                </c:pt>
                <c:pt idx="31">
                  <c:v>502.1</c:v>
                </c:pt>
                <c:pt idx="32">
                  <c:v>459</c:v>
                </c:pt>
                <c:pt idx="33">
                  <c:v>450.2</c:v>
                </c:pt>
                <c:pt idx="34">
                  <c:v>427.9</c:v>
                </c:pt>
                <c:pt idx="35">
                  <c:v>418.6</c:v>
                </c:pt>
                <c:pt idx="36">
                  <c:v>401.7</c:v>
                </c:pt>
                <c:pt idx="37">
                  <c:v>380.8</c:v>
                </c:pt>
                <c:pt idx="38">
                  <c:v>374.1</c:v>
                </c:pt>
                <c:pt idx="39">
                  <c:v>363.5</c:v>
                </c:pt>
                <c:pt idx="40">
                  <c:v>348.1</c:v>
                </c:pt>
                <c:pt idx="41">
                  <c:v>339.2</c:v>
                </c:pt>
                <c:pt idx="42">
                  <c:v>321.7</c:v>
                </c:pt>
                <c:pt idx="43">
                  <c:v>314.5</c:v>
                </c:pt>
                <c:pt idx="44">
                  <c:v>304.60000000000002</c:v>
                </c:pt>
                <c:pt idx="45">
                  <c:v>291.3</c:v>
                </c:pt>
                <c:pt idx="46">
                  <c:v>288</c:v>
                </c:pt>
                <c:pt idx="47">
                  <c:v>280.7</c:v>
                </c:pt>
                <c:pt idx="48">
                  <c:v>267.2</c:v>
                </c:pt>
                <c:pt idx="49">
                  <c:v>259.2</c:v>
                </c:pt>
                <c:pt idx="50">
                  <c:v>251.9</c:v>
                </c:pt>
                <c:pt idx="51">
                  <c:v>241.1</c:v>
                </c:pt>
                <c:pt idx="52">
                  <c:v>212.2</c:v>
                </c:pt>
                <c:pt idx="53">
                  <c:v>238.3</c:v>
                </c:pt>
                <c:pt idx="54">
                  <c:v>231.6</c:v>
                </c:pt>
                <c:pt idx="55">
                  <c:v>221.7</c:v>
                </c:pt>
                <c:pt idx="56">
                  <c:v>214.1</c:v>
                </c:pt>
                <c:pt idx="57">
                  <c:v>207.8</c:v>
                </c:pt>
                <c:pt idx="58">
                  <c:v>208.1</c:v>
                </c:pt>
                <c:pt idx="59">
                  <c:v>202.1</c:v>
                </c:pt>
                <c:pt idx="60">
                  <c:v>195.2</c:v>
                </c:pt>
                <c:pt idx="61">
                  <c:v>186.6</c:v>
                </c:pt>
                <c:pt idx="62">
                  <c:v>184</c:v>
                </c:pt>
                <c:pt idx="63">
                  <c:v>185.8</c:v>
                </c:pt>
                <c:pt idx="64">
                  <c:v>182.7</c:v>
                </c:pt>
                <c:pt idx="65">
                  <c:v>178.5</c:v>
                </c:pt>
                <c:pt idx="66">
                  <c:v>176.9</c:v>
                </c:pt>
                <c:pt idx="67">
                  <c:v>172.5</c:v>
                </c:pt>
                <c:pt idx="68">
                  <c:v>165.4</c:v>
                </c:pt>
                <c:pt idx="69">
                  <c:v>163.69999999999999</c:v>
                </c:pt>
                <c:pt idx="70">
                  <c:v>163.5</c:v>
                </c:pt>
                <c:pt idx="71">
                  <c:v>161.5</c:v>
                </c:pt>
                <c:pt idx="72">
                  <c:v>151.69999999999999</c:v>
                </c:pt>
                <c:pt idx="73">
                  <c:v>150.80000000000001</c:v>
                </c:pt>
                <c:pt idx="74">
                  <c:v>148.19999999999999</c:v>
                </c:pt>
                <c:pt idx="75">
                  <c:v>146.19999999999999</c:v>
                </c:pt>
                <c:pt idx="76">
                  <c:v>146.1</c:v>
                </c:pt>
                <c:pt idx="77">
                  <c:v>140.4</c:v>
                </c:pt>
                <c:pt idx="78">
                  <c:v>129.66999999999999</c:v>
                </c:pt>
                <c:pt idx="79">
                  <c:v>111.95</c:v>
                </c:pt>
                <c:pt idx="80">
                  <c:v>100.49</c:v>
                </c:pt>
                <c:pt idx="81">
                  <c:v>90.35</c:v>
                </c:pt>
                <c:pt idx="82">
                  <c:v>82.25</c:v>
                </c:pt>
                <c:pt idx="83">
                  <c:v>75.91</c:v>
                </c:pt>
                <c:pt idx="84">
                  <c:v>71.94</c:v>
                </c:pt>
                <c:pt idx="85">
                  <c:v>66.959999999999994</c:v>
                </c:pt>
                <c:pt idx="86">
                  <c:v>63.45</c:v>
                </c:pt>
                <c:pt idx="87">
                  <c:v>59.55</c:v>
                </c:pt>
                <c:pt idx="88">
                  <c:v>57.41</c:v>
                </c:pt>
                <c:pt idx="89">
                  <c:v>54.41</c:v>
                </c:pt>
                <c:pt idx="90">
                  <c:v>52.73</c:v>
                </c:pt>
                <c:pt idx="91">
                  <c:v>49.7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Data2'!$G$176:$CT$176</c:f>
              <c:numCache>
                <c:formatCode>General</c:formatCode>
                <c:ptCount val="92"/>
                <c:pt idx="0">
                  <c:v>1300</c:v>
                </c:pt>
                <c:pt idx="1">
                  <c:v>1282</c:v>
                </c:pt>
                <c:pt idx="2">
                  <c:v>1289</c:v>
                </c:pt>
                <c:pt idx="3">
                  <c:v>1358</c:v>
                </c:pt>
                <c:pt idx="4">
                  <c:v>1287</c:v>
                </c:pt>
                <c:pt idx="5">
                  <c:v>1278</c:v>
                </c:pt>
                <c:pt idx="6">
                  <c:v>1285</c:v>
                </c:pt>
                <c:pt idx="7">
                  <c:v>1254</c:v>
                </c:pt>
                <c:pt idx="8">
                  <c:v>1273</c:v>
                </c:pt>
                <c:pt idx="9">
                  <c:v>1265</c:v>
                </c:pt>
                <c:pt idx="10">
                  <c:v>1250</c:v>
                </c:pt>
                <c:pt idx="11">
                  <c:v>1244</c:v>
                </c:pt>
                <c:pt idx="12">
                  <c:v>1204</c:v>
                </c:pt>
                <c:pt idx="13">
                  <c:v>1196</c:v>
                </c:pt>
                <c:pt idx="14">
                  <c:v>1237</c:v>
                </c:pt>
                <c:pt idx="15">
                  <c:v>1208</c:v>
                </c:pt>
                <c:pt idx="16">
                  <c:v>1149</c:v>
                </c:pt>
                <c:pt idx="17">
                  <c:v>1188</c:v>
                </c:pt>
                <c:pt idx="18">
                  <c:v>1163</c:v>
                </c:pt>
                <c:pt idx="19">
                  <c:v>1206</c:v>
                </c:pt>
                <c:pt idx="20">
                  <c:v>1160.5999999999999</c:v>
                </c:pt>
                <c:pt idx="21">
                  <c:v>1101.9000000000001</c:v>
                </c:pt>
                <c:pt idx="22">
                  <c:v>1043.8</c:v>
                </c:pt>
                <c:pt idx="23">
                  <c:v>988.1</c:v>
                </c:pt>
                <c:pt idx="24">
                  <c:v>951.8</c:v>
                </c:pt>
                <c:pt idx="25">
                  <c:v>905</c:v>
                </c:pt>
                <c:pt idx="26">
                  <c:v>848.6</c:v>
                </c:pt>
                <c:pt idx="27">
                  <c:v>809.7</c:v>
                </c:pt>
                <c:pt idx="28">
                  <c:v>759.5</c:v>
                </c:pt>
                <c:pt idx="29">
                  <c:v>734.4</c:v>
                </c:pt>
                <c:pt idx="30">
                  <c:v>716.7</c:v>
                </c:pt>
                <c:pt idx="31">
                  <c:v>658.5</c:v>
                </c:pt>
                <c:pt idx="32">
                  <c:v>642.4</c:v>
                </c:pt>
                <c:pt idx="33">
                  <c:v>615.4</c:v>
                </c:pt>
                <c:pt idx="34">
                  <c:v>592.79999999999995</c:v>
                </c:pt>
                <c:pt idx="35">
                  <c:v>571.70000000000005</c:v>
                </c:pt>
                <c:pt idx="36">
                  <c:v>539.1</c:v>
                </c:pt>
                <c:pt idx="37">
                  <c:v>518.5</c:v>
                </c:pt>
                <c:pt idx="38">
                  <c:v>509.1</c:v>
                </c:pt>
                <c:pt idx="39">
                  <c:v>480.8</c:v>
                </c:pt>
                <c:pt idx="40">
                  <c:v>470</c:v>
                </c:pt>
                <c:pt idx="41">
                  <c:v>450</c:v>
                </c:pt>
                <c:pt idx="42">
                  <c:v>445.1</c:v>
                </c:pt>
                <c:pt idx="43">
                  <c:v>416.2</c:v>
                </c:pt>
                <c:pt idx="44">
                  <c:v>408.1</c:v>
                </c:pt>
                <c:pt idx="45">
                  <c:v>389.5</c:v>
                </c:pt>
                <c:pt idx="46">
                  <c:v>388</c:v>
                </c:pt>
                <c:pt idx="47">
                  <c:v>367.9</c:v>
                </c:pt>
                <c:pt idx="48">
                  <c:v>363.4</c:v>
                </c:pt>
                <c:pt idx="49">
                  <c:v>343.1</c:v>
                </c:pt>
                <c:pt idx="50">
                  <c:v>338.1</c:v>
                </c:pt>
                <c:pt idx="51">
                  <c:v>329.7</c:v>
                </c:pt>
                <c:pt idx="52">
                  <c:v>318.8</c:v>
                </c:pt>
                <c:pt idx="53">
                  <c:v>309.5</c:v>
                </c:pt>
                <c:pt idx="54">
                  <c:v>303.5</c:v>
                </c:pt>
                <c:pt idx="55">
                  <c:v>295.39999999999998</c:v>
                </c:pt>
                <c:pt idx="56">
                  <c:v>278.3</c:v>
                </c:pt>
                <c:pt idx="57">
                  <c:v>279.3</c:v>
                </c:pt>
                <c:pt idx="58">
                  <c:v>270.89999999999998</c:v>
                </c:pt>
                <c:pt idx="59">
                  <c:v>268.5</c:v>
                </c:pt>
                <c:pt idx="60">
                  <c:v>260.89999999999998</c:v>
                </c:pt>
                <c:pt idx="61">
                  <c:v>259</c:v>
                </c:pt>
                <c:pt idx="62">
                  <c:v>245.7</c:v>
                </c:pt>
                <c:pt idx="63">
                  <c:v>241.9</c:v>
                </c:pt>
                <c:pt idx="64">
                  <c:v>227.8</c:v>
                </c:pt>
                <c:pt idx="65">
                  <c:v>225</c:v>
                </c:pt>
                <c:pt idx="66">
                  <c:v>226</c:v>
                </c:pt>
                <c:pt idx="67">
                  <c:v>209.7</c:v>
                </c:pt>
                <c:pt idx="68">
                  <c:v>211.6</c:v>
                </c:pt>
                <c:pt idx="69">
                  <c:v>213.3</c:v>
                </c:pt>
                <c:pt idx="70">
                  <c:v>199.9</c:v>
                </c:pt>
                <c:pt idx="71">
                  <c:v>204.9</c:v>
                </c:pt>
                <c:pt idx="72">
                  <c:v>199.3</c:v>
                </c:pt>
                <c:pt idx="73">
                  <c:v>193.5</c:v>
                </c:pt>
                <c:pt idx="74">
                  <c:v>192.4</c:v>
                </c:pt>
                <c:pt idx="75">
                  <c:v>188.2</c:v>
                </c:pt>
                <c:pt idx="76">
                  <c:v>188</c:v>
                </c:pt>
                <c:pt idx="77">
                  <c:v>180.6</c:v>
                </c:pt>
                <c:pt idx="78">
                  <c:v>164.12</c:v>
                </c:pt>
                <c:pt idx="79">
                  <c:v>142.15</c:v>
                </c:pt>
                <c:pt idx="80">
                  <c:v>124.62</c:v>
                </c:pt>
                <c:pt idx="81">
                  <c:v>110.84</c:v>
                </c:pt>
                <c:pt idx="82">
                  <c:v>100.71</c:v>
                </c:pt>
                <c:pt idx="83">
                  <c:v>91.96</c:v>
                </c:pt>
                <c:pt idx="84">
                  <c:v>84.04</c:v>
                </c:pt>
                <c:pt idx="85">
                  <c:v>78.5</c:v>
                </c:pt>
                <c:pt idx="86">
                  <c:v>74.34</c:v>
                </c:pt>
                <c:pt idx="87">
                  <c:v>69.680000000000007</c:v>
                </c:pt>
                <c:pt idx="88">
                  <c:v>66.239999999999995</c:v>
                </c:pt>
                <c:pt idx="89">
                  <c:v>62.45</c:v>
                </c:pt>
                <c:pt idx="90">
                  <c:v>59.63</c:v>
                </c:pt>
                <c:pt idx="91">
                  <c:v>56.71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Data2'!$G$177:$CT$177</c:f>
              <c:numCache>
                <c:formatCode>General</c:formatCode>
                <c:ptCount val="92"/>
                <c:pt idx="0">
                  <c:v>1080</c:v>
                </c:pt>
                <c:pt idx="1">
                  <c:v>1143</c:v>
                </c:pt>
                <c:pt idx="2">
                  <c:v>1076</c:v>
                </c:pt>
                <c:pt idx="3">
                  <c:v>1043</c:v>
                </c:pt>
                <c:pt idx="4">
                  <c:v>1072</c:v>
                </c:pt>
                <c:pt idx="5">
                  <c:v>1055</c:v>
                </c:pt>
                <c:pt idx="6">
                  <c:v>1072</c:v>
                </c:pt>
                <c:pt idx="7">
                  <c:v>1073</c:v>
                </c:pt>
                <c:pt idx="8">
                  <c:v>1033</c:v>
                </c:pt>
                <c:pt idx="9">
                  <c:v>1038</c:v>
                </c:pt>
                <c:pt idx="10">
                  <c:v>1052</c:v>
                </c:pt>
                <c:pt idx="11">
                  <c:v>1099</c:v>
                </c:pt>
                <c:pt idx="12">
                  <c:v>1049</c:v>
                </c:pt>
                <c:pt idx="13">
                  <c:v>1043</c:v>
                </c:pt>
                <c:pt idx="14">
                  <c:v>1016</c:v>
                </c:pt>
                <c:pt idx="15">
                  <c:v>1004</c:v>
                </c:pt>
                <c:pt idx="16">
                  <c:v>1008</c:v>
                </c:pt>
                <c:pt idx="17">
                  <c:v>1008</c:v>
                </c:pt>
                <c:pt idx="18">
                  <c:v>1016</c:v>
                </c:pt>
                <c:pt idx="19">
                  <c:v>998</c:v>
                </c:pt>
                <c:pt idx="20">
                  <c:v>996</c:v>
                </c:pt>
                <c:pt idx="21">
                  <c:v>954.2</c:v>
                </c:pt>
                <c:pt idx="22">
                  <c:v>894.6</c:v>
                </c:pt>
                <c:pt idx="23">
                  <c:v>874.6</c:v>
                </c:pt>
                <c:pt idx="24">
                  <c:v>828.2</c:v>
                </c:pt>
                <c:pt idx="25">
                  <c:v>780</c:v>
                </c:pt>
                <c:pt idx="26">
                  <c:v>735.5</c:v>
                </c:pt>
                <c:pt idx="27">
                  <c:v>710.9</c:v>
                </c:pt>
                <c:pt idx="28">
                  <c:v>691.4</c:v>
                </c:pt>
                <c:pt idx="29">
                  <c:v>648.29999999999995</c:v>
                </c:pt>
                <c:pt idx="30">
                  <c:v>618.70000000000005</c:v>
                </c:pt>
                <c:pt idx="31">
                  <c:v>599.70000000000005</c:v>
                </c:pt>
                <c:pt idx="32">
                  <c:v>568.5</c:v>
                </c:pt>
                <c:pt idx="33">
                  <c:v>557.5</c:v>
                </c:pt>
                <c:pt idx="34">
                  <c:v>534</c:v>
                </c:pt>
                <c:pt idx="35">
                  <c:v>503.3</c:v>
                </c:pt>
                <c:pt idx="36">
                  <c:v>488</c:v>
                </c:pt>
                <c:pt idx="37">
                  <c:v>477.2</c:v>
                </c:pt>
                <c:pt idx="38">
                  <c:v>446.6</c:v>
                </c:pt>
                <c:pt idx="39">
                  <c:v>438</c:v>
                </c:pt>
                <c:pt idx="40">
                  <c:v>424.7</c:v>
                </c:pt>
                <c:pt idx="41">
                  <c:v>410.7</c:v>
                </c:pt>
                <c:pt idx="42">
                  <c:v>388.8</c:v>
                </c:pt>
                <c:pt idx="43">
                  <c:v>389.5</c:v>
                </c:pt>
                <c:pt idx="44">
                  <c:v>368.2</c:v>
                </c:pt>
                <c:pt idx="45">
                  <c:v>356.9</c:v>
                </c:pt>
                <c:pt idx="46">
                  <c:v>347.7</c:v>
                </c:pt>
                <c:pt idx="47">
                  <c:v>345.8</c:v>
                </c:pt>
                <c:pt idx="48">
                  <c:v>338.6</c:v>
                </c:pt>
                <c:pt idx="49">
                  <c:v>321.39999999999998</c:v>
                </c:pt>
                <c:pt idx="50">
                  <c:v>308.3</c:v>
                </c:pt>
                <c:pt idx="51">
                  <c:v>306.89999999999998</c:v>
                </c:pt>
                <c:pt idx="52">
                  <c:v>295.60000000000002</c:v>
                </c:pt>
                <c:pt idx="53">
                  <c:v>294.3</c:v>
                </c:pt>
                <c:pt idx="54">
                  <c:v>276.2</c:v>
                </c:pt>
                <c:pt idx="55">
                  <c:v>273.10000000000002</c:v>
                </c:pt>
                <c:pt idx="56">
                  <c:v>270</c:v>
                </c:pt>
                <c:pt idx="57">
                  <c:v>258.60000000000002</c:v>
                </c:pt>
                <c:pt idx="58">
                  <c:v>253</c:v>
                </c:pt>
                <c:pt idx="59">
                  <c:v>249.7</c:v>
                </c:pt>
                <c:pt idx="60">
                  <c:v>249.4</c:v>
                </c:pt>
                <c:pt idx="61">
                  <c:v>238.5</c:v>
                </c:pt>
                <c:pt idx="62">
                  <c:v>235.6</c:v>
                </c:pt>
                <c:pt idx="63">
                  <c:v>231.3</c:v>
                </c:pt>
                <c:pt idx="64">
                  <c:v>224</c:v>
                </c:pt>
                <c:pt idx="65">
                  <c:v>214.8</c:v>
                </c:pt>
                <c:pt idx="66">
                  <c:v>214</c:v>
                </c:pt>
                <c:pt idx="67">
                  <c:v>215.8</c:v>
                </c:pt>
                <c:pt idx="68">
                  <c:v>212</c:v>
                </c:pt>
                <c:pt idx="69">
                  <c:v>213</c:v>
                </c:pt>
                <c:pt idx="70">
                  <c:v>206.7</c:v>
                </c:pt>
                <c:pt idx="71">
                  <c:v>200</c:v>
                </c:pt>
                <c:pt idx="72">
                  <c:v>195.8</c:v>
                </c:pt>
                <c:pt idx="73">
                  <c:v>193.3</c:v>
                </c:pt>
                <c:pt idx="74">
                  <c:v>192.8</c:v>
                </c:pt>
                <c:pt idx="75">
                  <c:v>183.2</c:v>
                </c:pt>
                <c:pt idx="76">
                  <c:v>179.2</c:v>
                </c:pt>
                <c:pt idx="77">
                  <c:v>185.2</c:v>
                </c:pt>
                <c:pt idx="78">
                  <c:v>165.84</c:v>
                </c:pt>
                <c:pt idx="79">
                  <c:v>146.04</c:v>
                </c:pt>
                <c:pt idx="80">
                  <c:v>130.13</c:v>
                </c:pt>
                <c:pt idx="81">
                  <c:v>116.21</c:v>
                </c:pt>
                <c:pt idx="82">
                  <c:v>106.16</c:v>
                </c:pt>
                <c:pt idx="83">
                  <c:v>99.21</c:v>
                </c:pt>
                <c:pt idx="84">
                  <c:v>93.42</c:v>
                </c:pt>
                <c:pt idx="85">
                  <c:v>88.03</c:v>
                </c:pt>
                <c:pt idx="86">
                  <c:v>82.11</c:v>
                </c:pt>
                <c:pt idx="87">
                  <c:v>79.23</c:v>
                </c:pt>
                <c:pt idx="88">
                  <c:v>76.260000000000005</c:v>
                </c:pt>
                <c:pt idx="89">
                  <c:v>71.459999999999994</c:v>
                </c:pt>
                <c:pt idx="90">
                  <c:v>68.78</c:v>
                </c:pt>
                <c:pt idx="91">
                  <c:v>66.86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Data2'!$G$178:$CT$178</c:f>
              <c:numCache>
                <c:formatCode>General</c:formatCode>
                <c:ptCount val="92"/>
                <c:pt idx="0">
                  <c:v>2858</c:v>
                </c:pt>
                <c:pt idx="1">
                  <c:v>2696</c:v>
                </c:pt>
                <c:pt idx="2">
                  <c:v>2736</c:v>
                </c:pt>
                <c:pt idx="3">
                  <c:v>2734</c:v>
                </c:pt>
                <c:pt idx="4">
                  <c:v>2664</c:v>
                </c:pt>
                <c:pt idx="5">
                  <c:v>2790</c:v>
                </c:pt>
                <c:pt idx="6">
                  <c:v>2755</c:v>
                </c:pt>
                <c:pt idx="7">
                  <c:v>2701</c:v>
                </c:pt>
                <c:pt idx="8">
                  <c:v>2668</c:v>
                </c:pt>
                <c:pt idx="9">
                  <c:v>2737</c:v>
                </c:pt>
                <c:pt idx="10">
                  <c:v>2766</c:v>
                </c:pt>
                <c:pt idx="11">
                  <c:v>2682</c:v>
                </c:pt>
                <c:pt idx="12">
                  <c:v>2613</c:v>
                </c:pt>
                <c:pt idx="13">
                  <c:v>2707</c:v>
                </c:pt>
                <c:pt idx="14">
                  <c:v>2660</c:v>
                </c:pt>
                <c:pt idx="15">
                  <c:v>2606</c:v>
                </c:pt>
                <c:pt idx="16">
                  <c:v>2621</c:v>
                </c:pt>
                <c:pt idx="17">
                  <c:v>2545</c:v>
                </c:pt>
                <c:pt idx="18">
                  <c:v>2629</c:v>
                </c:pt>
                <c:pt idx="19">
                  <c:v>2601</c:v>
                </c:pt>
                <c:pt idx="20">
                  <c:v>2543.5</c:v>
                </c:pt>
                <c:pt idx="21">
                  <c:v>2422.1</c:v>
                </c:pt>
                <c:pt idx="22">
                  <c:v>2316.1</c:v>
                </c:pt>
                <c:pt idx="23">
                  <c:v>2226.6</c:v>
                </c:pt>
                <c:pt idx="24">
                  <c:v>2098.1</c:v>
                </c:pt>
                <c:pt idx="25">
                  <c:v>2001.4</c:v>
                </c:pt>
                <c:pt idx="26">
                  <c:v>1934.4</c:v>
                </c:pt>
                <c:pt idx="27">
                  <c:v>1831.6</c:v>
                </c:pt>
                <c:pt idx="28">
                  <c:v>1730.8</c:v>
                </c:pt>
                <c:pt idx="29">
                  <c:v>1667</c:v>
                </c:pt>
                <c:pt idx="30">
                  <c:v>1592.2</c:v>
                </c:pt>
                <c:pt idx="31">
                  <c:v>1523.8</c:v>
                </c:pt>
                <c:pt idx="32">
                  <c:v>1460.3</c:v>
                </c:pt>
                <c:pt idx="33">
                  <c:v>1388.9</c:v>
                </c:pt>
                <c:pt idx="34">
                  <c:v>1333.1</c:v>
                </c:pt>
                <c:pt idx="35">
                  <c:v>1287.0999999999999</c:v>
                </c:pt>
                <c:pt idx="36">
                  <c:v>1237.2</c:v>
                </c:pt>
                <c:pt idx="37">
                  <c:v>1190.7</c:v>
                </c:pt>
                <c:pt idx="38">
                  <c:v>1160.5999999999999</c:v>
                </c:pt>
                <c:pt idx="39">
                  <c:v>1117.0999999999999</c:v>
                </c:pt>
                <c:pt idx="40">
                  <c:v>1064.4000000000001</c:v>
                </c:pt>
                <c:pt idx="41">
                  <c:v>1036.2</c:v>
                </c:pt>
                <c:pt idx="42">
                  <c:v>1023.9</c:v>
                </c:pt>
                <c:pt idx="43">
                  <c:v>968.9</c:v>
                </c:pt>
                <c:pt idx="44">
                  <c:v>935.6</c:v>
                </c:pt>
                <c:pt idx="45">
                  <c:v>888.8</c:v>
                </c:pt>
                <c:pt idx="46">
                  <c:v>872.1</c:v>
                </c:pt>
                <c:pt idx="47">
                  <c:v>851.4</c:v>
                </c:pt>
                <c:pt idx="48">
                  <c:v>823.9</c:v>
                </c:pt>
                <c:pt idx="49">
                  <c:v>786.8</c:v>
                </c:pt>
                <c:pt idx="50">
                  <c:v>776.8</c:v>
                </c:pt>
                <c:pt idx="51">
                  <c:v>741.4</c:v>
                </c:pt>
                <c:pt idx="52">
                  <c:v>728.7</c:v>
                </c:pt>
                <c:pt idx="53">
                  <c:v>700.5</c:v>
                </c:pt>
                <c:pt idx="54">
                  <c:v>669.8</c:v>
                </c:pt>
                <c:pt idx="55">
                  <c:v>672.1</c:v>
                </c:pt>
                <c:pt idx="56">
                  <c:v>652.20000000000005</c:v>
                </c:pt>
                <c:pt idx="57">
                  <c:v>624.79999999999995</c:v>
                </c:pt>
                <c:pt idx="58">
                  <c:v>615.1</c:v>
                </c:pt>
                <c:pt idx="59">
                  <c:v>602.70000000000005</c:v>
                </c:pt>
                <c:pt idx="60">
                  <c:v>598.70000000000005</c:v>
                </c:pt>
                <c:pt idx="61">
                  <c:v>571</c:v>
                </c:pt>
                <c:pt idx="62">
                  <c:v>567.4</c:v>
                </c:pt>
                <c:pt idx="63">
                  <c:v>550.29999999999995</c:v>
                </c:pt>
                <c:pt idx="64">
                  <c:v>536.9</c:v>
                </c:pt>
                <c:pt idx="65">
                  <c:v>526.4</c:v>
                </c:pt>
                <c:pt idx="66">
                  <c:v>518.29999999999995</c:v>
                </c:pt>
                <c:pt idx="67">
                  <c:v>491.8</c:v>
                </c:pt>
                <c:pt idx="68">
                  <c:v>485.9</c:v>
                </c:pt>
                <c:pt idx="69">
                  <c:v>472.7</c:v>
                </c:pt>
                <c:pt idx="70">
                  <c:v>475.3</c:v>
                </c:pt>
                <c:pt idx="71">
                  <c:v>467.9</c:v>
                </c:pt>
                <c:pt idx="72">
                  <c:v>452.4</c:v>
                </c:pt>
                <c:pt idx="73">
                  <c:v>445.1</c:v>
                </c:pt>
                <c:pt idx="74">
                  <c:v>434.1</c:v>
                </c:pt>
                <c:pt idx="75">
                  <c:v>431.2</c:v>
                </c:pt>
                <c:pt idx="76">
                  <c:v>423</c:v>
                </c:pt>
                <c:pt idx="77">
                  <c:v>407.3</c:v>
                </c:pt>
                <c:pt idx="78">
                  <c:v>368.19</c:v>
                </c:pt>
                <c:pt idx="79">
                  <c:v>314.02</c:v>
                </c:pt>
                <c:pt idx="80">
                  <c:v>273.45999999999998</c:v>
                </c:pt>
                <c:pt idx="81">
                  <c:v>241.96</c:v>
                </c:pt>
                <c:pt idx="82">
                  <c:v>218.87</c:v>
                </c:pt>
                <c:pt idx="83">
                  <c:v>197.18</c:v>
                </c:pt>
                <c:pt idx="84">
                  <c:v>181.92</c:v>
                </c:pt>
                <c:pt idx="85">
                  <c:v>166.48</c:v>
                </c:pt>
                <c:pt idx="86">
                  <c:v>155.35</c:v>
                </c:pt>
                <c:pt idx="87">
                  <c:v>146.53</c:v>
                </c:pt>
                <c:pt idx="88">
                  <c:v>135.97</c:v>
                </c:pt>
                <c:pt idx="89">
                  <c:v>129.02000000000001</c:v>
                </c:pt>
                <c:pt idx="90">
                  <c:v>122.6</c:v>
                </c:pt>
                <c:pt idx="91">
                  <c:v>117.41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Data2'!$G$179:$CT$179</c:f>
              <c:numCache>
                <c:formatCode>General</c:formatCode>
                <c:ptCount val="92"/>
                <c:pt idx="0">
                  <c:v>1277</c:v>
                </c:pt>
                <c:pt idx="1">
                  <c:v>1254</c:v>
                </c:pt>
                <c:pt idx="2">
                  <c:v>1237</c:v>
                </c:pt>
                <c:pt idx="3">
                  <c:v>1268</c:v>
                </c:pt>
                <c:pt idx="4">
                  <c:v>1250</c:v>
                </c:pt>
                <c:pt idx="5">
                  <c:v>1232</c:v>
                </c:pt>
                <c:pt idx="6">
                  <c:v>1283</c:v>
                </c:pt>
                <c:pt idx="7">
                  <c:v>1240</c:v>
                </c:pt>
                <c:pt idx="8">
                  <c:v>1243</c:v>
                </c:pt>
                <c:pt idx="9">
                  <c:v>1200</c:v>
                </c:pt>
                <c:pt idx="10">
                  <c:v>1207</c:v>
                </c:pt>
                <c:pt idx="11">
                  <c:v>1193</c:v>
                </c:pt>
                <c:pt idx="12">
                  <c:v>1210</c:v>
                </c:pt>
                <c:pt idx="13">
                  <c:v>1221</c:v>
                </c:pt>
                <c:pt idx="14">
                  <c:v>1184</c:v>
                </c:pt>
                <c:pt idx="15">
                  <c:v>1174</c:v>
                </c:pt>
                <c:pt idx="16">
                  <c:v>1180</c:v>
                </c:pt>
                <c:pt idx="17">
                  <c:v>1220</c:v>
                </c:pt>
                <c:pt idx="18">
                  <c:v>1202</c:v>
                </c:pt>
                <c:pt idx="19">
                  <c:v>1197</c:v>
                </c:pt>
                <c:pt idx="20">
                  <c:v>1162.0999999999999</c:v>
                </c:pt>
                <c:pt idx="21">
                  <c:v>1110.0999999999999</c:v>
                </c:pt>
                <c:pt idx="22">
                  <c:v>1070.5999999999999</c:v>
                </c:pt>
                <c:pt idx="23">
                  <c:v>1029.2</c:v>
                </c:pt>
                <c:pt idx="24">
                  <c:v>990.3</c:v>
                </c:pt>
                <c:pt idx="25">
                  <c:v>954.5</c:v>
                </c:pt>
                <c:pt idx="26">
                  <c:v>887.1</c:v>
                </c:pt>
                <c:pt idx="27">
                  <c:v>864.5</c:v>
                </c:pt>
                <c:pt idx="28">
                  <c:v>833.5</c:v>
                </c:pt>
                <c:pt idx="29">
                  <c:v>806.1</c:v>
                </c:pt>
                <c:pt idx="30">
                  <c:v>761.2</c:v>
                </c:pt>
                <c:pt idx="31">
                  <c:v>734.8</c:v>
                </c:pt>
                <c:pt idx="32">
                  <c:v>712</c:v>
                </c:pt>
                <c:pt idx="33">
                  <c:v>687</c:v>
                </c:pt>
                <c:pt idx="34">
                  <c:v>660.2</c:v>
                </c:pt>
                <c:pt idx="35">
                  <c:v>632.20000000000005</c:v>
                </c:pt>
                <c:pt idx="36">
                  <c:v>609.70000000000005</c:v>
                </c:pt>
                <c:pt idx="37">
                  <c:v>592.79999999999995</c:v>
                </c:pt>
                <c:pt idx="38">
                  <c:v>582.29999999999995</c:v>
                </c:pt>
                <c:pt idx="39">
                  <c:v>566.1</c:v>
                </c:pt>
                <c:pt idx="40">
                  <c:v>538.79999999999995</c:v>
                </c:pt>
                <c:pt idx="41">
                  <c:v>513.29999999999995</c:v>
                </c:pt>
                <c:pt idx="42">
                  <c:v>500.1</c:v>
                </c:pt>
                <c:pt idx="43">
                  <c:v>489.7</c:v>
                </c:pt>
                <c:pt idx="44">
                  <c:v>486.1</c:v>
                </c:pt>
                <c:pt idx="45">
                  <c:v>467.5</c:v>
                </c:pt>
                <c:pt idx="46">
                  <c:v>446.3</c:v>
                </c:pt>
                <c:pt idx="47">
                  <c:v>450.7</c:v>
                </c:pt>
                <c:pt idx="48">
                  <c:v>427.6</c:v>
                </c:pt>
                <c:pt idx="49">
                  <c:v>418</c:v>
                </c:pt>
                <c:pt idx="50">
                  <c:v>416.9</c:v>
                </c:pt>
                <c:pt idx="51">
                  <c:v>392.2</c:v>
                </c:pt>
                <c:pt idx="52">
                  <c:v>391.2</c:v>
                </c:pt>
                <c:pt idx="53">
                  <c:v>379.4</c:v>
                </c:pt>
                <c:pt idx="54">
                  <c:v>379.4</c:v>
                </c:pt>
                <c:pt idx="55">
                  <c:v>357</c:v>
                </c:pt>
                <c:pt idx="56">
                  <c:v>352.7</c:v>
                </c:pt>
                <c:pt idx="57">
                  <c:v>349.9</c:v>
                </c:pt>
                <c:pt idx="58">
                  <c:v>342.4</c:v>
                </c:pt>
                <c:pt idx="59">
                  <c:v>331.8</c:v>
                </c:pt>
                <c:pt idx="60">
                  <c:v>327.7</c:v>
                </c:pt>
                <c:pt idx="61">
                  <c:v>317.89999999999998</c:v>
                </c:pt>
                <c:pt idx="62">
                  <c:v>325.10000000000002</c:v>
                </c:pt>
                <c:pt idx="63">
                  <c:v>303.7</c:v>
                </c:pt>
                <c:pt idx="64">
                  <c:v>307.5</c:v>
                </c:pt>
                <c:pt idx="65">
                  <c:v>293.10000000000002</c:v>
                </c:pt>
                <c:pt idx="66">
                  <c:v>293.60000000000002</c:v>
                </c:pt>
                <c:pt idx="67">
                  <c:v>287.3</c:v>
                </c:pt>
                <c:pt idx="68">
                  <c:v>281.89999999999998</c:v>
                </c:pt>
                <c:pt idx="69">
                  <c:v>263.5</c:v>
                </c:pt>
                <c:pt idx="70">
                  <c:v>272.8</c:v>
                </c:pt>
                <c:pt idx="71">
                  <c:v>276.10000000000002</c:v>
                </c:pt>
                <c:pt idx="72">
                  <c:v>262.7</c:v>
                </c:pt>
                <c:pt idx="73">
                  <c:v>261.89999999999998</c:v>
                </c:pt>
                <c:pt idx="74">
                  <c:v>261.39999999999998</c:v>
                </c:pt>
                <c:pt idx="75">
                  <c:v>256</c:v>
                </c:pt>
                <c:pt idx="76">
                  <c:v>251.3</c:v>
                </c:pt>
                <c:pt idx="77">
                  <c:v>251.2</c:v>
                </c:pt>
                <c:pt idx="78">
                  <c:v>225.58</c:v>
                </c:pt>
                <c:pt idx="79">
                  <c:v>200.37</c:v>
                </c:pt>
                <c:pt idx="80">
                  <c:v>181.29</c:v>
                </c:pt>
                <c:pt idx="81">
                  <c:v>165.47</c:v>
                </c:pt>
                <c:pt idx="82">
                  <c:v>150.97999999999999</c:v>
                </c:pt>
                <c:pt idx="83">
                  <c:v>140.57</c:v>
                </c:pt>
                <c:pt idx="84">
                  <c:v>133.07</c:v>
                </c:pt>
                <c:pt idx="85">
                  <c:v>125.14</c:v>
                </c:pt>
                <c:pt idx="86">
                  <c:v>118.91</c:v>
                </c:pt>
                <c:pt idx="87">
                  <c:v>113.52</c:v>
                </c:pt>
                <c:pt idx="88">
                  <c:v>108</c:v>
                </c:pt>
                <c:pt idx="89">
                  <c:v>104.44</c:v>
                </c:pt>
                <c:pt idx="90">
                  <c:v>99.16</c:v>
                </c:pt>
                <c:pt idx="91">
                  <c:v>95.09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Data2'!$G$180:$CT$180</c:f>
              <c:numCache>
                <c:formatCode>General</c:formatCode>
                <c:ptCount val="92"/>
                <c:pt idx="0">
                  <c:v>32</c:v>
                </c:pt>
                <c:pt idx="1">
                  <c:v>25</c:v>
                </c:pt>
                <c:pt idx="2">
                  <c:v>30</c:v>
                </c:pt>
                <c:pt idx="3">
                  <c:v>28</c:v>
                </c:pt>
                <c:pt idx="4">
                  <c:v>35</c:v>
                </c:pt>
                <c:pt idx="5">
                  <c:v>37</c:v>
                </c:pt>
                <c:pt idx="6">
                  <c:v>33</c:v>
                </c:pt>
                <c:pt idx="7">
                  <c:v>34</c:v>
                </c:pt>
                <c:pt idx="8">
                  <c:v>34</c:v>
                </c:pt>
                <c:pt idx="9">
                  <c:v>36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33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28</c:v>
                </c:pt>
                <c:pt idx="18">
                  <c:v>33</c:v>
                </c:pt>
                <c:pt idx="19">
                  <c:v>36</c:v>
                </c:pt>
                <c:pt idx="20">
                  <c:v>30.4</c:v>
                </c:pt>
                <c:pt idx="21">
                  <c:v>32.299999999999997</c:v>
                </c:pt>
                <c:pt idx="22">
                  <c:v>36.799999999999997</c:v>
                </c:pt>
                <c:pt idx="23">
                  <c:v>35.6</c:v>
                </c:pt>
                <c:pt idx="24">
                  <c:v>33.5</c:v>
                </c:pt>
                <c:pt idx="25">
                  <c:v>35.799999999999997</c:v>
                </c:pt>
                <c:pt idx="26">
                  <c:v>34.9</c:v>
                </c:pt>
                <c:pt idx="27">
                  <c:v>34.1</c:v>
                </c:pt>
                <c:pt idx="28">
                  <c:v>34.6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35.799999999999997</c:v>
                </c:pt>
                <c:pt idx="32">
                  <c:v>33.200000000000003</c:v>
                </c:pt>
                <c:pt idx="33">
                  <c:v>33.299999999999997</c:v>
                </c:pt>
                <c:pt idx="34">
                  <c:v>33.1</c:v>
                </c:pt>
                <c:pt idx="35">
                  <c:v>31.2</c:v>
                </c:pt>
                <c:pt idx="36">
                  <c:v>30.4</c:v>
                </c:pt>
                <c:pt idx="37">
                  <c:v>32.799999999999997</c:v>
                </c:pt>
                <c:pt idx="38">
                  <c:v>33.200000000000003</c:v>
                </c:pt>
                <c:pt idx="39">
                  <c:v>32.700000000000003</c:v>
                </c:pt>
                <c:pt idx="40">
                  <c:v>32.5</c:v>
                </c:pt>
                <c:pt idx="41">
                  <c:v>31.1</c:v>
                </c:pt>
                <c:pt idx="42">
                  <c:v>31</c:v>
                </c:pt>
                <c:pt idx="43">
                  <c:v>31.1</c:v>
                </c:pt>
                <c:pt idx="44">
                  <c:v>28</c:v>
                </c:pt>
                <c:pt idx="45">
                  <c:v>33.6</c:v>
                </c:pt>
                <c:pt idx="46">
                  <c:v>30.7</c:v>
                </c:pt>
                <c:pt idx="47">
                  <c:v>30.3</c:v>
                </c:pt>
                <c:pt idx="48">
                  <c:v>31.4</c:v>
                </c:pt>
                <c:pt idx="49">
                  <c:v>29.6</c:v>
                </c:pt>
                <c:pt idx="50">
                  <c:v>28.6</c:v>
                </c:pt>
                <c:pt idx="51">
                  <c:v>30.6</c:v>
                </c:pt>
                <c:pt idx="52">
                  <c:v>30</c:v>
                </c:pt>
                <c:pt idx="53">
                  <c:v>28.6</c:v>
                </c:pt>
                <c:pt idx="54">
                  <c:v>32.5</c:v>
                </c:pt>
                <c:pt idx="55">
                  <c:v>30</c:v>
                </c:pt>
                <c:pt idx="56">
                  <c:v>30.3</c:v>
                </c:pt>
                <c:pt idx="57">
                  <c:v>28</c:v>
                </c:pt>
                <c:pt idx="58">
                  <c:v>28.5</c:v>
                </c:pt>
                <c:pt idx="59">
                  <c:v>29.2</c:v>
                </c:pt>
                <c:pt idx="60">
                  <c:v>29.5</c:v>
                </c:pt>
                <c:pt idx="61">
                  <c:v>30.1</c:v>
                </c:pt>
                <c:pt idx="62">
                  <c:v>29.7</c:v>
                </c:pt>
                <c:pt idx="63">
                  <c:v>28.3</c:v>
                </c:pt>
                <c:pt idx="64">
                  <c:v>30.1</c:v>
                </c:pt>
                <c:pt idx="65">
                  <c:v>28.6</c:v>
                </c:pt>
                <c:pt idx="66">
                  <c:v>29.3</c:v>
                </c:pt>
                <c:pt idx="67">
                  <c:v>30.6</c:v>
                </c:pt>
                <c:pt idx="68">
                  <c:v>29.5</c:v>
                </c:pt>
                <c:pt idx="69">
                  <c:v>28.5</c:v>
                </c:pt>
                <c:pt idx="70">
                  <c:v>30.1</c:v>
                </c:pt>
                <c:pt idx="71">
                  <c:v>28.8</c:v>
                </c:pt>
                <c:pt idx="72">
                  <c:v>28.2</c:v>
                </c:pt>
                <c:pt idx="73">
                  <c:v>29.5</c:v>
                </c:pt>
                <c:pt idx="74">
                  <c:v>29.8</c:v>
                </c:pt>
                <c:pt idx="75">
                  <c:v>27.9</c:v>
                </c:pt>
                <c:pt idx="76">
                  <c:v>30</c:v>
                </c:pt>
                <c:pt idx="77">
                  <c:v>28.8</c:v>
                </c:pt>
                <c:pt idx="78">
                  <c:v>28.21</c:v>
                </c:pt>
                <c:pt idx="79">
                  <c:v>27.71</c:v>
                </c:pt>
                <c:pt idx="80">
                  <c:v>27.45</c:v>
                </c:pt>
                <c:pt idx="81">
                  <c:v>26.51</c:v>
                </c:pt>
                <c:pt idx="82">
                  <c:v>26.96</c:v>
                </c:pt>
                <c:pt idx="83">
                  <c:v>26.14</c:v>
                </c:pt>
                <c:pt idx="84">
                  <c:v>25.37</c:v>
                </c:pt>
                <c:pt idx="85">
                  <c:v>26.02</c:v>
                </c:pt>
                <c:pt idx="86">
                  <c:v>25.26</c:v>
                </c:pt>
                <c:pt idx="87">
                  <c:v>24.98</c:v>
                </c:pt>
                <c:pt idx="88">
                  <c:v>25.65</c:v>
                </c:pt>
                <c:pt idx="89">
                  <c:v>24.74</c:v>
                </c:pt>
                <c:pt idx="90">
                  <c:v>24.47</c:v>
                </c:pt>
                <c:pt idx="91">
                  <c:v>24.77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Data2'!$G$181:$CT$181</c:f>
              <c:numCache>
                <c:formatCode>General</c:formatCode>
                <c:ptCount val="92"/>
                <c:pt idx="0">
                  <c:v>1221</c:v>
                </c:pt>
                <c:pt idx="1">
                  <c:v>1153</c:v>
                </c:pt>
                <c:pt idx="2">
                  <c:v>1205</c:v>
                </c:pt>
                <c:pt idx="3">
                  <c:v>1221</c:v>
                </c:pt>
                <c:pt idx="4">
                  <c:v>1186</c:v>
                </c:pt>
                <c:pt idx="5">
                  <c:v>1217</c:v>
                </c:pt>
                <c:pt idx="6">
                  <c:v>1141</c:v>
                </c:pt>
                <c:pt idx="7">
                  <c:v>1118</c:v>
                </c:pt>
                <c:pt idx="8">
                  <c:v>1153</c:v>
                </c:pt>
                <c:pt idx="9">
                  <c:v>1122</c:v>
                </c:pt>
                <c:pt idx="10">
                  <c:v>1085</c:v>
                </c:pt>
                <c:pt idx="11">
                  <c:v>1116</c:v>
                </c:pt>
                <c:pt idx="12">
                  <c:v>1097</c:v>
                </c:pt>
                <c:pt idx="13">
                  <c:v>1104</c:v>
                </c:pt>
                <c:pt idx="14">
                  <c:v>1110</c:v>
                </c:pt>
                <c:pt idx="15">
                  <c:v>1161</c:v>
                </c:pt>
                <c:pt idx="16">
                  <c:v>1167</c:v>
                </c:pt>
                <c:pt idx="17">
                  <c:v>1143</c:v>
                </c:pt>
                <c:pt idx="18">
                  <c:v>1108</c:v>
                </c:pt>
                <c:pt idx="19">
                  <c:v>1065</c:v>
                </c:pt>
                <c:pt idx="20">
                  <c:v>1076</c:v>
                </c:pt>
                <c:pt idx="21">
                  <c:v>1037.0999999999999</c:v>
                </c:pt>
                <c:pt idx="22">
                  <c:v>990.7</c:v>
                </c:pt>
                <c:pt idx="23">
                  <c:v>948.7</c:v>
                </c:pt>
                <c:pt idx="24">
                  <c:v>895.4</c:v>
                </c:pt>
                <c:pt idx="25">
                  <c:v>863.5</c:v>
                </c:pt>
                <c:pt idx="26">
                  <c:v>824.2</c:v>
                </c:pt>
                <c:pt idx="27">
                  <c:v>782.2</c:v>
                </c:pt>
                <c:pt idx="28">
                  <c:v>749.5</c:v>
                </c:pt>
                <c:pt idx="29">
                  <c:v>711.3</c:v>
                </c:pt>
                <c:pt idx="30">
                  <c:v>684.6</c:v>
                </c:pt>
                <c:pt idx="31">
                  <c:v>660.2</c:v>
                </c:pt>
                <c:pt idx="32">
                  <c:v>631.5</c:v>
                </c:pt>
                <c:pt idx="33">
                  <c:v>607.9</c:v>
                </c:pt>
                <c:pt idx="34">
                  <c:v>584.70000000000005</c:v>
                </c:pt>
                <c:pt idx="35">
                  <c:v>567.1</c:v>
                </c:pt>
                <c:pt idx="36">
                  <c:v>551.9</c:v>
                </c:pt>
                <c:pt idx="37">
                  <c:v>529.79999999999995</c:v>
                </c:pt>
                <c:pt idx="38">
                  <c:v>502.8</c:v>
                </c:pt>
                <c:pt idx="39">
                  <c:v>493.1</c:v>
                </c:pt>
                <c:pt idx="40">
                  <c:v>470.7</c:v>
                </c:pt>
                <c:pt idx="41">
                  <c:v>458.2</c:v>
                </c:pt>
                <c:pt idx="42">
                  <c:v>440.4</c:v>
                </c:pt>
                <c:pt idx="43">
                  <c:v>425.6</c:v>
                </c:pt>
                <c:pt idx="44">
                  <c:v>418.6</c:v>
                </c:pt>
                <c:pt idx="45">
                  <c:v>397.3</c:v>
                </c:pt>
                <c:pt idx="46">
                  <c:v>384.8</c:v>
                </c:pt>
                <c:pt idx="47">
                  <c:v>376.8</c:v>
                </c:pt>
                <c:pt idx="48">
                  <c:v>368.6</c:v>
                </c:pt>
                <c:pt idx="49">
                  <c:v>359</c:v>
                </c:pt>
                <c:pt idx="50">
                  <c:v>348.5</c:v>
                </c:pt>
                <c:pt idx="51">
                  <c:v>336.4</c:v>
                </c:pt>
                <c:pt idx="52">
                  <c:v>333.7</c:v>
                </c:pt>
                <c:pt idx="53">
                  <c:v>316.60000000000002</c:v>
                </c:pt>
                <c:pt idx="54">
                  <c:v>314.3</c:v>
                </c:pt>
                <c:pt idx="55">
                  <c:v>300.8</c:v>
                </c:pt>
                <c:pt idx="56">
                  <c:v>295.2</c:v>
                </c:pt>
                <c:pt idx="57">
                  <c:v>285.10000000000002</c:v>
                </c:pt>
                <c:pt idx="58">
                  <c:v>278.3</c:v>
                </c:pt>
                <c:pt idx="59">
                  <c:v>271.5</c:v>
                </c:pt>
                <c:pt idx="60">
                  <c:v>268.5</c:v>
                </c:pt>
                <c:pt idx="61">
                  <c:v>267.39999999999998</c:v>
                </c:pt>
                <c:pt idx="62">
                  <c:v>255.1</c:v>
                </c:pt>
                <c:pt idx="63">
                  <c:v>250.9</c:v>
                </c:pt>
                <c:pt idx="64">
                  <c:v>245.2</c:v>
                </c:pt>
                <c:pt idx="65">
                  <c:v>240.8</c:v>
                </c:pt>
                <c:pt idx="66">
                  <c:v>255.9</c:v>
                </c:pt>
                <c:pt idx="67">
                  <c:v>224.8</c:v>
                </c:pt>
                <c:pt idx="68">
                  <c:v>226.4</c:v>
                </c:pt>
                <c:pt idx="69">
                  <c:v>218.8</c:v>
                </c:pt>
                <c:pt idx="70">
                  <c:v>218.9</c:v>
                </c:pt>
                <c:pt idx="71">
                  <c:v>212</c:v>
                </c:pt>
                <c:pt idx="72">
                  <c:v>210.3</c:v>
                </c:pt>
                <c:pt idx="73">
                  <c:v>205.1</c:v>
                </c:pt>
                <c:pt idx="74">
                  <c:v>195</c:v>
                </c:pt>
                <c:pt idx="75">
                  <c:v>198.2</c:v>
                </c:pt>
                <c:pt idx="76">
                  <c:v>194.1</c:v>
                </c:pt>
                <c:pt idx="77">
                  <c:v>192.5</c:v>
                </c:pt>
                <c:pt idx="78">
                  <c:v>175.29</c:v>
                </c:pt>
                <c:pt idx="79">
                  <c:v>150.01</c:v>
                </c:pt>
                <c:pt idx="80">
                  <c:v>131.35</c:v>
                </c:pt>
                <c:pt idx="81">
                  <c:v>118.51</c:v>
                </c:pt>
                <c:pt idx="82">
                  <c:v>110.29</c:v>
                </c:pt>
                <c:pt idx="83">
                  <c:v>99.23</c:v>
                </c:pt>
                <c:pt idx="84">
                  <c:v>92.29</c:v>
                </c:pt>
                <c:pt idx="85">
                  <c:v>85.92</c:v>
                </c:pt>
                <c:pt idx="86">
                  <c:v>81.34</c:v>
                </c:pt>
                <c:pt idx="87">
                  <c:v>76.5</c:v>
                </c:pt>
                <c:pt idx="88">
                  <c:v>72.05</c:v>
                </c:pt>
                <c:pt idx="89">
                  <c:v>68.14</c:v>
                </c:pt>
                <c:pt idx="90">
                  <c:v>66.400000000000006</c:v>
                </c:pt>
                <c:pt idx="91">
                  <c:v>63.98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Data2'!$G$182:$CT$182</c:f>
              <c:numCache>
                <c:formatCode>General</c:formatCode>
                <c:ptCount val="92"/>
                <c:pt idx="0">
                  <c:v>800</c:v>
                </c:pt>
                <c:pt idx="1">
                  <c:v>806</c:v>
                </c:pt>
                <c:pt idx="2">
                  <c:v>803</c:v>
                </c:pt>
                <c:pt idx="3">
                  <c:v>832</c:v>
                </c:pt>
                <c:pt idx="4">
                  <c:v>754</c:v>
                </c:pt>
                <c:pt idx="5">
                  <c:v>786</c:v>
                </c:pt>
                <c:pt idx="6">
                  <c:v>796</c:v>
                </c:pt>
                <c:pt idx="7">
                  <c:v>792</c:v>
                </c:pt>
                <c:pt idx="8">
                  <c:v>778</c:v>
                </c:pt>
                <c:pt idx="9">
                  <c:v>775</c:v>
                </c:pt>
                <c:pt idx="10">
                  <c:v>789</c:v>
                </c:pt>
                <c:pt idx="11">
                  <c:v>790</c:v>
                </c:pt>
                <c:pt idx="12">
                  <c:v>792</c:v>
                </c:pt>
                <c:pt idx="13">
                  <c:v>778</c:v>
                </c:pt>
                <c:pt idx="14">
                  <c:v>754</c:v>
                </c:pt>
                <c:pt idx="15">
                  <c:v>781</c:v>
                </c:pt>
                <c:pt idx="16">
                  <c:v>782</c:v>
                </c:pt>
                <c:pt idx="17">
                  <c:v>786</c:v>
                </c:pt>
                <c:pt idx="18">
                  <c:v>747</c:v>
                </c:pt>
                <c:pt idx="19">
                  <c:v>746</c:v>
                </c:pt>
                <c:pt idx="20">
                  <c:v>748.9</c:v>
                </c:pt>
                <c:pt idx="21">
                  <c:v>712.4</c:v>
                </c:pt>
                <c:pt idx="22">
                  <c:v>678.7</c:v>
                </c:pt>
                <c:pt idx="23">
                  <c:v>663.5</c:v>
                </c:pt>
                <c:pt idx="24">
                  <c:v>621.70000000000005</c:v>
                </c:pt>
                <c:pt idx="25">
                  <c:v>596.5</c:v>
                </c:pt>
                <c:pt idx="26">
                  <c:v>577.1</c:v>
                </c:pt>
                <c:pt idx="27">
                  <c:v>541.20000000000005</c:v>
                </c:pt>
                <c:pt idx="28">
                  <c:v>529</c:v>
                </c:pt>
                <c:pt idx="29">
                  <c:v>503.1</c:v>
                </c:pt>
                <c:pt idx="30">
                  <c:v>483.3</c:v>
                </c:pt>
                <c:pt idx="31">
                  <c:v>453.9</c:v>
                </c:pt>
                <c:pt idx="32">
                  <c:v>436.8</c:v>
                </c:pt>
                <c:pt idx="33">
                  <c:v>420.8</c:v>
                </c:pt>
                <c:pt idx="34">
                  <c:v>404.1</c:v>
                </c:pt>
                <c:pt idx="35">
                  <c:v>385.9</c:v>
                </c:pt>
                <c:pt idx="36">
                  <c:v>367.2</c:v>
                </c:pt>
                <c:pt idx="37">
                  <c:v>365.3</c:v>
                </c:pt>
                <c:pt idx="38">
                  <c:v>352.1</c:v>
                </c:pt>
                <c:pt idx="39">
                  <c:v>340.2</c:v>
                </c:pt>
                <c:pt idx="40">
                  <c:v>329.1</c:v>
                </c:pt>
                <c:pt idx="41">
                  <c:v>320</c:v>
                </c:pt>
                <c:pt idx="42">
                  <c:v>299.89999999999998</c:v>
                </c:pt>
                <c:pt idx="43">
                  <c:v>303.7</c:v>
                </c:pt>
                <c:pt idx="44">
                  <c:v>294.7</c:v>
                </c:pt>
                <c:pt idx="45">
                  <c:v>281.3</c:v>
                </c:pt>
                <c:pt idx="46">
                  <c:v>270.3</c:v>
                </c:pt>
                <c:pt idx="47">
                  <c:v>259.10000000000002</c:v>
                </c:pt>
                <c:pt idx="48">
                  <c:v>253.1</c:v>
                </c:pt>
                <c:pt idx="49">
                  <c:v>253.3</c:v>
                </c:pt>
                <c:pt idx="50">
                  <c:v>241.5</c:v>
                </c:pt>
                <c:pt idx="51">
                  <c:v>236.3</c:v>
                </c:pt>
                <c:pt idx="52">
                  <c:v>234.6</c:v>
                </c:pt>
                <c:pt idx="53">
                  <c:v>221</c:v>
                </c:pt>
                <c:pt idx="54">
                  <c:v>219.5</c:v>
                </c:pt>
                <c:pt idx="55">
                  <c:v>209.4</c:v>
                </c:pt>
                <c:pt idx="56">
                  <c:v>202.9</c:v>
                </c:pt>
                <c:pt idx="57">
                  <c:v>198.9</c:v>
                </c:pt>
                <c:pt idx="58">
                  <c:v>197.3</c:v>
                </c:pt>
                <c:pt idx="59">
                  <c:v>197</c:v>
                </c:pt>
                <c:pt idx="60">
                  <c:v>190.7</c:v>
                </c:pt>
                <c:pt idx="61">
                  <c:v>184.8</c:v>
                </c:pt>
                <c:pt idx="62">
                  <c:v>179.1</c:v>
                </c:pt>
                <c:pt idx="63">
                  <c:v>175.5</c:v>
                </c:pt>
                <c:pt idx="64">
                  <c:v>170.6</c:v>
                </c:pt>
                <c:pt idx="65">
                  <c:v>167.8</c:v>
                </c:pt>
                <c:pt idx="66">
                  <c:v>165.2</c:v>
                </c:pt>
                <c:pt idx="67">
                  <c:v>161.19999999999999</c:v>
                </c:pt>
                <c:pt idx="68">
                  <c:v>159.80000000000001</c:v>
                </c:pt>
                <c:pt idx="69">
                  <c:v>160</c:v>
                </c:pt>
                <c:pt idx="70">
                  <c:v>179.1</c:v>
                </c:pt>
                <c:pt idx="71">
                  <c:v>151.30000000000001</c:v>
                </c:pt>
                <c:pt idx="72">
                  <c:v>146.5</c:v>
                </c:pt>
                <c:pt idx="73">
                  <c:v>141</c:v>
                </c:pt>
                <c:pt idx="74">
                  <c:v>142.69999999999999</c:v>
                </c:pt>
                <c:pt idx="75">
                  <c:v>140.9</c:v>
                </c:pt>
                <c:pt idx="76">
                  <c:v>137.6</c:v>
                </c:pt>
                <c:pt idx="77">
                  <c:v>138.69999999999999</c:v>
                </c:pt>
                <c:pt idx="78">
                  <c:v>123.24</c:v>
                </c:pt>
                <c:pt idx="79">
                  <c:v>109.21</c:v>
                </c:pt>
                <c:pt idx="80">
                  <c:v>96.77</c:v>
                </c:pt>
                <c:pt idx="81">
                  <c:v>85.88</c:v>
                </c:pt>
                <c:pt idx="82">
                  <c:v>78.61</c:v>
                </c:pt>
                <c:pt idx="83">
                  <c:v>72.38</c:v>
                </c:pt>
                <c:pt idx="84">
                  <c:v>67.349999999999994</c:v>
                </c:pt>
                <c:pt idx="85">
                  <c:v>63.24</c:v>
                </c:pt>
                <c:pt idx="86">
                  <c:v>59.99</c:v>
                </c:pt>
                <c:pt idx="87">
                  <c:v>56.61</c:v>
                </c:pt>
                <c:pt idx="88">
                  <c:v>53.61</c:v>
                </c:pt>
                <c:pt idx="89">
                  <c:v>52.61</c:v>
                </c:pt>
                <c:pt idx="90">
                  <c:v>49.7</c:v>
                </c:pt>
                <c:pt idx="91">
                  <c:v>48.84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Data2'!$G$183:$CT$183</c:f>
              <c:numCache>
                <c:formatCode>General</c:formatCode>
                <c:ptCount val="92"/>
                <c:pt idx="0">
                  <c:v>1241</c:v>
                </c:pt>
                <c:pt idx="1">
                  <c:v>1200</c:v>
                </c:pt>
                <c:pt idx="2">
                  <c:v>1223</c:v>
                </c:pt>
                <c:pt idx="3">
                  <c:v>1183</c:v>
                </c:pt>
                <c:pt idx="4">
                  <c:v>1230</c:v>
                </c:pt>
                <c:pt idx="5">
                  <c:v>1185</c:v>
                </c:pt>
                <c:pt idx="6">
                  <c:v>1231</c:v>
                </c:pt>
                <c:pt idx="7">
                  <c:v>1234</c:v>
                </c:pt>
                <c:pt idx="8">
                  <c:v>1200</c:v>
                </c:pt>
                <c:pt idx="9">
                  <c:v>1135</c:v>
                </c:pt>
                <c:pt idx="10">
                  <c:v>1181</c:v>
                </c:pt>
                <c:pt idx="11">
                  <c:v>1171</c:v>
                </c:pt>
                <c:pt idx="12">
                  <c:v>1176</c:v>
                </c:pt>
                <c:pt idx="13">
                  <c:v>1134</c:v>
                </c:pt>
                <c:pt idx="14">
                  <c:v>1174</c:v>
                </c:pt>
                <c:pt idx="15">
                  <c:v>1168</c:v>
                </c:pt>
                <c:pt idx="16">
                  <c:v>1107</c:v>
                </c:pt>
                <c:pt idx="17">
                  <c:v>1178</c:v>
                </c:pt>
                <c:pt idx="18">
                  <c:v>1172</c:v>
                </c:pt>
                <c:pt idx="19">
                  <c:v>1150</c:v>
                </c:pt>
                <c:pt idx="20">
                  <c:v>1111</c:v>
                </c:pt>
                <c:pt idx="21">
                  <c:v>1075</c:v>
                </c:pt>
                <c:pt idx="22">
                  <c:v>1028.5</c:v>
                </c:pt>
                <c:pt idx="23">
                  <c:v>973</c:v>
                </c:pt>
                <c:pt idx="24">
                  <c:v>947.8</c:v>
                </c:pt>
                <c:pt idx="25">
                  <c:v>906.6</c:v>
                </c:pt>
                <c:pt idx="26">
                  <c:v>857.9</c:v>
                </c:pt>
                <c:pt idx="27">
                  <c:v>832</c:v>
                </c:pt>
                <c:pt idx="28">
                  <c:v>782.3</c:v>
                </c:pt>
                <c:pt idx="29">
                  <c:v>760</c:v>
                </c:pt>
                <c:pt idx="30">
                  <c:v>716.2</c:v>
                </c:pt>
                <c:pt idx="31">
                  <c:v>696.1</c:v>
                </c:pt>
                <c:pt idx="32">
                  <c:v>662.9</c:v>
                </c:pt>
                <c:pt idx="33">
                  <c:v>633.4</c:v>
                </c:pt>
                <c:pt idx="34">
                  <c:v>608.6</c:v>
                </c:pt>
                <c:pt idx="35">
                  <c:v>593.70000000000005</c:v>
                </c:pt>
                <c:pt idx="36">
                  <c:v>573.1</c:v>
                </c:pt>
                <c:pt idx="37">
                  <c:v>553.1</c:v>
                </c:pt>
                <c:pt idx="38">
                  <c:v>539.29999999999995</c:v>
                </c:pt>
                <c:pt idx="39">
                  <c:v>510.4</c:v>
                </c:pt>
                <c:pt idx="40">
                  <c:v>495.7</c:v>
                </c:pt>
                <c:pt idx="41">
                  <c:v>484.3</c:v>
                </c:pt>
                <c:pt idx="42">
                  <c:v>458.4</c:v>
                </c:pt>
                <c:pt idx="43">
                  <c:v>454.6</c:v>
                </c:pt>
                <c:pt idx="44">
                  <c:v>443.9</c:v>
                </c:pt>
                <c:pt idx="45">
                  <c:v>421.2</c:v>
                </c:pt>
                <c:pt idx="46">
                  <c:v>414.8</c:v>
                </c:pt>
                <c:pt idx="47">
                  <c:v>402.4</c:v>
                </c:pt>
                <c:pt idx="48">
                  <c:v>389.6</c:v>
                </c:pt>
                <c:pt idx="49">
                  <c:v>379.5</c:v>
                </c:pt>
                <c:pt idx="50">
                  <c:v>370.2</c:v>
                </c:pt>
                <c:pt idx="51">
                  <c:v>358.6</c:v>
                </c:pt>
                <c:pt idx="52">
                  <c:v>347.9</c:v>
                </c:pt>
                <c:pt idx="53">
                  <c:v>345.3</c:v>
                </c:pt>
                <c:pt idx="54">
                  <c:v>332.9</c:v>
                </c:pt>
                <c:pt idx="55">
                  <c:v>322.10000000000002</c:v>
                </c:pt>
                <c:pt idx="56">
                  <c:v>317.89999999999998</c:v>
                </c:pt>
                <c:pt idx="57">
                  <c:v>308.3</c:v>
                </c:pt>
                <c:pt idx="58">
                  <c:v>301.7</c:v>
                </c:pt>
                <c:pt idx="59">
                  <c:v>292.39999999999998</c:v>
                </c:pt>
                <c:pt idx="60">
                  <c:v>292</c:v>
                </c:pt>
                <c:pt idx="61">
                  <c:v>286.10000000000002</c:v>
                </c:pt>
                <c:pt idx="62">
                  <c:v>277.39999999999998</c:v>
                </c:pt>
                <c:pt idx="63">
                  <c:v>266.5</c:v>
                </c:pt>
                <c:pt idx="64">
                  <c:v>261.89999999999998</c:v>
                </c:pt>
                <c:pt idx="65">
                  <c:v>251.9</c:v>
                </c:pt>
                <c:pt idx="66">
                  <c:v>252.8</c:v>
                </c:pt>
                <c:pt idx="67">
                  <c:v>247.5</c:v>
                </c:pt>
                <c:pt idx="68">
                  <c:v>241.4</c:v>
                </c:pt>
                <c:pt idx="69">
                  <c:v>238.4</c:v>
                </c:pt>
                <c:pt idx="70">
                  <c:v>231.1</c:v>
                </c:pt>
                <c:pt idx="71">
                  <c:v>232.3</c:v>
                </c:pt>
                <c:pt idx="72">
                  <c:v>228.3</c:v>
                </c:pt>
                <c:pt idx="73">
                  <c:v>220.9</c:v>
                </c:pt>
                <c:pt idx="74">
                  <c:v>218</c:v>
                </c:pt>
                <c:pt idx="75">
                  <c:v>210.8</c:v>
                </c:pt>
                <c:pt idx="76">
                  <c:v>210.7</c:v>
                </c:pt>
                <c:pt idx="77">
                  <c:v>204.9</c:v>
                </c:pt>
                <c:pt idx="78">
                  <c:v>188.89</c:v>
                </c:pt>
                <c:pt idx="79">
                  <c:v>166.06</c:v>
                </c:pt>
                <c:pt idx="80">
                  <c:v>146.66999999999999</c:v>
                </c:pt>
                <c:pt idx="81">
                  <c:v>130.63999999999999</c:v>
                </c:pt>
                <c:pt idx="82">
                  <c:v>120.2</c:v>
                </c:pt>
                <c:pt idx="83">
                  <c:v>110.21</c:v>
                </c:pt>
                <c:pt idx="84">
                  <c:v>101.95</c:v>
                </c:pt>
                <c:pt idx="85">
                  <c:v>96.01</c:v>
                </c:pt>
                <c:pt idx="86">
                  <c:v>90.16</c:v>
                </c:pt>
                <c:pt idx="87">
                  <c:v>84.54</c:v>
                </c:pt>
                <c:pt idx="88">
                  <c:v>81.97</c:v>
                </c:pt>
                <c:pt idx="89">
                  <c:v>78.28</c:v>
                </c:pt>
                <c:pt idx="90">
                  <c:v>75.41</c:v>
                </c:pt>
                <c:pt idx="91">
                  <c:v>71.400000000000006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6752"/>
        <c:axId val="47548672"/>
      </c:scatterChart>
      <c:valAx>
        <c:axId val="4754675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548672"/>
        <c:crosses val="autoZero"/>
        <c:crossBetween val="midCat"/>
      </c:valAx>
      <c:valAx>
        <c:axId val="47548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5467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Data'!$A$318</c:f>
          <c:strCache>
            <c:ptCount val="1"/>
            <c:pt idx="0">
              <c:v>Disk 45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Data2'!$G$184:$CT$184</c:f>
              <c:numCache>
                <c:formatCode>General</c:formatCode>
                <c:ptCount val="92"/>
                <c:pt idx="0">
                  <c:v>441</c:v>
                </c:pt>
                <c:pt idx="1">
                  <c:v>472</c:v>
                </c:pt>
                <c:pt idx="2">
                  <c:v>482</c:v>
                </c:pt>
                <c:pt idx="3">
                  <c:v>476</c:v>
                </c:pt>
                <c:pt idx="4">
                  <c:v>468</c:v>
                </c:pt>
                <c:pt idx="5">
                  <c:v>457</c:v>
                </c:pt>
                <c:pt idx="6">
                  <c:v>464</c:v>
                </c:pt>
                <c:pt idx="7">
                  <c:v>453</c:v>
                </c:pt>
                <c:pt idx="8">
                  <c:v>446</c:v>
                </c:pt>
                <c:pt idx="9">
                  <c:v>466</c:v>
                </c:pt>
                <c:pt idx="10">
                  <c:v>466</c:v>
                </c:pt>
                <c:pt idx="11">
                  <c:v>485</c:v>
                </c:pt>
                <c:pt idx="12">
                  <c:v>442</c:v>
                </c:pt>
                <c:pt idx="13">
                  <c:v>467</c:v>
                </c:pt>
                <c:pt idx="14">
                  <c:v>452</c:v>
                </c:pt>
                <c:pt idx="15">
                  <c:v>477</c:v>
                </c:pt>
                <c:pt idx="16">
                  <c:v>467</c:v>
                </c:pt>
                <c:pt idx="17">
                  <c:v>455</c:v>
                </c:pt>
                <c:pt idx="18">
                  <c:v>418</c:v>
                </c:pt>
                <c:pt idx="19">
                  <c:v>470</c:v>
                </c:pt>
                <c:pt idx="20">
                  <c:v>438.7</c:v>
                </c:pt>
                <c:pt idx="21">
                  <c:v>432.3</c:v>
                </c:pt>
                <c:pt idx="22">
                  <c:v>406.4</c:v>
                </c:pt>
                <c:pt idx="23">
                  <c:v>392.2</c:v>
                </c:pt>
                <c:pt idx="24">
                  <c:v>380.7</c:v>
                </c:pt>
                <c:pt idx="25">
                  <c:v>358.6</c:v>
                </c:pt>
                <c:pt idx="26">
                  <c:v>350.1</c:v>
                </c:pt>
                <c:pt idx="27">
                  <c:v>332.9</c:v>
                </c:pt>
                <c:pt idx="28">
                  <c:v>312.2</c:v>
                </c:pt>
                <c:pt idx="29">
                  <c:v>318.5</c:v>
                </c:pt>
                <c:pt idx="30">
                  <c:v>293.5</c:v>
                </c:pt>
                <c:pt idx="31">
                  <c:v>291.7</c:v>
                </c:pt>
                <c:pt idx="32">
                  <c:v>274.2</c:v>
                </c:pt>
                <c:pt idx="33">
                  <c:v>270.8</c:v>
                </c:pt>
                <c:pt idx="34">
                  <c:v>256.39999999999998</c:v>
                </c:pt>
                <c:pt idx="35">
                  <c:v>250.6</c:v>
                </c:pt>
                <c:pt idx="36">
                  <c:v>251.7</c:v>
                </c:pt>
                <c:pt idx="37">
                  <c:v>240.4</c:v>
                </c:pt>
                <c:pt idx="38">
                  <c:v>238.9</c:v>
                </c:pt>
                <c:pt idx="39">
                  <c:v>236.6</c:v>
                </c:pt>
                <c:pt idx="40">
                  <c:v>226.6</c:v>
                </c:pt>
                <c:pt idx="41">
                  <c:v>219.7</c:v>
                </c:pt>
                <c:pt idx="42">
                  <c:v>212.7</c:v>
                </c:pt>
                <c:pt idx="43">
                  <c:v>209.2</c:v>
                </c:pt>
                <c:pt idx="44">
                  <c:v>207.8</c:v>
                </c:pt>
                <c:pt idx="45">
                  <c:v>201.9</c:v>
                </c:pt>
                <c:pt idx="46">
                  <c:v>203.6</c:v>
                </c:pt>
                <c:pt idx="47">
                  <c:v>198.7</c:v>
                </c:pt>
                <c:pt idx="48">
                  <c:v>189</c:v>
                </c:pt>
                <c:pt idx="49">
                  <c:v>187.6</c:v>
                </c:pt>
                <c:pt idx="50">
                  <c:v>188.5</c:v>
                </c:pt>
                <c:pt idx="51">
                  <c:v>178.2</c:v>
                </c:pt>
                <c:pt idx="52">
                  <c:v>172.1</c:v>
                </c:pt>
                <c:pt idx="53">
                  <c:v>177.4</c:v>
                </c:pt>
                <c:pt idx="54">
                  <c:v>172.6</c:v>
                </c:pt>
                <c:pt idx="55">
                  <c:v>163.69999999999999</c:v>
                </c:pt>
                <c:pt idx="56">
                  <c:v>164.4</c:v>
                </c:pt>
                <c:pt idx="57">
                  <c:v>158</c:v>
                </c:pt>
                <c:pt idx="58">
                  <c:v>156.6</c:v>
                </c:pt>
                <c:pt idx="59">
                  <c:v>155.1</c:v>
                </c:pt>
                <c:pt idx="60">
                  <c:v>156</c:v>
                </c:pt>
                <c:pt idx="61">
                  <c:v>147.19999999999999</c:v>
                </c:pt>
                <c:pt idx="62">
                  <c:v>147.1</c:v>
                </c:pt>
                <c:pt idx="63">
                  <c:v>148.30000000000001</c:v>
                </c:pt>
                <c:pt idx="64">
                  <c:v>145.30000000000001</c:v>
                </c:pt>
                <c:pt idx="65">
                  <c:v>145.80000000000001</c:v>
                </c:pt>
                <c:pt idx="66">
                  <c:v>146.19999999999999</c:v>
                </c:pt>
                <c:pt idx="67">
                  <c:v>142</c:v>
                </c:pt>
                <c:pt idx="68">
                  <c:v>140</c:v>
                </c:pt>
                <c:pt idx="69">
                  <c:v>138</c:v>
                </c:pt>
                <c:pt idx="70">
                  <c:v>132.5</c:v>
                </c:pt>
                <c:pt idx="71">
                  <c:v>131.4</c:v>
                </c:pt>
                <c:pt idx="72">
                  <c:v>136.80000000000001</c:v>
                </c:pt>
                <c:pt idx="73">
                  <c:v>129.9</c:v>
                </c:pt>
                <c:pt idx="74">
                  <c:v>127.1</c:v>
                </c:pt>
                <c:pt idx="75">
                  <c:v>128.9</c:v>
                </c:pt>
                <c:pt idx="76">
                  <c:v>129.4</c:v>
                </c:pt>
                <c:pt idx="77">
                  <c:v>118</c:v>
                </c:pt>
                <c:pt idx="78">
                  <c:v>119.22</c:v>
                </c:pt>
                <c:pt idx="79">
                  <c:v>109.87</c:v>
                </c:pt>
                <c:pt idx="80">
                  <c:v>102.8</c:v>
                </c:pt>
                <c:pt idx="81">
                  <c:v>95.39</c:v>
                </c:pt>
                <c:pt idx="82">
                  <c:v>91.08</c:v>
                </c:pt>
                <c:pt idx="83">
                  <c:v>86.87</c:v>
                </c:pt>
                <c:pt idx="84">
                  <c:v>82.37</c:v>
                </c:pt>
                <c:pt idx="85">
                  <c:v>78.790000000000006</c:v>
                </c:pt>
                <c:pt idx="86">
                  <c:v>75.849999999999994</c:v>
                </c:pt>
                <c:pt idx="87">
                  <c:v>73.540000000000006</c:v>
                </c:pt>
                <c:pt idx="88">
                  <c:v>72.05</c:v>
                </c:pt>
                <c:pt idx="89">
                  <c:v>70.2</c:v>
                </c:pt>
                <c:pt idx="90">
                  <c:v>67.739999999999995</c:v>
                </c:pt>
                <c:pt idx="91">
                  <c:v>66.25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Data2'!$G$185:$CT$185</c:f>
              <c:numCache>
                <c:formatCode>General</c:formatCode>
                <c:ptCount val="92"/>
                <c:pt idx="0">
                  <c:v>278</c:v>
                </c:pt>
                <c:pt idx="1">
                  <c:v>286</c:v>
                </c:pt>
                <c:pt idx="2">
                  <c:v>281</c:v>
                </c:pt>
                <c:pt idx="3">
                  <c:v>254</c:v>
                </c:pt>
                <c:pt idx="4">
                  <c:v>270</c:v>
                </c:pt>
                <c:pt idx="5">
                  <c:v>279</c:v>
                </c:pt>
                <c:pt idx="6">
                  <c:v>275</c:v>
                </c:pt>
                <c:pt idx="7">
                  <c:v>271</c:v>
                </c:pt>
                <c:pt idx="8">
                  <c:v>286</c:v>
                </c:pt>
                <c:pt idx="9">
                  <c:v>268</c:v>
                </c:pt>
                <c:pt idx="10">
                  <c:v>277</c:v>
                </c:pt>
                <c:pt idx="11">
                  <c:v>280</c:v>
                </c:pt>
                <c:pt idx="12">
                  <c:v>266</c:v>
                </c:pt>
                <c:pt idx="13">
                  <c:v>244</c:v>
                </c:pt>
                <c:pt idx="14">
                  <c:v>272</c:v>
                </c:pt>
                <c:pt idx="15">
                  <c:v>286</c:v>
                </c:pt>
                <c:pt idx="16">
                  <c:v>264</c:v>
                </c:pt>
                <c:pt idx="17">
                  <c:v>276</c:v>
                </c:pt>
                <c:pt idx="18">
                  <c:v>266</c:v>
                </c:pt>
                <c:pt idx="19">
                  <c:v>281</c:v>
                </c:pt>
                <c:pt idx="20">
                  <c:v>270.8</c:v>
                </c:pt>
                <c:pt idx="21">
                  <c:v>256.2</c:v>
                </c:pt>
                <c:pt idx="22">
                  <c:v>246.9</c:v>
                </c:pt>
                <c:pt idx="23">
                  <c:v>237</c:v>
                </c:pt>
                <c:pt idx="24">
                  <c:v>241.4</c:v>
                </c:pt>
                <c:pt idx="25">
                  <c:v>229.4</c:v>
                </c:pt>
                <c:pt idx="26">
                  <c:v>217.8</c:v>
                </c:pt>
                <c:pt idx="27">
                  <c:v>214.1</c:v>
                </c:pt>
                <c:pt idx="28">
                  <c:v>205.3</c:v>
                </c:pt>
                <c:pt idx="29">
                  <c:v>197.2</c:v>
                </c:pt>
                <c:pt idx="30">
                  <c:v>195</c:v>
                </c:pt>
                <c:pt idx="31">
                  <c:v>183</c:v>
                </c:pt>
                <c:pt idx="32">
                  <c:v>179.2</c:v>
                </c:pt>
                <c:pt idx="33">
                  <c:v>179.4</c:v>
                </c:pt>
                <c:pt idx="34">
                  <c:v>170.4</c:v>
                </c:pt>
                <c:pt idx="35">
                  <c:v>170</c:v>
                </c:pt>
                <c:pt idx="36">
                  <c:v>159.69999999999999</c:v>
                </c:pt>
                <c:pt idx="37">
                  <c:v>161.19999999999999</c:v>
                </c:pt>
                <c:pt idx="38">
                  <c:v>149.1</c:v>
                </c:pt>
                <c:pt idx="39">
                  <c:v>155.30000000000001</c:v>
                </c:pt>
                <c:pt idx="40">
                  <c:v>148.4</c:v>
                </c:pt>
                <c:pt idx="41">
                  <c:v>147.19999999999999</c:v>
                </c:pt>
                <c:pt idx="42">
                  <c:v>141.6</c:v>
                </c:pt>
                <c:pt idx="43">
                  <c:v>142.1</c:v>
                </c:pt>
                <c:pt idx="44">
                  <c:v>138.5</c:v>
                </c:pt>
                <c:pt idx="45">
                  <c:v>135.6</c:v>
                </c:pt>
                <c:pt idx="46">
                  <c:v>128.4</c:v>
                </c:pt>
                <c:pt idx="47">
                  <c:v>132.69999999999999</c:v>
                </c:pt>
                <c:pt idx="48">
                  <c:v>124.1</c:v>
                </c:pt>
                <c:pt idx="49">
                  <c:v>130</c:v>
                </c:pt>
                <c:pt idx="50">
                  <c:v>119</c:v>
                </c:pt>
                <c:pt idx="51">
                  <c:v>124.2</c:v>
                </c:pt>
                <c:pt idx="52">
                  <c:v>119.2</c:v>
                </c:pt>
                <c:pt idx="53">
                  <c:v>117.7</c:v>
                </c:pt>
                <c:pt idx="54">
                  <c:v>117.4</c:v>
                </c:pt>
                <c:pt idx="55">
                  <c:v>115.4</c:v>
                </c:pt>
                <c:pt idx="56">
                  <c:v>116.7</c:v>
                </c:pt>
                <c:pt idx="57">
                  <c:v>109.5</c:v>
                </c:pt>
                <c:pt idx="58">
                  <c:v>108.8</c:v>
                </c:pt>
                <c:pt idx="59">
                  <c:v>107</c:v>
                </c:pt>
                <c:pt idx="60">
                  <c:v>108.9</c:v>
                </c:pt>
                <c:pt idx="61">
                  <c:v>107.9</c:v>
                </c:pt>
                <c:pt idx="62">
                  <c:v>104</c:v>
                </c:pt>
                <c:pt idx="63">
                  <c:v>105.9</c:v>
                </c:pt>
                <c:pt idx="64">
                  <c:v>102.3</c:v>
                </c:pt>
                <c:pt idx="65">
                  <c:v>102.2</c:v>
                </c:pt>
                <c:pt idx="66">
                  <c:v>101.5</c:v>
                </c:pt>
                <c:pt idx="67">
                  <c:v>97.3</c:v>
                </c:pt>
                <c:pt idx="68">
                  <c:v>95.9</c:v>
                </c:pt>
                <c:pt idx="69">
                  <c:v>92.7</c:v>
                </c:pt>
                <c:pt idx="70">
                  <c:v>89.4</c:v>
                </c:pt>
                <c:pt idx="71">
                  <c:v>91.8</c:v>
                </c:pt>
                <c:pt idx="72">
                  <c:v>91.5</c:v>
                </c:pt>
                <c:pt idx="73">
                  <c:v>95.3</c:v>
                </c:pt>
                <c:pt idx="74">
                  <c:v>94.5</c:v>
                </c:pt>
                <c:pt idx="75">
                  <c:v>93.2</c:v>
                </c:pt>
                <c:pt idx="76">
                  <c:v>88.3</c:v>
                </c:pt>
                <c:pt idx="77">
                  <c:v>88.9</c:v>
                </c:pt>
                <c:pt idx="78">
                  <c:v>85.98</c:v>
                </c:pt>
                <c:pt idx="79">
                  <c:v>79.88</c:v>
                </c:pt>
                <c:pt idx="80">
                  <c:v>75.14</c:v>
                </c:pt>
                <c:pt idx="81">
                  <c:v>71.13</c:v>
                </c:pt>
                <c:pt idx="82">
                  <c:v>67.12</c:v>
                </c:pt>
                <c:pt idx="83">
                  <c:v>65.11</c:v>
                </c:pt>
                <c:pt idx="84">
                  <c:v>62.55</c:v>
                </c:pt>
                <c:pt idx="85">
                  <c:v>59.53</c:v>
                </c:pt>
                <c:pt idx="86">
                  <c:v>58.53</c:v>
                </c:pt>
                <c:pt idx="87">
                  <c:v>57.89</c:v>
                </c:pt>
                <c:pt idx="88">
                  <c:v>55.76</c:v>
                </c:pt>
                <c:pt idx="89">
                  <c:v>53.53</c:v>
                </c:pt>
                <c:pt idx="90">
                  <c:v>53.26</c:v>
                </c:pt>
                <c:pt idx="91">
                  <c:v>52.06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Data2'!$G$186:$CT$186</c:f>
              <c:numCache>
                <c:formatCode>General</c:formatCode>
                <c:ptCount val="92"/>
                <c:pt idx="0">
                  <c:v>187</c:v>
                </c:pt>
                <c:pt idx="1">
                  <c:v>170</c:v>
                </c:pt>
                <c:pt idx="2">
                  <c:v>178</c:v>
                </c:pt>
                <c:pt idx="3">
                  <c:v>163</c:v>
                </c:pt>
                <c:pt idx="4">
                  <c:v>209</c:v>
                </c:pt>
                <c:pt idx="5">
                  <c:v>197</c:v>
                </c:pt>
                <c:pt idx="6">
                  <c:v>197</c:v>
                </c:pt>
                <c:pt idx="7">
                  <c:v>179</c:v>
                </c:pt>
                <c:pt idx="8">
                  <c:v>186</c:v>
                </c:pt>
                <c:pt idx="9">
                  <c:v>194</c:v>
                </c:pt>
                <c:pt idx="10">
                  <c:v>195</c:v>
                </c:pt>
                <c:pt idx="11">
                  <c:v>182</c:v>
                </c:pt>
                <c:pt idx="12">
                  <c:v>175</c:v>
                </c:pt>
                <c:pt idx="13">
                  <c:v>179</c:v>
                </c:pt>
                <c:pt idx="14">
                  <c:v>184</c:v>
                </c:pt>
                <c:pt idx="15">
                  <c:v>157</c:v>
                </c:pt>
                <c:pt idx="16">
                  <c:v>188</c:v>
                </c:pt>
                <c:pt idx="17">
                  <c:v>197</c:v>
                </c:pt>
                <c:pt idx="18">
                  <c:v>184</c:v>
                </c:pt>
                <c:pt idx="19">
                  <c:v>206</c:v>
                </c:pt>
                <c:pt idx="20">
                  <c:v>184.7</c:v>
                </c:pt>
                <c:pt idx="21">
                  <c:v>177.7</c:v>
                </c:pt>
                <c:pt idx="22">
                  <c:v>174.3</c:v>
                </c:pt>
                <c:pt idx="23">
                  <c:v>161.30000000000001</c:v>
                </c:pt>
                <c:pt idx="24">
                  <c:v>157.9</c:v>
                </c:pt>
                <c:pt idx="25">
                  <c:v>151.6</c:v>
                </c:pt>
                <c:pt idx="26">
                  <c:v>149.6</c:v>
                </c:pt>
                <c:pt idx="27">
                  <c:v>142</c:v>
                </c:pt>
                <c:pt idx="28">
                  <c:v>137.5</c:v>
                </c:pt>
                <c:pt idx="29">
                  <c:v>138.69999999999999</c:v>
                </c:pt>
                <c:pt idx="30">
                  <c:v>129.9</c:v>
                </c:pt>
                <c:pt idx="31">
                  <c:v>125.4</c:v>
                </c:pt>
                <c:pt idx="32">
                  <c:v>124.5</c:v>
                </c:pt>
                <c:pt idx="33">
                  <c:v>117</c:v>
                </c:pt>
                <c:pt idx="34">
                  <c:v>110.6</c:v>
                </c:pt>
                <c:pt idx="35">
                  <c:v>114</c:v>
                </c:pt>
                <c:pt idx="36">
                  <c:v>110.9</c:v>
                </c:pt>
                <c:pt idx="37">
                  <c:v>105.8</c:v>
                </c:pt>
                <c:pt idx="38">
                  <c:v>106.9</c:v>
                </c:pt>
                <c:pt idx="39">
                  <c:v>105.4</c:v>
                </c:pt>
                <c:pt idx="40">
                  <c:v>104.7</c:v>
                </c:pt>
                <c:pt idx="41">
                  <c:v>95.4</c:v>
                </c:pt>
                <c:pt idx="42">
                  <c:v>95.6</c:v>
                </c:pt>
                <c:pt idx="43">
                  <c:v>95.9</c:v>
                </c:pt>
                <c:pt idx="44">
                  <c:v>93.7</c:v>
                </c:pt>
                <c:pt idx="45">
                  <c:v>92.4</c:v>
                </c:pt>
                <c:pt idx="46">
                  <c:v>92</c:v>
                </c:pt>
                <c:pt idx="47">
                  <c:v>90.4</c:v>
                </c:pt>
                <c:pt idx="48">
                  <c:v>86.5</c:v>
                </c:pt>
                <c:pt idx="49">
                  <c:v>84.4</c:v>
                </c:pt>
                <c:pt idx="50">
                  <c:v>78.5</c:v>
                </c:pt>
                <c:pt idx="51">
                  <c:v>82.3</c:v>
                </c:pt>
                <c:pt idx="52">
                  <c:v>82.9</c:v>
                </c:pt>
                <c:pt idx="53">
                  <c:v>79.8</c:v>
                </c:pt>
                <c:pt idx="54">
                  <c:v>79.900000000000006</c:v>
                </c:pt>
                <c:pt idx="55">
                  <c:v>76.7</c:v>
                </c:pt>
                <c:pt idx="56">
                  <c:v>78.8</c:v>
                </c:pt>
                <c:pt idx="57">
                  <c:v>75.5</c:v>
                </c:pt>
                <c:pt idx="58">
                  <c:v>74.3</c:v>
                </c:pt>
                <c:pt idx="59">
                  <c:v>72.599999999999994</c:v>
                </c:pt>
                <c:pt idx="60">
                  <c:v>72.900000000000006</c:v>
                </c:pt>
                <c:pt idx="61">
                  <c:v>72.400000000000006</c:v>
                </c:pt>
                <c:pt idx="62">
                  <c:v>71.400000000000006</c:v>
                </c:pt>
                <c:pt idx="63">
                  <c:v>70.8</c:v>
                </c:pt>
                <c:pt idx="64">
                  <c:v>71.400000000000006</c:v>
                </c:pt>
                <c:pt idx="65">
                  <c:v>71.099999999999994</c:v>
                </c:pt>
                <c:pt idx="66">
                  <c:v>68.599999999999994</c:v>
                </c:pt>
                <c:pt idx="67">
                  <c:v>69.599999999999994</c:v>
                </c:pt>
                <c:pt idx="68">
                  <c:v>68.8</c:v>
                </c:pt>
                <c:pt idx="69">
                  <c:v>64.400000000000006</c:v>
                </c:pt>
                <c:pt idx="70">
                  <c:v>66.5</c:v>
                </c:pt>
                <c:pt idx="71">
                  <c:v>64.099999999999994</c:v>
                </c:pt>
                <c:pt idx="72">
                  <c:v>65.099999999999994</c:v>
                </c:pt>
                <c:pt idx="73">
                  <c:v>64.400000000000006</c:v>
                </c:pt>
                <c:pt idx="74">
                  <c:v>62.2</c:v>
                </c:pt>
                <c:pt idx="75">
                  <c:v>60.8</c:v>
                </c:pt>
                <c:pt idx="76">
                  <c:v>62.5</c:v>
                </c:pt>
                <c:pt idx="77">
                  <c:v>62.3</c:v>
                </c:pt>
                <c:pt idx="78">
                  <c:v>57.93</c:v>
                </c:pt>
                <c:pt idx="79">
                  <c:v>54.73</c:v>
                </c:pt>
                <c:pt idx="80">
                  <c:v>50.67</c:v>
                </c:pt>
                <c:pt idx="81">
                  <c:v>48.53</c:v>
                </c:pt>
                <c:pt idx="82">
                  <c:v>46.3</c:v>
                </c:pt>
                <c:pt idx="83">
                  <c:v>44.28</c:v>
                </c:pt>
                <c:pt idx="84">
                  <c:v>43.01</c:v>
                </c:pt>
                <c:pt idx="85">
                  <c:v>41.97</c:v>
                </c:pt>
                <c:pt idx="86">
                  <c:v>40.479999999999997</c:v>
                </c:pt>
                <c:pt idx="87">
                  <c:v>39.47</c:v>
                </c:pt>
                <c:pt idx="88">
                  <c:v>38.36</c:v>
                </c:pt>
                <c:pt idx="89">
                  <c:v>36.840000000000003</c:v>
                </c:pt>
                <c:pt idx="90">
                  <c:v>36.659999999999997</c:v>
                </c:pt>
                <c:pt idx="91">
                  <c:v>36.01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Data2'!$G$187:$CT$187</c:f>
              <c:numCache>
                <c:formatCode>General</c:formatCode>
                <c:ptCount val="92"/>
                <c:pt idx="0">
                  <c:v>261</c:v>
                </c:pt>
                <c:pt idx="1">
                  <c:v>255</c:v>
                </c:pt>
                <c:pt idx="2">
                  <c:v>218</c:v>
                </c:pt>
                <c:pt idx="3">
                  <c:v>235</c:v>
                </c:pt>
                <c:pt idx="4">
                  <c:v>234</c:v>
                </c:pt>
                <c:pt idx="5">
                  <c:v>241</c:v>
                </c:pt>
                <c:pt idx="6">
                  <c:v>241</c:v>
                </c:pt>
                <c:pt idx="7">
                  <c:v>253</c:v>
                </c:pt>
                <c:pt idx="8">
                  <c:v>218</c:v>
                </c:pt>
                <c:pt idx="9">
                  <c:v>240</c:v>
                </c:pt>
                <c:pt idx="10">
                  <c:v>241</c:v>
                </c:pt>
                <c:pt idx="11">
                  <c:v>240</c:v>
                </c:pt>
                <c:pt idx="12">
                  <c:v>239</c:v>
                </c:pt>
                <c:pt idx="13">
                  <c:v>254</c:v>
                </c:pt>
                <c:pt idx="14">
                  <c:v>245</c:v>
                </c:pt>
                <c:pt idx="15">
                  <c:v>229</c:v>
                </c:pt>
                <c:pt idx="16">
                  <c:v>251</c:v>
                </c:pt>
                <c:pt idx="17">
                  <c:v>234</c:v>
                </c:pt>
                <c:pt idx="18">
                  <c:v>231</c:v>
                </c:pt>
                <c:pt idx="19">
                  <c:v>231</c:v>
                </c:pt>
                <c:pt idx="20">
                  <c:v>232.4</c:v>
                </c:pt>
                <c:pt idx="21">
                  <c:v>218.9</c:v>
                </c:pt>
                <c:pt idx="22">
                  <c:v>220.3</c:v>
                </c:pt>
                <c:pt idx="23">
                  <c:v>207.9</c:v>
                </c:pt>
                <c:pt idx="24">
                  <c:v>200.1</c:v>
                </c:pt>
                <c:pt idx="25">
                  <c:v>186.6</c:v>
                </c:pt>
                <c:pt idx="26">
                  <c:v>188.6</c:v>
                </c:pt>
                <c:pt idx="27">
                  <c:v>182.4</c:v>
                </c:pt>
                <c:pt idx="28">
                  <c:v>169.2</c:v>
                </c:pt>
                <c:pt idx="29">
                  <c:v>172.1</c:v>
                </c:pt>
                <c:pt idx="30">
                  <c:v>161.30000000000001</c:v>
                </c:pt>
                <c:pt idx="31">
                  <c:v>153.80000000000001</c:v>
                </c:pt>
                <c:pt idx="32">
                  <c:v>153.69999999999999</c:v>
                </c:pt>
                <c:pt idx="33">
                  <c:v>147.4</c:v>
                </c:pt>
                <c:pt idx="34">
                  <c:v>138.19999999999999</c:v>
                </c:pt>
                <c:pt idx="35">
                  <c:v>142.5</c:v>
                </c:pt>
                <c:pt idx="36">
                  <c:v>137</c:v>
                </c:pt>
                <c:pt idx="37">
                  <c:v>131.30000000000001</c:v>
                </c:pt>
                <c:pt idx="38">
                  <c:v>127.3</c:v>
                </c:pt>
                <c:pt idx="39">
                  <c:v>129.9</c:v>
                </c:pt>
                <c:pt idx="40">
                  <c:v>120.2</c:v>
                </c:pt>
                <c:pt idx="41">
                  <c:v>119</c:v>
                </c:pt>
                <c:pt idx="42">
                  <c:v>118.2</c:v>
                </c:pt>
                <c:pt idx="43">
                  <c:v>115.7</c:v>
                </c:pt>
                <c:pt idx="44">
                  <c:v>111.8</c:v>
                </c:pt>
                <c:pt idx="45">
                  <c:v>108.8</c:v>
                </c:pt>
                <c:pt idx="46">
                  <c:v>107.2</c:v>
                </c:pt>
                <c:pt idx="47">
                  <c:v>105.8</c:v>
                </c:pt>
                <c:pt idx="48">
                  <c:v>102.2</c:v>
                </c:pt>
                <c:pt idx="49">
                  <c:v>97.8</c:v>
                </c:pt>
                <c:pt idx="50">
                  <c:v>98</c:v>
                </c:pt>
                <c:pt idx="51">
                  <c:v>102.3</c:v>
                </c:pt>
                <c:pt idx="52">
                  <c:v>96</c:v>
                </c:pt>
                <c:pt idx="53">
                  <c:v>93.7</c:v>
                </c:pt>
                <c:pt idx="54">
                  <c:v>94.3</c:v>
                </c:pt>
                <c:pt idx="55">
                  <c:v>92.4</c:v>
                </c:pt>
                <c:pt idx="56">
                  <c:v>87.1</c:v>
                </c:pt>
                <c:pt idx="57">
                  <c:v>83</c:v>
                </c:pt>
                <c:pt idx="58">
                  <c:v>86.1</c:v>
                </c:pt>
                <c:pt idx="59">
                  <c:v>87</c:v>
                </c:pt>
                <c:pt idx="60">
                  <c:v>85.8</c:v>
                </c:pt>
                <c:pt idx="61">
                  <c:v>84.5</c:v>
                </c:pt>
                <c:pt idx="62">
                  <c:v>82.3</c:v>
                </c:pt>
                <c:pt idx="63">
                  <c:v>82</c:v>
                </c:pt>
                <c:pt idx="64">
                  <c:v>80.900000000000006</c:v>
                </c:pt>
                <c:pt idx="65">
                  <c:v>79.2</c:v>
                </c:pt>
                <c:pt idx="66">
                  <c:v>79.3</c:v>
                </c:pt>
                <c:pt idx="67">
                  <c:v>74.900000000000006</c:v>
                </c:pt>
                <c:pt idx="68">
                  <c:v>77.5</c:v>
                </c:pt>
                <c:pt idx="69">
                  <c:v>78.7</c:v>
                </c:pt>
                <c:pt idx="70">
                  <c:v>72.5</c:v>
                </c:pt>
                <c:pt idx="71">
                  <c:v>75</c:v>
                </c:pt>
                <c:pt idx="72">
                  <c:v>69.599999999999994</c:v>
                </c:pt>
                <c:pt idx="73">
                  <c:v>71.8</c:v>
                </c:pt>
                <c:pt idx="74">
                  <c:v>70.099999999999994</c:v>
                </c:pt>
                <c:pt idx="75">
                  <c:v>73.3</c:v>
                </c:pt>
                <c:pt idx="76">
                  <c:v>69.2</c:v>
                </c:pt>
                <c:pt idx="77">
                  <c:v>69.5</c:v>
                </c:pt>
                <c:pt idx="78">
                  <c:v>67.08</c:v>
                </c:pt>
                <c:pt idx="79">
                  <c:v>60.64</c:v>
                </c:pt>
                <c:pt idx="80">
                  <c:v>56</c:v>
                </c:pt>
                <c:pt idx="81">
                  <c:v>53.52</c:v>
                </c:pt>
                <c:pt idx="82">
                  <c:v>50.36</c:v>
                </c:pt>
                <c:pt idx="83">
                  <c:v>47.85</c:v>
                </c:pt>
                <c:pt idx="84">
                  <c:v>46.04</c:v>
                </c:pt>
                <c:pt idx="85">
                  <c:v>45.03</c:v>
                </c:pt>
                <c:pt idx="86">
                  <c:v>43.32</c:v>
                </c:pt>
                <c:pt idx="87">
                  <c:v>43.17</c:v>
                </c:pt>
                <c:pt idx="88">
                  <c:v>40.700000000000003</c:v>
                </c:pt>
                <c:pt idx="89">
                  <c:v>39.549999999999997</c:v>
                </c:pt>
                <c:pt idx="90">
                  <c:v>38.049999999999997</c:v>
                </c:pt>
                <c:pt idx="91">
                  <c:v>36.79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Data2'!$G$188:$CT$188</c:f>
              <c:numCache>
                <c:formatCode>General</c:formatCode>
                <c:ptCount val="92"/>
                <c:pt idx="0">
                  <c:v>285</c:v>
                </c:pt>
                <c:pt idx="1">
                  <c:v>280</c:v>
                </c:pt>
                <c:pt idx="2">
                  <c:v>290</c:v>
                </c:pt>
                <c:pt idx="3">
                  <c:v>300</c:v>
                </c:pt>
                <c:pt idx="4">
                  <c:v>297</c:v>
                </c:pt>
                <c:pt idx="5">
                  <c:v>300</c:v>
                </c:pt>
                <c:pt idx="6">
                  <c:v>272</c:v>
                </c:pt>
                <c:pt idx="7">
                  <c:v>271</c:v>
                </c:pt>
                <c:pt idx="8">
                  <c:v>279</c:v>
                </c:pt>
                <c:pt idx="9">
                  <c:v>285</c:v>
                </c:pt>
                <c:pt idx="10">
                  <c:v>291</c:v>
                </c:pt>
                <c:pt idx="11">
                  <c:v>268</c:v>
                </c:pt>
                <c:pt idx="12">
                  <c:v>286</c:v>
                </c:pt>
                <c:pt idx="13">
                  <c:v>268</c:v>
                </c:pt>
                <c:pt idx="14">
                  <c:v>286</c:v>
                </c:pt>
                <c:pt idx="15">
                  <c:v>274</c:v>
                </c:pt>
                <c:pt idx="16">
                  <c:v>278</c:v>
                </c:pt>
                <c:pt idx="17">
                  <c:v>268</c:v>
                </c:pt>
                <c:pt idx="18">
                  <c:v>279</c:v>
                </c:pt>
                <c:pt idx="19">
                  <c:v>274</c:v>
                </c:pt>
                <c:pt idx="20">
                  <c:v>266.5</c:v>
                </c:pt>
                <c:pt idx="21">
                  <c:v>248.6</c:v>
                </c:pt>
                <c:pt idx="22">
                  <c:v>248.8</c:v>
                </c:pt>
                <c:pt idx="23">
                  <c:v>238.3</c:v>
                </c:pt>
                <c:pt idx="24">
                  <c:v>230.1</c:v>
                </c:pt>
                <c:pt idx="25">
                  <c:v>215.9</c:v>
                </c:pt>
                <c:pt idx="26">
                  <c:v>206.3</c:v>
                </c:pt>
                <c:pt idx="27">
                  <c:v>205</c:v>
                </c:pt>
                <c:pt idx="28">
                  <c:v>190.1</c:v>
                </c:pt>
                <c:pt idx="29">
                  <c:v>185.5</c:v>
                </c:pt>
                <c:pt idx="30">
                  <c:v>178.1</c:v>
                </c:pt>
                <c:pt idx="31">
                  <c:v>178.8</c:v>
                </c:pt>
                <c:pt idx="32">
                  <c:v>170.9</c:v>
                </c:pt>
                <c:pt idx="33">
                  <c:v>161.1</c:v>
                </c:pt>
                <c:pt idx="34">
                  <c:v>157.30000000000001</c:v>
                </c:pt>
                <c:pt idx="35">
                  <c:v>148.9</c:v>
                </c:pt>
                <c:pt idx="36">
                  <c:v>150.6</c:v>
                </c:pt>
                <c:pt idx="37">
                  <c:v>148.9</c:v>
                </c:pt>
                <c:pt idx="38">
                  <c:v>138.6</c:v>
                </c:pt>
                <c:pt idx="39">
                  <c:v>140.1</c:v>
                </c:pt>
                <c:pt idx="40">
                  <c:v>131.69999999999999</c:v>
                </c:pt>
                <c:pt idx="41">
                  <c:v>130.69999999999999</c:v>
                </c:pt>
                <c:pt idx="42">
                  <c:v>125.6</c:v>
                </c:pt>
                <c:pt idx="43">
                  <c:v>124.9</c:v>
                </c:pt>
                <c:pt idx="44">
                  <c:v>123.9</c:v>
                </c:pt>
                <c:pt idx="45">
                  <c:v>116.9</c:v>
                </c:pt>
                <c:pt idx="46">
                  <c:v>111.4</c:v>
                </c:pt>
                <c:pt idx="47">
                  <c:v>110.5</c:v>
                </c:pt>
                <c:pt idx="48">
                  <c:v>113.9</c:v>
                </c:pt>
                <c:pt idx="49">
                  <c:v>107.8</c:v>
                </c:pt>
                <c:pt idx="50">
                  <c:v>105.5</c:v>
                </c:pt>
                <c:pt idx="51">
                  <c:v>101.3</c:v>
                </c:pt>
                <c:pt idx="52">
                  <c:v>104.3</c:v>
                </c:pt>
                <c:pt idx="53">
                  <c:v>100.9</c:v>
                </c:pt>
                <c:pt idx="54">
                  <c:v>100.9</c:v>
                </c:pt>
                <c:pt idx="55">
                  <c:v>97.4</c:v>
                </c:pt>
                <c:pt idx="56">
                  <c:v>96.4</c:v>
                </c:pt>
                <c:pt idx="57">
                  <c:v>98</c:v>
                </c:pt>
                <c:pt idx="58">
                  <c:v>96.7</c:v>
                </c:pt>
                <c:pt idx="59">
                  <c:v>92.2</c:v>
                </c:pt>
                <c:pt idx="60">
                  <c:v>91.2</c:v>
                </c:pt>
                <c:pt idx="61">
                  <c:v>89.9</c:v>
                </c:pt>
                <c:pt idx="62">
                  <c:v>87.6</c:v>
                </c:pt>
                <c:pt idx="63">
                  <c:v>85.2</c:v>
                </c:pt>
                <c:pt idx="64">
                  <c:v>78.7</c:v>
                </c:pt>
                <c:pt idx="65">
                  <c:v>84.4</c:v>
                </c:pt>
                <c:pt idx="66">
                  <c:v>81.099999999999994</c:v>
                </c:pt>
                <c:pt idx="67">
                  <c:v>79.7</c:v>
                </c:pt>
                <c:pt idx="68">
                  <c:v>80.400000000000006</c:v>
                </c:pt>
                <c:pt idx="69">
                  <c:v>83.8</c:v>
                </c:pt>
                <c:pt idx="70">
                  <c:v>74.8</c:v>
                </c:pt>
                <c:pt idx="71">
                  <c:v>74.900000000000006</c:v>
                </c:pt>
                <c:pt idx="72">
                  <c:v>77.400000000000006</c:v>
                </c:pt>
                <c:pt idx="73">
                  <c:v>71.599999999999994</c:v>
                </c:pt>
                <c:pt idx="74">
                  <c:v>72.2</c:v>
                </c:pt>
                <c:pt idx="75">
                  <c:v>76.2</c:v>
                </c:pt>
                <c:pt idx="76">
                  <c:v>73.7</c:v>
                </c:pt>
                <c:pt idx="77">
                  <c:v>71.400000000000006</c:v>
                </c:pt>
                <c:pt idx="78">
                  <c:v>67.67</c:v>
                </c:pt>
                <c:pt idx="79">
                  <c:v>60.91</c:v>
                </c:pt>
                <c:pt idx="80">
                  <c:v>56.22</c:v>
                </c:pt>
                <c:pt idx="81">
                  <c:v>51.96</c:v>
                </c:pt>
                <c:pt idx="82">
                  <c:v>49.42</c:v>
                </c:pt>
                <c:pt idx="83">
                  <c:v>46.53</c:v>
                </c:pt>
                <c:pt idx="84">
                  <c:v>44.12</c:v>
                </c:pt>
                <c:pt idx="85">
                  <c:v>42.71</c:v>
                </c:pt>
                <c:pt idx="86">
                  <c:v>40.630000000000003</c:v>
                </c:pt>
                <c:pt idx="87">
                  <c:v>39.75</c:v>
                </c:pt>
                <c:pt idx="88">
                  <c:v>38.090000000000003</c:v>
                </c:pt>
                <c:pt idx="89">
                  <c:v>37.25</c:v>
                </c:pt>
                <c:pt idx="90">
                  <c:v>35.31</c:v>
                </c:pt>
                <c:pt idx="91">
                  <c:v>34.53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Data2'!$G$189:$CT$189</c:f>
              <c:numCache>
                <c:formatCode>General</c:formatCode>
                <c:ptCount val="92"/>
                <c:pt idx="0">
                  <c:v>234</c:v>
                </c:pt>
                <c:pt idx="1">
                  <c:v>252</c:v>
                </c:pt>
                <c:pt idx="2">
                  <c:v>257</c:v>
                </c:pt>
                <c:pt idx="3">
                  <c:v>249</c:v>
                </c:pt>
                <c:pt idx="4">
                  <c:v>260</c:v>
                </c:pt>
                <c:pt idx="5">
                  <c:v>256</c:v>
                </c:pt>
                <c:pt idx="6">
                  <c:v>257</c:v>
                </c:pt>
                <c:pt idx="7">
                  <c:v>263</c:v>
                </c:pt>
                <c:pt idx="8">
                  <c:v>241</c:v>
                </c:pt>
                <c:pt idx="9">
                  <c:v>248</c:v>
                </c:pt>
                <c:pt idx="10">
                  <c:v>235</c:v>
                </c:pt>
                <c:pt idx="11">
                  <c:v>235</c:v>
                </c:pt>
                <c:pt idx="12">
                  <c:v>232</c:v>
                </c:pt>
                <c:pt idx="13">
                  <c:v>242</c:v>
                </c:pt>
                <c:pt idx="14">
                  <c:v>240</c:v>
                </c:pt>
                <c:pt idx="15">
                  <c:v>237</c:v>
                </c:pt>
                <c:pt idx="16">
                  <c:v>238</c:v>
                </c:pt>
                <c:pt idx="17">
                  <c:v>237</c:v>
                </c:pt>
                <c:pt idx="18">
                  <c:v>241</c:v>
                </c:pt>
                <c:pt idx="19">
                  <c:v>233</c:v>
                </c:pt>
                <c:pt idx="20">
                  <c:v>240.6</c:v>
                </c:pt>
                <c:pt idx="21">
                  <c:v>233.6</c:v>
                </c:pt>
                <c:pt idx="22">
                  <c:v>219.5</c:v>
                </c:pt>
                <c:pt idx="23">
                  <c:v>210.2</c:v>
                </c:pt>
                <c:pt idx="24">
                  <c:v>202.3</c:v>
                </c:pt>
                <c:pt idx="25">
                  <c:v>194.1</c:v>
                </c:pt>
                <c:pt idx="26">
                  <c:v>181.3</c:v>
                </c:pt>
                <c:pt idx="27">
                  <c:v>182.4</c:v>
                </c:pt>
                <c:pt idx="28">
                  <c:v>173.8</c:v>
                </c:pt>
                <c:pt idx="29">
                  <c:v>165</c:v>
                </c:pt>
                <c:pt idx="30">
                  <c:v>160.4</c:v>
                </c:pt>
                <c:pt idx="31">
                  <c:v>157.19999999999999</c:v>
                </c:pt>
                <c:pt idx="32">
                  <c:v>155</c:v>
                </c:pt>
                <c:pt idx="33">
                  <c:v>148.1</c:v>
                </c:pt>
                <c:pt idx="34">
                  <c:v>143.80000000000001</c:v>
                </c:pt>
                <c:pt idx="35">
                  <c:v>143.6</c:v>
                </c:pt>
                <c:pt idx="36">
                  <c:v>135.69999999999999</c:v>
                </c:pt>
                <c:pt idx="37">
                  <c:v>138.1</c:v>
                </c:pt>
                <c:pt idx="38">
                  <c:v>129.5</c:v>
                </c:pt>
                <c:pt idx="39">
                  <c:v>128.69999999999999</c:v>
                </c:pt>
                <c:pt idx="40">
                  <c:v>123</c:v>
                </c:pt>
                <c:pt idx="41">
                  <c:v>121.1</c:v>
                </c:pt>
                <c:pt idx="42">
                  <c:v>121.9</c:v>
                </c:pt>
                <c:pt idx="43">
                  <c:v>113.1</c:v>
                </c:pt>
                <c:pt idx="44">
                  <c:v>117</c:v>
                </c:pt>
                <c:pt idx="45">
                  <c:v>111.5</c:v>
                </c:pt>
                <c:pt idx="46">
                  <c:v>108.8</c:v>
                </c:pt>
                <c:pt idx="47">
                  <c:v>106.5</c:v>
                </c:pt>
                <c:pt idx="48">
                  <c:v>104.7</c:v>
                </c:pt>
                <c:pt idx="49">
                  <c:v>105.4</c:v>
                </c:pt>
                <c:pt idx="50">
                  <c:v>99.7</c:v>
                </c:pt>
                <c:pt idx="51">
                  <c:v>99.9</c:v>
                </c:pt>
                <c:pt idx="52">
                  <c:v>95.1</c:v>
                </c:pt>
                <c:pt idx="53">
                  <c:v>96.3</c:v>
                </c:pt>
                <c:pt idx="54">
                  <c:v>96.3</c:v>
                </c:pt>
                <c:pt idx="55">
                  <c:v>87.7</c:v>
                </c:pt>
                <c:pt idx="56">
                  <c:v>91.5</c:v>
                </c:pt>
                <c:pt idx="57">
                  <c:v>87.5</c:v>
                </c:pt>
                <c:pt idx="58">
                  <c:v>86.2</c:v>
                </c:pt>
                <c:pt idx="59">
                  <c:v>84.2</c:v>
                </c:pt>
                <c:pt idx="60">
                  <c:v>85.1</c:v>
                </c:pt>
                <c:pt idx="61">
                  <c:v>82.8</c:v>
                </c:pt>
                <c:pt idx="62">
                  <c:v>85.9</c:v>
                </c:pt>
                <c:pt idx="63">
                  <c:v>83.2</c:v>
                </c:pt>
                <c:pt idx="64">
                  <c:v>81.099999999999994</c:v>
                </c:pt>
                <c:pt idx="65">
                  <c:v>78.099999999999994</c:v>
                </c:pt>
                <c:pt idx="66">
                  <c:v>77.5</c:v>
                </c:pt>
                <c:pt idx="67">
                  <c:v>76.900000000000006</c:v>
                </c:pt>
                <c:pt idx="68">
                  <c:v>76.7</c:v>
                </c:pt>
                <c:pt idx="69">
                  <c:v>75.099999999999994</c:v>
                </c:pt>
                <c:pt idx="70">
                  <c:v>74.2</c:v>
                </c:pt>
                <c:pt idx="71">
                  <c:v>70.099999999999994</c:v>
                </c:pt>
                <c:pt idx="72">
                  <c:v>72.8</c:v>
                </c:pt>
                <c:pt idx="73">
                  <c:v>76.8</c:v>
                </c:pt>
                <c:pt idx="74">
                  <c:v>68.7</c:v>
                </c:pt>
                <c:pt idx="75">
                  <c:v>66</c:v>
                </c:pt>
                <c:pt idx="76">
                  <c:v>70</c:v>
                </c:pt>
                <c:pt idx="77">
                  <c:v>70.2</c:v>
                </c:pt>
                <c:pt idx="78">
                  <c:v>63.59</c:v>
                </c:pt>
                <c:pt idx="79">
                  <c:v>58.75</c:v>
                </c:pt>
                <c:pt idx="80">
                  <c:v>54.49</c:v>
                </c:pt>
                <c:pt idx="81">
                  <c:v>50.73</c:v>
                </c:pt>
                <c:pt idx="82">
                  <c:v>47.82</c:v>
                </c:pt>
                <c:pt idx="83">
                  <c:v>45.94</c:v>
                </c:pt>
                <c:pt idx="84">
                  <c:v>44.24</c:v>
                </c:pt>
                <c:pt idx="85">
                  <c:v>41.83</c:v>
                </c:pt>
                <c:pt idx="86">
                  <c:v>40.39</c:v>
                </c:pt>
                <c:pt idx="87">
                  <c:v>39.840000000000003</c:v>
                </c:pt>
                <c:pt idx="88">
                  <c:v>37.85</c:v>
                </c:pt>
                <c:pt idx="89">
                  <c:v>37.24</c:v>
                </c:pt>
                <c:pt idx="90">
                  <c:v>36.86</c:v>
                </c:pt>
                <c:pt idx="91">
                  <c:v>35.5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Data2'!$G$190:$CT$190</c:f>
              <c:numCache>
                <c:formatCode>General</c:formatCode>
                <c:ptCount val="92"/>
                <c:pt idx="0">
                  <c:v>470</c:v>
                </c:pt>
                <c:pt idx="1">
                  <c:v>462</c:v>
                </c:pt>
                <c:pt idx="2">
                  <c:v>436</c:v>
                </c:pt>
                <c:pt idx="3">
                  <c:v>468</c:v>
                </c:pt>
                <c:pt idx="4">
                  <c:v>453</c:v>
                </c:pt>
                <c:pt idx="5">
                  <c:v>455</c:v>
                </c:pt>
                <c:pt idx="6">
                  <c:v>457</c:v>
                </c:pt>
                <c:pt idx="7">
                  <c:v>457</c:v>
                </c:pt>
                <c:pt idx="8">
                  <c:v>448</c:v>
                </c:pt>
                <c:pt idx="9">
                  <c:v>440</c:v>
                </c:pt>
                <c:pt idx="10">
                  <c:v>463</c:v>
                </c:pt>
                <c:pt idx="11">
                  <c:v>440</c:v>
                </c:pt>
                <c:pt idx="12">
                  <c:v>449</c:v>
                </c:pt>
                <c:pt idx="13">
                  <c:v>418</c:v>
                </c:pt>
                <c:pt idx="14">
                  <c:v>433</c:v>
                </c:pt>
                <c:pt idx="15">
                  <c:v>452</c:v>
                </c:pt>
                <c:pt idx="16">
                  <c:v>425</c:v>
                </c:pt>
                <c:pt idx="17">
                  <c:v>418</c:v>
                </c:pt>
                <c:pt idx="18">
                  <c:v>417</c:v>
                </c:pt>
                <c:pt idx="19">
                  <c:v>427</c:v>
                </c:pt>
                <c:pt idx="20">
                  <c:v>429.9</c:v>
                </c:pt>
                <c:pt idx="21">
                  <c:v>399.6</c:v>
                </c:pt>
                <c:pt idx="22">
                  <c:v>384</c:v>
                </c:pt>
                <c:pt idx="23">
                  <c:v>365.1</c:v>
                </c:pt>
                <c:pt idx="24">
                  <c:v>358.8</c:v>
                </c:pt>
                <c:pt idx="25">
                  <c:v>341.9</c:v>
                </c:pt>
                <c:pt idx="26">
                  <c:v>323.60000000000002</c:v>
                </c:pt>
                <c:pt idx="27">
                  <c:v>308.5</c:v>
                </c:pt>
                <c:pt idx="28">
                  <c:v>289.8</c:v>
                </c:pt>
                <c:pt idx="29">
                  <c:v>287.60000000000002</c:v>
                </c:pt>
                <c:pt idx="30">
                  <c:v>274.8</c:v>
                </c:pt>
                <c:pt idx="31">
                  <c:v>259.39999999999998</c:v>
                </c:pt>
                <c:pt idx="32">
                  <c:v>254.8</c:v>
                </c:pt>
                <c:pt idx="33">
                  <c:v>244.6</c:v>
                </c:pt>
                <c:pt idx="34">
                  <c:v>238</c:v>
                </c:pt>
                <c:pt idx="35">
                  <c:v>234.1</c:v>
                </c:pt>
                <c:pt idx="36">
                  <c:v>222.2</c:v>
                </c:pt>
                <c:pt idx="37">
                  <c:v>211.8</c:v>
                </c:pt>
                <c:pt idx="38">
                  <c:v>213.4</c:v>
                </c:pt>
                <c:pt idx="39">
                  <c:v>205.1</c:v>
                </c:pt>
                <c:pt idx="40">
                  <c:v>197.3</c:v>
                </c:pt>
                <c:pt idx="41">
                  <c:v>197.9</c:v>
                </c:pt>
                <c:pt idx="42">
                  <c:v>190</c:v>
                </c:pt>
                <c:pt idx="43">
                  <c:v>181.7</c:v>
                </c:pt>
                <c:pt idx="44">
                  <c:v>182.7</c:v>
                </c:pt>
                <c:pt idx="45">
                  <c:v>178.9</c:v>
                </c:pt>
                <c:pt idx="46">
                  <c:v>175.1</c:v>
                </c:pt>
                <c:pt idx="47">
                  <c:v>167.1</c:v>
                </c:pt>
                <c:pt idx="48">
                  <c:v>161.69999999999999</c:v>
                </c:pt>
                <c:pt idx="49">
                  <c:v>162.6</c:v>
                </c:pt>
                <c:pt idx="50">
                  <c:v>152.1</c:v>
                </c:pt>
                <c:pt idx="51">
                  <c:v>151.1</c:v>
                </c:pt>
                <c:pt idx="52">
                  <c:v>154.19999999999999</c:v>
                </c:pt>
                <c:pt idx="53">
                  <c:v>147.69999999999999</c:v>
                </c:pt>
                <c:pt idx="54">
                  <c:v>145.9</c:v>
                </c:pt>
                <c:pt idx="55">
                  <c:v>146.4</c:v>
                </c:pt>
                <c:pt idx="56">
                  <c:v>141.30000000000001</c:v>
                </c:pt>
                <c:pt idx="57">
                  <c:v>136.6</c:v>
                </c:pt>
                <c:pt idx="58">
                  <c:v>133.6</c:v>
                </c:pt>
                <c:pt idx="59">
                  <c:v>131.5</c:v>
                </c:pt>
                <c:pt idx="60">
                  <c:v>129.6</c:v>
                </c:pt>
                <c:pt idx="61">
                  <c:v>129.19999999999999</c:v>
                </c:pt>
                <c:pt idx="62">
                  <c:v>125.1</c:v>
                </c:pt>
                <c:pt idx="63">
                  <c:v>123.5</c:v>
                </c:pt>
                <c:pt idx="64">
                  <c:v>116.6</c:v>
                </c:pt>
                <c:pt idx="65">
                  <c:v>116.2</c:v>
                </c:pt>
                <c:pt idx="66">
                  <c:v>111.4</c:v>
                </c:pt>
                <c:pt idx="67">
                  <c:v>115.7</c:v>
                </c:pt>
                <c:pt idx="68">
                  <c:v>113.9</c:v>
                </c:pt>
                <c:pt idx="69">
                  <c:v>113</c:v>
                </c:pt>
                <c:pt idx="70">
                  <c:v>109.7</c:v>
                </c:pt>
                <c:pt idx="71">
                  <c:v>109.1</c:v>
                </c:pt>
                <c:pt idx="72">
                  <c:v>109.4</c:v>
                </c:pt>
                <c:pt idx="73">
                  <c:v>107.3</c:v>
                </c:pt>
                <c:pt idx="74">
                  <c:v>107.3</c:v>
                </c:pt>
                <c:pt idx="75">
                  <c:v>103.7</c:v>
                </c:pt>
                <c:pt idx="76">
                  <c:v>101.5</c:v>
                </c:pt>
                <c:pt idx="77">
                  <c:v>96.9</c:v>
                </c:pt>
                <c:pt idx="78">
                  <c:v>94.22</c:v>
                </c:pt>
                <c:pt idx="79">
                  <c:v>84.83</c:v>
                </c:pt>
                <c:pt idx="80">
                  <c:v>76.92</c:v>
                </c:pt>
                <c:pt idx="81">
                  <c:v>70.540000000000006</c:v>
                </c:pt>
                <c:pt idx="82">
                  <c:v>65.739999999999995</c:v>
                </c:pt>
                <c:pt idx="83">
                  <c:v>60.83</c:v>
                </c:pt>
                <c:pt idx="84">
                  <c:v>58.36</c:v>
                </c:pt>
                <c:pt idx="85">
                  <c:v>54.32</c:v>
                </c:pt>
                <c:pt idx="86">
                  <c:v>51.99</c:v>
                </c:pt>
                <c:pt idx="87">
                  <c:v>49.61</c:v>
                </c:pt>
                <c:pt idx="88">
                  <c:v>46.62</c:v>
                </c:pt>
                <c:pt idx="89">
                  <c:v>45.81</c:v>
                </c:pt>
                <c:pt idx="90">
                  <c:v>43.35</c:v>
                </c:pt>
                <c:pt idx="91">
                  <c:v>43.34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Data2'!$G$191:$CT$191</c:f>
              <c:numCache>
                <c:formatCode>General</c:formatCode>
                <c:ptCount val="92"/>
                <c:pt idx="0">
                  <c:v>268</c:v>
                </c:pt>
                <c:pt idx="1">
                  <c:v>263</c:v>
                </c:pt>
                <c:pt idx="2">
                  <c:v>270</c:v>
                </c:pt>
                <c:pt idx="3">
                  <c:v>261</c:v>
                </c:pt>
                <c:pt idx="4">
                  <c:v>259</c:v>
                </c:pt>
                <c:pt idx="5">
                  <c:v>250</c:v>
                </c:pt>
                <c:pt idx="6">
                  <c:v>270</c:v>
                </c:pt>
                <c:pt idx="7">
                  <c:v>247</c:v>
                </c:pt>
                <c:pt idx="8">
                  <c:v>251</c:v>
                </c:pt>
                <c:pt idx="9">
                  <c:v>240</c:v>
                </c:pt>
                <c:pt idx="10">
                  <c:v>252</c:v>
                </c:pt>
                <c:pt idx="11">
                  <c:v>283</c:v>
                </c:pt>
                <c:pt idx="12">
                  <c:v>269</c:v>
                </c:pt>
                <c:pt idx="13">
                  <c:v>273</c:v>
                </c:pt>
                <c:pt idx="14">
                  <c:v>268</c:v>
                </c:pt>
                <c:pt idx="15">
                  <c:v>267</c:v>
                </c:pt>
                <c:pt idx="16">
                  <c:v>250</c:v>
                </c:pt>
                <c:pt idx="17">
                  <c:v>276</c:v>
                </c:pt>
                <c:pt idx="18">
                  <c:v>250</c:v>
                </c:pt>
                <c:pt idx="19">
                  <c:v>237</c:v>
                </c:pt>
                <c:pt idx="20">
                  <c:v>248.9</c:v>
                </c:pt>
                <c:pt idx="21">
                  <c:v>234.3</c:v>
                </c:pt>
                <c:pt idx="22">
                  <c:v>223.6</c:v>
                </c:pt>
                <c:pt idx="23">
                  <c:v>197.9</c:v>
                </c:pt>
                <c:pt idx="24">
                  <c:v>212.5</c:v>
                </c:pt>
                <c:pt idx="25">
                  <c:v>202.2</c:v>
                </c:pt>
                <c:pt idx="26">
                  <c:v>196.1</c:v>
                </c:pt>
                <c:pt idx="27">
                  <c:v>187.9</c:v>
                </c:pt>
                <c:pt idx="28">
                  <c:v>182.7</c:v>
                </c:pt>
                <c:pt idx="29">
                  <c:v>178.6</c:v>
                </c:pt>
                <c:pt idx="30">
                  <c:v>171.8</c:v>
                </c:pt>
                <c:pt idx="31">
                  <c:v>164.1</c:v>
                </c:pt>
                <c:pt idx="32">
                  <c:v>161.80000000000001</c:v>
                </c:pt>
                <c:pt idx="33">
                  <c:v>154.1</c:v>
                </c:pt>
                <c:pt idx="34">
                  <c:v>150</c:v>
                </c:pt>
                <c:pt idx="35">
                  <c:v>149.19999999999999</c:v>
                </c:pt>
                <c:pt idx="36">
                  <c:v>140.6</c:v>
                </c:pt>
                <c:pt idx="37">
                  <c:v>138.30000000000001</c:v>
                </c:pt>
                <c:pt idx="38">
                  <c:v>136.80000000000001</c:v>
                </c:pt>
                <c:pt idx="39">
                  <c:v>133.1</c:v>
                </c:pt>
                <c:pt idx="40">
                  <c:v>128</c:v>
                </c:pt>
                <c:pt idx="41">
                  <c:v>125.8</c:v>
                </c:pt>
                <c:pt idx="42">
                  <c:v>121.4</c:v>
                </c:pt>
                <c:pt idx="43">
                  <c:v>123.2</c:v>
                </c:pt>
                <c:pt idx="44">
                  <c:v>122.2</c:v>
                </c:pt>
                <c:pt idx="45">
                  <c:v>111</c:v>
                </c:pt>
                <c:pt idx="46">
                  <c:v>117.5</c:v>
                </c:pt>
                <c:pt idx="47">
                  <c:v>110.7</c:v>
                </c:pt>
                <c:pt idx="48">
                  <c:v>109.8</c:v>
                </c:pt>
                <c:pt idx="49">
                  <c:v>108.3</c:v>
                </c:pt>
                <c:pt idx="50">
                  <c:v>103.6</c:v>
                </c:pt>
                <c:pt idx="51">
                  <c:v>103</c:v>
                </c:pt>
                <c:pt idx="52">
                  <c:v>101.9</c:v>
                </c:pt>
                <c:pt idx="53">
                  <c:v>97.2</c:v>
                </c:pt>
                <c:pt idx="54">
                  <c:v>95.5</c:v>
                </c:pt>
                <c:pt idx="55">
                  <c:v>98.2</c:v>
                </c:pt>
                <c:pt idx="56">
                  <c:v>93.7</c:v>
                </c:pt>
                <c:pt idx="57">
                  <c:v>91.3</c:v>
                </c:pt>
                <c:pt idx="58">
                  <c:v>89.7</c:v>
                </c:pt>
                <c:pt idx="59">
                  <c:v>92.1</c:v>
                </c:pt>
                <c:pt idx="60">
                  <c:v>89.3</c:v>
                </c:pt>
                <c:pt idx="61">
                  <c:v>85.9</c:v>
                </c:pt>
                <c:pt idx="62">
                  <c:v>87</c:v>
                </c:pt>
                <c:pt idx="63">
                  <c:v>85.2</c:v>
                </c:pt>
                <c:pt idx="64">
                  <c:v>86.7</c:v>
                </c:pt>
                <c:pt idx="65">
                  <c:v>81.7</c:v>
                </c:pt>
                <c:pt idx="66">
                  <c:v>85.5</c:v>
                </c:pt>
                <c:pt idx="67">
                  <c:v>75.7</c:v>
                </c:pt>
                <c:pt idx="68">
                  <c:v>79.2</c:v>
                </c:pt>
                <c:pt idx="69">
                  <c:v>78.7</c:v>
                </c:pt>
                <c:pt idx="70">
                  <c:v>79.3</c:v>
                </c:pt>
                <c:pt idx="71">
                  <c:v>77.2</c:v>
                </c:pt>
                <c:pt idx="72">
                  <c:v>73.8</c:v>
                </c:pt>
                <c:pt idx="73">
                  <c:v>77.5</c:v>
                </c:pt>
                <c:pt idx="74">
                  <c:v>73.599999999999994</c:v>
                </c:pt>
                <c:pt idx="75">
                  <c:v>70.8</c:v>
                </c:pt>
                <c:pt idx="76">
                  <c:v>68</c:v>
                </c:pt>
                <c:pt idx="77">
                  <c:v>70.900000000000006</c:v>
                </c:pt>
                <c:pt idx="78">
                  <c:v>68.7</c:v>
                </c:pt>
                <c:pt idx="79">
                  <c:v>61.81</c:v>
                </c:pt>
                <c:pt idx="80">
                  <c:v>57.29</c:v>
                </c:pt>
                <c:pt idx="81">
                  <c:v>53.26</c:v>
                </c:pt>
                <c:pt idx="82">
                  <c:v>51.02</c:v>
                </c:pt>
                <c:pt idx="83">
                  <c:v>46.73</c:v>
                </c:pt>
                <c:pt idx="84">
                  <c:v>46.17</c:v>
                </c:pt>
                <c:pt idx="85">
                  <c:v>44.1</c:v>
                </c:pt>
                <c:pt idx="86">
                  <c:v>42.5</c:v>
                </c:pt>
                <c:pt idx="87">
                  <c:v>40.85</c:v>
                </c:pt>
                <c:pt idx="88">
                  <c:v>38.700000000000003</c:v>
                </c:pt>
                <c:pt idx="89">
                  <c:v>38.29</c:v>
                </c:pt>
                <c:pt idx="90">
                  <c:v>37.42</c:v>
                </c:pt>
                <c:pt idx="91">
                  <c:v>36.159999999999997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Data2'!$G$192:$CT$192</c:f>
              <c:numCache>
                <c:formatCode>General</c:formatCode>
                <c:ptCount val="92"/>
                <c:pt idx="0">
                  <c:v>17</c:v>
                </c:pt>
                <c:pt idx="1">
                  <c:v>20</c:v>
                </c:pt>
                <c:pt idx="2">
                  <c:v>26</c:v>
                </c:pt>
                <c:pt idx="3">
                  <c:v>23</c:v>
                </c:pt>
                <c:pt idx="4">
                  <c:v>14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15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20</c:v>
                </c:pt>
                <c:pt idx="13">
                  <c:v>25</c:v>
                </c:pt>
                <c:pt idx="14">
                  <c:v>25</c:v>
                </c:pt>
                <c:pt idx="15">
                  <c:v>23</c:v>
                </c:pt>
                <c:pt idx="16">
                  <c:v>26</c:v>
                </c:pt>
                <c:pt idx="17">
                  <c:v>19</c:v>
                </c:pt>
                <c:pt idx="18">
                  <c:v>29</c:v>
                </c:pt>
                <c:pt idx="19">
                  <c:v>19</c:v>
                </c:pt>
                <c:pt idx="20">
                  <c:v>22.9</c:v>
                </c:pt>
                <c:pt idx="21">
                  <c:v>21.6</c:v>
                </c:pt>
                <c:pt idx="22">
                  <c:v>23.1</c:v>
                </c:pt>
                <c:pt idx="23">
                  <c:v>24.2</c:v>
                </c:pt>
                <c:pt idx="24">
                  <c:v>21.9</c:v>
                </c:pt>
                <c:pt idx="25">
                  <c:v>22.5</c:v>
                </c:pt>
                <c:pt idx="26">
                  <c:v>24.1</c:v>
                </c:pt>
                <c:pt idx="27">
                  <c:v>23.1</c:v>
                </c:pt>
                <c:pt idx="28">
                  <c:v>22.2</c:v>
                </c:pt>
                <c:pt idx="29">
                  <c:v>21.1</c:v>
                </c:pt>
                <c:pt idx="30">
                  <c:v>19.899999999999999</c:v>
                </c:pt>
                <c:pt idx="31">
                  <c:v>21.3</c:v>
                </c:pt>
                <c:pt idx="32">
                  <c:v>20.5</c:v>
                </c:pt>
                <c:pt idx="33">
                  <c:v>23</c:v>
                </c:pt>
                <c:pt idx="34">
                  <c:v>19.899999999999999</c:v>
                </c:pt>
                <c:pt idx="35">
                  <c:v>20.399999999999999</c:v>
                </c:pt>
                <c:pt idx="36">
                  <c:v>19.3</c:v>
                </c:pt>
                <c:pt idx="37">
                  <c:v>20.6</c:v>
                </c:pt>
                <c:pt idx="38">
                  <c:v>21.4</c:v>
                </c:pt>
                <c:pt idx="39">
                  <c:v>20</c:v>
                </c:pt>
                <c:pt idx="40">
                  <c:v>18.8</c:v>
                </c:pt>
                <c:pt idx="41">
                  <c:v>19.899999999999999</c:v>
                </c:pt>
                <c:pt idx="42">
                  <c:v>21.5</c:v>
                </c:pt>
                <c:pt idx="43">
                  <c:v>20.8</c:v>
                </c:pt>
                <c:pt idx="44">
                  <c:v>22.6</c:v>
                </c:pt>
                <c:pt idx="45">
                  <c:v>20.7</c:v>
                </c:pt>
                <c:pt idx="46">
                  <c:v>20.100000000000001</c:v>
                </c:pt>
                <c:pt idx="47">
                  <c:v>20.5</c:v>
                </c:pt>
                <c:pt idx="48">
                  <c:v>19.2</c:v>
                </c:pt>
                <c:pt idx="49">
                  <c:v>18.899999999999999</c:v>
                </c:pt>
                <c:pt idx="50">
                  <c:v>17.600000000000001</c:v>
                </c:pt>
                <c:pt idx="51">
                  <c:v>20</c:v>
                </c:pt>
                <c:pt idx="52">
                  <c:v>19.5</c:v>
                </c:pt>
                <c:pt idx="53">
                  <c:v>19.5</c:v>
                </c:pt>
                <c:pt idx="54">
                  <c:v>18.3</c:v>
                </c:pt>
                <c:pt idx="55">
                  <c:v>18.7</c:v>
                </c:pt>
                <c:pt idx="56">
                  <c:v>19</c:v>
                </c:pt>
                <c:pt idx="57">
                  <c:v>19.100000000000001</c:v>
                </c:pt>
                <c:pt idx="58">
                  <c:v>18.8</c:v>
                </c:pt>
                <c:pt idx="59">
                  <c:v>19.899999999999999</c:v>
                </c:pt>
                <c:pt idx="60">
                  <c:v>20.3</c:v>
                </c:pt>
                <c:pt idx="61">
                  <c:v>20.2</c:v>
                </c:pt>
                <c:pt idx="62">
                  <c:v>17.2</c:v>
                </c:pt>
                <c:pt idx="63">
                  <c:v>17.8</c:v>
                </c:pt>
                <c:pt idx="64">
                  <c:v>16.100000000000001</c:v>
                </c:pt>
                <c:pt idx="65">
                  <c:v>18.3</c:v>
                </c:pt>
                <c:pt idx="66">
                  <c:v>19.8</c:v>
                </c:pt>
                <c:pt idx="67">
                  <c:v>17.600000000000001</c:v>
                </c:pt>
                <c:pt idx="68">
                  <c:v>20</c:v>
                </c:pt>
                <c:pt idx="69">
                  <c:v>18.8</c:v>
                </c:pt>
                <c:pt idx="70">
                  <c:v>19.600000000000001</c:v>
                </c:pt>
                <c:pt idx="71">
                  <c:v>18.100000000000001</c:v>
                </c:pt>
                <c:pt idx="72">
                  <c:v>18</c:v>
                </c:pt>
                <c:pt idx="73">
                  <c:v>17.899999999999999</c:v>
                </c:pt>
                <c:pt idx="74">
                  <c:v>19.5</c:v>
                </c:pt>
                <c:pt idx="75">
                  <c:v>17.600000000000001</c:v>
                </c:pt>
                <c:pt idx="76">
                  <c:v>19.100000000000001</c:v>
                </c:pt>
                <c:pt idx="77">
                  <c:v>18</c:v>
                </c:pt>
                <c:pt idx="78">
                  <c:v>17.98</c:v>
                </c:pt>
                <c:pt idx="79">
                  <c:v>17.670000000000002</c:v>
                </c:pt>
                <c:pt idx="80">
                  <c:v>18.079999999999998</c:v>
                </c:pt>
                <c:pt idx="81">
                  <c:v>17.39</c:v>
                </c:pt>
                <c:pt idx="82">
                  <c:v>16.98</c:v>
                </c:pt>
                <c:pt idx="83">
                  <c:v>17.48</c:v>
                </c:pt>
                <c:pt idx="84">
                  <c:v>17.3</c:v>
                </c:pt>
                <c:pt idx="85">
                  <c:v>17.68</c:v>
                </c:pt>
                <c:pt idx="86">
                  <c:v>16.920000000000002</c:v>
                </c:pt>
                <c:pt idx="87">
                  <c:v>16.809999999999999</c:v>
                </c:pt>
                <c:pt idx="88">
                  <c:v>17.11</c:v>
                </c:pt>
                <c:pt idx="89">
                  <c:v>17.190000000000001</c:v>
                </c:pt>
                <c:pt idx="90">
                  <c:v>16.48</c:v>
                </c:pt>
                <c:pt idx="91">
                  <c:v>16.350000000000001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Data2'!$G$193:$CT$193</c:f>
              <c:numCache>
                <c:formatCode>General</c:formatCode>
                <c:ptCount val="92"/>
                <c:pt idx="0">
                  <c:v>225</c:v>
                </c:pt>
                <c:pt idx="1">
                  <c:v>251</c:v>
                </c:pt>
                <c:pt idx="2">
                  <c:v>234</c:v>
                </c:pt>
                <c:pt idx="3">
                  <c:v>244</c:v>
                </c:pt>
                <c:pt idx="4">
                  <c:v>255</c:v>
                </c:pt>
                <c:pt idx="5">
                  <c:v>221</c:v>
                </c:pt>
                <c:pt idx="6">
                  <c:v>223</c:v>
                </c:pt>
                <c:pt idx="7">
                  <c:v>242</c:v>
                </c:pt>
                <c:pt idx="8">
                  <c:v>223</c:v>
                </c:pt>
                <c:pt idx="9">
                  <c:v>235</c:v>
                </c:pt>
                <c:pt idx="10">
                  <c:v>239</c:v>
                </c:pt>
                <c:pt idx="11">
                  <c:v>226</c:v>
                </c:pt>
                <c:pt idx="12">
                  <c:v>243</c:v>
                </c:pt>
                <c:pt idx="13">
                  <c:v>236</c:v>
                </c:pt>
                <c:pt idx="14">
                  <c:v>228</c:v>
                </c:pt>
                <c:pt idx="15">
                  <c:v>223</c:v>
                </c:pt>
                <c:pt idx="16">
                  <c:v>237</c:v>
                </c:pt>
                <c:pt idx="17">
                  <c:v>228</c:v>
                </c:pt>
                <c:pt idx="18">
                  <c:v>216</c:v>
                </c:pt>
                <c:pt idx="19">
                  <c:v>211</c:v>
                </c:pt>
                <c:pt idx="20">
                  <c:v>226.3</c:v>
                </c:pt>
                <c:pt idx="21">
                  <c:v>220.2</c:v>
                </c:pt>
                <c:pt idx="22">
                  <c:v>210.7</c:v>
                </c:pt>
                <c:pt idx="23">
                  <c:v>195.8</c:v>
                </c:pt>
                <c:pt idx="24">
                  <c:v>186</c:v>
                </c:pt>
                <c:pt idx="25">
                  <c:v>179.8</c:v>
                </c:pt>
                <c:pt idx="26">
                  <c:v>174.8</c:v>
                </c:pt>
                <c:pt idx="27">
                  <c:v>162.30000000000001</c:v>
                </c:pt>
                <c:pt idx="28">
                  <c:v>161.19999999999999</c:v>
                </c:pt>
                <c:pt idx="29">
                  <c:v>154.1</c:v>
                </c:pt>
                <c:pt idx="30">
                  <c:v>154.19999999999999</c:v>
                </c:pt>
                <c:pt idx="31">
                  <c:v>146.6</c:v>
                </c:pt>
                <c:pt idx="32">
                  <c:v>142.69999999999999</c:v>
                </c:pt>
                <c:pt idx="33">
                  <c:v>142.5</c:v>
                </c:pt>
                <c:pt idx="34">
                  <c:v>127.5</c:v>
                </c:pt>
                <c:pt idx="35">
                  <c:v>133.5</c:v>
                </c:pt>
                <c:pt idx="36">
                  <c:v>124.4</c:v>
                </c:pt>
                <c:pt idx="37">
                  <c:v>120</c:v>
                </c:pt>
                <c:pt idx="38">
                  <c:v>118.8</c:v>
                </c:pt>
                <c:pt idx="39">
                  <c:v>115.3</c:v>
                </c:pt>
                <c:pt idx="40">
                  <c:v>115.4</c:v>
                </c:pt>
                <c:pt idx="41">
                  <c:v>108.8</c:v>
                </c:pt>
                <c:pt idx="42">
                  <c:v>108.1</c:v>
                </c:pt>
                <c:pt idx="43">
                  <c:v>103.8</c:v>
                </c:pt>
                <c:pt idx="44">
                  <c:v>101.2</c:v>
                </c:pt>
                <c:pt idx="45">
                  <c:v>100.5</c:v>
                </c:pt>
                <c:pt idx="46">
                  <c:v>95.4</c:v>
                </c:pt>
                <c:pt idx="47">
                  <c:v>93.4</c:v>
                </c:pt>
                <c:pt idx="48">
                  <c:v>93.8</c:v>
                </c:pt>
                <c:pt idx="49">
                  <c:v>90.5</c:v>
                </c:pt>
                <c:pt idx="50">
                  <c:v>90.4</c:v>
                </c:pt>
                <c:pt idx="51">
                  <c:v>87.1</c:v>
                </c:pt>
                <c:pt idx="52">
                  <c:v>86.1</c:v>
                </c:pt>
                <c:pt idx="53">
                  <c:v>81.2</c:v>
                </c:pt>
                <c:pt idx="54">
                  <c:v>83.2</c:v>
                </c:pt>
                <c:pt idx="55">
                  <c:v>81.8</c:v>
                </c:pt>
                <c:pt idx="56">
                  <c:v>78.8</c:v>
                </c:pt>
                <c:pt idx="57">
                  <c:v>75.3</c:v>
                </c:pt>
                <c:pt idx="58">
                  <c:v>75.3</c:v>
                </c:pt>
                <c:pt idx="59">
                  <c:v>76.099999999999994</c:v>
                </c:pt>
                <c:pt idx="60">
                  <c:v>73.2</c:v>
                </c:pt>
                <c:pt idx="61">
                  <c:v>74.400000000000006</c:v>
                </c:pt>
                <c:pt idx="62">
                  <c:v>71</c:v>
                </c:pt>
                <c:pt idx="63">
                  <c:v>71.099999999999994</c:v>
                </c:pt>
                <c:pt idx="64">
                  <c:v>68.599999999999994</c:v>
                </c:pt>
                <c:pt idx="65">
                  <c:v>70.400000000000006</c:v>
                </c:pt>
                <c:pt idx="66">
                  <c:v>70.2</c:v>
                </c:pt>
                <c:pt idx="67">
                  <c:v>66.2</c:v>
                </c:pt>
                <c:pt idx="68">
                  <c:v>65.599999999999994</c:v>
                </c:pt>
                <c:pt idx="69">
                  <c:v>65.599999999999994</c:v>
                </c:pt>
                <c:pt idx="70">
                  <c:v>62</c:v>
                </c:pt>
                <c:pt idx="71">
                  <c:v>64</c:v>
                </c:pt>
                <c:pt idx="72">
                  <c:v>62</c:v>
                </c:pt>
                <c:pt idx="73">
                  <c:v>61.2</c:v>
                </c:pt>
                <c:pt idx="74">
                  <c:v>58.5</c:v>
                </c:pt>
                <c:pt idx="75">
                  <c:v>60.5</c:v>
                </c:pt>
                <c:pt idx="76">
                  <c:v>55.9</c:v>
                </c:pt>
                <c:pt idx="77">
                  <c:v>59.3</c:v>
                </c:pt>
                <c:pt idx="78">
                  <c:v>55.78</c:v>
                </c:pt>
                <c:pt idx="79">
                  <c:v>49.54</c:v>
                </c:pt>
                <c:pt idx="80">
                  <c:v>44.98</c:v>
                </c:pt>
                <c:pt idx="81">
                  <c:v>42.11</c:v>
                </c:pt>
                <c:pt idx="82">
                  <c:v>40.1</c:v>
                </c:pt>
                <c:pt idx="83">
                  <c:v>37.64</c:v>
                </c:pt>
                <c:pt idx="84">
                  <c:v>34.78</c:v>
                </c:pt>
                <c:pt idx="85">
                  <c:v>34.6</c:v>
                </c:pt>
                <c:pt idx="86">
                  <c:v>32.93</c:v>
                </c:pt>
                <c:pt idx="87">
                  <c:v>31.01</c:v>
                </c:pt>
                <c:pt idx="88">
                  <c:v>31.17</c:v>
                </c:pt>
                <c:pt idx="89">
                  <c:v>29.56</c:v>
                </c:pt>
                <c:pt idx="90">
                  <c:v>29.27</c:v>
                </c:pt>
                <c:pt idx="91">
                  <c:v>28.49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Data2'!$G$194:$CT$194</c:f>
              <c:numCache>
                <c:formatCode>General</c:formatCode>
                <c:ptCount val="92"/>
                <c:pt idx="0">
                  <c:v>189</c:v>
                </c:pt>
                <c:pt idx="1">
                  <c:v>164</c:v>
                </c:pt>
                <c:pt idx="2">
                  <c:v>193</c:v>
                </c:pt>
                <c:pt idx="3">
                  <c:v>185</c:v>
                </c:pt>
                <c:pt idx="4">
                  <c:v>190</c:v>
                </c:pt>
                <c:pt idx="5">
                  <c:v>185</c:v>
                </c:pt>
                <c:pt idx="6">
                  <c:v>173</c:v>
                </c:pt>
                <c:pt idx="7">
                  <c:v>192</c:v>
                </c:pt>
                <c:pt idx="8">
                  <c:v>173</c:v>
                </c:pt>
                <c:pt idx="9">
                  <c:v>165</c:v>
                </c:pt>
                <c:pt idx="10">
                  <c:v>168</c:v>
                </c:pt>
                <c:pt idx="11">
                  <c:v>187</c:v>
                </c:pt>
                <c:pt idx="12">
                  <c:v>170</c:v>
                </c:pt>
                <c:pt idx="13">
                  <c:v>197</c:v>
                </c:pt>
                <c:pt idx="14">
                  <c:v>190</c:v>
                </c:pt>
                <c:pt idx="15">
                  <c:v>173</c:v>
                </c:pt>
                <c:pt idx="16">
                  <c:v>162</c:v>
                </c:pt>
                <c:pt idx="17">
                  <c:v>180</c:v>
                </c:pt>
                <c:pt idx="18">
                  <c:v>166</c:v>
                </c:pt>
                <c:pt idx="19">
                  <c:v>178</c:v>
                </c:pt>
                <c:pt idx="20">
                  <c:v>168.4</c:v>
                </c:pt>
                <c:pt idx="21">
                  <c:v>165.7</c:v>
                </c:pt>
                <c:pt idx="22">
                  <c:v>151.80000000000001</c:v>
                </c:pt>
                <c:pt idx="23">
                  <c:v>147.1</c:v>
                </c:pt>
                <c:pt idx="24">
                  <c:v>143.80000000000001</c:v>
                </c:pt>
                <c:pt idx="25">
                  <c:v>134.5</c:v>
                </c:pt>
                <c:pt idx="26">
                  <c:v>136</c:v>
                </c:pt>
                <c:pt idx="27">
                  <c:v>128.80000000000001</c:v>
                </c:pt>
                <c:pt idx="28">
                  <c:v>122.5</c:v>
                </c:pt>
                <c:pt idx="29">
                  <c:v>116.7</c:v>
                </c:pt>
                <c:pt idx="30">
                  <c:v>112</c:v>
                </c:pt>
                <c:pt idx="31">
                  <c:v>106.7</c:v>
                </c:pt>
                <c:pt idx="32">
                  <c:v>101.8</c:v>
                </c:pt>
                <c:pt idx="33">
                  <c:v>97.6</c:v>
                </c:pt>
                <c:pt idx="34">
                  <c:v>101.3</c:v>
                </c:pt>
                <c:pt idx="35">
                  <c:v>100.8</c:v>
                </c:pt>
                <c:pt idx="36">
                  <c:v>67.2</c:v>
                </c:pt>
                <c:pt idx="37">
                  <c:v>91.4</c:v>
                </c:pt>
                <c:pt idx="38">
                  <c:v>92.1</c:v>
                </c:pt>
                <c:pt idx="39">
                  <c:v>84.9</c:v>
                </c:pt>
                <c:pt idx="40">
                  <c:v>85.6</c:v>
                </c:pt>
                <c:pt idx="41">
                  <c:v>81.599999999999994</c:v>
                </c:pt>
                <c:pt idx="42">
                  <c:v>82.7</c:v>
                </c:pt>
                <c:pt idx="43">
                  <c:v>82.3</c:v>
                </c:pt>
                <c:pt idx="44">
                  <c:v>77.5</c:v>
                </c:pt>
                <c:pt idx="45">
                  <c:v>75.400000000000006</c:v>
                </c:pt>
                <c:pt idx="46">
                  <c:v>71.3</c:v>
                </c:pt>
                <c:pt idx="47">
                  <c:v>75.599999999999994</c:v>
                </c:pt>
                <c:pt idx="48">
                  <c:v>71.900000000000006</c:v>
                </c:pt>
                <c:pt idx="49">
                  <c:v>68.8</c:v>
                </c:pt>
                <c:pt idx="50">
                  <c:v>66.8</c:v>
                </c:pt>
                <c:pt idx="51">
                  <c:v>65.599999999999994</c:v>
                </c:pt>
                <c:pt idx="52">
                  <c:v>66.400000000000006</c:v>
                </c:pt>
                <c:pt idx="53">
                  <c:v>64.099999999999994</c:v>
                </c:pt>
                <c:pt idx="54">
                  <c:v>62.8</c:v>
                </c:pt>
                <c:pt idx="55">
                  <c:v>64.3</c:v>
                </c:pt>
                <c:pt idx="56">
                  <c:v>62.8</c:v>
                </c:pt>
                <c:pt idx="57">
                  <c:v>60.7</c:v>
                </c:pt>
                <c:pt idx="58">
                  <c:v>58.1</c:v>
                </c:pt>
                <c:pt idx="59">
                  <c:v>59.5</c:v>
                </c:pt>
                <c:pt idx="60">
                  <c:v>59.7</c:v>
                </c:pt>
                <c:pt idx="61">
                  <c:v>58.7</c:v>
                </c:pt>
                <c:pt idx="62">
                  <c:v>55.3</c:v>
                </c:pt>
                <c:pt idx="63">
                  <c:v>57.7</c:v>
                </c:pt>
                <c:pt idx="64">
                  <c:v>52.4</c:v>
                </c:pt>
                <c:pt idx="65">
                  <c:v>52.1</c:v>
                </c:pt>
                <c:pt idx="66">
                  <c:v>53.7</c:v>
                </c:pt>
                <c:pt idx="67">
                  <c:v>52.6</c:v>
                </c:pt>
                <c:pt idx="68">
                  <c:v>51.4</c:v>
                </c:pt>
                <c:pt idx="69">
                  <c:v>53.2</c:v>
                </c:pt>
                <c:pt idx="70">
                  <c:v>49.1</c:v>
                </c:pt>
                <c:pt idx="71">
                  <c:v>48.8</c:v>
                </c:pt>
                <c:pt idx="72">
                  <c:v>50.1</c:v>
                </c:pt>
                <c:pt idx="73">
                  <c:v>49.4</c:v>
                </c:pt>
                <c:pt idx="74">
                  <c:v>50</c:v>
                </c:pt>
                <c:pt idx="75">
                  <c:v>49.3</c:v>
                </c:pt>
                <c:pt idx="76">
                  <c:v>47.9</c:v>
                </c:pt>
                <c:pt idx="77">
                  <c:v>43</c:v>
                </c:pt>
                <c:pt idx="78">
                  <c:v>44.31</c:v>
                </c:pt>
                <c:pt idx="79">
                  <c:v>40.200000000000003</c:v>
                </c:pt>
                <c:pt idx="80">
                  <c:v>36.49</c:v>
                </c:pt>
                <c:pt idx="81">
                  <c:v>34.840000000000003</c:v>
                </c:pt>
                <c:pt idx="82">
                  <c:v>31.5</c:v>
                </c:pt>
                <c:pt idx="83">
                  <c:v>31.07</c:v>
                </c:pt>
                <c:pt idx="84">
                  <c:v>30.09</c:v>
                </c:pt>
                <c:pt idx="85">
                  <c:v>28.12</c:v>
                </c:pt>
                <c:pt idx="86">
                  <c:v>27.39</c:v>
                </c:pt>
                <c:pt idx="87">
                  <c:v>26.15</c:v>
                </c:pt>
                <c:pt idx="88">
                  <c:v>25.39</c:v>
                </c:pt>
                <c:pt idx="89">
                  <c:v>24.65</c:v>
                </c:pt>
                <c:pt idx="90">
                  <c:v>24.29</c:v>
                </c:pt>
                <c:pt idx="91">
                  <c:v>23.34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Data2'!$G$195:$CT$195</c:f>
              <c:numCache>
                <c:formatCode>General</c:formatCode>
                <c:ptCount val="92"/>
                <c:pt idx="0">
                  <c:v>254</c:v>
                </c:pt>
                <c:pt idx="1">
                  <c:v>232</c:v>
                </c:pt>
                <c:pt idx="2">
                  <c:v>243</c:v>
                </c:pt>
                <c:pt idx="3">
                  <c:v>248</c:v>
                </c:pt>
                <c:pt idx="4">
                  <c:v>232</c:v>
                </c:pt>
                <c:pt idx="5">
                  <c:v>276</c:v>
                </c:pt>
                <c:pt idx="6">
                  <c:v>230</c:v>
                </c:pt>
                <c:pt idx="7">
                  <c:v>248</c:v>
                </c:pt>
                <c:pt idx="8">
                  <c:v>281</c:v>
                </c:pt>
                <c:pt idx="9">
                  <c:v>243</c:v>
                </c:pt>
                <c:pt idx="10">
                  <c:v>240</c:v>
                </c:pt>
                <c:pt idx="11">
                  <c:v>247</c:v>
                </c:pt>
                <c:pt idx="12">
                  <c:v>206</c:v>
                </c:pt>
                <c:pt idx="13">
                  <c:v>240</c:v>
                </c:pt>
                <c:pt idx="14">
                  <c:v>247</c:v>
                </c:pt>
                <c:pt idx="15">
                  <c:v>243</c:v>
                </c:pt>
                <c:pt idx="16">
                  <c:v>239</c:v>
                </c:pt>
                <c:pt idx="17">
                  <c:v>247</c:v>
                </c:pt>
                <c:pt idx="18">
                  <c:v>229</c:v>
                </c:pt>
                <c:pt idx="19">
                  <c:v>251</c:v>
                </c:pt>
                <c:pt idx="20">
                  <c:v>239.6</c:v>
                </c:pt>
                <c:pt idx="21">
                  <c:v>230.6</c:v>
                </c:pt>
                <c:pt idx="22">
                  <c:v>210.8</c:v>
                </c:pt>
                <c:pt idx="23">
                  <c:v>207.3</c:v>
                </c:pt>
                <c:pt idx="24">
                  <c:v>192.6</c:v>
                </c:pt>
                <c:pt idx="25">
                  <c:v>195.3</c:v>
                </c:pt>
                <c:pt idx="26">
                  <c:v>171.2</c:v>
                </c:pt>
                <c:pt idx="27">
                  <c:v>171</c:v>
                </c:pt>
                <c:pt idx="28">
                  <c:v>166.6</c:v>
                </c:pt>
                <c:pt idx="29">
                  <c:v>156.19999999999999</c:v>
                </c:pt>
                <c:pt idx="30">
                  <c:v>149.80000000000001</c:v>
                </c:pt>
                <c:pt idx="31">
                  <c:v>154.69999999999999</c:v>
                </c:pt>
                <c:pt idx="32">
                  <c:v>145</c:v>
                </c:pt>
                <c:pt idx="33">
                  <c:v>139.69999999999999</c:v>
                </c:pt>
                <c:pt idx="34">
                  <c:v>137.30000000000001</c:v>
                </c:pt>
                <c:pt idx="35">
                  <c:v>135.4</c:v>
                </c:pt>
                <c:pt idx="36">
                  <c:v>125.9</c:v>
                </c:pt>
                <c:pt idx="37">
                  <c:v>126.6</c:v>
                </c:pt>
                <c:pt idx="38">
                  <c:v>120.6</c:v>
                </c:pt>
                <c:pt idx="39">
                  <c:v>116.6</c:v>
                </c:pt>
                <c:pt idx="40">
                  <c:v>115.3</c:v>
                </c:pt>
                <c:pt idx="41">
                  <c:v>110.4</c:v>
                </c:pt>
                <c:pt idx="42">
                  <c:v>107.2</c:v>
                </c:pt>
                <c:pt idx="43">
                  <c:v>110.1</c:v>
                </c:pt>
                <c:pt idx="44">
                  <c:v>107.1</c:v>
                </c:pt>
                <c:pt idx="45">
                  <c:v>100.5</c:v>
                </c:pt>
                <c:pt idx="46">
                  <c:v>97.4</c:v>
                </c:pt>
                <c:pt idx="47">
                  <c:v>101.9</c:v>
                </c:pt>
                <c:pt idx="48">
                  <c:v>98.9</c:v>
                </c:pt>
                <c:pt idx="49">
                  <c:v>95</c:v>
                </c:pt>
                <c:pt idx="50">
                  <c:v>93.9</c:v>
                </c:pt>
                <c:pt idx="51">
                  <c:v>91.3</c:v>
                </c:pt>
                <c:pt idx="52">
                  <c:v>89.3</c:v>
                </c:pt>
                <c:pt idx="53">
                  <c:v>86.3</c:v>
                </c:pt>
                <c:pt idx="54">
                  <c:v>85.1</c:v>
                </c:pt>
                <c:pt idx="55">
                  <c:v>86.5</c:v>
                </c:pt>
                <c:pt idx="56">
                  <c:v>82.1</c:v>
                </c:pt>
                <c:pt idx="57">
                  <c:v>79</c:v>
                </c:pt>
                <c:pt idx="58">
                  <c:v>82.3</c:v>
                </c:pt>
                <c:pt idx="59">
                  <c:v>75.900000000000006</c:v>
                </c:pt>
                <c:pt idx="60">
                  <c:v>76.7</c:v>
                </c:pt>
                <c:pt idx="61">
                  <c:v>72.3</c:v>
                </c:pt>
                <c:pt idx="62">
                  <c:v>75.099999999999994</c:v>
                </c:pt>
                <c:pt idx="63">
                  <c:v>73</c:v>
                </c:pt>
                <c:pt idx="64">
                  <c:v>71</c:v>
                </c:pt>
                <c:pt idx="65">
                  <c:v>73.2</c:v>
                </c:pt>
                <c:pt idx="66">
                  <c:v>74.2</c:v>
                </c:pt>
                <c:pt idx="67">
                  <c:v>70.5</c:v>
                </c:pt>
                <c:pt idx="68">
                  <c:v>70.8</c:v>
                </c:pt>
                <c:pt idx="69">
                  <c:v>70.599999999999994</c:v>
                </c:pt>
                <c:pt idx="70">
                  <c:v>66.3</c:v>
                </c:pt>
                <c:pt idx="71">
                  <c:v>67.2</c:v>
                </c:pt>
                <c:pt idx="72">
                  <c:v>69.099999999999994</c:v>
                </c:pt>
                <c:pt idx="73">
                  <c:v>66.2</c:v>
                </c:pt>
                <c:pt idx="74">
                  <c:v>63.4</c:v>
                </c:pt>
                <c:pt idx="75">
                  <c:v>65.599999999999994</c:v>
                </c:pt>
                <c:pt idx="76">
                  <c:v>59.1</c:v>
                </c:pt>
                <c:pt idx="77">
                  <c:v>61</c:v>
                </c:pt>
                <c:pt idx="78">
                  <c:v>57.35</c:v>
                </c:pt>
                <c:pt idx="79">
                  <c:v>51.87</c:v>
                </c:pt>
                <c:pt idx="80">
                  <c:v>47.96</c:v>
                </c:pt>
                <c:pt idx="81">
                  <c:v>44.15</c:v>
                </c:pt>
                <c:pt idx="82">
                  <c:v>41.55</c:v>
                </c:pt>
                <c:pt idx="83">
                  <c:v>40.119999999999997</c:v>
                </c:pt>
                <c:pt idx="84">
                  <c:v>37.590000000000003</c:v>
                </c:pt>
                <c:pt idx="85">
                  <c:v>36.49</c:v>
                </c:pt>
                <c:pt idx="86">
                  <c:v>34.46</c:v>
                </c:pt>
                <c:pt idx="87">
                  <c:v>33.020000000000003</c:v>
                </c:pt>
                <c:pt idx="88">
                  <c:v>32.82</c:v>
                </c:pt>
                <c:pt idx="89">
                  <c:v>30.82</c:v>
                </c:pt>
                <c:pt idx="90">
                  <c:v>30.32</c:v>
                </c:pt>
                <c:pt idx="91">
                  <c:v>28.77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20864"/>
        <c:axId val="47622784"/>
      </c:scatterChart>
      <c:valAx>
        <c:axId val="4762086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622784"/>
        <c:crosses val="autoZero"/>
        <c:crossBetween val="midCat"/>
      </c:valAx>
      <c:valAx>
        <c:axId val="47622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6208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Data'!$A$319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11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Data2'!$G$196:$CT$196</c:f>
              <c:numCache>
                <c:formatCode>General</c:formatCode>
                <c:ptCount val="92"/>
                <c:pt idx="0">
                  <c:v>6356</c:v>
                </c:pt>
                <c:pt idx="1">
                  <c:v>6231</c:v>
                </c:pt>
                <c:pt idx="2">
                  <c:v>6372</c:v>
                </c:pt>
                <c:pt idx="3">
                  <c:v>6217</c:v>
                </c:pt>
                <c:pt idx="4">
                  <c:v>6232</c:v>
                </c:pt>
                <c:pt idx="5">
                  <c:v>6216</c:v>
                </c:pt>
                <c:pt idx="6">
                  <c:v>6265</c:v>
                </c:pt>
                <c:pt idx="7">
                  <c:v>6120</c:v>
                </c:pt>
                <c:pt idx="8">
                  <c:v>6157</c:v>
                </c:pt>
                <c:pt idx="9">
                  <c:v>6171</c:v>
                </c:pt>
                <c:pt idx="10">
                  <c:v>6180</c:v>
                </c:pt>
                <c:pt idx="11">
                  <c:v>6012</c:v>
                </c:pt>
                <c:pt idx="12">
                  <c:v>6087</c:v>
                </c:pt>
                <c:pt idx="13">
                  <c:v>6006</c:v>
                </c:pt>
                <c:pt idx="14">
                  <c:v>6013</c:v>
                </c:pt>
                <c:pt idx="15">
                  <c:v>6021</c:v>
                </c:pt>
                <c:pt idx="16">
                  <c:v>6020</c:v>
                </c:pt>
                <c:pt idx="17">
                  <c:v>5970</c:v>
                </c:pt>
                <c:pt idx="18">
                  <c:v>5816</c:v>
                </c:pt>
                <c:pt idx="19">
                  <c:v>5802</c:v>
                </c:pt>
                <c:pt idx="20">
                  <c:v>5705.9</c:v>
                </c:pt>
                <c:pt idx="21">
                  <c:v>5440.1</c:v>
                </c:pt>
                <c:pt idx="22">
                  <c:v>5150.3</c:v>
                </c:pt>
                <c:pt idx="23">
                  <c:v>4882</c:v>
                </c:pt>
                <c:pt idx="24">
                  <c:v>4637.3</c:v>
                </c:pt>
                <c:pt idx="25">
                  <c:v>4367.3999999999996</c:v>
                </c:pt>
                <c:pt idx="26">
                  <c:v>4108.8</c:v>
                </c:pt>
                <c:pt idx="27">
                  <c:v>3941.6</c:v>
                </c:pt>
                <c:pt idx="28">
                  <c:v>3747.9</c:v>
                </c:pt>
                <c:pt idx="29">
                  <c:v>3547.6</c:v>
                </c:pt>
                <c:pt idx="30">
                  <c:v>3381.6</c:v>
                </c:pt>
                <c:pt idx="31">
                  <c:v>3200</c:v>
                </c:pt>
                <c:pt idx="32">
                  <c:v>3073.7</c:v>
                </c:pt>
                <c:pt idx="33">
                  <c:v>2920.9</c:v>
                </c:pt>
                <c:pt idx="34">
                  <c:v>2802.7</c:v>
                </c:pt>
                <c:pt idx="35">
                  <c:v>2658.4</c:v>
                </c:pt>
                <c:pt idx="36">
                  <c:v>2515.4</c:v>
                </c:pt>
                <c:pt idx="37">
                  <c:v>2456.6999999999998</c:v>
                </c:pt>
                <c:pt idx="38">
                  <c:v>2343.5</c:v>
                </c:pt>
                <c:pt idx="39">
                  <c:v>2265.1999999999998</c:v>
                </c:pt>
                <c:pt idx="40">
                  <c:v>2185.1999999999998</c:v>
                </c:pt>
                <c:pt idx="41">
                  <c:v>2093.3000000000002</c:v>
                </c:pt>
                <c:pt idx="42">
                  <c:v>2015.3</c:v>
                </c:pt>
                <c:pt idx="43">
                  <c:v>1945.6</c:v>
                </c:pt>
                <c:pt idx="44">
                  <c:v>1870.8</c:v>
                </c:pt>
                <c:pt idx="45">
                  <c:v>1794.2</c:v>
                </c:pt>
                <c:pt idx="46">
                  <c:v>1729.6</c:v>
                </c:pt>
                <c:pt idx="47">
                  <c:v>1663.8</c:v>
                </c:pt>
                <c:pt idx="48">
                  <c:v>1615.4</c:v>
                </c:pt>
                <c:pt idx="49">
                  <c:v>1581.5</c:v>
                </c:pt>
                <c:pt idx="50">
                  <c:v>1518.4</c:v>
                </c:pt>
                <c:pt idx="51">
                  <c:v>1464</c:v>
                </c:pt>
                <c:pt idx="52">
                  <c:v>1403.6</c:v>
                </c:pt>
                <c:pt idx="53">
                  <c:v>1367.2</c:v>
                </c:pt>
                <c:pt idx="54">
                  <c:v>1337.5</c:v>
                </c:pt>
                <c:pt idx="55">
                  <c:v>1283</c:v>
                </c:pt>
                <c:pt idx="56">
                  <c:v>1257</c:v>
                </c:pt>
                <c:pt idx="57">
                  <c:v>1226</c:v>
                </c:pt>
                <c:pt idx="58">
                  <c:v>1176</c:v>
                </c:pt>
                <c:pt idx="59">
                  <c:v>1142.7</c:v>
                </c:pt>
                <c:pt idx="60">
                  <c:v>1113.0999999999999</c:v>
                </c:pt>
                <c:pt idx="61">
                  <c:v>1109.5999999999999</c:v>
                </c:pt>
                <c:pt idx="62">
                  <c:v>1042.5999999999999</c:v>
                </c:pt>
                <c:pt idx="63">
                  <c:v>1033.5999999999999</c:v>
                </c:pt>
                <c:pt idx="64">
                  <c:v>997.5</c:v>
                </c:pt>
                <c:pt idx="65">
                  <c:v>971.9</c:v>
                </c:pt>
                <c:pt idx="66">
                  <c:v>956.1</c:v>
                </c:pt>
                <c:pt idx="67">
                  <c:v>922</c:v>
                </c:pt>
                <c:pt idx="68">
                  <c:v>901.2</c:v>
                </c:pt>
                <c:pt idx="69">
                  <c:v>881.4</c:v>
                </c:pt>
                <c:pt idx="70">
                  <c:v>851.8</c:v>
                </c:pt>
                <c:pt idx="71">
                  <c:v>835.7</c:v>
                </c:pt>
                <c:pt idx="72">
                  <c:v>812.9</c:v>
                </c:pt>
                <c:pt idx="73">
                  <c:v>807.5</c:v>
                </c:pt>
                <c:pt idx="74">
                  <c:v>781.7</c:v>
                </c:pt>
                <c:pt idx="75">
                  <c:v>773.9</c:v>
                </c:pt>
                <c:pt idx="76">
                  <c:v>744.7</c:v>
                </c:pt>
                <c:pt idx="77">
                  <c:v>736.7</c:v>
                </c:pt>
                <c:pt idx="78">
                  <c:v>654.11</c:v>
                </c:pt>
                <c:pt idx="79">
                  <c:v>542.96</c:v>
                </c:pt>
                <c:pt idx="80">
                  <c:v>458.07</c:v>
                </c:pt>
                <c:pt idx="81">
                  <c:v>395.52</c:v>
                </c:pt>
                <c:pt idx="82">
                  <c:v>347.72</c:v>
                </c:pt>
                <c:pt idx="83">
                  <c:v>307.33</c:v>
                </c:pt>
                <c:pt idx="84">
                  <c:v>273.49</c:v>
                </c:pt>
                <c:pt idx="85">
                  <c:v>247.35</c:v>
                </c:pt>
                <c:pt idx="86">
                  <c:v>226.91</c:v>
                </c:pt>
                <c:pt idx="87">
                  <c:v>206.41</c:v>
                </c:pt>
                <c:pt idx="88">
                  <c:v>190.62</c:v>
                </c:pt>
                <c:pt idx="89">
                  <c:v>178.39</c:v>
                </c:pt>
                <c:pt idx="90">
                  <c:v>166.5</c:v>
                </c:pt>
                <c:pt idx="91">
                  <c:v>155.88999999999999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Data2'!$G$197:$CT$197</c:f>
              <c:numCache>
                <c:formatCode>General</c:formatCode>
                <c:ptCount val="92"/>
                <c:pt idx="0">
                  <c:v>1274</c:v>
                </c:pt>
                <c:pt idx="1">
                  <c:v>1295</c:v>
                </c:pt>
                <c:pt idx="2">
                  <c:v>1250</c:v>
                </c:pt>
                <c:pt idx="3">
                  <c:v>1295</c:v>
                </c:pt>
                <c:pt idx="4">
                  <c:v>1294</c:v>
                </c:pt>
                <c:pt idx="5">
                  <c:v>1259</c:v>
                </c:pt>
                <c:pt idx="6">
                  <c:v>1534</c:v>
                </c:pt>
                <c:pt idx="7">
                  <c:v>1288</c:v>
                </c:pt>
                <c:pt idx="8">
                  <c:v>1263</c:v>
                </c:pt>
                <c:pt idx="9">
                  <c:v>1264</c:v>
                </c:pt>
                <c:pt idx="10">
                  <c:v>1266</c:v>
                </c:pt>
                <c:pt idx="11">
                  <c:v>1264</c:v>
                </c:pt>
                <c:pt idx="12">
                  <c:v>1270</c:v>
                </c:pt>
                <c:pt idx="13">
                  <c:v>1222</c:v>
                </c:pt>
                <c:pt idx="14">
                  <c:v>1250</c:v>
                </c:pt>
                <c:pt idx="15">
                  <c:v>1204</c:v>
                </c:pt>
                <c:pt idx="16">
                  <c:v>1182</c:v>
                </c:pt>
                <c:pt idx="17">
                  <c:v>1237</c:v>
                </c:pt>
                <c:pt idx="18">
                  <c:v>1239</c:v>
                </c:pt>
                <c:pt idx="19">
                  <c:v>1193</c:v>
                </c:pt>
                <c:pt idx="20">
                  <c:v>1180.5</c:v>
                </c:pt>
                <c:pt idx="21">
                  <c:v>1139.5</c:v>
                </c:pt>
                <c:pt idx="22">
                  <c:v>1097.4000000000001</c:v>
                </c:pt>
                <c:pt idx="23">
                  <c:v>1052.4000000000001</c:v>
                </c:pt>
                <c:pt idx="24">
                  <c:v>996.3</c:v>
                </c:pt>
                <c:pt idx="25">
                  <c:v>938.9</c:v>
                </c:pt>
                <c:pt idx="26">
                  <c:v>903.6</c:v>
                </c:pt>
                <c:pt idx="27">
                  <c:v>867.9</c:v>
                </c:pt>
                <c:pt idx="28">
                  <c:v>827.9</c:v>
                </c:pt>
                <c:pt idx="29">
                  <c:v>807.7</c:v>
                </c:pt>
                <c:pt idx="30">
                  <c:v>760.2</c:v>
                </c:pt>
                <c:pt idx="31">
                  <c:v>731</c:v>
                </c:pt>
                <c:pt idx="32">
                  <c:v>699.7</c:v>
                </c:pt>
                <c:pt idx="33">
                  <c:v>673.2</c:v>
                </c:pt>
                <c:pt idx="34">
                  <c:v>646.9</c:v>
                </c:pt>
                <c:pt idx="35">
                  <c:v>631.6</c:v>
                </c:pt>
                <c:pt idx="36">
                  <c:v>609.4</c:v>
                </c:pt>
                <c:pt idx="37">
                  <c:v>580.20000000000005</c:v>
                </c:pt>
                <c:pt idx="38">
                  <c:v>563.6</c:v>
                </c:pt>
                <c:pt idx="39">
                  <c:v>557</c:v>
                </c:pt>
                <c:pt idx="40">
                  <c:v>526.1</c:v>
                </c:pt>
                <c:pt idx="41">
                  <c:v>517.6</c:v>
                </c:pt>
                <c:pt idx="42">
                  <c:v>491.9</c:v>
                </c:pt>
                <c:pt idx="43">
                  <c:v>488.2</c:v>
                </c:pt>
                <c:pt idx="44">
                  <c:v>461.8</c:v>
                </c:pt>
                <c:pt idx="45">
                  <c:v>468.5</c:v>
                </c:pt>
                <c:pt idx="46">
                  <c:v>452.7</c:v>
                </c:pt>
                <c:pt idx="47">
                  <c:v>435.1</c:v>
                </c:pt>
                <c:pt idx="48">
                  <c:v>420.3</c:v>
                </c:pt>
                <c:pt idx="49">
                  <c:v>418.5</c:v>
                </c:pt>
                <c:pt idx="50">
                  <c:v>397.7</c:v>
                </c:pt>
                <c:pt idx="51">
                  <c:v>392.5</c:v>
                </c:pt>
                <c:pt idx="52">
                  <c:v>379.4</c:v>
                </c:pt>
                <c:pt idx="53">
                  <c:v>370.1</c:v>
                </c:pt>
                <c:pt idx="54">
                  <c:v>352.7</c:v>
                </c:pt>
                <c:pt idx="55">
                  <c:v>352.5</c:v>
                </c:pt>
                <c:pt idx="56">
                  <c:v>347</c:v>
                </c:pt>
                <c:pt idx="57">
                  <c:v>350.8</c:v>
                </c:pt>
                <c:pt idx="58">
                  <c:v>327</c:v>
                </c:pt>
                <c:pt idx="59">
                  <c:v>320.60000000000002</c:v>
                </c:pt>
                <c:pt idx="60">
                  <c:v>329.3</c:v>
                </c:pt>
                <c:pt idx="61">
                  <c:v>313.8</c:v>
                </c:pt>
                <c:pt idx="62">
                  <c:v>314.10000000000002</c:v>
                </c:pt>
                <c:pt idx="63">
                  <c:v>298.3</c:v>
                </c:pt>
                <c:pt idx="64">
                  <c:v>297</c:v>
                </c:pt>
                <c:pt idx="65">
                  <c:v>291.3</c:v>
                </c:pt>
                <c:pt idx="66">
                  <c:v>286.60000000000002</c:v>
                </c:pt>
                <c:pt idx="67">
                  <c:v>280.7</c:v>
                </c:pt>
                <c:pt idx="68">
                  <c:v>277.89999999999998</c:v>
                </c:pt>
                <c:pt idx="69">
                  <c:v>272.7</c:v>
                </c:pt>
                <c:pt idx="70">
                  <c:v>263.60000000000002</c:v>
                </c:pt>
                <c:pt idx="71">
                  <c:v>263.7</c:v>
                </c:pt>
                <c:pt idx="72">
                  <c:v>257.10000000000002</c:v>
                </c:pt>
                <c:pt idx="73">
                  <c:v>252.9</c:v>
                </c:pt>
                <c:pt idx="74">
                  <c:v>249.3</c:v>
                </c:pt>
                <c:pt idx="75">
                  <c:v>244.4</c:v>
                </c:pt>
                <c:pt idx="76">
                  <c:v>238.5</c:v>
                </c:pt>
                <c:pt idx="77">
                  <c:v>238.7</c:v>
                </c:pt>
                <c:pt idx="78">
                  <c:v>221.82</c:v>
                </c:pt>
                <c:pt idx="79">
                  <c:v>194.46</c:v>
                </c:pt>
                <c:pt idx="80">
                  <c:v>173.26</c:v>
                </c:pt>
                <c:pt idx="81">
                  <c:v>157.78</c:v>
                </c:pt>
                <c:pt idx="82">
                  <c:v>146.24</c:v>
                </c:pt>
                <c:pt idx="83">
                  <c:v>134.38</c:v>
                </c:pt>
                <c:pt idx="84">
                  <c:v>128.55000000000001</c:v>
                </c:pt>
                <c:pt idx="85">
                  <c:v>119.43</c:v>
                </c:pt>
                <c:pt idx="86">
                  <c:v>109.67</c:v>
                </c:pt>
                <c:pt idx="87">
                  <c:v>105.39</c:v>
                </c:pt>
                <c:pt idx="88">
                  <c:v>101.88</c:v>
                </c:pt>
                <c:pt idx="89">
                  <c:v>95.94</c:v>
                </c:pt>
                <c:pt idx="90">
                  <c:v>92.69</c:v>
                </c:pt>
                <c:pt idx="91">
                  <c:v>88.09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Data2'!$G$198:$CT$198</c:f>
              <c:numCache>
                <c:formatCode>General</c:formatCode>
                <c:ptCount val="92"/>
                <c:pt idx="0">
                  <c:v>2440</c:v>
                </c:pt>
                <c:pt idx="1">
                  <c:v>2557</c:v>
                </c:pt>
                <c:pt idx="2">
                  <c:v>2518</c:v>
                </c:pt>
                <c:pt idx="3">
                  <c:v>2447</c:v>
                </c:pt>
                <c:pt idx="4">
                  <c:v>2461</c:v>
                </c:pt>
                <c:pt idx="5">
                  <c:v>2348</c:v>
                </c:pt>
                <c:pt idx="6">
                  <c:v>2474</c:v>
                </c:pt>
                <c:pt idx="7">
                  <c:v>2388</c:v>
                </c:pt>
                <c:pt idx="8">
                  <c:v>2435</c:v>
                </c:pt>
                <c:pt idx="9">
                  <c:v>2342</c:v>
                </c:pt>
                <c:pt idx="10">
                  <c:v>2384</c:v>
                </c:pt>
                <c:pt idx="11">
                  <c:v>2368</c:v>
                </c:pt>
                <c:pt idx="12">
                  <c:v>2354</c:v>
                </c:pt>
                <c:pt idx="13">
                  <c:v>2365</c:v>
                </c:pt>
                <c:pt idx="14">
                  <c:v>2323</c:v>
                </c:pt>
                <c:pt idx="15">
                  <c:v>2361</c:v>
                </c:pt>
                <c:pt idx="16">
                  <c:v>2330</c:v>
                </c:pt>
                <c:pt idx="17">
                  <c:v>2376</c:v>
                </c:pt>
                <c:pt idx="18">
                  <c:v>2238</c:v>
                </c:pt>
                <c:pt idx="19">
                  <c:v>2235</c:v>
                </c:pt>
                <c:pt idx="20">
                  <c:v>2223.6999999999998</c:v>
                </c:pt>
                <c:pt idx="21">
                  <c:v>2098.5</c:v>
                </c:pt>
                <c:pt idx="22">
                  <c:v>1989.6</c:v>
                </c:pt>
                <c:pt idx="23">
                  <c:v>1895.5</c:v>
                </c:pt>
                <c:pt idx="24">
                  <c:v>1798.5</c:v>
                </c:pt>
                <c:pt idx="25">
                  <c:v>1700.7</c:v>
                </c:pt>
                <c:pt idx="26">
                  <c:v>1615.7</c:v>
                </c:pt>
                <c:pt idx="27">
                  <c:v>1524.5</c:v>
                </c:pt>
                <c:pt idx="28">
                  <c:v>1456.6</c:v>
                </c:pt>
                <c:pt idx="29">
                  <c:v>1388.5</c:v>
                </c:pt>
                <c:pt idx="30">
                  <c:v>1303.3</c:v>
                </c:pt>
                <c:pt idx="31">
                  <c:v>1254.2</c:v>
                </c:pt>
                <c:pt idx="32">
                  <c:v>1197.2</c:v>
                </c:pt>
                <c:pt idx="33">
                  <c:v>1150</c:v>
                </c:pt>
                <c:pt idx="34">
                  <c:v>1094</c:v>
                </c:pt>
                <c:pt idx="35">
                  <c:v>1059.8</c:v>
                </c:pt>
                <c:pt idx="36">
                  <c:v>1002.1</c:v>
                </c:pt>
                <c:pt idx="37">
                  <c:v>978.1</c:v>
                </c:pt>
                <c:pt idx="38">
                  <c:v>947.2</c:v>
                </c:pt>
                <c:pt idx="39">
                  <c:v>901.5</c:v>
                </c:pt>
                <c:pt idx="40">
                  <c:v>873.5</c:v>
                </c:pt>
                <c:pt idx="41">
                  <c:v>833.6</c:v>
                </c:pt>
                <c:pt idx="42">
                  <c:v>798.1</c:v>
                </c:pt>
                <c:pt idx="43">
                  <c:v>778.1</c:v>
                </c:pt>
                <c:pt idx="44">
                  <c:v>747.5</c:v>
                </c:pt>
                <c:pt idx="45">
                  <c:v>732.5</c:v>
                </c:pt>
                <c:pt idx="46">
                  <c:v>693.8</c:v>
                </c:pt>
                <c:pt idx="47">
                  <c:v>681.2</c:v>
                </c:pt>
                <c:pt idx="48">
                  <c:v>658.1</c:v>
                </c:pt>
                <c:pt idx="49">
                  <c:v>629.70000000000005</c:v>
                </c:pt>
                <c:pt idx="50">
                  <c:v>619.9</c:v>
                </c:pt>
                <c:pt idx="51">
                  <c:v>614.20000000000005</c:v>
                </c:pt>
                <c:pt idx="52">
                  <c:v>573.1</c:v>
                </c:pt>
                <c:pt idx="53">
                  <c:v>562.9</c:v>
                </c:pt>
                <c:pt idx="54">
                  <c:v>546.4</c:v>
                </c:pt>
                <c:pt idx="55">
                  <c:v>528</c:v>
                </c:pt>
                <c:pt idx="56">
                  <c:v>513.79999999999995</c:v>
                </c:pt>
                <c:pt idx="57">
                  <c:v>498.7</c:v>
                </c:pt>
                <c:pt idx="58">
                  <c:v>490.3</c:v>
                </c:pt>
                <c:pt idx="59">
                  <c:v>477.6</c:v>
                </c:pt>
                <c:pt idx="60">
                  <c:v>462.4</c:v>
                </c:pt>
                <c:pt idx="61">
                  <c:v>453.1</c:v>
                </c:pt>
                <c:pt idx="62">
                  <c:v>439.4</c:v>
                </c:pt>
                <c:pt idx="63">
                  <c:v>427.2</c:v>
                </c:pt>
                <c:pt idx="64">
                  <c:v>389.6</c:v>
                </c:pt>
                <c:pt idx="65">
                  <c:v>402.3</c:v>
                </c:pt>
                <c:pt idx="66">
                  <c:v>393.8</c:v>
                </c:pt>
                <c:pt idx="67">
                  <c:v>385.5</c:v>
                </c:pt>
                <c:pt idx="68">
                  <c:v>376.3</c:v>
                </c:pt>
                <c:pt idx="69">
                  <c:v>375.2</c:v>
                </c:pt>
                <c:pt idx="70">
                  <c:v>359.7</c:v>
                </c:pt>
                <c:pt idx="71">
                  <c:v>356.4</c:v>
                </c:pt>
                <c:pt idx="72">
                  <c:v>349.8</c:v>
                </c:pt>
                <c:pt idx="73">
                  <c:v>342.8</c:v>
                </c:pt>
                <c:pt idx="74">
                  <c:v>335.7</c:v>
                </c:pt>
                <c:pt idx="75">
                  <c:v>323.8</c:v>
                </c:pt>
                <c:pt idx="76">
                  <c:v>327.7</c:v>
                </c:pt>
                <c:pt idx="77">
                  <c:v>319</c:v>
                </c:pt>
                <c:pt idx="78">
                  <c:v>285.61</c:v>
                </c:pt>
                <c:pt idx="79">
                  <c:v>240.95</c:v>
                </c:pt>
                <c:pt idx="80">
                  <c:v>206.72</c:v>
                </c:pt>
                <c:pt idx="81">
                  <c:v>182.08</c:v>
                </c:pt>
                <c:pt idx="82">
                  <c:v>162.09</c:v>
                </c:pt>
                <c:pt idx="83">
                  <c:v>145.66</c:v>
                </c:pt>
                <c:pt idx="84">
                  <c:v>132.05000000000001</c:v>
                </c:pt>
                <c:pt idx="85">
                  <c:v>123.37</c:v>
                </c:pt>
                <c:pt idx="86">
                  <c:v>111.63</c:v>
                </c:pt>
                <c:pt idx="87">
                  <c:v>103.87</c:v>
                </c:pt>
                <c:pt idx="88">
                  <c:v>97.89</c:v>
                </c:pt>
                <c:pt idx="89">
                  <c:v>93.02</c:v>
                </c:pt>
                <c:pt idx="90">
                  <c:v>87.18</c:v>
                </c:pt>
                <c:pt idx="91">
                  <c:v>82.36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Data2'!$G$199:$CT$199</c:f>
              <c:numCache>
                <c:formatCode>General</c:formatCode>
                <c:ptCount val="92"/>
                <c:pt idx="0">
                  <c:v>1193</c:v>
                </c:pt>
                <c:pt idx="1">
                  <c:v>1189</c:v>
                </c:pt>
                <c:pt idx="2">
                  <c:v>1166</c:v>
                </c:pt>
                <c:pt idx="3">
                  <c:v>1211</c:v>
                </c:pt>
                <c:pt idx="4">
                  <c:v>1221</c:v>
                </c:pt>
                <c:pt idx="5">
                  <c:v>1262</c:v>
                </c:pt>
                <c:pt idx="6">
                  <c:v>1207</c:v>
                </c:pt>
                <c:pt idx="7">
                  <c:v>1180</c:v>
                </c:pt>
                <c:pt idx="8">
                  <c:v>1216</c:v>
                </c:pt>
                <c:pt idx="9">
                  <c:v>1192</c:v>
                </c:pt>
                <c:pt idx="10">
                  <c:v>1170</c:v>
                </c:pt>
                <c:pt idx="11">
                  <c:v>1190</c:v>
                </c:pt>
                <c:pt idx="12">
                  <c:v>1151</c:v>
                </c:pt>
                <c:pt idx="13">
                  <c:v>1165</c:v>
                </c:pt>
                <c:pt idx="14">
                  <c:v>1148</c:v>
                </c:pt>
                <c:pt idx="15">
                  <c:v>1163</c:v>
                </c:pt>
                <c:pt idx="16">
                  <c:v>1145</c:v>
                </c:pt>
                <c:pt idx="17">
                  <c:v>1130</c:v>
                </c:pt>
                <c:pt idx="18">
                  <c:v>1171</c:v>
                </c:pt>
                <c:pt idx="19">
                  <c:v>1112</c:v>
                </c:pt>
                <c:pt idx="20">
                  <c:v>1117</c:v>
                </c:pt>
                <c:pt idx="21">
                  <c:v>1064.0999999999999</c:v>
                </c:pt>
                <c:pt idx="22">
                  <c:v>1028.9000000000001</c:v>
                </c:pt>
                <c:pt idx="23">
                  <c:v>969.1</c:v>
                </c:pt>
                <c:pt idx="24">
                  <c:v>910.7</c:v>
                </c:pt>
                <c:pt idx="25">
                  <c:v>870.8</c:v>
                </c:pt>
                <c:pt idx="26">
                  <c:v>826.2</c:v>
                </c:pt>
                <c:pt idx="27">
                  <c:v>786.3</c:v>
                </c:pt>
                <c:pt idx="28">
                  <c:v>761.9</c:v>
                </c:pt>
                <c:pt idx="29">
                  <c:v>722</c:v>
                </c:pt>
                <c:pt idx="30">
                  <c:v>704.8</c:v>
                </c:pt>
                <c:pt idx="31">
                  <c:v>661.4</c:v>
                </c:pt>
                <c:pt idx="32">
                  <c:v>645</c:v>
                </c:pt>
                <c:pt idx="33">
                  <c:v>601.79999999999995</c:v>
                </c:pt>
                <c:pt idx="34">
                  <c:v>586.6</c:v>
                </c:pt>
                <c:pt idx="35">
                  <c:v>566.6</c:v>
                </c:pt>
                <c:pt idx="36">
                  <c:v>540.20000000000005</c:v>
                </c:pt>
                <c:pt idx="37">
                  <c:v>528.29999999999995</c:v>
                </c:pt>
                <c:pt idx="38">
                  <c:v>516.4</c:v>
                </c:pt>
                <c:pt idx="39">
                  <c:v>485.5</c:v>
                </c:pt>
                <c:pt idx="40">
                  <c:v>478.4</c:v>
                </c:pt>
                <c:pt idx="41">
                  <c:v>455.7</c:v>
                </c:pt>
                <c:pt idx="42">
                  <c:v>441.7</c:v>
                </c:pt>
                <c:pt idx="43">
                  <c:v>426.3</c:v>
                </c:pt>
                <c:pt idx="44">
                  <c:v>412.3</c:v>
                </c:pt>
                <c:pt idx="45">
                  <c:v>398.4</c:v>
                </c:pt>
                <c:pt idx="46">
                  <c:v>387.6</c:v>
                </c:pt>
                <c:pt idx="47">
                  <c:v>371.8</c:v>
                </c:pt>
                <c:pt idx="48">
                  <c:v>367.2</c:v>
                </c:pt>
                <c:pt idx="49">
                  <c:v>367.7</c:v>
                </c:pt>
                <c:pt idx="50">
                  <c:v>355.3</c:v>
                </c:pt>
                <c:pt idx="51">
                  <c:v>339.3</c:v>
                </c:pt>
                <c:pt idx="52">
                  <c:v>330.3</c:v>
                </c:pt>
                <c:pt idx="53">
                  <c:v>319.10000000000002</c:v>
                </c:pt>
                <c:pt idx="54">
                  <c:v>305.60000000000002</c:v>
                </c:pt>
                <c:pt idx="55">
                  <c:v>309.7</c:v>
                </c:pt>
                <c:pt idx="56">
                  <c:v>299.8</c:v>
                </c:pt>
                <c:pt idx="57">
                  <c:v>296.2</c:v>
                </c:pt>
                <c:pt idx="58">
                  <c:v>285.3</c:v>
                </c:pt>
                <c:pt idx="59">
                  <c:v>276.2</c:v>
                </c:pt>
                <c:pt idx="60">
                  <c:v>262.5</c:v>
                </c:pt>
                <c:pt idx="61">
                  <c:v>261.89999999999998</c:v>
                </c:pt>
                <c:pt idx="62">
                  <c:v>258.5</c:v>
                </c:pt>
                <c:pt idx="63">
                  <c:v>258.60000000000002</c:v>
                </c:pt>
                <c:pt idx="64">
                  <c:v>255.1</c:v>
                </c:pt>
                <c:pt idx="65">
                  <c:v>240.7</c:v>
                </c:pt>
                <c:pt idx="66">
                  <c:v>240.4</c:v>
                </c:pt>
                <c:pt idx="67">
                  <c:v>233.5</c:v>
                </c:pt>
                <c:pt idx="68">
                  <c:v>235.7</c:v>
                </c:pt>
                <c:pt idx="69">
                  <c:v>235.5</c:v>
                </c:pt>
                <c:pt idx="70">
                  <c:v>229.8</c:v>
                </c:pt>
                <c:pt idx="71">
                  <c:v>221.7</c:v>
                </c:pt>
                <c:pt idx="72">
                  <c:v>209.9</c:v>
                </c:pt>
                <c:pt idx="73">
                  <c:v>207.9</c:v>
                </c:pt>
                <c:pt idx="74">
                  <c:v>203.1</c:v>
                </c:pt>
                <c:pt idx="75">
                  <c:v>204.2</c:v>
                </c:pt>
                <c:pt idx="76">
                  <c:v>198.9</c:v>
                </c:pt>
                <c:pt idx="77">
                  <c:v>198.1</c:v>
                </c:pt>
                <c:pt idx="78">
                  <c:v>181.12</c:v>
                </c:pt>
                <c:pt idx="79">
                  <c:v>157.21</c:v>
                </c:pt>
                <c:pt idx="80">
                  <c:v>139.86000000000001</c:v>
                </c:pt>
                <c:pt idx="81">
                  <c:v>124.39</c:v>
                </c:pt>
                <c:pt idx="82">
                  <c:v>113.7</c:v>
                </c:pt>
                <c:pt idx="83">
                  <c:v>104.75</c:v>
                </c:pt>
                <c:pt idx="84">
                  <c:v>96.91</c:v>
                </c:pt>
                <c:pt idx="85">
                  <c:v>90.84</c:v>
                </c:pt>
                <c:pt idx="86">
                  <c:v>84.43</c:v>
                </c:pt>
                <c:pt idx="87">
                  <c:v>80.489999999999995</c:v>
                </c:pt>
                <c:pt idx="88">
                  <c:v>77.61</c:v>
                </c:pt>
                <c:pt idx="89">
                  <c:v>73.89</c:v>
                </c:pt>
                <c:pt idx="90">
                  <c:v>70.13</c:v>
                </c:pt>
                <c:pt idx="91">
                  <c:v>66.59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Data2'!$G$200:$CT$200</c:f>
              <c:numCache>
                <c:formatCode>General</c:formatCode>
                <c:ptCount val="92"/>
                <c:pt idx="0">
                  <c:v>4221</c:v>
                </c:pt>
                <c:pt idx="1">
                  <c:v>4141</c:v>
                </c:pt>
                <c:pt idx="2">
                  <c:v>4157</c:v>
                </c:pt>
                <c:pt idx="3">
                  <c:v>4148</c:v>
                </c:pt>
                <c:pt idx="4">
                  <c:v>4189</c:v>
                </c:pt>
                <c:pt idx="5">
                  <c:v>4142</c:v>
                </c:pt>
                <c:pt idx="6">
                  <c:v>4025</c:v>
                </c:pt>
                <c:pt idx="7">
                  <c:v>4073</c:v>
                </c:pt>
                <c:pt idx="8">
                  <c:v>4120</c:v>
                </c:pt>
                <c:pt idx="9">
                  <c:v>4016</c:v>
                </c:pt>
                <c:pt idx="10">
                  <c:v>4003</c:v>
                </c:pt>
                <c:pt idx="11">
                  <c:v>3913</c:v>
                </c:pt>
                <c:pt idx="12">
                  <c:v>3987</c:v>
                </c:pt>
                <c:pt idx="13">
                  <c:v>4031</c:v>
                </c:pt>
                <c:pt idx="14">
                  <c:v>3957</c:v>
                </c:pt>
                <c:pt idx="15">
                  <c:v>3912</c:v>
                </c:pt>
                <c:pt idx="16">
                  <c:v>3906</c:v>
                </c:pt>
                <c:pt idx="17">
                  <c:v>3836</c:v>
                </c:pt>
                <c:pt idx="18">
                  <c:v>3825</c:v>
                </c:pt>
                <c:pt idx="19">
                  <c:v>3783</c:v>
                </c:pt>
                <c:pt idx="20">
                  <c:v>3729.6</c:v>
                </c:pt>
                <c:pt idx="21">
                  <c:v>3514.6</c:v>
                </c:pt>
                <c:pt idx="22">
                  <c:v>3358.4</c:v>
                </c:pt>
                <c:pt idx="23">
                  <c:v>3149.3</c:v>
                </c:pt>
                <c:pt idx="24">
                  <c:v>2969.1</c:v>
                </c:pt>
                <c:pt idx="25">
                  <c:v>2804.1</c:v>
                </c:pt>
                <c:pt idx="26">
                  <c:v>2678.2</c:v>
                </c:pt>
                <c:pt idx="27">
                  <c:v>2556.3000000000002</c:v>
                </c:pt>
                <c:pt idx="28">
                  <c:v>2428.5</c:v>
                </c:pt>
                <c:pt idx="29">
                  <c:v>2293.5</c:v>
                </c:pt>
                <c:pt idx="30">
                  <c:v>2178.6999999999998</c:v>
                </c:pt>
                <c:pt idx="31">
                  <c:v>2070.3000000000002</c:v>
                </c:pt>
                <c:pt idx="32">
                  <c:v>1988.9</c:v>
                </c:pt>
                <c:pt idx="33">
                  <c:v>1895.9</c:v>
                </c:pt>
                <c:pt idx="34">
                  <c:v>1810.4</c:v>
                </c:pt>
                <c:pt idx="35">
                  <c:v>1751.1</c:v>
                </c:pt>
                <c:pt idx="36">
                  <c:v>1666</c:v>
                </c:pt>
                <c:pt idx="37">
                  <c:v>1596.9</c:v>
                </c:pt>
                <c:pt idx="38">
                  <c:v>1533.3</c:v>
                </c:pt>
                <c:pt idx="39">
                  <c:v>1472.7</c:v>
                </c:pt>
                <c:pt idx="40">
                  <c:v>1408.9</c:v>
                </c:pt>
                <c:pt idx="41">
                  <c:v>1333</c:v>
                </c:pt>
                <c:pt idx="42">
                  <c:v>1310.2</c:v>
                </c:pt>
                <c:pt idx="43">
                  <c:v>1268.2</c:v>
                </c:pt>
                <c:pt idx="44">
                  <c:v>1226.3</c:v>
                </c:pt>
                <c:pt idx="45">
                  <c:v>1171.9000000000001</c:v>
                </c:pt>
                <c:pt idx="46">
                  <c:v>1145.4000000000001</c:v>
                </c:pt>
                <c:pt idx="47">
                  <c:v>1109.7</c:v>
                </c:pt>
                <c:pt idx="48">
                  <c:v>1065.0999999999999</c:v>
                </c:pt>
                <c:pt idx="49">
                  <c:v>1025.8</c:v>
                </c:pt>
                <c:pt idx="50">
                  <c:v>1005.5</c:v>
                </c:pt>
                <c:pt idx="51">
                  <c:v>998.3</c:v>
                </c:pt>
                <c:pt idx="52">
                  <c:v>942</c:v>
                </c:pt>
                <c:pt idx="53">
                  <c:v>900.4</c:v>
                </c:pt>
                <c:pt idx="54">
                  <c:v>881.3</c:v>
                </c:pt>
                <c:pt idx="55">
                  <c:v>859.8</c:v>
                </c:pt>
                <c:pt idx="56">
                  <c:v>829.9</c:v>
                </c:pt>
                <c:pt idx="57">
                  <c:v>805.7</c:v>
                </c:pt>
                <c:pt idx="58">
                  <c:v>798.2</c:v>
                </c:pt>
                <c:pt idx="59">
                  <c:v>760.1</c:v>
                </c:pt>
                <c:pt idx="60">
                  <c:v>744.6</c:v>
                </c:pt>
                <c:pt idx="61">
                  <c:v>725.7</c:v>
                </c:pt>
                <c:pt idx="62">
                  <c:v>711.7</c:v>
                </c:pt>
                <c:pt idx="63">
                  <c:v>700.4</c:v>
                </c:pt>
                <c:pt idx="64">
                  <c:v>666</c:v>
                </c:pt>
                <c:pt idx="65">
                  <c:v>652.4</c:v>
                </c:pt>
                <c:pt idx="66">
                  <c:v>640.1</c:v>
                </c:pt>
                <c:pt idx="67">
                  <c:v>622.1</c:v>
                </c:pt>
                <c:pt idx="68">
                  <c:v>609.29999999999995</c:v>
                </c:pt>
                <c:pt idx="69">
                  <c:v>605.6</c:v>
                </c:pt>
                <c:pt idx="70">
                  <c:v>586.9</c:v>
                </c:pt>
                <c:pt idx="71">
                  <c:v>568.79999999999995</c:v>
                </c:pt>
                <c:pt idx="72">
                  <c:v>553</c:v>
                </c:pt>
                <c:pt idx="73">
                  <c:v>546.6</c:v>
                </c:pt>
                <c:pt idx="74">
                  <c:v>540.20000000000005</c:v>
                </c:pt>
                <c:pt idx="75">
                  <c:v>520.79999999999995</c:v>
                </c:pt>
                <c:pt idx="76">
                  <c:v>513.4</c:v>
                </c:pt>
                <c:pt idx="77">
                  <c:v>512.6</c:v>
                </c:pt>
                <c:pt idx="78">
                  <c:v>454.65</c:v>
                </c:pt>
                <c:pt idx="79">
                  <c:v>380.46</c:v>
                </c:pt>
                <c:pt idx="80">
                  <c:v>326.42</c:v>
                </c:pt>
                <c:pt idx="81">
                  <c:v>282.52</c:v>
                </c:pt>
                <c:pt idx="82">
                  <c:v>249.4</c:v>
                </c:pt>
                <c:pt idx="83">
                  <c:v>222.65</c:v>
                </c:pt>
                <c:pt idx="84">
                  <c:v>200.37</c:v>
                </c:pt>
                <c:pt idx="85">
                  <c:v>183.76</c:v>
                </c:pt>
                <c:pt idx="86">
                  <c:v>169.44</c:v>
                </c:pt>
                <c:pt idx="87">
                  <c:v>156.28</c:v>
                </c:pt>
                <c:pt idx="88">
                  <c:v>146.41</c:v>
                </c:pt>
                <c:pt idx="89">
                  <c:v>137.06</c:v>
                </c:pt>
                <c:pt idx="90">
                  <c:v>127.94</c:v>
                </c:pt>
                <c:pt idx="91">
                  <c:v>119.86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Data2'!$G$201:$CT$201</c:f>
              <c:numCache>
                <c:formatCode>General</c:formatCode>
                <c:ptCount val="92"/>
                <c:pt idx="0">
                  <c:v>1268</c:v>
                </c:pt>
                <c:pt idx="1">
                  <c:v>1243</c:v>
                </c:pt>
                <c:pt idx="2">
                  <c:v>1226</c:v>
                </c:pt>
                <c:pt idx="3">
                  <c:v>1241</c:v>
                </c:pt>
                <c:pt idx="4">
                  <c:v>1246</c:v>
                </c:pt>
                <c:pt idx="5">
                  <c:v>1247</c:v>
                </c:pt>
                <c:pt idx="6">
                  <c:v>1170</c:v>
                </c:pt>
                <c:pt idx="7">
                  <c:v>1199</c:v>
                </c:pt>
                <c:pt idx="8">
                  <c:v>1211</c:v>
                </c:pt>
                <c:pt idx="9">
                  <c:v>1230</c:v>
                </c:pt>
                <c:pt idx="10">
                  <c:v>1192</c:v>
                </c:pt>
                <c:pt idx="11">
                  <c:v>1172</c:v>
                </c:pt>
                <c:pt idx="12">
                  <c:v>1196</c:v>
                </c:pt>
                <c:pt idx="13">
                  <c:v>1205</c:v>
                </c:pt>
                <c:pt idx="14">
                  <c:v>1193</c:v>
                </c:pt>
                <c:pt idx="15">
                  <c:v>1191</c:v>
                </c:pt>
                <c:pt idx="16">
                  <c:v>1157</c:v>
                </c:pt>
                <c:pt idx="17">
                  <c:v>1220</c:v>
                </c:pt>
                <c:pt idx="18">
                  <c:v>1193</c:v>
                </c:pt>
                <c:pt idx="19">
                  <c:v>1196</c:v>
                </c:pt>
                <c:pt idx="20">
                  <c:v>1166.5</c:v>
                </c:pt>
                <c:pt idx="21">
                  <c:v>1092.7</c:v>
                </c:pt>
                <c:pt idx="22">
                  <c:v>1041.8</c:v>
                </c:pt>
                <c:pt idx="23">
                  <c:v>996.9</c:v>
                </c:pt>
                <c:pt idx="24">
                  <c:v>956.6</c:v>
                </c:pt>
                <c:pt idx="25">
                  <c:v>899.7</c:v>
                </c:pt>
                <c:pt idx="26">
                  <c:v>856.2</c:v>
                </c:pt>
                <c:pt idx="27">
                  <c:v>821.8</c:v>
                </c:pt>
                <c:pt idx="28">
                  <c:v>791</c:v>
                </c:pt>
                <c:pt idx="29">
                  <c:v>765.8</c:v>
                </c:pt>
                <c:pt idx="30">
                  <c:v>742.3</c:v>
                </c:pt>
                <c:pt idx="31">
                  <c:v>696.8</c:v>
                </c:pt>
                <c:pt idx="32">
                  <c:v>666</c:v>
                </c:pt>
                <c:pt idx="33">
                  <c:v>635.29999999999995</c:v>
                </c:pt>
                <c:pt idx="34">
                  <c:v>627.79999999999995</c:v>
                </c:pt>
                <c:pt idx="35">
                  <c:v>590.79999999999995</c:v>
                </c:pt>
                <c:pt idx="36">
                  <c:v>563.79999999999995</c:v>
                </c:pt>
                <c:pt idx="37">
                  <c:v>547.9</c:v>
                </c:pt>
                <c:pt idx="38">
                  <c:v>532.79999999999995</c:v>
                </c:pt>
                <c:pt idx="39">
                  <c:v>519.70000000000005</c:v>
                </c:pt>
                <c:pt idx="40">
                  <c:v>499.4</c:v>
                </c:pt>
                <c:pt idx="41">
                  <c:v>477.7</c:v>
                </c:pt>
                <c:pt idx="42">
                  <c:v>470.5</c:v>
                </c:pt>
                <c:pt idx="43">
                  <c:v>461</c:v>
                </c:pt>
                <c:pt idx="44">
                  <c:v>445.4</c:v>
                </c:pt>
                <c:pt idx="45">
                  <c:v>426.6</c:v>
                </c:pt>
                <c:pt idx="46">
                  <c:v>409.8</c:v>
                </c:pt>
                <c:pt idx="47">
                  <c:v>409.1</c:v>
                </c:pt>
                <c:pt idx="48">
                  <c:v>399.9</c:v>
                </c:pt>
                <c:pt idx="49">
                  <c:v>386</c:v>
                </c:pt>
                <c:pt idx="50">
                  <c:v>374.2</c:v>
                </c:pt>
                <c:pt idx="51">
                  <c:v>361</c:v>
                </c:pt>
                <c:pt idx="52">
                  <c:v>348.6</c:v>
                </c:pt>
                <c:pt idx="53">
                  <c:v>338.7</c:v>
                </c:pt>
                <c:pt idx="54">
                  <c:v>340</c:v>
                </c:pt>
                <c:pt idx="55">
                  <c:v>332</c:v>
                </c:pt>
                <c:pt idx="56">
                  <c:v>328.8</c:v>
                </c:pt>
                <c:pt idx="57">
                  <c:v>315.2</c:v>
                </c:pt>
                <c:pt idx="58">
                  <c:v>302.89999999999998</c:v>
                </c:pt>
                <c:pt idx="59">
                  <c:v>305.60000000000002</c:v>
                </c:pt>
                <c:pt idx="60">
                  <c:v>301.2</c:v>
                </c:pt>
                <c:pt idx="61">
                  <c:v>287.39999999999998</c:v>
                </c:pt>
                <c:pt idx="62">
                  <c:v>289.10000000000002</c:v>
                </c:pt>
                <c:pt idx="63">
                  <c:v>280.60000000000002</c:v>
                </c:pt>
                <c:pt idx="64">
                  <c:v>274.3</c:v>
                </c:pt>
                <c:pt idx="65">
                  <c:v>263.5</c:v>
                </c:pt>
                <c:pt idx="66">
                  <c:v>265</c:v>
                </c:pt>
                <c:pt idx="67">
                  <c:v>258.60000000000002</c:v>
                </c:pt>
                <c:pt idx="68">
                  <c:v>255.2</c:v>
                </c:pt>
                <c:pt idx="69">
                  <c:v>248.1</c:v>
                </c:pt>
                <c:pt idx="70">
                  <c:v>246.6</c:v>
                </c:pt>
                <c:pt idx="71">
                  <c:v>238.2</c:v>
                </c:pt>
                <c:pt idx="72">
                  <c:v>243.1</c:v>
                </c:pt>
                <c:pt idx="73">
                  <c:v>228.8</c:v>
                </c:pt>
                <c:pt idx="74">
                  <c:v>230</c:v>
                </c:pt>
                <c:pt idx="75">
                  <c:v>225.9</c:v>
                </c:pt>
                <c:pt idx="76">
                  <c:v>227.5</c:v>
                </c:pt>
                <c:pt idx="77">
                  <c:v>214.6</c:v>
                </c:pt>
                <c:pt idx="78">
                  <c:v>200.74</c:v>
                </c:pt>
                <c:pt idx="79">
                  <c:v>176.41</c:v>
                </c:pt>
                <c:pt idx="80">
                  <c:v>156.74</c:v>
                </c:pt>
                <c:pt idx="81">
                  <c:v>142.96</c:v>
                </c:pt>
                <c:pt idx="82">
                  <c:v>130.35</c:v>
                </c:pt>
                <c:pt idx="83">
                  <c:v>121.32</c:v>
                </c:pt>
                <c:pt idx="84">
                  <c:v>113.25</c:v>
                </c:pt>
                <c:pt idx="85">
                  <c:v>105.8</c:v>
                </c:pt>
                <c:pt idx="86">
                  <c:v>99.37</c:v>
                </c:pt>
                <c:pt idx="87">
                  <c:v>94</c:v>
                </c:pt>
                <c:pt idx="88">
                  <c:v>89.49</c:v>
                </c:pt>
                <c:pt idx="89">
                  <c:v>85.72</c:v>
                </c:pt>
                <c:pt idx="90">
                  <c:v>83.09</c:v>
                </c:pt>
                <c:pt idx="91">
                  <c:v>80.13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Data2'!$G$202:$CT$202</c:f>
              <c:numCache>
                <c:formatCode>General</c:formatCode>
                <c:ptCount val="92"/>
                <c:pt idx="0">
                  <c:v>5282</c:v>
                </c:pt>
                <c:pt idx="1">
                  <c:v>5257</c:v>
                </c:pt>
                <c:pt idx="2">
                  <c:v>5273</c:v>
                </c:pt>
                <c:pt idx="3">
                  <c:v>5228</c:v>
                </c:pt>
                <c:pt idx="4">
                  <c:v>5193</c:v>
                </c:pt>
                <c:pt idx="5">
                  <c:v>5201</c:v>
                </c:pt>
                <c:pt idx="6">
                  <c:v>5167</c:v>
                </c:pt>
                <c:pt idx="7">
                  <c:v>5153</c:v>
                </c:pt>
                <c:pt idx="8">
                  <c:v>4952</c:v>
                </c:pt>
                <c:pt idx="9">
                  <c:v>5054</c:v>
                </c:pt>
                <c:pt idx="10">
                  <c:v>5092</c:v>
                </c:pt>
                <c:pt idx="11">
                  <c:v>5015</c:v>
                </c:pt>
                <c:pt idx="12">
                  <c:v>5029</c:v>
                </c:pt>
                <c:pt idx="13">
                  <c:v>5018</c:v>
                </c:pt>
                <c:pt idx="14">
                  <c:v>4869</c:v>
                </c:pt>
                <c:pt idx="15">
                  <c:v>4951</c:v>
                </c:pt>
                <c:pt idx="16">
                  <c:v>4915</c:v>
                </c:pt>
                <c:pt idx="17">
                  <c:v>4893</c:v>
                </c:pt>
                <c:pt idx="18">
                  <c:v>4852</c:v>
                </c:pt>
                <c:pt idx="19">
                  <c:v>4776</c:v>
                </c:pt>
                <c:pt idx="20">
                  <c:v>4700.6000000000004</c:v>
                </c:pt>
                <c:pt idx="21">
                  <c:v>4480.8999999999996</c:v>
                </c:pt>
                <c:pt idx="22">
                  <c:v>4241.8</c:v>
                </c:pt>
                <c:pt idx="23">
                  <c:v>3995.8</c:v>
                </c:pt>
                <c:pt idx="24">
                  <c:v>3775.4</c:v>
                </c:pt>
                <c:pt idx="25">
                  <c:v>3572.8</c:v>
                </c:pt>
                <c:pt idx="26">
                  <c:v>3362.8</c:v>
                </c:pt>
                <c:pt idx="27">
                  <c:v>3183.6</c:v>
                </c:pt>
                <c:pt idx="28">
                  <c:v>3023.8</c:v>
                </c:pt>
                <c:pt idx="29">
                  <c:v>2885.3</c:v>
                </c:pt>
                <c:pt idx="30">
                  <c:v>2741.5</c:v>
                </c:pt>
                <c:pt idx="31">
                  <c:v>2638.8</c:v>
                </c:pt>
                <c:pt idx="32">
                  <c:v>2509.9</c:v>
                </c:pt>
                <c:pt idx="33">
                  <c:v>2391.4</c:v>
                </c:pt>
                <c:pt idx="34">
                  <c:v>2308.1</c:v>
                </c:pt>
                <c:pt idx="35">
                  <c:v>2182.8000000000002</c:v>
                </c:pt>
                <c:pt idx="36">
                  <c:v>2080.1999999999998</c:v>
                </c:pt>
                <c:pt idx="37">
                  <c:v>2016.3</c:v>
                </c:pt>
                <c:pt idx="38">
                  <c:v>1937.1</c:v>
                </c:pt>
                <c:pt idx="39">
                  <c:v>1853.4</c:v>
                </c:pt>
                <c:pt idx="40">
                  <c:v>1780.1</c:v>
                </c:pt>
                <c:pt idx="41">
                  <c:v>1705.6</c:v>
                </c:pt>
                <c:pt idx="42">
                  <c:v>1642.5</c:v>
                </c:pt>
                <c:pt idx="43">
                  <c:v>1588.9</c:v>
                </c:pt>
                <c:pt idx="44">
                  <c:v>1520.2</c:v>
                </c:pt>
                <c:pt idx="45">
                  <c:v>1450</c:v>
                </c:pt>
                <c:pt idx="46">
                  <c:v>1394</c:v>
                </c:pt>
                <c:pt idx="47">
                  <c:v>1370.1</c:v>
                </c:pt>
                <c:pt idx="48">
                  <c:v>1334.2</c:v>
                </c:pt>
                <c:pt idx="49">
                  <c:v>1305.5</c:v>
                </c:pt>
                <c:pt idx="50">
                  <c:v>1258</c:v>
                </c:pt>
                <c:pt idx="51">
                  <c:v>1222.9000000000001</c:v>
                </c:pt>
                <c:pt idx="52">
                  <c:v>1188</c:v>
                </c:pt>
                <c:pt idx="53">
                  <c:v>1120.9000000000001</c:v>
                </c:pt>
                <c:pt idx="54">
                  <c:v>1103.5999999999999</c:v>
                </c:pt>
                <c:pt idx="55">
                  <c:v>1070</c:v>
                </c:pt>
                <c:pt idx="56">
                  <c:v>1031.5999999999999</c:v>
                </c:pt>
                <c:pt idx="57">
                  <c:v>1009.3</c:v>
                </c:pt>
                <c:pt idx="58">
                  <c:v>986.6</c:v>
                </c:pt>
                <c:pt idx="59">
                  <c:v>961.4</c:v>
                </c:pt>
                <c:pt idx="60">
                  <c:v>930.8</c:v>
                </c:pt>
                <c:pt idx="61">
                  <c:v>911</c:v>
                </c:pt>
                <c:pt idx="62">
                  <c:v>877.1</c:v>
                </c:pt>
                <c:pt idx="63">
                  <c:v>853.8</c:v>
                </c:pt>
                <c:pt idx="64">
                  <c:v>844</c:v>
                </c:pt>
                <c:pt idx="65">
                  <c:v>832</c:v>
                </c:pt>
                <c:pt idx="66">
                  <c:v>789.5</c:v>
                </c:pt>
                <c:pt idx="67">
                  <c:v>777.7</c:v>
                </c:pt>
                <c:pt idx="68">
                  <c:v>752.4</c:v>
                </c:pt>
                <c:pt idx="69">
                  <c:v>753.8</c:v>
                </c:pt>
                <c:pt idx="70">
                  <c:v>725.6</c:v>
                </c:pt>
                <c:pt idx="71">
                  <c:v>710.6</c:v>
                </c:pt>
                <c:pt idx="72">
                  <c:v>698.8</c:v>
                </c:pt>
                <c:pt idx="73">
                  <c:v>672.3</c:v>
                </c:pt>
                <c:pt idx="74">
                  <c:v>668.4</c:v>
                </c:pt>
                <c:pt idx="75">
                  <c:v>657.6</c:v>
                </c:pt>
                <c:pt idx="76">
                  <c:v>636</c:v>
                </c:pt>
                <c:pt idx="77">
                  <c:v>631.4</c:v>
                </c:pt>
                <c:pt idx="78">
                  <c:v>561.39</c:v>
                </c:pt>
                <c:pt idx="79">
                  <c:v>473.22</c:v>
                </c:pt>
                <c:pt idx="80">
                  <c:v>403.13</c:v>
                </c:pt>
                <c:pt idx="81">
                  <c:v>349.03</c:v>
                </c:pt>
                <c:pt idx="82">
                  <c:v>308.98</c:v>
                </c:pt>
                <c:pt idx="83">
                  <c:v>275.27</c:v>
                </c:pt>
                <c:pt idx="84">
                  <c:v>247.33</c:v>
                </c:pt>
                <c:pt idx="85">
                  <c:v>225.33</c:v>
                </c:pt>
                <c:pt idx="86">
                  <c:v>208.59</c:v>
                </c:pt>
                <c:pt idx="87">
                  <c:v>192.59</c:v>
                </c:pt>
                <c:pt idx="88">
                  <c:v>178.53</c:v>
                </c:pt>
                <c:pt idx="89">
                  <c:v>166.31</c:v>
                </c:pt>
                <c:pt idx="90">
                  <c:v>156.30000000000001</c:v>
                </c:pt>
                <c:pt idx="91">
                  <c:v>147.05000000000001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Data2'!$G$203:$CT$203</c:f>
              <c:numCache>
                <c:formatCode>General</c:formatCode>
                <c:ptCount val="92"/>
                <c:pt idx="0">
                  <c:v>1272</c:v>
                </c:pt>
                <c:pt idx="1">
                  <c:v>1227</c:v>
                </c:pt>
                <c:pt idx="2">
                  <c:v>1257</c:v>
                </c:pt>
                <c:pt idx="3">
                  <c:v>1243</c:v>
                </c:pt>
                <c:pt idx="4">
                  <c:v>1236</c:v>
                </c:pt>
                <c:pt idx="5">
                  <c:v>1273</c:v>
                </c:pt>
                <c:pt idx="6">
                  <c:v>1284</c:v>
                </c:pt>
                <c:pt idx="7">
                  <c:v>1213</c:v>
                </c:pt>
                <c:pt idx="8">
                  <c:v>1213</c:v>
                </c:pt>
                <c:pt idx="9">
                  <c:v>1244</c:v>
                </c:pt>
                <c:pt idx="10">
                  <c:v>1224</c:v>
                </c:pt>
                <c:pt idx="11">
                  <c:v>1189</c:v>
                </c:pt>
                <c:pt idx="12">
                  <c:v>1203</c:v>
                </c:pt>
                <c:pt idx="13">
                  <c:v>1236</c:v>
                </c:pt>
                <c:pt idx="14">
                  <c:v>1209</c:v>
                </c:pt>
                <c:pt idx="15">
                  <c:v>1176</c:v>
                </c:pt>
                <c:pt idx="16">
                  <c:v>1175</c:v>
                </c:pt>
                <c:pt idx="17">
                  <c:v>1182</c:v>
                </c:pt>
                <c:pt idx="18">
                  <c:v>1168</c:v>
                </c:pt>
                <c:pt idx="19">
                  <c:v>1202</c:v>
                </c:pt>
                <c:pt idx="20">
                  <c:v>1156.5999999999999</c:v>
                </c:pt>
                <c:pt idx="21">
                  <c:v>1104.5</c:v>
                </c:pt>
                <c:pt idx="22">
                  <c:v>1053.0999999999999</c:v>
                </c:pt>
                <c:pt idx="23">
                  <c:v>964.4</c:v>
                </c:pt>
                <c:pt idx="24">
                  <c:v>962.2</c:v>
                </c:pt>
                <c:pt idx="25">
                  <c:v>912.1</c:v>
                </c:pt>
                <c:pt idx="26">
                  <c:v>887.1</c:v>
                </c:pt>
                <c:pt idx="27">
                  <c:v>828.2</c:v>
                </c:pt>
                <c:pt idx="28">
                  <c:v>802.2</c:v>
                </c:pt>
                <c:pt idx="29">
                  <c:v>765.8</c:v>
                </c:pt>
                <c:pt idx="30">
                  <c:v>702.3</c:v>
                </c:pt>
                <c:pt idx="31">
                  <c:v>673.8</c:v>
                </c:pt>
                <c:pt idx="32">
                  <c:v>667.9</c:v>
                </c:pt>
                <c:pt idx="33">
                  <c:v>649</c:v>
                </c:pt>
                <c:pt idx="34">
                  <c:v>635</c:v>
                </c:pt>
                <c:pt idx="35">
                  <c:v>598.70000000000005</c:v>
                </c:pt>
                <c:pt idx="36">
                  <c:v>593.29999999999995</c:v>
                </c:pt>
                <c:pt idx="37">
                  <c:v>564.29999999999995</c:v>
                </c:pt>
                <c:pt idx="38">
                  <c:v>548.70000000000005</c:v>
                </c:pt>
                <c:pt idx="39">
                  <c:v>523</c:v>
                </c:pt>
                <c:pt idx="40">
                  <c:v>508.3</c:v>
                </c:pt>
                <c:pt idx="41">
                  <c:v>498.5</c:v>
                </c:pt>
                <c:pt idx="42">
                  <c:v>482.5</c:v>
                </c:pt>
                <c:pt idx="43">
                  <c:v>466.7</c:v>
                </c:pt>
                <c:pt idx="44">
                  <c:v>444.7</c:v>
                </c:pt>
                <c:pt idx="45">
                  <c:v>443.4</c:v>
                </c:pt>
                <c:pt idx="46">
                  <c:v>430.7</c:v>
                </c:pt>
                <c:pt idx="47">
                  <c:v>408.8</c:v>
                </c:pt>
                <c:pt idx="48">
                  <c:v>399</c:v>
                </c:pt>
                <c:pt idx="49">
                  <c:v>396.2</c:v>
                </c:pt>
                <c:pt idx="50">
                  <c:v>383.4</c:v>
                </c:pt>
                <c:pt idx="51">
                  <c:v>384.8</c:v>
                </c:pt>
                <c:pt idx="52">
                  <c:v>366.9</c:v>
                </c:pt>
                <c:pt idx="53">
                  <c:v>354.2</c:v>
                </c:pt>
                <c:pt idx="54">
                  <c:v>346</c:v>
                </c:pt>
                <c:pt idx="55">
                  <c:v>344.1</c:v>
                </c:pt>
                <c:pt idx="56">
                  <c:v>327.2</c:v>
                </c:pt>
                <c:pt idx="57">
                  <c:v>334.7</c:v>
                </c:pt>
                <c:pt idx="58">
                  <c:v>321.89999999999998</c:v>
                </c:pt>
                <c:pt idx="59">
                  <c:v>311.39999999999998</c:v>
                </c:pt>
                <c:pt idx="60">
                  <c:v>311.8</c:v>
                </c:pt>
                <c:pt idx="61">
                  <c:v>307</c:v>
                </c:pt>
                <c:pt idx="62">
                  <c:v>292</c:v>
                </c:pt>
                <c:pt idx="63">
                  <c:v>289.5</c:v>
                </c:pt>
                <c:pt idx="64">
                  <c:v>284</c:v>
                </c:pt>
                <c:pt idx="65">
                  <c:v>282.8</c:v>
                </c:pt>
                <c:pt idx="66">
                  <c:v>273.89999999999998</c:v>
                </c:pt>
                <c:pt idx="67">
                  <c:v>275.10000000000002</c:v>
                </c:pt>
                <c:pt idx="68">
                  <c:v>262.60000000000002</c:v>
                </c:pt>
                <c:pt idx="69">
                  <c:v>259.3</c:v>
                </c:pt>
                <c:pt idx="70">
                  <c:v>256.2</c:v>
                </c:pt>
                <c:pt idx="71">
                  <c:v>255.7</c:v>
                </c:pt>
                <c:pt idx="72">
                  <c:v>249.9</c:v>
                </c:pt>
                <c:pt idx="73">
                  <c:v>244.2</c:v>
                </c:pt>
                <c:pt idx="74">
                  <c:v>241.1</c:v>
                </c:pt>
                <c:pt idx="75">
                  <c:v>241.6</c:v>
                </c:pt>
                <c:pt idx="76">
                  <c:v>233.5</c:v>
                </c:pt>
                <c:pt idx="77">
                  <c:v>233.4</c:v>
                </c:pt>
                <c:pt idx="78">
                  <c:v>214.72</c:v>
                </c:pt>
                <c:pt idx="79">
                  <c:v>189.67</c:v>
                </c:pt>
                <c:pt idx="80">
                  <c:v>169.61</c:v>
                </c:pt>
                <c:pt idx="81">
                  <c:v>153.54</c:v>
                </c:pt>
                <c:pt idx="82">
                  <c:v>140.96</c:v>
                </c:pt>
                <c:pt idx="83">
                  <c:v>131.55000000000001</c:v>
                </c:pt>
                <c:pt idx="84">
                  <c:v>123.28</c:v>
                </c:pt>
                <c:pt idx="85">
                  <c:v>115.74</c:v>
                </c:pt>
                <c:pt idx="86">
                  <c:v>109.25</c:v>
                </c:pt>
                <c:pt idx="87">
                  <c:v>104.12</c:v>
                </c:pt>
                <c:pt idx="88">
                  <c:v>96.15</c:v>
                </c:pt>
                <c:pt idx="89">
                  <c:v>94.49</c:v>
                </c:pt>
                <c:pt idx="90">
                  <c:v>90.38</c:v>
                </c:pt>
                <c:pt idx="91">
                  <c:v>88.91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Data2'!$G$204:$CT$204</c:f>
              <c:numCache>
                <c:formatCode>General</c:formatCode>
                <c:ptCount val="92"/>
                <c:pt idx="0">
                  <c:v>33</c:v>
                </c:pt>
                <c:pt idx="1">
                  <c:v>45</c:v>
                </c:pt>
                <c:pt idx="2">
                  <c:v>27</c:v>
                </c:pt>
                <c:pt idx="3">
                  <c:v>34</c:v>
                </c:pt>
                <c:pt idx="4">
                  <c:v>30</c:v>
                </c:pt>
                <c:pt idx="5">
                  <c:v>37</c:v>
                </c:pt>
                <c:pt idx="6">
                  <c:v>33</c:v>
                </c:pt>
                <c:pt idx="7">
                  <c:v>36</c:v>
                </c:pt>
                <c:pt idx="8">
                  <c:v>31</c:v>
                </c:pt>
                <c:pt idx="9">
                  <c:v>34</c:v>
                </c:pt>
                <c:pt idx="10">
                  <c:v>32</c:v>
                </c:pt>
                <c:pt idx="11">
                  <c:v>29</c:v>
                </c:pt>
                <c:pt idx="12">
                  <c:v>37</c:v>
                </c:pt>
                <c:pt idx="13">
                  <c:v>29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34</c:v>
                </c:pt>
                <c:pt idx="18">
                  <c:v>32</c:v>
                </c:pt>
                <c:pt idx="19">
                  <c:v>39</c:v>
                </c:pt>
                <c:pt idx="20">
                  <c:v>34.9</c:v>
                </c:pt>
                <c:pt idx="21">
                  <c:v>35.6</c:v>
                </c:pt>
                <c:pt idx="22">
                  <c:v>31.1</c:v>
                </c:pt>
                <c:pt idx="23">
                  <c:v>31.4</c:v>
                </c:pt>
                <c:pt idx="24">
                  <c:v>33.299999999999997</c:v>
                </c:pt>
                <c:pt idx="25">
                  <c:v>32.9</c:v>
                </c:pt>
                <c:pt idx="26">
                  <c:v>31.8</c:v>
                </c:pt>
                <c:pt idx="27">
                  <c:v>33.4</c:v>
                </c:pt>
                <c:pt idx="28">
                  <c:v>31.9</c:v>
                </c:pt>
                <c:pt idx="29">
                  <c:v>31.9</c:v>
                </c:pt>
                <c:pt idx="30">
                  <c:v>31.3</c:v>
                </c:pt>
                <c:pt idx="31">
                  <c:v>29.1</c:v>
                </c:pt>
                <c:pt idx="32">
                  <c:v>29.8</c:v>
                </c:pt>
                <c:pt idx="33">
                  <c:v>30.3</c:v>
                </c:pt>
                <c:pt idx="34">
                  <c:v>28.7</c:v>
                </c:pt>
                <c:pt idx="35">
                  <c:v>29.3</c:v>
                </c:pt>
                <c:pt idx="36">
                  <c:v>28</c:v>
                </c:pt>
                <c:pt idx="37">
                  <c:v>27.8</c:v>
                </c:pt>
                <c:pt idx="38">
                  <c:v>29.1</c:v>
                </c:pt>
                <c:pt idx="39">
                  <c:v>26.5</c:v>
                </c:pt>
                <c:pt idx="40">
                  <c:v>29.7</c:v>
                </c:pt>
                <c:pt idx="41">
                  <c:v>24.8</c:v>
                </c:pt>
                <c:pt idx="42">
                  <c:v>27.4</c:v>
                </c:pt>
                <c:pt idx="43">
                  <c:v>27.1</c:v>
                </c:pt>
                <c:pt idx="44">
                  <c:v>25.1</c:v>
                </c:pt>
                <c:pt idx="45">
                  <c:v>27.2</c:v>
                </c:pt>
                <c:pt idx="46">
                  <c:v>27.2</c:v>
                </c:pt>
                <c:pt idx="47">
                  <c:v>25.1</c:v>
                </c:pt>
                <c:pt idx="48">
                  <c:v>27.2</c:v>
                </c:pt>
                <c:pt idx="49">
                  <c:v>26.2</c:v>
                </c:pt>
                <c:pt idx="50">
                  <c:v>28.9</c:v>
                </c:pt>
                <c:pt idx="51">
                  <c:v>26.4</c:v>
                </c:pt>
                <c:pt idx="52">
                  <c:v>26.5</c:v>
                </c:pt>
                <c:pt idx="53">
                  <c:v>27</c:v>
                </c:pt>
                <c:pt idx="54">
                  <c:v>25.5</c:v>
                </c:pt>
                <c:pt idx="55">
                  <c:v>26.5</c:v>
                </c:pt>
                <c:pt idx="56">
                  <c:v>25.4</c:v>
                </c:pt>
                <c:pt idx="57">
                  <c:v>25.3</c:v>
                </c:pt>
                <c:pt idx="58">
                  <c:v>25</c:v>
                </c:pt>
                <c:pt idx="59">
                  <c:v>24.7</c:v>
                </c:pt>
                <c:pt idx="60">
                  <c:v>22.6</c:v>
                </c:pt>
                <c:pt idx="61">
                  <c:v>23.2</c:v>
                </c:pt>
                <c:pt idx="62">
                  <c:v>23.1</c:v>
                </c:pt>
                <c:pt idx="63">
                  <c:v>24.3</c:v>
                </c:pt>
                <c:pt idx="64">
                  <c:v>26.6</c:v>
                </c:pt>
                <c:pt idx="65">
                  <c:v>23</c:v>
                </c:pt>
                <c:pt idx="66">
                  <c:v>23</c:v>
                </c:pt>
                <c:pt idx="67">
                  <c:v>23.6</c:v>
                </c:pt>
                <c:pt idx="68">
                  <c:v>24.4</c:v>
                </c:pt>
                <c:pt idx="69">
                  <c:v>24</c:v>
                </c:pt>
                <c:pt idx="70">
                  <c:v>24.1</c:v>
                </c:pt>
                <c:pt idx="71">
                  <c:v>24.7</c:v>
                </c:pt>
                <c:pt idx="72">
                  <c:v>24.1</c:v>
                </c:pt>
                <c:pt idx="73">
                  <c:v>22.7</c:v>
                </c:pt>
                <c:pt idx="74">
                  <c:v>20.8</c:v>
                </c:pt>
                <c:pt idx="75">
                  <c:v>24.8</c:v>
                </c:pt>
                <c:pt idx="76">
                  <c:v>22.8</c:v>
                </c:pt>
                <c:pt idx="77">
                  <c:v>21.9</c:v>
                </c:pt>
                <c:pt idx="78">
                  <c:v>23.02</c:v>
                </c:pt>
                <c:pt idx="79">
                  <c:v>22.22</c:v>
                </c:pt>
                <c:pt idx="80">
                  <c:v>21.52</c:v>
                </c:pt>
                <c:pt idx="81">
                  <c:v>21.71</c:v>
                </c:pt>
                <c:pt idx="82">
                  <c:v>20.84</c:v>
                </c:pt>
                <c:pt idx="83">
                  <c:v>21.12</c:v>
                </c:pt>
                <c:pt idx="84">
                  <c:v>20.170000000000002</c:v>
                </c:pt>
                <c:pt idx="85">
                  <c:v>19.82</c:v>
                </c:pt>
                <c:pt idx="86">
                  <c:v>20.350000000000001</c:v>
                </c:pt>
                <c:pt idx="87">
                  <c:v>20.34</c:v>
                </c:pt>
                <c:pt idx="88">
                  <c:v>18.989999999999998</c:v>
                </c:pt>
                <c:pt idx="89">
                  <c:v>19.5</c:v>
                </c:pt>
                <c:pt idx="90">
                  <c:v>18.989999999999998</c:v>
                </c:pt>
                <c:pt idx="91">
                  <c:v>18.55</c:v>
                </c:pt>
              </c:numCache>
            </c:numRef>
          </c:yVal>
          <c:smooth val="1"/>
        </c:ser>
        <c:ser>
          <c:idx val="8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Data2'!$G$205:$CT$205</c:f>
              <c:numCache>
                <c:formatCode>General</c:formatCode>
                <c:ptCount val="92"/>
                <c:pt idx="0">
                  <c:v>1107</c:v>
                </c:pt>
                <c:pt idx="1">
                  <c:v>1115</c:v>
                </c:pt>
                <c:pt idx="2">
                  <c:v>1136</c:v>
                </c:pt>
                <c:pt idx="3">
                  <c:v>1064</c:v>
                </c:pt>
                <c:pt idx="4">
                  <c:v>1109</c:v>
                </c:pt>
                <c:pt idx="5">
                  <c:v>1118</c:v>
                </c:pt>
                <c:pt idx="6">
                  <c:v>1121</c:v>
                </c:pt>
                <c:pt idx="7">
                  <c:v>1102</c:v>
                </c:pt>
                <c:pt idx="8">
                  <c:v>1121</c:v>
                </c:pt>
                <c:pt idx="9">
                  <c:v>1089</c:v>
                </c:pt>
                <c:pt idx="10">
                  <c:v>1113</c:v>
                </c:pt>
                <c:pt idx="11">
                  <c:v>1123</c:v>
                </c:pt>
                <c:pt idx="12">
                  <c:v>1074</c:v>
                </c:pt>
                <c:pt idx="13">
                  <c:v>1112</c:v>
                </c:pt>
                <c:pt idx="14">
                  <c:v>1048</c:v>
                </c:pt>
                <c:pt idx="15">
                  <c:v>1084</c:v>
                </c:pt>
                <c:pt idx="16">
                  <c:v>1075</c:v>
                </c:pt>
                <c:pt idx="17">
                  <c:v>1015</c:v>
                </c:pt>
                <c:pt idx="18">
                  <c:v>1073</c:v>
                </c:pt>
                <c:pt idx="19">
                  <c:v>1043</c:v>
                </c:pt>
                <c:pt idx="20">
                  <c:v>1036.5</c:v>
                </c:pt>
                <c:pt idx="21">
                  <c:v>981.4</c:v>
                </c:pt>
                <c:pt idx="22">
                  <c:v>927.6</c:v>
                </c:pt>
                <c:pt idx="23">
                  <c:v>880</c:v>
                </c:pt>
                <c:pt idx="24">
                  <c:v>833.4</c:v>
                </c:pt>
                <c:pt idx="25">
                  <c:v>793</c:v>
                </c:pt>
                <c:pt idx="26">
                  <c:v>752.2</c:v>
                </c:pt>
                <c:pt idx="27">
                  <c:v>720.5</c:v>
                </c:pt>
                <c:pt idx="28">
                  <c:v>679.9</c:v>
                </c:pt>
                <c:pt idx="29">
                  <c:v>638</c:v>
                </c:pt>
                <c:pt idx="30">
                  <c:v>630.70000000000005</c:v>
                </c:pt>
                <c:pt idx="31">
                  <c:v>590</c:v>
                </c:pt>
                <c:pt idx="32">
                  <c:v>568.1</c:v>
                </c:pt>
                <c:pt idx="33">
                  <c:v>555.20000000000005</c:v>
                </c:pt>
                <c:pt idx="34">
                  <c:v>510.6</c:v>
                </c:pt>
                <c:pt idx="35">
                  <c:v>501.8</c:v>
                </c:pt>
                <c:pt idx="36">
                  <c:v>487.8</c:v>
                </c:pt>
                <c:pt idx="37">
                  <c:v>463.3</c:v>
                </c:pt>
                <c:pt idx="38">
                  <c:v>440.6</c:v>
                </c:pt>
                <c:pt idx="39">
                  <c:v>434.8</c:v>
                </c:pt>
                <c:pt idx="40">
                  <c:v>418.7</c:v>
                </c:pt>
                <c:pt idx="41">
                  <c:v>405.5</c:v>
                </c:pt>
                <c:pt idx="42">
                  <c:v>384.4</c:v>
                </c:pt>
                <c:pt idx="43">
                  <c:v>372.2</c:v>
                </c:pt>
                <c:pt idx="44">
                  <c:v>360.5</c:v>
                </c:pt>
                <c:pt idx="45">
                  <c:v>351.6</c:v>
                </c:pt>
                <c:pt idx="46">
                  <c:v>336.5</c:v>
                </c:pt>
                <c:pt idx="47">
                  <c:v>328.3</c:v>
                </c:pt>
                <c:pt idx="48">
                  <c:v>324.7</c:v>
                </c:pt>
                <c:pt idx="49">
                  <c:v>308.5</c:v>
                </c:pt>
                <c:pt idx="50">
                  <c:v>307.39999999999998</c:v>
                </c:pt>
                <c:pt idx="51">
                  <c:v>291.60000000000002</c:v>
                </c:pt>
                <c:pt idx="52">
                  <c:v>289.8</c:v>
                </c:pt>
                <c:pt idx="53">
                  <c:v>267.89999999999998</c:v>
                </c:pt>
                <c:pt idx="54">
                  <c:v>258</c:v>
                </c:pt>
                <c:pt idx="55">
                  <c:v>258.60000000000002</c:v>
                </c:pt>
                <c:pt idx="56">
                  <c:v>260.10000000000002</c:v>
                </c:pt>
                <c:pt idx="57">
                  <c:v>245.4</c:v>
                </c:pt>
                <c:pt idx="58">
                  <c:v>240</c:v>
                </c:pt>
                <c:pt idx="59">
                  <c:v>235.3</c:v>
                </c:pt>
                <c:pt idx="60">
                  <c:v>225</c:v>
                </c:pt>
                <c:pt idx="61">
                  <c:v>225.2</c:v>
                </c:pt>
                <c:pt idx="62">
                  <c:v>223.9</c:v>
                </c:pt>
                <c:pt idx="63">
                  <c:v>218</c:v>
                </c:pt>
                <c:pt idx="64">
                  <c:v>205.5</c:v>
                </c:pt>
                <c:pt idx="65">
                  <c:v>204</c:v>
                </c:pt>
                <c:pt idx="66">
                  <c:v>192.3</c:v>
                </c:pt>
                <c:pt idx="67">
                  <c:v>193.9</c:v>
                </c:pt>
                <c:pt idx="68">
                  <c:v>195.2</c:v>
                </c:pt>
                <c:pt idx="69">
                  <c:v>183.6</c:v>
                </c:pt>
                <c:pt idx="70">
                  <c:v>182.6</c:v>
                </c:pt>
                <c:pt idx="71">
                  <c:v>177.3</c:v>
                </c:pt>
                <c:pt idx="72">
                  <c:v>176.4</c:v>
                </c:pt>
                <c:pt idx="73">
                  <c:v>174.7</c:v>
                </c:pt>
                <c:pt idx="74">
                  <c:v>173.7</c:v>
                </c:pt>
                <c:pt idx="75">
                  <c:v>171</c:v>
                </c:pt>
                <c:pt idx="76">
                  <c:v>164.5</c:v>
                </c:pt>
                <c:pt idx="77">
                  <c:v>159.6</c:v>
                </c:pt>
                <c:pt idx="78">
                  <c:v>145.11000000000001</c:v>
                </c:pt>
                <c:pt idx="79">
                  <c:v>124.03</c:v>
                </c:pt>
                <c:pt idx="80">
                  <c:v>106.87</c:v>
                </c:pt>
                <c:pt idx="81">
                  <c:v>96.45</c:v>
                </c:pt>
                <c:pt idx="82">
                  <c:v>86.01</c:v>
                </c:pt>
                <c:pt idx="83">
                  <c:v>78.31</c:v>
                </c:pt>
                <c:pt idx="84">
                  <c:v>71.010000000000005</c:v>
                </c:pt>
                <c:pt idx="85">
                  <c:v>65.44</c:v>
                </c:pt>
                <c:pt idx="86">
                  <c:v>61.42</c:v>
                </c:pt>
                <c:pt idx="87">
                  <c:v>58.25</c:v>
                </c:pt>
                <c:pt idx="88">
                  <c:v>53.94</c:v>
                </c:pt>
                <c:pt idx="89">
                  <c:v>50.68</c:v>
                </c:pt>
                <c:pt idx="90">
                  <c:v>49.03</c:v>
                </c:pt>
                <c:pt idx="91">
                  <c:v>46.89</c:v>
                </c:pt>
              </c:numCache>
            </c:numRef>
          </c:yVal>
          <c:smooth val="1"/>
        </c:ser>
        <c:ser>
          <c:idx val="9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Data2'!$G$206:$CT$206</c:f>
              <c:numCache>
                <c:formatCode>General</c:formatCode>
                <c:ptCount val="92"/>
                <c:pt idx="0">
                  <c:v>2363</c:v>
                </c:pt>
                <c:pt idx="1">
                  <c:v>2357</c:v>
                </c:pt>
                <c:pt idx="2">
                  <c:v>2316</c:v>
                </c:pt>
                <c:pt idx="3">
                  <c:v>2306</c:v>
                </c:pt>
                <c:pt idx="4">
                  <c:v>2359</c:v>
                </c:pt>
                <c:pt idx="5">
                  <c:v>2383</c:v>
                </c:pt>
                <c:pt idx="6">
                  <c:v>2315</c:v>
                </c:pt>
                <c:pt idx="7">
                  <c:v>2331</c:v>
                </c:pt>
                <c:pt idx="8">
                  <c:v>2310</c:v>
                </c:pt>
                <c:pt idx="9">
                  <c:v>2275</c:v>
                </c:pt>
                <c:pt idx="10">
                  <c:v>2291</c:v>
                </c:pt>
                <c:pt idx="11">
                  <c:v>2238</c:v>
                </c:pt>
                <c:pt idx="12">
                  <c:v>2219</c:v>
                </c:pt>
                <c:pt idx="13">
                  <c:v>2163</c:v>
                </c:pt>
                <c:pt idx="14">
                  <c:v>2220</c:v>
                </c:pt>
                <c:pt idx="15">
                  <c:v>2207</c:v>
                </c:pt>
                <c:pt idx="16">
                  <c:v>2189</c:v>
                </c:pt>
                <c:pt idx="17">
                  <c:v>2248</c:v>
                </c:pt>
                <c:pt idx="18">
                  <c:v>2170</c:v>
                </c:pt>
                <c:pt idx="19">
                  <c:v>2092</c:v>
                </c:pt>
                <c:pt idx="20">
                  <c:v>2100.4</c:v>
                </c:pt>
                <c:pt idx="21">
                  <c:v>2006.8</c:v>
                </c:pt>
                <c:pt idx="22">
                  <c:v>1915</c:v>
                </c:pt>
                <c:pt idx="23">
                  <c:v>1791.8</c:v>
                </c:pt>
                <c:pt idx="24">
                  <c:v>1695.5</c:v>
                </c:pt>
                <c:pt idx="25">
                  <c:v>1619.8</c:v>
                </c:pt>
                <c:pt idx="26">
                  <c:v>1524.7</c:v>
                </c:pt>
                <c:pt idx="27">
                  <c:v>1453.8</c:v>
                </c:pt>
                <c:pt idx="28">
                  <c:v>1365.5</c:v>
                </c:pt>
                <c:pt idx="29">
                  <c:v>1308.0999999999999</c:v>
                </c:pt>
                <c:pt idx="30">
                  <c:v>1240.0999999999999</c:v>
                </c:pt>
                <c:pt idx="31">
                  <c:v>1194.5999999999999</c:v>
                </c:pt>
                <c:pt idx="32">
                  <c:v>1150.5999999999999</c:v>
                </c:pt>
                <c:pt idx="33">
                  <c:v>1096.5</c:v>
                </c:pt>
                <c:pt idx="34">
                  <c:v>1043.3</c:v>
                </c:pt>
                <c:pt idx="35">
                  <c:v>1003.9</c:v>
                </c:pt>
                <c:pt idx="36">
                  <c:v>970.5</c:v>
                </c:pt>
                <c:pt idx="37">
                  <c:v>921.5</c:v>
                </c:pt>
                <c:pt idx="38">
                  <c:v>885.6</c:v>
                </c:pt>
                <c:pt idx="39">
                  <c:v>849.8</c:v>
                </c:pt>
                <c:pt idx="40">
                  <c:v>806.9</c:v>
                </c:pt>
                <c:pt idx="41">
                  <c:v>791.4</c:v>
                </c:pt>
                <c:pt idx="42">
                  <c:v>765.1</c:v>
                </c:pt>
                <c:pt idx="43">
                  <c:v>740.5</c:v>
                </c:pt>
                <c:pt idx="44">
                  <c:v>707.5</c:v>
                </c:pt>
                <c:pt idx="45">
                  <c:v>684.7</c:v>
                </c:pt>
                <c:pt idx="46">
                  <c:v>646</c:v>
                </c:pt>
                <c:pt idx="47">
                  <c:v>613.6</c:v>
                </c:pt>
                <c:pt idx="48">
                  <c:v>626.4</c:v>
                </c:pt>
                <c:pt idx="49">
                  <c:v>604.1</c:v>
                </c:pt>
                <c:pt idx="50">
                  <c:v>581.1</c:v>
                </c:pt>
                <c:pt idx="51">
                  <c:v>570.6</c:v>
                </c:pt>
                <c:pt idx="52">
                  <c:v>544.5</c:v>
                </c:pt>
                <c:pt idx="53">
                  <c:v>517.79999999999995</c:v>
                </c:pt>
                <c:pt idx="54">
                  <c:v>516.79999999999995</c:v>
                </c:pt>
                <c:pt idx="55">
                  <c:v>502.8</c:v>
                </c:pt>
                <c:pt idx="56">
                  <c:v>495.4</c:v>
                </c:pt>
                <c:pt idx="57">
                  <c:v>478.6</c:v>
                </c:pt>
                <c:pt idx="58">
                  <c:v>464.6</c:v>
                </c:pt>
                <c:pt idx="59">
                  <c:v>453.3</c:v>
                </c:pt>
                <c:pt idx="60">
                  <c:v>440</c:v>
                </c:pt>
                <c:pt idx="61">
                  <c:v>430.7</c:v>
                </c:pt>
                <c:pt idx="62">
                  <c:v>418.9</c:v>
                </c:pt>
                <c:pt idx="63">
                  <c:v>404.5</c:v>
                </c:pt>
                <c:pt idx="64">
                  <c:v>393.5</c:v>
                </c:pt>
                <c:pt idx="65">
                  <c:v>382.9</c:v>
                </c:pt>
                <c:pt idx="66">
                  <c:v>385.6</c:v>
                </c:pt>
                <c:pt idx="67">
                  <c:v>370.4</c:v>
                </c:pt>
                <c:pt idx="68">
                  <c:v>362.5</c:v>
                </c:pt>
                <c:pt idx="69">
                  <c:v>351.9</c:v>
                </c:pt>
                <c:pt idx="70">
                  <c:v>341.3</c:v>
                </c:pt>
                <c:pt idx="71">
                  <c:v>336</c:v>
                </c:pt>
                <c:pt idx="72">
                  <c:v>333.6</c:v>
                </c:pt>
                <c:pt idx="73">
                  <c:v>326.5</c:v>
                </c:pt>
                <c:pt idx="74">
                  <c:v>323.60000000000002</c:v>
                </c:pt>
                <c:pt idx="75">
                  <c:v>309.10000000000002</c:v>
                </c:pt>
                <c:pt idx="76">
                  <c:v>303.2</c:v>
                </c:pt>
                <c:pt idx="77">
                  <c:v>300.7</c:v>
                </c:pt>
                <c:pt idx="78">
                  <c:v>267.79000000000002</c:v>
                </c:pt>
                <c:pt idx="79">
                  <c:v>227.6</c:v>
                </c:pt>
                <c:pt idx="80">
                  <c:v>195.22</c:v>
                </c:pt>
                <c:pt idx="81">
                  <c:v>170.28</c:v>
                </c:pt>
                <c:pt idx="82">
                  <c:v>153.11000000000001</c:v>
                </c:pt>
                <c:pt idx="83">
                  <c:v>136.83000000000001</c:v>
                </c:pt>
                <c:pt idx="84">
                  <c:v>122.24</c:v>
                </c:pt>
                <c:pt idx="85">
                  <c:v>112.41</c:v>
                </c:pt>
                <c:pt idx="86">
                  <c:v>104.78</c:v>
                </c:pt>
                <c:pt idx="87">
                  <c:v>95.68</c:v>
                </c:pt>
                <c:pt idx="88">
                  <c:v>90.71</c:v>
                </c:pt>
                <c:pt idx="89">
                  <c:v>84.95</c:v>
                </c:pt>
                <c:pt idx="90">
                  <c:v>79.86</c:v>
                </c:pt>
                <c:pt idx="91">
                  <c:v>76.66</c:v>
                </c:pt>
              </c:numCache>
            </c:numRef>
          </c:yVal>
          <c:smooth val="1"/>
        </c:ser>
        <c:ser>
          <c:idx val="10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Data2'!$G$207:$CT$207</c:f>
              <c:numCache>
                <c:formatCode>General</c:formatCode>
                <c:ptCount val="92"/>
                <c:pt idx="0">
                  <c:v>1139</c:v>
                </c:pt>
                <c:pt idx="1">
                  <c:v>1195</c:v>
                </c:pt>
                <c:pt idx="2">
                  <c:v>1171</c:v>
                </c:pt>
                <c:pt idx="3">
                  <c:v>1186</c:v>
                </c:pt>
                <c:pt idx="4">
                  <c:v>1110</c:v>
                </c:pt>
                <c:pt idx="5">
                  <c:v>1156</c:v>
                </c:pt>
                <c:pt idx="6">
                  <c:v>1194</c:v>
                </c:pt>
                <c:pt idx="7">
                  <c:v>1217</c:v>
                </c:pt>
                <c:pt idx="8">
                  <c:v>1140</c:v>
                </c:pt>
                <c:pt idx="9">
                  <c:v>1165</c:v>
                </c:pt>
                <c:pt idx="10">
                  <c:v>1152</c:v>
                </c:pt>
                <c:pt idx="11">
                  <c:v>1142</c:v>
                </c:pt>
                <c:pt idx="12">
                  <c:v>1112</c:v>
                </c:pt>
                <c:pt idx="13">
                  <c:v>1147</c:v>
                </c:pt>
                <c:pt idx="14">
                  <c:v>1108</c:v>
                </c:pt>
                <c:pt idx="15">
                  <c:v>1136</c:v>
                </c:pt>
                <c:pt idx="16">
                  <c:v>1055</c:v>
                </c:pt>
                <c:pt idx="17">
                  <c:v>1070</c:v>
                </c:pt>
                <c:pt idx="18">
                  <c:v>1062</c:v>
                </c:pt>
                <c:pt idx="19">
                  <c:v>1051</c:v>
                </c:pt>
                <c:pt idx="20">
                  <c:v>1070.2</c:v>
                </c:pt>
                <c:pt idx="21">
                  <c:v>1012.2</c:v>
                </c:pt>
                <c:pt idx="22">
                  <c:v>954.1</c:v>
                </c:pt>
                <c:pt idx="23">
                  <c:v>917.3</c:v>
                </c:pt>
                <c:pt idx="24">
                  <c:v>867.9</c:v>
                </c:pt>
                <c:pt idx="25">
                  <c:v>827.4</c:v>
                </c:pt>
                <c:pt idx="26">
                  <c:v>802.3</c:v>
                </c:pt>
                <c:pt idx="27">
                  <c:v>760.6</c:v>
                </c:pt>
                <c:pt idx="28">
                  <c:v>711.5</c:v>
                </c:pt>
                <c:pt idx="29">
                  <c:v>692.4</c:v>
                </c:pt>
                <c:pt idx="30">
                  <c:v>660.1</c:v>
                </c:pt>
                <c:pt idx="31">
                  <c:v>642.79999999999995</c:v>
                </c:pt>
                <c:pt idx="32">
                  <c:v>618.70000000000005</c:v>
                </c:pt>
                <c:pt idx="33">
                  <c:v>576.6</c:v>
                </c:pt>
                <c:pt idx="34">
                  <c:v>556.5</c:v>
                </c:pt>
                <c:pt idx="35">
                  <c:v>535.20000000000005</c:v>
                </c:pt>
                <c:pt idx="36">
                  <c:v>523.4</c:v>
                </c:pt>
                <c:pt idx="37">
                  <c:v>503.1</c:v>
                </c:pt>
                <c:pt idx="38">
                  <c:v>484.3</c:v>
                </c:pt>
                <c:pt idx="39">
                  <c:v>471.8</c:v>
                </c:pt>
                <c:pt idx="40">
                  <c:v>453.6</c:v>
                </c:pt>
                <c:pt idx="41">
                  <c:v>429.4</c:v>
                </c:pt>
                <c:pt idx="42">
                  <c:v>415.7</c:v>
                </c:pt>
                <c:pt idx="43">
                  <c:v>413.6</c:v>
                </c:pt>
                <c:pt idx="44">
                  <c:v>393.3</c:v>
                </c:pt>
                <c:pt idx="45">
                  <c:v>374.5</c:v>
                </c:pt>
                <c:pt idx="46">
                  <c:v>366.7</c:v>
                </c:pt>
                <c:pt idx="47">
                  <c:v>364.5</c:v>
                </c:pt>
                <c:pt idx="48">
                  <c:v>329.1</c:v>
                </c:pt>
                <c:pt idx="49">
                  <c:v>343.3</c:v>
                </c:pt>
                <c:pt idx="50">
                  <c:v>323</c:v>
                </c:pt>
                <c:pt idx="51">
                  <c:v>321.5</c:v>
                </c:pt>
                <c:pt idx="52">
                  <c:v>316.8</c:v>
                </c:pt>
                <c:pt idx="53">
                  <c:v>302.2</c:v>
                </c:pt>
                <c:pt idx="54">
                  <c:v>295.2</c:v>
                </c:pt>
                <c:pt idx="55">
                  <c:v>294.5</c:v>
                </c:pt>
                <c:pt idx="56">
                  <c:v>288.10000000000002</c:v>
                </c:pt>
                <c:pt idx="57">
                  <c:v>277.5</c:v>
                </c:pt>
                <c:pt idx="58">
                  <c:v>271.89999999999998</c:v>
                </c:pt>
                <c:pt idx="59">
                  <c:v>262.10000000000002</c:v>
                </c:pt>
                <c:pt idx="60">
                  <c:v>256.60000000000002</c:v>
                </c:pt>
                <c:pt idx="61">
                  <c:v>255.9</c:v>
                </c:pt>
                <c:pt idx="62">
                  <c:v>248.9</c:v>
                </c:pt>
                <c:pt idx="63">
                  <c:v>243.1</c:v>
                </c:pt>
                <c:pt idx="64">
                  <c:v>233</c:v>
                </c:pt>
                <c:pt idx="65">
                  <c:v>232.5</c:v>
                </c:pt>
                <c:pt idx="66">
                  <c:v>227.6</c:v>
                </c:pt>
                <c:pt idx="67">
                  <c:v>217.2</c:v>
                </c:pt>
                <c:pt idx="68">
                  <c:v>222.8</c:v>
                </c:pt>
                <c:pt idx="69">
                  <c:v>213.4</c:v>
                </c:pt>
                <c:pt idx="70">
                  <c:v>211.5</c:v>
                </c:pt>
                <c:pt idx="71">
                  <c:v>213.2</c:v>
                </c:pt>
                <c:pt idx="72">
                  <c:v>208.9</c:v>
                </c:pt>
                <c:pt idx="73">
                  <c:v>195.6</c:v>
                </c:pt>
                <c:pt idx="74">
                  <c:v>197.8</c:v>
                </c:pt>
                <c:pt idx="75">
                  <c:v>192.9</c:v>
                </c:pt>
                <c:pt idx="76">
                  <c:v>189.6</c:v>
                </c:pt>
                <c:pt idx="77">
                  <c:v>188.2</c:v>
                </c:pt>
                <c:pt idx="78">
                  <c:v>171.76</c:v>
                </c:pt>
                <c:pt idx="79">
                  <c:v>147.54</c:v>
                </c:pt>
                <c:pt idx="80">
                  <c:v>131.21</c:v>
                </c:pt>
                <c:pt idx="81">
                  <c:v>118.35</c:v>
                </c:pt>
                <c:pt idx="82">
                  <c:v>106.91</c:v>
                </c:pt>
                <c:pt idx="83">
                  <c:v>98.08</c:v>
                </c:pt>
                <c:pt idx="84">
                  <c:v>91.88</c:v>
                </c:pt>
                <c:pt idx="85">
                  <c:v>83.58</c:v>
                </c:pt>
                <c:pt idx="86">
                  <c:v>79.14</c:v>
                </c:pt>
                <c:pt idx="87">
                  <c:v>76.05</c:v>
                </c:pt>
                <c:pt idx="88">
                  <c:v>70.989999999999995</c:v>
                </c:pt>
                <c:pt idx="89">
                  <c:v>67.3</c:v>
                </c:pt>
                <c:pt idx="90">
                  <c:v>65.069999999999993</c:v>
                </c:pt>
                <c:pt idx="91">
                  <c:v>61.94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3392"/>
        <c:axId val="47885312"/>
      </c:scatterChart>
      <c:valAx>
        <c:axId val="4788339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885312"/>
        <c:crosses val="autoZero"/>
        <c:crossBetween val="midCat"/>
      </c:valAx>
      <c:valAx>
        <c:axId val="47885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78833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Data'!$A$320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8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Data2'!$G$208:$CT$208</c:f>
              <c:numCache>
                <c:formatCode>General</c:formatCode>
                <c:ptCount val="92"/>
                <c:pt idx="0">
                  <c:v>13758</c:v>
                </c:pt>
                <c:pt idx="1">
                  <c:v>13823</c:v>
                </c:pt>
                <c:pt idx="2">
                  <c:v>13604</c:v>
                </c:pt>
                <c:pt idx="3">
                  <c:v>13468</c:v>
                </c:pt>
                <c:pt idx="4">
                  <c:v>13462</c:v>
                </c:pt>
                <c:pt idx="5">
                  <c:v>13392</c:v>
                </c:pt>
                <c:pt idx="6">
                  <c:v>13353</c:v>
                </c:pt>
                <c:pt idx="7">
                  <c:v>13135</c:v>
                </c:pt>
                <c:pt idx="8">
                  <c:v>13107</c:v>
                </c:pt>
                <c:pt idx="9">
                  <c:v>13146</c:v>
                </c:pt>
                <c:pt idx="10">
                  <c:v>12901</c:v>
                </c:pt>
                <c:pt idx="11">
                  <c:v>13056</c:v>
                </c:pt>
                <c:pt idx="12">
                  <c:v>12605</c:v>
                </c:pt>
                <c:pt idx="13">
                  <c:v>12873</c:v>
                </c:pt>
                <c:pt idx="14">
                  <c:v>12775</c:v>
                </c:pt>
                <c:pt idx="15">
                  <c:v>12840</c:v>
                </c:pt>
                <c:pt idx="16">
                  <c:v>12619</c:v>
                </c:pt>
                <c:pt idx="17">
                  <c:v>12659</c:v>
                </c:pt>
                <c:pt idx="18">
                  <c:v>12625</c:v>
                </c:pt>
                <c:pt idx="19">
                  <c:v>12499</c:v>
                </c:pt>
                <c:pt idx="20">
                  <c:v>12160.3</c:v>
                </c:pt>
                <c:pt idx="21">
                  <c:v>11528.6</c:v>
                </c:pt>
                <c:pt idx="22">
                  <c:v>10896.2</c:v>
                </c:pt>
                <c:pt idx="23">
                  <c:v>10275.1</c:v>
                </c:pt>
                <c:pt idx="24">
                  <c:v>9730.4</c:v>
                </c:pt>
                <c:pt idx="25">
                  <c:v>9202.7000000000007</c:v>
                </c:pt>
                <c:pt idx="26">
                  <c:v>8721.4</c:v>
                </c:pt>
                <c:pt idx="27">
                  <c:v>8245.2000000000007</c:v>
                </c:pt>
                <c:pt idx="28">
                  <c:v>7759.4</c:v>
                </c:pt>
                <c:pt idx="29">
                  <c:v>7392.8</c:v>
                </c:pt>
                <c:pt idx="30">
                  <c:v>7015.4</c:v>
                </c:pt>
                <c:pt idx="31">
                  <c:v>6694.9</c:v>
                </c:pt>
                <c:pt idx="32">
                  <c:v>6324.2</c:v>
                </c:pt>
                <c:pt idx="33">
                  <c:v>6036</c:v>
                </c:pt>
                <c:pt idx="34">
                  <c:v>5763.3</c:v>
                </c:pt>
                <c:pt idx="35">
                  <c:v>5546.7</c:v>
                </c:pt>
                <c:pt idx="36">
                  <c:v>5261.4</c:v>
                </c:pt>
                <c:pt idx="37">
                  <c:v>5038.2</c:v>
                </c:pt>
                <c:pt idx="38">
                  <c:v>4850.6000000000004</c:v>
                </c:pt>
                <c:pt idx="39">
                  <c:v>4613.1000000000004</c:v>
                </c:pt>
                <c:pt idx="40">
                  <c:v>4447.2</c:v>
                </c:pt>
                <c:pt idx="41">
                  <c:v>4279</c:v>
                </c:pt>
                <c:pt idx="42">
                  <c:v>4119.7</c:v>
                </c:pt>
                <c:pt idx="43">
                  <c:v>3925</c:v>
                </c:pt>
                <c:pt idx="44">
                  <c:v>3798.3</c:v>
                </c:pt>
                <c:pt idx="45">
                  <c:v>3680.3</c:v>
                </c:pt>
                <c:pt idx="46">
                  <c:v>3548.9</c:v>
                </c:pt>
                <c:pt idx="47">
                  <c:v>3381</c:v>
                </c:pt>
                <c:pt idx="48">
                  <c:v>3280.4</c:v>
                </c:pt>
                <c:pt idx="49">
                  <c:v>3194.2</c:v>
                </c:pt>
                <c:pt idx="50">
                  <c:v>3049.7</c:v>
                </c:pt>
                <c:pt idx="51">
                  <c:v>2959.8</c:v>
                </c:pt>
                <c:pt idx="52">
                  <c:v>2868.1</c:v>
                </c:pt>
                <c:pt idx="53">
                  <c:v>2779.6</c:v>
                </c:pt>
                <c:pt idx="54">
                  <c:v>2682.1</c:v>
                </c:pt>
                <c:pt idx="55">
                  <c:v>2593.1999999999998</c:v>
                </c:pt>
                <c:pt idx="56">
                  <c:v>2536.1999999999998</c:v>
                </c:pt>
                <c:pt idx="57">
                  <c:v>2457.4</c:v>
                </c:pt>
                <c:pt idx="58">
                  <c:v>2374.1</c:v>
                </c:pt>
                <c:pt idx="59">
                  <c:v>2299</c:v>
                </c:pt>
                <c:pt idx="60">
                  <c:v>2274.5</c:v>
                </c:pt>
                <c:pt idx="61">
                  <c:v>2208.6</c:v>
                </c:pt>
                <c:pt idx="62">
                  <c:v>2140.1</c:v>
                </c:pt>
                <c:pt idx="63">
                  <c:v>2076.3000000000002</c:v>
                </c:pt>
                <c:pt idx="64">
                  <c:v>2028.4</c:v>
                </c:pt>
                <c:pt idx="65">
                  <c:v>1961.4</c:v>
                </c:pt>
                <c:pt idx="66">
                  <c:v>1908</c:v>
                </c:pt>
                <c:pt idx="67">
                  <c:v>1862.6</c:v>
                </c:pt>
                <c:pt idx="68">
                  <c:v>1806.6</c:v>
                </c:pt>
                <c:pt idx="69">
                  <c:v>1790.4</c:v>
                </c:pt>
                <c:pt idx="70">
                  <c:v>1732.6</c:v>
                </c:pt>
                <c:pt idx="71">
                  <c:v>1701.9</c:v>
                </c:pt>
                <c:pt idx="72">
                  <c:v>1646.9</c:v>
                </c:pt>
                <c:pt idx="73">
                  <c:v>1602.8</c:v>
                </c:pt>
                <c:pt idx="74">
                  <c:v>1591.1</c:v>
                </c:pt>
                <c:pt idx="75">
                  <c:v>1556</c:v>
                </c:pt>
                <c:pt idx="76">
                  <c:v>1506.9</c:v>
                </c:pt>
                <c:pt idx="77">
                  <c:v>1473</c:v>
                </c:pt>
                <c:pt idx="78">
                  <c:v>1322.51</c:v>
                </c:pt>
                <c:pt idx="79">
                  <c:v>1098.3</c:v>
                </c:pt>
                <c:pt idx="80">
                  <c:v>926.12</c:v>
                </c:pt>
                <c:pt idx="81">
                  <c:v>804.07</c:v>
                </c:pt>
                <c:pt idx="82">
                  <c:v>703.81</c:v>
                </c:pt>
                <c:pt idx="83">
                  <c:v>628.01</c:v>
                </c:pt>
                <c:pt idx="84">
                  <c:v>566.79999999999995</c:v>
                </c:pt>
                <c:pt idx="85">
                  <c:v>512.88</c:v>
                </c:pt>
                <c:pt idx="86">
                  <c:v>473.24</c:v>
                </c:pt>
                <c:pt idx="87">
                  <c:v>435.22</c:v>
                </c:pt>
                <c:pt idx="88">
                  <c:v>403.23</c:v>
                </c:pt>
                <c:pt idx="89">
                  <c:v>376.28</c:v>
                </c:pt>
                <c:pt idx="90">
                  <c:v>352.75</c:v>
                </c:pt>
                <c:pt idx="91">
                  <c:v>332.26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Data2'!$G$209:$CT$209</c:f>
              <c:numCache>
                <c:formatCode>General</c:formatCode>
                <c:ptCount val="92"/>
                <c:pt idx="0">
                  <c:v>2702</c:v>
                </c:pt>
                <c:pt idx="1">
                  <c:v>2797</c:v>
                </c:pt>
                <c:pt idx="2">
                  <c:v>2771</c:v>
                </c:pt>
                <c:pt idx="3">
                  <c:v>2692</c:v>
                </c:pt>
                <c:pt idx="4">
                  <c:v>2722</c:v>
                </c:pt>
                <c:pt idx="5">
                  <c:v>2679</c:v>
                </c:pt>
                <c:pt idx="6">
                  <c:v>2630</c:v>
                </c:pt>
                <c:pt idx="7">
                  <c:v>2663</c:v>
                </c:pt>
                <c:pt idx="8">
                  <c:v>2617</c:v>
                </c:pt>
                <c:pt idx="9">
                  <c:v>2663</c:v>
                </c:pt>
                <c:pt idx="10">
                  <c:v>2596</c:v>
                </c:pt>
                <c:pt idx="11">
                  <c:v>2579</c:v>
                </c:pt>
                <c:pt idx="12">
                  <c:v>2620</c:v>
                </c:pt>
                <c:pt idx="13">
                  <c:v>2591</c:v>
                </c:pt>
                <c:pt idx="14">
                  <c:v>2568</c:v>
                </c:pt>
                <c:pt idx="15">
                  <c:v>2657</c:v>
                </c:pt>
                <c:pt idx="16">
                  <c:v>2496</c:v>
                </c:pt>
                <c:pt idx="17">
                  <c:v>2525</c:v>
                </c:pt>
                <c:pt idx="18">
                  <c:v>2515</c:v>
                </c:pt>
                <c:pt idx="19">
                  <c:v>2497</c:v>
                </c:pt>
                <c:pt idx="20">
                  <c:v>2449.6999999999998</c:v>
                </c:pt>
                <c:pt idx="21">
                  <c:v>2345.1999999999998</c:v>
                </c:pt>
                <c:pt idx="22">
                  <c:v>2220.6999999999998</c:v>
                </c:pt>
                <c:pt idx="23">
                  <c:v>2105.1999999999998</c:v>
                </c:pt>
                <c:pt idx="24">
                  <c:v>2022.1</c:v>
                </c:pt>
                <c:pt idx="25">
                  <c:v>1921.5</c:v>
                </c:pt>
                <c:pt idx="26">
                  <c:v>1825</c:v>
                </c:pt>
                <c:pt idx="27">
                  <c:v>1728.3</c:v>
                </c:pt>
                <c:pt idx="28">
                  <c:v>1652</c:v>
                </c:pt>
                <c:pt idx="29">
                  <c:v>1560.3</c:v>
                </c:pt>
                <c:pt idx="30">
                  <c:v>1522.6</c:v>
                </c:pt>
                <c:pt idx="31">
                  <c:v>1444.9</c:v>
                </c:pt>
                <c:pt idx="32">
                  <c:v>1396.4</c:v>
                </c:pt>
                <c:pt idx="33">
                  <c:v>1340.5</c:v>
                </c:pt>
                <c:pt idx="34">
                  <c:v>1283.5999999999999</c:v>
                </c:pt>
                <c:pt idx="35">
                  <c:v>1221.5</c:v>
                </c:pt>
                <c:pt idx="36">
                  <c:v>1185.4000000000001</c:v>
                </c:pt>
                <c:pt idx="37">
                  <c:v>1144.4000000000001</c:v>
                </c:pt>
                <c:pt idx="38">
                  <c:v>1113.8</c:v>
                </c:pt>
                <c:pt idx="39">
                  <c:v>1056.5</c:v>
                </c:pt>
                <c:pt idx="40">
                  <c:v>1032.9000000000001</c:v>
                </c:pt>
                <c:pt idx="41">
                  <c:v>1011.9</c:v>
                </c:pt>
                <c:pt idx="42">
                  <c:v>975.9</c:v>
                </c:pt>
                <c:pt idx="43">
                  <c:v>949.8</c:v>
                </c:pt>
                <c:pt idx="44">
                  <c:v>919.6</c:v>
                </c:pt>
                <c:pt idx="45">
                  <c:v>888.2</c:v>
                </c:pt>
                <c:pt idx="46">
                  <c:v>876.7</c:v>
                </c:pt>
                <c:pt idx="47">
                  <c:v>852.2</c:v>
                </c:pt>
                <c:pt idx="48">
                  <c:v>822</c:v>
                </c:pt>
                <c:pt idx="49">
                  <c:v>788.9</c:v>
                </c:pt>
                <c:pt idx="50">
                  <c:v>784.3</c:v>
                </c:pt>
                <c:pt idx="51">
                  <c:v>768.8</c:v>
                </c:pt>
                <c:pt idx="52">
                  <c:v>746.3</c:v>
                </c:pt>
                <c:pt idx="53">
                  <c:v>735</c:v>
                </c:pt>
                <c:pt idx="54">
                  <c:v>712</c:v>
                </c:pt>
                <c:pt idx="55">
                  <c:v>680.1</c:v>
                </c:pt>
                <c:pt idx="56">
                  <c:v>673.4</c:v>
                </c:pt>
                <c:pt idx="57">
                  <c:v>665.7</c:v>
                </c:pt>
                <c:pt idx="58">
                  <c:v>653.4</c:v>
                </c:pt>
                <c:pt idx="59">
                  <c:v>644.70000000000005</c:v>
                </c:pt>
                <c:pt idx="60">
                  <c:v>631.1</c:v>
                </c:pt>
                <c:pt idx="61">
                  <c:v>616.6</c:v>
                </c:pt>
                <c:pt idx="62">
                  <c:v>609.29999999999995</c:v>
                </c:pt>
                <c:pt idx="63">
                  <c:v>588.9</c:v>
                </c:pt>
                <c:pt idx="64">
                  <c:v>582.5</c:v>
                </c:pt>
                <c:pt idx="65">
                  <c:v>565.6</c:v>
                </c:pt>
                <c:pt idx="66">
                  <c:v>557.79999999999995</c:v>
                </c:pt>
                <c:pt idx="67">
                  <c:v>559.29999999999995</c:v>
                </c:pt>
                <c:pt idx="68">
                  <c:v>549.9</c:v>
                </c:pt>
                <c:pt idx="69">
                  <c:v>540.1</c:v>
                </c:pt>
                <c:pt idx="70">
                  <c:v>531.1</c:v>
                </c:pt>
                <c:pt idx="71">
                  <c:v>514.1</c:v>
                </c:pt>
                <c:pt idx="72">
                  <c:v>508</c:v>
                </c:pt>
                <c:pt idx="73">
                  <c:v>503.4</c:v>
                </c:pt>
                <c:pt idx="74">
                  <c:v>497</c:v>
                </c:pt>
                <c:pt idx="75">
                  <c:v>492.6</c:v>
                </c:pt>
                <c:pt idx="76">
                  <c:v>477.2</c:v>
                </c:pt>
                <c:pt idx="77">
                  <c:v>474</c:v>
                </c:pt>
                <c:pt idx="78">
                  <c:v>441.93</c:v>
                </c:pt>
                <c:pt idx="79">
                  <c:v>395.05</c:v>
                </c:pt>
                <c:pt idx="80">
                  <c:v>361.54</c:v>
                </c:pt>
                <c:pt idx="81">
                  <c:v>329.83</c:v>
                </c:pt>
                <c:pt idx="82">
                  <c:v>308.08999999999997</c:v>
                </c:pt>
                <c:pt idx="83">
                  <c:v>289.26</c:v>
                </c:pt>
                <c:pt idx="84">
                  <c:v>271</c:v>
                </c:pt>
                <c:pt idx="85">
                  <c:v>258.51</c:v>
                </c:pt>
                <c:pt idx="86">
                  <c:v>247.03</c:v>
                </c:pt>
                <c:pt idx="87">
                  <c:v>232.77</c:v>
                </c:pt>
                <c:pt idx="88">
                  <c:v>223.52</c:v>
                </c:pt>
                <c:pt idx="89">
                  <c:v>215.3</c:v>
                </c:pt>
                <c:pt idx="90">
                  <c:v>208.22</c:v>
                </c:pt>
                <c:pt idx="91">
                  <c:v>199.84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Data2'!$G$210:$CT$210</c:f>
              <c:numCache>
                <c:formatCode>General</c:formatCode>
                <c:ptCount val="92"/>
                <c:pt idx="0">
                  <c:v>5335</c:v>
                </c:pt>
                <c:pt idx="1">
                  <c:v>5356</c:v>
                </c:pt>
                <c:pt idx="2">
                  <c:v>5257</c:v>
                </c:pt>
                <c:pt idx="3">
                  <c:v>5348</c:v>
                </c:pt>
                <c:pt idx="4">
                  <c:v>5219</c:v>
                </c:pt>
                <c:pt idx="5">
                  <c:v>5190</c:v>
                </c:pt>
                <c:pt idx="6">
                  <c:v>5202</c:v>
                </c:pt>
                <c:pt idx="7">
                  <c:v>5194</c:v>
                </c:pt>
                <c:pt idx="8">
                  <c:v>5187</c:v>
                </c:pt>
                <c:pt idx="9">
                  <c:v>5236</c:v>
                </c:pt>
                <c:pt idx="10">
                  <c:v>5181</c:v>
                </c:pt>
                <c:pt idx="11">
                  <c:v>5046</c:v>
                </c:pt>
                <c:pt idx="12">
                  <c:v>5035</c:v>
                </c:pt>
                <c:pt idx="13">
                  <c:v>4974</c:v>
                </c:pt>
                <c:pt idx="14">
                  <c:v>4932</c:v>
                </c:pt>
                <c:pt idx="15">
                  <c:v>4970</c:v>
                </c:pt>
                <c:pt idx="16">
                  <c:v>4850</c:v>
                </c:pt>
                <c:pt idx="17">
                  <c:v>4852</c:v>
                </c:pt>
                <c:pt idx="18">
                  <c:v>4946</c:v>
                </c:pt>
                <c:pt idx="19">
                  <c:v>4799</c:v>
                </c:pt>
                <c:pt idx="20">
                  <c:v>4680.8999999999996</c:v>
                </c:pt>
                <c:pt idx="21">
                  <c:v>4457.6000000000004</c:v>
                </c:pt>
                <c:pt idx="22">
                  <c:v>4144.2</c:v>
                </c:pt>
                <c:pt idx="23">
                  <c:v>3942</c:v>
                </c:pt>
                <c:pt idx="24">
                  <c:v>3695.6</c:v>
                </c:pt>
                <c:pt idx="25">
                  <c:v>3494.3</c:v>
                </c:pt>
                <c:pt idx="26">
                  <c:v>3312</c:v>
                </c:pt>
                <c:pt idx="27">
                  <c:v>3133.4</c:v>
                </c:pt>
                <c:pt idx="28">
                  <c:v>2965.5</c:v>
                </c:pt>
                <c:pt idx="29">
                  <c:v>2840.2</c:v>
                </c:pt>
                <c:pt idx="30">
                  <c:v>2662.8</c:v>
                </c:pt>
                <c:pt idx="31">
                  <c:v>2559.1</c:v>
                </c:pt>
                <c:pt idx="32">
                  <c:v>2423.6</c:v>
                </c:pt>
                <c:pt idx="33">
                  <c:v>2351.3000000000002</c:v>
                </c:pt>
                <c:pt idx="34">
                  <c:v>2218.6</c:v>
                </c:pt>
                <c:pt idx="35">
                  <c:v>2112.6999999999998</c:v>
                </c:pt>
                <c:pt idx="36">
                  <c:v>2044.5</c:v>
                </c:pt>
                <c:pt idx="37">
                  <c:v>1907</c:v>
                </c:pt>
                <c:pt idx="38">
                  <c:v>1868.4</c:v>
                </c:pt>
                <c:pt idx="39">
                  <c:v>1793</c:v>
                </c:pt>
                <c:pt idx="40">
                  <c:v>1739.2</c:v>
                </c:pt>
                <c:pt idx="41">
                  <c:v>1646.8</c:v>
                </c:pt>
                <c:pt idx="42">
                  <c:v>1594.4</c:v>
                </c:pt>
                <c:pt idx="43">
                  <c:v>1525.3</c:v>
                </c:pt>
                <c:pt idx="44">
                  <c:v>1499.6</c:v>
                </c:pt>
                <c:pt idx="45">
                  <c:v>1414.1</c:v>
                </c:pt>
                <c:pt idx="46">
                  <c:v>1376.5</c:v>
                </c:pt>
                <c:pt idx="47">
                  <c:v>1324</c:v>
                </c:pt>
                <c:pt idx="48">
                  <c:v>1295.0999999999999</c:v>
                </c:pt>
                <c:pt idx="49">
                  <c:v>1248.2</c:v>
                </c:pt>
                <c:pt idx="50">
                  <c:v>1227.5999999999999</c:v>
                </c:pt>
                <c:pt idx="51">
                  <c:v>1175.8</c:v>
                </c:pt>
                <c:pt idx="52">
                  <c:v>1124.0999999999999</c:v>
                </c:pt>
                <c:pt idx="53">
                  <c:v>1088.9000000000001</c:v>
                </c:pt>
                <c:pt idx="54">
                  <c:v>1074.7</c:v>
                </c:pt>
                <c:pt idx="55">
                  <c:v>1046.9000000000001</c:v>
                </c:pt>
                <c:pt idx="56">
                  <c:v>1009.9</c:v>
                </c:pt>
                <c:pt idx="57">
                  <c:v>979.3</c:v>
                </c:pt>
                <c:pt idx="58">
                  <c:v>957.2</c:v>
                </c:pt>
                <c:pt idx="59">
                  <c:v>939.9</c:v>
                </c:pt>
                <c:pt idx="60">
                  <c:v>905.9</c:v>
                </c:pt>
                <c:pt idx="61">
                  <c:v>878.1</c:v>
                </c:pt>
                <c:pt idx="62">
                  <c:v>860.4</c:v>
                </c:pt>
                <c:pt idx="63">
                  <c:v>847.2</c:v>
                </c:pt>
                <c:pt idx="64">
                  <c:v>833</c:v>
                </c:pt>
                <c:pt idx="65">
                  <c:v>799.6</c:v>
                </c:pt>
                <c:pt idx="66">
                  <c:v>789.8</c:v>
                </c:pt>
                <c:pt idx="67">
                  <c:v>772.6</c:v>
                </c:pt>
                <c:pt idx="68">
                  <c:v>747.1</c:v>
                </c:pt>
                <c:pt idx="69">
                  <c:v>726</c:v>
                </c:pt>
                <c:pt idx="70">
                  <c:v>711.7</c:v>
                </c:pt>
                <c:pt idx="71">
                  <c:v>703.4</c:v>
                </c:pt>
                <c:pt idx="72">
                  <c:v>689.8</c:v>
                </c:pt>
                <c:pt idx="73">
                  <c:v>669.6</c:v>
                </c:pt>
                <c:pt idx="74">
                  <c:v>665.7</c:v>
                </c:pt>
                <c:pt idx="75">
                  <c:v>643</c:v>
                </c:pt>
                <c:pt idx="76">
                  <c:v>646</c:v>
                </c:pt>
                <c:pt idx="77">
                  <c:v>622.29999999999995</c:v>
                </c:pt>
                <c:pt idx="78">
                  <c:v>568.46</c:v>
                </c:pt>
                <c:pt idx="79">
                  <c:v>487.17</c:v>
                </c:pt>
                <c:pt idx="80">
                  <c:v>426.3</c:v>
                </c:pt>
                <c:pt idx="81">
                  <c:v>371.87</c:v>
                </c:pt>
                <c:pt idx="82">
                  <c:v>336.76</c:v>
                </c:pt>
                <c:pt idx="83">
                  <c:v>307.33999999999997</c:v>
                </c:pt>
                <c:pt idx="84">
                  <c:v>279.56</c:v>
                </c:pt>
                <c:pt idx="85">
                  <c:v>259.83</c:v>
                </c:pt>
                <c:pt idx="86">
                  <c:v>242.43</c:v>
                </c:pt>
                <c:pt idx="87">
                  <c:v>227.47</c:v>
                </c:pt>
                <c:pt idx="88">
                  <c:v>216.2</c:v>
                </c:pt>
                <c:pt idx="89">
                  <c:v>204.22</c:v>
                </c:pt>
                <c:pt idx="90">
                  <c:v>192.22</c:v>
                </c:pt>
                <c:pt idx="91">
                  <c:v>184.49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Data2'!$G$211:$CT$211</c:f>
              <c:numCache>
                <c:formatCode>General</c:formatCode>
                <c:ptCount val="92"/>
                <c:pt idx="0">
                  <c:v>2437</c:v>
                </c:pt>
                <c:pt idx="1">
                  <c:v>2462</c:v>
                </c:pt>
                <c:pt idx="2">
                  <c:v>2535</c:v>
                </c:pt>
                <c:pt idx="3">
                  <c:v>2468</c:v>
                </c:pt>
                <c:pt idx="4">
                  <c:v>2442</c:v>
                </c:pt>
                <c:pt idx="5">
                  <c:v>2482</c:v>
                </c:pt>
                <c:pt idx="6">
                  <c:v>2494</c:v>
                </c:pt>
                <c:pt idx="7">
                  <c:v>2431</c:v>
                </c:pt>
                <c:pt idx="8">
                  <c:v>2398</c:v>
                </c:pt>
                <c:pt idx="9">
                  <c:v>2379</c:v>
                </c:pt>
                <c:pt idx="10">
                  <c:v>2481</c:v>
                </c:pt>
                <c:pt idx="11">
                  <c:v>2385</c:v>
                </c:pt>
                <c:pt idx="12">
                  <c:v>2376</c:v>
                </c:pt>
                <c:pt idx="13">
                  <c:v>2375</c:v>
                </c:pt>
                <c:pt idx="14">
                  <c:v>2324</c:v>
                </c:pt>
                <c:pt idx="15">
                  <c:v>2263</c:v>
                </c:pt>
                <c:pt idx="16">
                  <c:v>2307</c:v>
                </c:pt>
                <c:pt idx="17">
                  <c:v>2344</c:v>
                </c:pt>
                <c:pt idx="18">
                  <c:v>2268</c:v>
                </c:pt>
                <c:pt idx="19">
                  <c:v>2245</c:v>
                </c:pt>
                <c:pt idx="20">
                  <c:v>2228.5</c:v>
                </c:pt>
                <c:pt idx="21">
                  <c:v>2134.1999999999998</c:v>
                </c:pt>
                <c:pt idx="22">
                  <c:v>2009.4</c:v>
                </c:pt>
                <c:pt idx="23">
                  <c:v>1880.7</c:v>
                </c:pt>
                <c:pt idx="24">
                  <c:v>1807.1</c:v>
                </c:pt>
                <c:pt idx="25">
                  <c:v>1697.5</c:v>
                </c:pt>
                <c:pt idx="26">
                  <c:v>1619.2</c:v>
                </c:pt>
                <c:pt idx="27">
                  <c:v>1530</c:v>
                </c:pt>
                <c:pt idx="28">
                  <c:v>1472.7</c:v>
                </c:pt>
                <c:pt idx="29">
                  <c:v>1388</c:v>
                </c:pt>
                <c:pt idx="30">
                  <c:v>1340.7</c:v>
                </c:pt>
                <c:pt idx="31">
                  <c:v>1270.7</c:v>
                </c:pt>
                <c:pt idx="32">
                  <c:v>1214.4000000000001</c:v>
                </c:pt>
                <c:pt idx="33">
                  <c:v>1155.4000000000001</c:v>
                </c:pt>
                <c:pt idx="34">
                  <c:v>1121.4000000000001</c:v>
                </c:pt>
                <c:pt idx="35">
                  <c:v>1066.0999999999999</c:v>
                </c:pt>
                <c:pt idx="36">
                  <c:v>1025.9000000000001</c:v>
                </c:pt>
                <c:pt idx="37">
                  <c:v>977.3</c:v>
                </c:pt>
                <c:pt idx="38">
                  <c:v>961.7</c:v>
                </c:pt>
                <c:pt idx="39">
                  <c:v>928.3</c:v>
                </c:pt>
                <c:pt idx="40">
                  <c:v>902.8</c:v>
                </c:pt>
                <c:pt idx="41">
                  <c:v>858.5</c:v>
                </c:pt>
                <c:pt idx="42">
                  <c:v>823.1</c:v>
                </c:pt>
                <c:pt idx="43">
                  <c:v>801.6</c:v>
                </c:pt>
                <c:pt idx="44">
                  <c:v>782</c:v>
                </c:pt>
                <c:pt idx="45">
                  <c:v>761.1</c:v>
                </c:pt>
                <c:pt idx="46">
                  <c:v>735.1</c:v>
                </c:pt>
                <c:pt idx="47">
                  <c:v>710.3</c:v>
                </c:pt>
                <c:pt idx="48">
                  <c:v>699.7</c:v>
                </c:pt>
                <c:pt idx="49">
                  <c:v>670.7</c:v>
                </c:pt>
                <c:pt idx="50">
                  <c:v>659.8</c:v>
                </c:pt>
                <c:pt idx="51">
                  <c:v>634.70000000000005</c:v>
                </c:pt>
                <c:pt idx="52">
                  <c:v>623.6</c:v>
                </c:pt>
                <c:pt idx="53">
                  <c:v>615.70000000000005</c:v>
                </c:pt>
                <c:pt idx="54">
                  <c:v>595.6</c:v>
                </c:pt>
                <c:pt idx="55">
                  <c:v>581.4</c:v>
                </c:pt>
                <c:pt idx="56">
                  <c:v>563</c:v>
                </c:pt>
                <c:pt idx="57">
                  <c:v>559.6</c:v>
                </c:pt>
                <c:pt idx="58">
                  <c:v>543.5</c:v>
                </c:pt>
                <c:pt idx="59">
                  <c:v>533.70000000000005</c:v>
                </c:pt>
                <c:pt idx="60">
                  <c:v>508.5</c:v>
                </c:pt>
                <c:pt idx="61">
                  <c:v>510.4</c:v>
                </c:pt>
                <c:pt idx="62">
                  <c:v>498.7</c:v>
                </c:pt>
                <c:pt idx="63">
                  <c:v>479</c:v>
                </c:pt>
                <c:pt idx="64">
                  <c:v>487.7</c:v>
                </c:pt>
                <c:pt idx="65">
                  <c:v>466.7</c:v>
                </c:pt>
                <c:pt idx="66">
                  <c:v>452.7</c:v>
                </c:pt>
                <c:pt idx="67">
                  <c:v>445.5</c:v>
                </c:pt>
                <c:pt idx="68">
                  <c:v>432.8</c:v>
                </c:pt>
                <c:pt idx="69">
                  <c:v>435.2</c:v>
                </c:pt>
                <c:pt idx="70">
                  <c:v>435.8</c:v>
                </c:pt>
                <c:pt idx="71">
                  <c:v>421.6</c:v>
                </c:pt>
                <c:pt idx="72">
                  <c:v>416.3</c:v>
                </c:pt>
                <c:pt idx="73">
                  <c:v>405.1</c:v>
                </c:pt>
                <c:pt idx="74">
                  <c:v>402.8</c:v>
                </c:pt>
                <c:pt idx="75">
                  <c:v>393.3</c:v>
                </c:pt>
                <c:pt idx="76">
                  <c:v>384.9</c:v>
                </c:pt>
                <c:pt idx="77">
                  <c:v>385.8</c:v>
                </c:pt>
                <c:pt idx="78">
                  <c:v>353.32</c:v>
                </c:pt>
                <c:pt idx="79">
                  <c:v>312.14</c:v>
                </c:pt>
                <c:pt idx="80">
                  <c:v>283.05</c:v>
                </c:pt>
                <c:pt idx="81">
                  <c:v>256.56</c:v>
                </c:pt>
                <c:pt idx="82">
                  <c:v>237.24</c:v>
                </c:pt>
                <c:pt idx="83">
                  <c:v>221.85</c:v>
                </c:pt>
                <c:pt idx="84">
                  <c:v>206.13</c:v>
                </c:pt>
                <c:pt idx="85">
                  <c:v>195.49</c:v>
                </c:pt>
                <c:pt idx="86">
                  <c:v>187.19</c:v>
                </c:pt>
                <c:pt idx="87">
                  <c:v>178.62</c:v>
                </c:pt>
                <c:pt idx="88">
                  <c:v>170.33</c:v>
                </c:pt>
                <c:pt idx="89">
                  <c:v>163.13</c:v>
                </c:pt>
                <c:pt idx="90">
                  <c:v>158.01</c:v>
                </c:pt>
                <c:pt idx="91">
                  <c:v>152.63999999999999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Data2'!$G$212:$CT$212</c:f>
              <c:numCache>
                <c:formatCode>General</c:formatCode>
                <c:ptCount val="92"/>
                <c:pt idx="0">
                  <c:v>9275</c:v>
                </c:pt>
                <c:pt idx="1">
                  <c:v>9375</c:v>
                </c:pt>
                <c:pt idx="2">
                  <c:v>9351</c:v>
                </c:pt>
                <c:pt idx="3">
                  <c:v>9149</c:v>
                </c:pt>
                <c:pt idx="4">
                  <c:v>9160</c:v>
                </c:pt>
                <c:pt idx="5">
                  <c:v>9112</c:v>
                </c:pt>
                <c:pt idx="6">
                  <c:v>9152</c:v>
                </c:pt>
                <c:pt idx="7">
                  <c:v>8991</c:v>
                </c:pt>
                <c:pt idx="8">
                  <c:v>8898</c:v>
                </c:pt>
                <c:pt idx="9">
                  <c:v>8939</c:v>
                </c:pt>
                <c:pt idx="10">
                  <c:v>8913</c:v>
                </c:pt>
                <c:pt idx="11">
                  <c:v>8864</c:v>
                </c:pt>
                <c:pt idx="12">
                  <c:v>8771</c:v>
                </c:pt>
                <c:pt idx="13">
                  <c:v>8709</c:v>
                </c:pt>
                <c:pt idx="14">
                  <c:v>8587</c:v>
                </c:pt>
                <c:pt idx="15">
                  <c:v>8539</c:v>
                </c:pt>
                <c:pt idx="16">
                  <c:v>8501</c:v>
                </c:pt>
                <c:pt idx="17">
                  <c:v>8493</c:v>
                </c:pt>
                <c:pt idx="18">
                  <c:v>8448</c:v>
                </c:pt>
                <c:pt idx="19">
                  <c:v>8478</c:v>
                </c:pt>
                <c:pt idx="20">
                  <c:v>8120.8</c:v>
                </c:pt>
                <c:pt idx="21">
                  <c:v>7669.9</c:v>
                </c:pt>
                <c:pt idx="22">
                  <c:v>7264.7</c:v>
                </c:pt>
                <c:pt idx="23">
                  <c:v>6777.3</c:v>
                </c:pt>
                <c:pt idx="24">
                  <c:v>6366.7</c:v>
                </c:pt>
                <c:pt idx="25">
                  <c:v>6087.4</c:v>
                </c:pt>
                <c:pt idx="26">
                  <c:v>5689.7</c:v>
                </c:pt>
                <c:pt idx="27">
                  <c:v>5397.8</c:v>
                </c:pt>
                <c:pt idx="28">
                  <c:v>5104.5</c:v>
                </c:pt>
                <c:pt idx="29">
                  <c:v>4866.3</c:v>
                </c:pt>
                <c:pt idx="30">
                  <c:v>4623.6000000000004</c:v>
                </c:pt>
                <c:pt idx="31">
                  <c:v>4368</c:v>
                </c:pt>
                <c:pt idx="32">
                  <c:v>4193.1000000000004</c:v>
                </c:pt>
                <c:pt idx="33">
                  <c:v>3965.3</c:v>
                </c:pt>
                <c:pt idx="34">
                  <c:v>3803.2</c:v>
                </c:pt>
                <c:pt idx="35">
                  <c:v>3603.2</c:v>
                </c:pt>
                <c:pt idx="36">
                  <c:v>3439.1</c:v>
                </c:pt>
                <c:pt idx="37">
                  <c:v>3312.9</c:v>
                </c:pt>
                <c:pt idx="38">
                  <c:v>3214</c:v>
                </c:pt>
                <c:pt idx="39">
                  <c:v>3037.3</c:v>
                </c:pt>
                <c:pt idx="40">
                  <c:v>2937</c:v>
                </c:pt>
                <c:pt idx="41">
                  <c:v>2829.8</c:v>
                </c:pt>
                <c:pt idx="42">
                  <c:v>2690.2</c:v>
                </c:pt>
                <c:pt idx="43">
                  <c:v>2625.5</c:v>
                </c:pt>
                <c:pt idx="44">
                  <c:v>2537.9</c:v>
                </c:pt>
                <c:pt idx="45">
                  <c:v>2442.9</c:v>
                </c:pt>
                <c:pt idx="46">
                  <c:v>2337.6</c:v>
                </c:pt>
                <c:pt idx="47">
                  <c:v>2261.1</c:v>
                </c:pt>
                <c:pt idx="48">
                  <c:v>2193.6</c:v>
                </c:pt>
                <c:pt idx="49">
                  <c:v>2112.1</c:v>
                </c:pt>
                <c:pt idx="50">
                  <c:v>2041.5</c:v>
                </c:pt>
                <c:pt idx="51">
                  <c:v>1974.7</c:v>
                </c:pt>
                <c:pt idx="52">
                  <c:v>1933.9</c:v>
                </c:pt>
                <c:pt idx="53">
                  <c:v>1836.5</c:v>
                </c:pt>
                <c:pt idx="54">
                  <c:v>1800.4</c:v>
                </c:pt>
                <c:pt idx="55">
                  <c:v>1763</c:v>
                </c:pt>
                <c:pt idx="56">
                  <c:v>1708.8</c:v>
                </c:pt>
                <c:pt idx="57">
                  <c:v>1662.1</c:v>
                </c:pt>
                <c:pt idx="58">
                  <c:v>1626.7</c:v>
                </c:pt>
                <c:pt idx="59">
                  <c:v>1588.5</c:v>
                </c:pt>
                <c:pt idx="60">
                  <c:v>1546.9</c:v>
                </c:pt>
                <c:pt idx="61">
                  <c:v>1493.8</c:v>
                </c:pt>
                <c:pt idx="62">
                  <c:v>1457.8</c:v>
                </c:pt>
                <c:pt idx="63">
                  <c:v>1410</c:v>
                </c:pt>
                <c:pt idx="64">
                  <c:v>1382.4</c:v>
                </c:pt>
                <c:pt idx="65">
                  <c:v>1359.5</c:v>
                </c:pt>
                <c:pt idx="66">
                  <c:v>1318.3</c:v>
                </c:pt>
                <c:pt idx="67">
                  <c:v>1294</c:v>
                </c:pt>
                <c:pt idx="68">
                  <c:v>1269</c:v>
                </c:pt>
                <c:pt idx="69">
                  <c:v>1231.4000000000001</c:v>
                </c:pt>
                <c:pt idx="70">
                  <c:v>1201.0999999999999</c:v>
                </c:pt>
                <c:pt idx="71">
                  <c:v>1177.5999999999999</c:v>
                </c:pt>
                <c:pt idx="72">
                  <c:v>1148.7</c:v>
                </c:pt>
                <c:pt idx="73">
                  <c:v>1124.2</c:v>
                </c:pt>
                <c:pt idx="74">
                  <c:v>1097.2</c:v>
                </c:pt>
                <c:pt idx="75">
                  <c:v>1090.9000000000001</c:v>
                </c:pt>
                <c:pt idx="76">
                  <c:v>1057.0999999999999</c:v>
                </c:pt>
                <c:pt idx="77">
                  <c:v>1027.7</c:v>
                </c:pt>
                <c:pt idx="78">
                  <c:v>939.47</c:v>
                </c:pt>
                <c:pt idx="79">
                  <c:v>791.14</c:v>
                </c:pt>
                <c:pt idx="80">
                  <c:v>682.68</c:v>
                </c:pt>
                <c:pt idx="81">
                  <c:v>598.9</c:v>
                </c:pt>
                <c:pt idx="82">
                  <c:v>538.84</c:v>
                </c:pt>
                <c:pt idx="83">
                  <c:v>481.04</c:v>
                </c:pt>
                <c:pt idx="84">
                  <c:v>439.03</c:v>
                </c:pt>
                <c:pt idx="85">
                  <c:v>403.81</c:v>
                </c:pt>
                <c:pt idx="86">
                  <c:v>375.84</c:v>
                </c:pt>
                <c:pt idx="87">
                  <c:v>352.5</c:v>
                </c:pt>
                <c:pt idx="88">
                  <c:v>328.99</c:v>
                </c:pt>
                <c:pt idx="89">
                  <c:v>308.12</c:v>
                </c:pt>
                <c:pt idx="90">
                  <c:v>291.07</c:v>
                </c:pt>
                <c:pt idx="91">
                  <c:v>276.62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Data2'!$G$213:$CT$213</c:f>
              <c:numCache>
                <c:formatCode>General</c:formatCode>
                <c:ptCount val="92"/>
                <c:pt idx="0">
                  <c:v>2550</c:v>
                </c:pt>
                <c:pt idx="1">
                  <c:v>2510</c:v>
                </c:pt>
                <c:pt idx="2">
                  <c:v>2563</c:v>
                </c:pt>
                <c:pt idx="3">
                  <c:v>2478</c:v>
                </c:pt>
                <c:pt idx="4">
                  <c:v>2524</c:v>
                </c:pt>
                <c:pt idx="5">
                  <c:v>2516</c:v>
                </c:pt>
                <c:pt idx="6">
                  <c:v>2483</c:v>
                </c:pt>
                <c:pt idx="7">
                  <c:v>2433</c:v>
                </c:pt>
                <c:pt idx="8">
                  <c:v>2499</c:v>
                </c:pt>
                <c:pt idx="9">
                  <c:v>2465</c:v>
                </c:pt>
                <c:pt idx="10">
                  <c:v>2442</c:v>
                </c:pt>
                <c:pt idx="11">
                  <c:v>2431</c:v>
                </c:pt>
                <c:pt idx="12">
                  <c:v>2356</c:v>
                </c:pt>
                <c:pt idx="13">
                  <c:v>2372</c:v>
                </c:pt>
                <c:pt idx="14">
                  <c:v>2382</c:v>
                </c:pt>
                <c:pt idx="15">
                  <c:v>2367</c:v>
                </c:pt>
                <c:pt idx="16">
                  <c:v>2368</c:v>
                </c:pt>
                <c:pt idx="17">
                  <c:v>2334</c:v>
                </c:pt>
                <c:pt idx="18">
                  <c:v>2345</c:v>
                </c:pt>
                <c:pt idx="19">
                  <c:v>2294</c:v>
                </c:pt>
                <c:pt idx="20">
                  <c:v>2297.8000000000002</c:v>
                </c:pt>
                <c:pt idx="21">
                  <c:v>2172.3000000000002</c:v>
                </c:pt>
                <c:pt idx="22">
                  <c:v>2060.4</c:v>
                </c:pt>
                <c:pt idx="23">
                  <c:v>1980.7</c:v>
                </c:pt>
                <c:pt idx="24">
                  <c:v>1847</c:v>
                </c:pt>
                <c:pt idx="25">
                  <c:v>1780.8</c:v>
                </c:pt>
                <c:pt idx="26">
                  <c:v>1685.6</c:v>
                </c:pt>
                <c:pt idx="27">
                  <c:v>1587.2</c:v>
                </c:pt>
                <c:pt idx="28">
                  <c:v>1526.4</c:v>
                </c:pt>
                <c:pt idx="29">
                  <c:v>1463.1</c:v>
                </c:pt>
                <c:pt idx="30">
                  <c:v>1397.9</c:v>
                </c:pt>
                <c:pt idx="31">
                  <c:v>1341.6</c:v>
                </c:pt>
                <c:pt idx="32">
                  <c:v>1288</c:v>
                </c:pt>
                <c:pt idx="33">
                  <c:v>1240</c:v>
                </c:pt>
                <c:pt idx="34">
                  <c:v>1187.0999999999999</c:v>
                </c:pt>
                <c:pt idx="35">
                  <c:v>1132.3</c:v>
                </c:pt>
                <c:pt idx="36">
                  <c:v>1095.5999999999999</c:v>
                </c:pt>
                <c:pt idx="37">
                  <c:v>1050.5</c:v>
                </c:pt>
                <c:pt idx="38">
                  <c:v>1023.7</c:v>
                </c:pt>
                <c:pt idx="39">
                  <c:v>985.2</c:v>
                </c:pt>
                <c:pt idx="40">
                  <c:v>952.2</c:v>
                </c:pt>
                <c:pt idx="41">
                  <c:v>918.2</c:v>
                </c:pt>
                <c:pt idx="42">
                  <c:v>908.2</c:v>
                </c:pt>
                <c:pt idx="43">
                  <c:v>879.9</c:v>
                </c:pt>
                <c:pt idx="44">
                  <c:v>843.8</c:v>
                </c:pt>
                <c:pt idx="45">
                  <c:v>817.8</c:v>
                </c:pt>
                <c:pt idx="46">
                  <c:v>801</c:v>
                </c:pt>
                <c:pt idx="47">
                  <c:v>777.1</c:v>
                </c:pt>
                <c:pt idx="48">
                  <c:v>756.5</c:v>
                </c:pt>
                <c:pt idx="49">
                  <c:v>731.4</c:v>
                </c:pt>
                <c:pt idx="50">
                  <c:v>722.1</c:v>
                </c:pt>
                <c:pt idx="51">
                  <c:v>700.4</c:v>
                </c:pt>
                <c:pt idx="52">
                  <c:v>683.3</c:v>
                </c:pt>
                <c:pt idx="53">
                  <c:v>660.8</c:v>
                </c:pt>
                <c:pt idx="54">
                  <c:v>651.29999999999995</c:v>
                </c:pt>
                <c:pt idx="55">
                  <c:v>638.79999999999995</c:v>
                </c:pt>
                <c:pt idx="56">
                  <c:v>623.4</c:v>
                </c:pt>
                <c:pt idx="57">
                  <c:v>609.1</c:v>
                </c:pt>
                <c:pt idx="58">
                  <c:v>603.20000000000005</c:v>
                </c:pt>
                <c:pt idx="59">
                  <c:v>585.4</c:v>
                </c:pt>
                <c:pt idx="60">
                  <c:v>566.9</c:v>
                </c:pt>
                <c:pt idx="61">
                  <c:v>559.29999999999995</c:v>
                </c:pt>
                <c:pt idx="62">
                  <c:v>543.5</c:v>
                </c:pt>
                <c:pt idx="63">
                  <c:v>539.4</c:v>
                </c:pt>
                <c:pt idx="64">
                  <c:v>531.1</c:v>
                </c:pt>
                <c:pt idx="65">
                  <c:v>529.6</c:v>
                </c:pt>
                <c:pt idx="66">
                  <c:v>519.4</c:v>
                </c:pt>
                <c:pt idx="67">
                  <c:v>504.4</c:v>
                </c:pt>
                <c:pt idx="68">
                  <c:v>500.4</c:v>
                </c:pt>
                <c:pt idx="69">
                  <c:v>494.9</c:v>
                </c:pt>
                <c:pt idx="70">
                  <c:v>482.4</c:v>
                </c:pt>
                <c:pt idx="71">
                  <c:v>461.7</c:v>
                </c:pt>
                <c:pt idx="72">
                  <c:v>470.6</c:v>
                </c:pt>
                <c:pt idx="73">
                  <c:v>461.3</c:v>
                </c:pt>
                <c:pt idx="74">
                  <c:v>453.9</c:v>
                </c:pt>
                <c:pt idx="75">
                  <c:v>448.7</c:v>
                </c:pt>
                <c:pt idx="76">
                  <c:v>435.1</c:v>
                </c:pt>
                <c:pt idx="77">
                  <c:v>438.8</c:v>
                </c:pt>
                <c:pt idx="78">
                  <c:v>402.63</c:v>
                </c:pt>
                <c:pt idx="79">
                  <c:v>359.01</c:v>
                </c:pt>
                <c:pt idx="80">
                  <c:v>325.77999999999997</c:v>
                </c:pt>
                <c:pt idx="81">
                  <c:v>298.64</c:v>
                </c:pt>
                <c:pt idx="82">
                  <c:v>279.05</c:v>
                </c:pt>
                <c:pt idx="83">
                  <c:v>262.16000000000003</c:v>
                </c:pt>
                <c:pt idx="84">
                  <c:v>246.6</c:v>
                </c:pt>
                <c:pt idx="85">
                  <c:v>231.43</c:v>
                </c:pt>
                <c:pt idx="86">
                  <c:v>223.35</c:v>
                </c:pt>
                <c:pt idx="87">
                  <c:v>212.28</c:v>
                </c:pt>
                <c:pt idx="88">
                  <c:v>203.35</c:v>
                </c:pt>
                <c:pt idx="89">
                  <c:v>196.98</c:v>
                </c:pt>
                <c:pt idx="90">
                  <c:v>186.76</c:v>
                </c:pt>
                <c:pt idx="91">
                  <c:v>182.44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Data2'!$G$214:$CT$214</c:f>
              <c:numCache>
                <c:formatCode>General</c:formatCode>
                <c:ptCount val="92"/>
                <c:pt idx="0">
                  <c:v>12684</c:v>
                </c:pt>
                <c:pt idx="1">
                  <c:v>12562</c:v>
                </c:pt>
                <c:pt idx="2">
                  <c:v>12620</c:v>
                </c:pt>
                <c:pt idx="3">
                  <c:v>12584</c:v>
                </c:pt>
                <c:pt idx="4">
                  <c:v>12358</c:v>
                </c:pt>
                <c:pt idx="5">
                  <c:v>12237</c:v>
                </c:pt>
                <c:pt idx="6">
                  <c:v>12212</c:v>
                </c:pt>
                <c:pt idx="7">
                  <c:v>12096</c:v>
                </c:pt>
                <c:pt idx="8">
                  <c:v>11989</c:v>
                </c:pt>
                <c:pt idx="9">
                  <c:v>12118</c:v>
                </c:pt>
                <c:pt idx="10">
                  <c:v>11888</c:v>
                </c:pt>
                <c:pt idx="11">
                  <c:v>11802</c:v>
                </c:pt>
                <c:pt idx="12">
                  <c:v>11670</c:v>
                </c:pt>
                <c:pt idx="13">
                  <c:v>11750</c:v>
                </c:pt>
                <c:pt idx="14">
                  <c:v>11546</c:v>
                </c:pt>
                <c:pt idx="15">
                  <c:v>11454</c:v>
                </c:pt>
                <c:pt idx="16">
                  <c:v>11581</c:v>
                </c:pt>
                <c:pt idx="17">
                  <c:v>11387</c:v>
                </c:pt>
                <c:pt idx="18">
                  <c:v>11382</c:v>
                </c:pt>
                <c:pt idx="19">
                  <c:v>11353</c:v>
                </c:pt>
                <c:pt idx="20">
                  <c:v>11025.8</c:v>
                </c:pt>
                <c:pt idx="21">
                  <c:v>10370.799999999999</c:v>
                </c:pt>
                <c:pt idx="22">
                  <c:v>9774.6</c:v>
                </c:pt>
                <c:pt idx="23">
                  <c:v>9169.6</c:v>
                </c:pt>
                <c:pt idx="24">
                  <c:v>8672.2999999999993</c:v>
                </c:pt>
                <c:pt idx="25">
                  <c:v>8150.1</c:v>
                </c:pt>
                <c:pt idx="26">
                  <c:v>7716.1</c:v>
                </c:pt>
                <c:pt idx="27">
                  <c:v>7285.9</c:v>
                </c:pt>
                <c:pt idx="28">
                  <c:v>6920.3</c:v>
                </c:pt>
                <c:pt idx="29">
                  <c:v>6505.6</c:v>
                </c:pt>
                <c:pt idx="30">
                  <c:v>6173.9</c:v>
                </c:pt>
                <c:pt idx="31">
                  <c:v>5918.3</c:v>
                </c:pt>
                <c:pt idx="32">
                  <c:v>5613.2</c:v>
                </c:pt>
                <c:pt idx="33">
                  <c:v>5301.7</c:v>
                </c:pt>
                <c:pt idx="34">
                  <c:v>5145.3999999999996</c:v>
                </c:pt>
                <c:pt idx="35">
                  <c:v>4875.8</c:v>
                </c:pt>
                <c:pt idx="36">
                  <c:v>4694.5</c:v>
                </c:pt>
                <c:pt idx="37">
                  <c:v>4474.5</c:v>
                </c:pt>
                <c:pt idx="38">
                  <c:v>4249.8999999999996</c:v>
                </c:pt>
                <c:pt idx="39">
                  <c:v>4118</c:v>
                </c:pt>
                <c:pt idx="40">
                  <c:v>3898.9</c:v>
                </c:pt>
                <c:pt idx="41">
                  <c:v>3790.6</c:v>
                </c:pt>
                <c:pt idx="42">
                  <c:v>3654.1</c:v>
                </c:pt>
                <c:pt idx="43">
                  <c:v>3492.3</c:v>
                </c:pt>
                <c:pt idx="44">
                  <c:v>3345.1</c:v>
                </c:pt>
                <c:pt idx="45">
                  <c:v>3267.2</c:v>
                </c:pt>
                <c:pt idx="46">
                  <c:v>3145.8</c:v>
                </c:pt>
                <c:pt idx="47">
                  <c:v>3039.9</c:v>
                </c:pt>
                <c:pt idx="48">
                  <c:v>2948.3</c:v>
                </c:pt>
                <c:pt idx="49">
                  <c:v>2840.8</c:v>
                </c:pt>
                <c:pt idx="50">
                  <c:v>2743.2</c:v>
                </c:pt>
                <c:pt idx="51">
                  <c:v>2679.7</c:v>
                </c:pt>
                <c:pt idx="52">
                  <c:v>2557.3000000000002</c:v>
                </c:pt>
                <c:pt idx="53">
                  <c:v>2464.6999999999998</c:v>
                </c:pt>
                <c:pt idx="54">
                  <c:v>2408.4</c:v>
                </c:pt>
                <c:pt idx="55">
                  <c:v>2334</c:v>
                </c:pt>
                <c:pt idx="56">
                  <c:v>2280.1999999999998</c:v>
                </c:pt>
                <c:pt idx="57">
                  <c:v>2210.3000000000002</c:v>
                </c:pt>
                <c:pt idx="58">
                  <c:v>2138.1999999999998</c:v>
                </c:pt>
                <c:pt idx="59">
                  <c:v>2106.5</c:v>
                </c:pt>
                <c:pt idx="60">
                  <c:v>2041.3</c:v>
                </c:pt>
                <c:pt idx="61">
                  <c:v>1988.7</c:v>
                </c:pt>
                <c:pt idx="62">
                  <c:v>1948</c:v>
                </c:pt>
                <c:pt idx="63">
                  <c:v>1888.6</c:v>
                </c:pt>
                <c:pt idx="64">
                  <c:v>1791.4</c:v>
                </c:pt>
                <c:pt idx="65">
                  <c:v>1804.9</c:v>
                </c:pt>
                <c:pt idx="66">
                  <c:v>1762.6</c:v>
                </c:pt>
                <c:pt idx="67">
                  <c:v>1691.8</c:v>
                </c:pt>
                <c:pt idx="68">
                  <c:v>1675.2</c:v>
                </c:pt>
                <c:pt idx="69">
                  <c:v>1648.7</c:v>
                </c:pt>
                <c:pt idx="70">
                  <c:v>1582.1</c:v>
                </c:pt>
                <c:pt idx="71">
                  <c:v>1569.2</c:v>
                </c:pt>
                <c:pt idx="72">
                  <c:v>1523.3</c:v>
                </c:pt>
                <c:pt idx="73">
                  <c:v>1491.3</c:v>
                </c:pt>
                <c:pt idx="74">
                  <c:v>1470.6</c:v>
                </c:pt>
                <c:pt idx="75">
                  <c:v>1430</c:v>
                </c:pt>
                <c:pt idx="76">
                  <c:v>1394.9</c:v>
                </c:pt>
                <c:pt idx="77">
                  <c:v>1380.6</c:v>
                </c:pt>
                <c:pt idx="78">
                  <c:v>1233.99</c:v>
                </c:pt>
                <c:pt idx="79">
                  <c:v>1038.92</c:v>
                </c:pt>
                <c:pt idx="80">
                  <c:v>893.99</c:v>
                </c:pt>
                <c:pt idx="81">
                  <c:v>783.14</c:v>
                </c:pt>
                <c:pt idx="82">
                  <c:v>697.18</c:v>
                </c:pt>
                <c:pt idx="83">
                  <c:v>631.79</c:v>
                </c:pt>
                <c:pt idx="84">
                  <c:v>569.86</c:v>
                </c:pt>
                <c:pt idx="85">
                  <c:v>524.34</c:v>
                </c:pt>
                <c:pt idx="86">
                  <c:v>485.88</c:v>
                </c:pt>
                <c:pt idx="87">
                  <c:v>449.41</c:v>
                </c:pt>
                <c:pt idx="88">
                  <c:v>420.83</c:v>
                </c:pt>
                <c:pt idx="89">
                  <c:v>395.57</c:v>
                </c:pt>
                <c:pt idx="90">
                  <c:v>371.08</c:v>
                </c:pt>
                <c:pt idx="91">
                  <c:v>349.68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Data2'!$G$215:$CT$215</c:f>
              <c:numCache>
                <c:formatCode>General</c:formatCode>
                <c:ptCount val="92"/>
                <c:pt idx="0">
                  <c:v>2731</c:v>
                </c:pt>
                <c:pt idx="1">
                  <c:v>2630</c:v>
                </c:pt>
                <c:pt idx="2">
                  <c:v>2654</c:v>
                </c:pt>
                <c:pt idx="3">
                  <c:v>2580</c:v>
                </c:pt>
                <c:pt idx="4">
                  <c:v>2563</c:v>
                </c:pt>
                <c:pt idx="5">
                  <c:v>2544</c:v>
                </c:pt>
                <c:pt idx="6">
                  <c:v>2565</c:v>
                </c:pt>
                <c:pt idx="7">
                  <c:v>2549</c:v>
                </c:pt>
                <c:pt idx="8">
                  <c:v>2511</c:v>
                </c:pt>
                <c:pt idx="9">
                  <c:v>2508</c:v>
                </c:pt>
                <c:pt idx="10">
                  <c:v>2537</c:v>
                </c:pt>
                <c:pt idx="11">
                  <c:v>2568</c:v>
                </c:pt>
                <c:pt idx="12">
                  <c:v>2520</c:v>
                </c:pt>
                <c:pt idx="13">
                  <c:v>2436</c:v>
                </c:pt>
                <c:pt idx="14">
                  <c:v>2429</c:v>
                </c:pt>
                <c:pt idx="15">
                  <c:v>2422</c:v>
                </c:pt>
                <c:pt idx="16">
                  <c:v>2411</c:v>
                </c:pt>
                <c:pt idx="17">
                  <c:v>2429</c:v>
                </c:pt>
                <c:pt idx="18">
                  <c:v>2460</c:v>
                </c:pt>
                <c:pt idx="19">
                  <c:v>2467</c:v>
                </c:pt>
                <c:pt idx="20">
                  <c:v>2393.9</c:v>
                </c:pt>
                <c:pt idx="21">
                  <c:v>2253.1</c:v>
                </c:pt>
                <c:pt idx="22">
                  <c:v>2137.5</c:v>
                </c:pt>
                <c:pt idx="23">
                  <c:v>2027.5</c:v>
                </c:pt>
                <c:pt idx="24">
                  <c:v>1929.8</c:v>
                </c:pt>
                <c:pt idx="25">
                  <c:v>1826</c:v>
                </c:pt>
                <c:pt idx="26">
                  <c:v>1750.5</c:v>
                </c:pt>
                <c:pt idx="27">
                  <c:v>1661.2</c:v>
                </c:pt>
                <c:pt idx="28">
                  <c:v>1564</c:v>
                </c:pt>
                <c:pt idx="29">
                  <c:v>1539.6</c:v>
                </c:pt>
                <c:pt idx="30">
                  <c:v>1455.4</c:v>
                </c:pt>
                <c:pt idx="31">
                  <c:v>1426.6</c:v>
                </c:pt>
                <c:pt idx="32">
                  <c:v>1344.3</c:v>
                </c:pt>
                <c:pt idx="33">
                  <c:v>1302.2</c:v>
                </c:pt>
                <c:pt idx="34">
                  <c:v>1235.0999999999999</c:v>
                </c:pt>
                <c:pt idx="35">
                  <c:v>1196.9000000000001</c:v>
                </c:pt>
                <c:pt idx="36">
                  <c:v>1150.5</c:v>
                </c:pt>
                <c:pt idx="37">
                  <c:v>1117.7</c:v>
                </c:pt>
                <c:pt idx="38">
                  <c:v>1086.5999999999999</c:v>
                </c:pt>
                <c:pt idx="39">
                  <c:v>1049.2</c:v>
                </c:pt>
                <c:pt idx="40">
                  <c:v>1014.6</c:v>
                </c:pt>
                <c:pt idx="41">
                  <c:v>991.5</c:v>
                </c:pt>
                <c:pt idx="42">
                  <c:v>962.3</c:v>
                </c:pt>
                <c:pt idx="43">
                  <c:v>917.9</c:v>
                </c:pt>
                <c:pt idx="44">
                  <c:v>904.1</c:v>
                </c:pt>
                <c:pt idx="45">
                  <c:v>873.6</c:v>
                </c:pt>
                <c:pt idx="46">
                  <c:v>846.4</c:v>
                </c:pt>
                <c:pt idx="47">
                  <c:v>815.7</c:v>
                </c:pt>
                <c:pt idx="48">
                  <c:v>802</c:v>
                </c:pt>
                <c:pt idx="49">
                  <c:v>779.9</c:v>
                </c:pt>
                <c:pt idx="50">
                  <c:v>770.8</c:v>
                </c:pt>
                <c:pt idx="51">
                  <c:v>756.3</c:v>
                </c:pt>
                <c:pt idx="52">
                  <c:v>735.2</c:v>
                </c:pt>
                <c:pt idx="53">
                  <c:v>707.4</c:v>
                </c:pt>
                <c:pt idx="54">
                  <c:v>708.1</c:v>
                </c:pt>
                <c:pt idx="55">
                  <c:v>680</c:v>
                </c:pt>
                <c:pt idx="56">
                  <c:v>670.4</c:v>
                </c:pt>
                <c:pt idx="57">
                  <c:v>661.5</c:v>
                </c:pt>
                <c:pt idx="58">
                  <c:v>641</c:v>
                </c:pt>
                <c:pt idx="59">
                  <c:v>623.70000000000005</c:v>
                </c:pt>
                <c:pt idx="60">
                  <c:v>614.9</c:v>
                </c:pt>
                <c:pt idx="61">
                  <c:v>607.5</c:v>
                </c:pt>
                <c:pt idx="62">
                  <c:v>603.6</c:v>
                </c:pt>
                <c:pt idx="63">
                  <c:v>590</c:v>
                </c:pt>
                <c:pt idx="64">
                  <c:v>580.79999999999995</c:v>
                </c:pt>
                <c:pt idx="65">
                  <c:v>570.4</c:v>
                </c:pt>
                <c:pt idx="66">
                  <c:v>553</c:v>
                </c:pt>
                <c:pt idx="67">
                  <c:v>541</c:v>
                </c:pt>
                <c:pt idx="68">
                  <c:v>542.9</c:v>
                </c:pt>
                <c:pt idx="69">
                  <c:v>528.79999999999995</c:v>
                </c:pt>
                <c:pt idx="70">
                  <c:v>530.1</c:v>
                </c:pt>
                <c:pt idx="71">
                  <c:v>516.29999999999995</c:v>
                </c:pt>
                <c:pt idx="72">
                  <c:v>501.4</c:v>
                </c:pt>
                <c:pt idx="73">
                  <c:v>498.7</c:v>
                </c:pt>
                <c:pt idx="74">
                  <c:v>496.4</c:v>
                </c:pt>
                <c:pt idx="75">
                  <c:v>490.7</c:v>
                </c:pt>
                <c:pt idx="76">
                  <c:v>480.5</c:v>
                </c:pt>
                <c:pt idx="77">
                  <c:v>482.5</c:v>
                </c:pt>
                <c:pt idx="78">
                  <c:v>446</c:v>
                </c:pt>
                <c:pt idx="79">
                  <c:v>397.55</c:v>
                </c:pt>
                <c:pt idx="80">
                  <c:v>363.87</c:v>
                </c:pt>
                <c:pt idx="81">
                  <c:v>334.79</c:v>
                </c:pt>
                <c:pt idx="82">
                  <c:v>308.87</c:v>
                </c:pt>
                <c:pt idx="83">
                  <c:v>293.73</c:v>
                </c:pt>
                <c:pt idx="84">
                  <c:v>276.88</c:v>
                </c:pt>
                <c:pt idx="85">
                  <c:v>263.11</c:v>
                </c:pt>
                <c:pt idx="86">
                  <c:v>248.65</c:v>
                </c:pt>
                <c:pt idx="87">
                  <c:v>239.02</c:v>
                </c:pt>
                <c:pt idx="88">
                  <c:v>232.39</c:v>
                </c:pt>
                <c:pt idx="89">
                  <c:v>220.95</c:v>
                </c:pt>
                <c:pt idx="90">
                  <c:v>214.55</c:v>
                </c:pt>
                <c:pt idx="91">
                  <c:v>207.63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Data2'!$G$216:$CT$216</c:f>
              <c:numCache>
                <c:formatCode>General</c:formatCode>
                <c:ptCount val="92"/>
                <c:pt idx="0">
                  <c:v>74</c:v>
                </c:pt>
                <c:pt idx="1">
                  <c:v>73</c:v>
                </c:pt>
                <c:pt idx="2">
                  <c:v>81</c:v>
                </c:pt>
                <c:pt idx="3">
                  <c:v>88</c:v>
                </c:pt>
                <c:pt idx="4">
                  <c:v>90</c:v>
                </c:pt>
                <c:pt idx="5">
                  <c:v>83</c:v>
                </c:pt>
                <c:pt idx="6">
                  <c:v>74</c:v>
                </c:pt>
                <c:pt idx="7">
                  <c:v>91</c:v>
                </c:pt>
                <c:pt idx="8">
                  <c:v>82</c:v>
                </c:pt>
                <c:pt idx="9">
                  <c:v>73</c:v>
                </c:pt>
                <c:pt idx="10">
                  <c:v>83</c:v>
                </c:pt>
                <c:pt idx="11">
                  <c:v>78</c:v>
                </c:pt>
                <c:pt idx="12">
                  <c:v>81</c:v>
                </c:pt>
                <c:pt idx="13">
                  <c:v>95</c:v>
                </c:pt>
                <c:pt idx="14">
                  <c:v>81</c:v>
                </c:pt>
                <c:pt idx="15">
                  <c:v>98</c:v>
                </c:pt>
                <c:pt idx="16">
                  <c:v>80</c:v>
                </c:pt>
                <c:pt idx="17">
                  <c:v>83</c:v>
                </c:pt>
                <c:pt idx="18">
                  <c:v>74</c:v>
                </c:pt>
                <c:pt idx="19">
                  <c:v>89</c:v>
                </c:pt>
                <c:pt idx="20">
                  <c:v>88.3</c:v>
                </c:pt>
                <c:pt idx="21">
                  <c:v>86</c:v>
                </c:pt>
                <c:pt idx="22">
                  <c:v>84.6</c:v>
                </c:pt>
                <c:pt idx="23">
                  <c:v>85.4</c:v>
                </c:pt>
                <c:pt idx="24">
                  <c:v>82.3</c:v>
                </c:pt>
                <c:pt idx="25">
                  <c:v>78.900000000000006</c:v>
                </c:pt>
                <c:pt idx="26">
                  <c:v>82.6</c:v>
                </c:pt>
                <c:pt idx="27">
                  <c:v>77.7</c:v>
                </c:pt>
                <c:pt idx="28">
                  <c:v>77.099999999999994</c:v>
                </c:pt>
                <c:pt idx="29">
                  <c:v>77.8</c:v>
                </c:pt>
                <c:pt idx="30">
                  <c:v>73.3</c:v>
                </c:pt>
                <c:pt idx="31">
                  <c:v>70.3</c:v>
                </c:pt>
                <c:pt idx="32">
                  <c:v>74.900000000000006</c:v>
                </c:pt>
                <c:pt idx="33">
                  <c:v>72.7</c:v>
                </c:pt>
                <c:pt idx="34">
                  <c:v>73.8</c:v>
                </c:pt>
                <c:pt idx="35">
                  <c:v>70.8</c:v>
                </c:pt>
                <c:pt idx="36">
                  <c:v>73.5</c:v>
                </c:pt>
                <c:pt idx="37">
                  <c:v>68.8</c:v>
                </c:pt>
                <c:pt idx="38">
                  <c:v>72.2</c:v>
                </c:pt>
                <c:pt idx="39">
                  <c:v>70</c:v>
                </c:pt>
                <c:pt idx="40">
                  <c:v>66.099999999999994</c:v>
                </c:pt>
                <c:pt idx="41">
                  <c:v>67.5</c:v>
                </c:pt>
                <c:pt idx="42">
                  <c:v>64.2</c:v>
                </c:pt>
                <c:pt idx="43">
                  <c:v>64.400000000000006</c:v>
                </c:pt>
                <c:pt idx="44">
                  <c:v>67.2</c:v>
                </c:pt>
                <c:pt idx="45">
                  <c:v>63.3</c:v>
                </c:pt>
                <c:pt idx="46">
                  <c:v>65.2</c:v>
                </c:pt>
                <c:pt idx="47">
                  <c:v>65</c:v>
                </c:pt>
                <c:pt idx="48">
                  <c:v>62.4</c:v>
                </c:pt>
                <c:pt idx="49">
                  <c:v>66.099999999999994</c:v>
                </c:pt>
                <c:pt idx="50">
                  <c:v>64.5</c:v>
                </c:pt>
                <c:pt idx="51">
                  <c:v>64.3</c:v>
                </c:pt>
                <c:pt idx="52">
                  <c:v>63.3</c:v>
                </c:pt>
                <c:pt idx="53">
                  <c:v>63.9</c:v>
                </c:pt>
                <c:pt idx="54">
                  <c:v>61.3</c:v>
                </c:pt>
                <c:pt idx="55">
                  <c:v>60.1</c:v>
                </c:pt>
                <c:pt idx="56">
                  <c:v>62.6</c:v>
                </c:pt>
                <c:pt idx="57">
                  <c:v>63.1</c:v>
                </c:pt>
                <c:pt idx="58">
                  <c:v>59.8</c:v>
                </c:pt>
                <c:pt idx="59">
                  <c:v>62.3</c:v>
                </c:pt>
                <c:pt idx="60">
                  <c:v>61.8</c:v>
                </c:pt>
                <c:pt idx="61">
                  <c:v>59.8</c:v>
                </c:pt>
                <c:pt idx="62">
                  <c:v>62.1</c:v>
                </c:pt>
                <c:pt idx="63">
                  <c:v>58</c:v>
                </c:pt>
                <c:pt idx="64">
                  <c:v>61.5</c:v>
                </c:pt>
                <c:pt idx="65">
                  <c:v>58.8</c:v>
                </c:pt>
                <c:pt idx="66">
                  <c:v>59.7</c:v>
                </c:pt>
                <c:pt idx="67">
                  <c:v>58.9</c:v>
                </c:pt>
                <c:pt idx="68">
                  <c:v>61.6</c:v>
                </c:pt>
                <c:pt idx="69">
                  <c:v>60.9</c:v>
                </c:pt>
                <c:pt idx="70">
                  <c:v>59.6</c:v>
                </c:pt>
                <c:pt idx="71">
                  <c:v>59.6</c:v>
                </c:pt>
                <c:pt idx="72">
                  <c:v>60.6</c:v>
                </c:pt>
                <c:pt idx="73">
                  <c:v>57</c:v>
                </c:pt>
                <c:pt idx="74">
                  <c:v>62.7</c:v>
                </c:pt>
                <c:pt idx="75">
                  <c:v>58.6</c:v>
                </c:pt>
                <c:pt idx="76">
                  <c:v>55.6</c:v>
                </c:pt>
                <c:pt idx="77">
                  <c:v>58.7</c:v>
                </c:pt>
                <c:pt idx="78">
                  <c:v>55.84</c:v>
                </c:pt>
                <c:pt idx="79">
                  <c:v>54.98</c:v>
                </c:pt>
                <c:pt idx="80">
                  <c:v>54.06</c:v>
                </c:pt>
                <c:pt idx="81">
                  <c:v>53.74</c:v>
                </c:pt>
                <c:pt idx="82">
                  <c:v>51.87</c:v>
                </c:pt>
                <c:pt idx="83">
                  <c:v>52.14</c:v>
                </c:pt>
                <c:pt idx="84">
                  <c:v>51.04</c:v>
                </c:pt>
                <c:pt idx="85">
                  <c:v>51.8</c:v>
                </c:pt>
                <c:pt idx="86">
                  <c:v>49.54</c:v>
                </c:pt>
                <c:pt idx="87">
                  <c:v>50.05</c:v>
                </c:pt>
                <c:pt idx="88">
                  <c:v>49.52</c:v>
                </c:pt>
                <c:pt idx="89">
                  <c:v>49.12</c:v>
                </c:pt>
                <c:pt idx="90">
                  <c:v>47.35</c:v>
                </c:pt>
                <c:pt idx="91">
                  <c:v>47.54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Data2'!$G$217:$CT$217</c:f>
              <c:numCache>
                <c:formatCode>General</c:formatCode>
                <c:ptCount val="92"/>
                <c:pt idx="0">
                  <c:v>2333</c:v>
                </c:pt>
                <c:pt idx="1">
                  <c:v>2274</c:v>
                </c:pt>
                <c:pt idx="2">
                  <c:v>2220</c:v>
                </c:pt>
                <c:pt idx="3">
                  <c:v>2284</c:v>
                </c:pt>
                <c:pt idx="4">
                  <c:v>2235</c:v>
                </c:pt>
                <c:pt idx="5">
                  <c:v>2275</c:v>
                </c:pt>
                <c:pt idx="6">
                  <c:v>2208</c:v>
                </c:pt>
                <c:pt idx="7">
                  <c:v>2176</c:v>
                </c:pt>
                <c:pt idx="8">
                  <c:v>2209</c:v>
                </c:pt>
                <c:pt idx="9">
                  <c:v>2237</c:v>
                </c:pt>
                <c:pt idx="10">
                  <c:v>2149</c:v>
                </c:pt>
                <c:pt idx="11">
                  <c:v>2117</c:v>
                </c:pt>
                <c:pt idx="12">
                  <c:v>2094</c:v>
                </c:pt>
                <c:pt idx="13">
                  <c:v>2132</c:v>
                </c:pt>
                <c:pt idx="14">
                  <c:v>2164</c:v>
                </c:pt>
                <c:pt idx="15">
                  <c:v>2110</c:v>
                </c:pt>
                <c:pt idx="16">
                  <c:v>2078</c:v>
                </c:pt>
                <c:pt idx="17">
                  <c:v>2058</c:v>
                </c:pt>
                <c:pt idx="18">
                  <c:v>2128</c:v>
                </c:pt>
                <c:pt idx="19">
                  <c:v>2075</c:v>
                </c:pt>
                <c:pt idx="20">
                  <c:v>2035</c:v>
                </c:pt>
                <c:pt idx="21">
                  <c:v>1913</c:v>
                </c:pt>
                <c:pt idx="22">
                  <c:v>1812.7</c:v>
                </c:pt>
                <c:pt idx="23">
                  <c:v>1709.4</c:v>
                </c:pt>
                <c:pt idx="24">
                  <c:v>1594</c:v>
                </c:pt>
                <c:pt idx="25">
                  <c:v>1517.2</c:v>
                </c:pt>
                <c:pt idx="26">
                  <c:v>1441.7</c:v>
                </c:pt>
                <c:pt idx="27">
                  <c:v>1357.4</c:v>
                </c:pt>
                <c:pt idx="28">
                  <c:v>1304.5</c:v>
                </c:pt>
                <c:pt idx="29">
                  <c:v>1214.2</c:v>
                </c:pt>
                <c:pt idx="30">
                  <c:v>1177.3</c:v>
                </c:pt>
                <c:pt idx="31">
                  <c:v>1112.8</c:v>
                </c:pt>
                <c:pt idx="32">
                  <c:v>1053.4000000000001</c:v>
                </c:pt>
                <c:pt idx="33">
                  <c:v>1013.5</c:v>
                </c:pt>
                <c:pt idx="34">
                  <c:v>975.1</c:v>
                </c:pt>
                <c:pt idx="35">
                  <c:v>929</c:v>
                </c:pt>
                <c:pt idx="36">
                  <c:v>897.6</c:v>
                </c:pt>
                <c:pt idx="37">
                  <c:v>866</c:v>
                </c:pt>
                <c:pt idx="38">
                  <c:v>828.6</c:v>
                </c:pt>
                <c:pt idx="39">
                  <c:v>796.7</c:v>
                </c:pt>
                <c:pt idx="40">
                  <c:v>768.9</c:v>
                </c:pt>
                <c:pt idx="41">
                  <c:v>737.1</c:v>
                </c:pt>
                <c:pt idx="42">
                  <c:v>700.1</c:v>
                </c:pt>
                <c:pt idx="43">
                  <c:v>684</c:v>
                </c:pt>
                <c:pt idx="44">
                  <c:v>654</c:v>
                </c:pt>
                <c:pt idx="45">
                  <c:v>634.6</c:v>
                </c:pt>
                <c:pt idx="46">
                  <c:v>620.70000000000005</c:v>
                </c:pt>
                <c:pt idx="47">
                  <c:v>591.9</c:v>
                </c:pt>
                <c:pt idx="48">
                  <c:v>585.9</c:v>
                </c:pt>
                <c:pt idx="49">
                  <c:v>572.79999999999995</c:v>
                </c:pt>
                <c:pt idx="50">
                  <c:v>548.70000000000005</c:v>
                </c:pt>
                <c:pt idx="51">
                  <c:v>529.1</c:v>
                </c:pt>
                <c:pt idx="52">
                  <c:v>521.6</c:v>
                </c:pt>
                <c:pt idx="53">
                  <c:v>507.6</c:v>
                </c:pt>
                <c:pt idx="54">
                  <c:v>489</c:v>
                </c:pt>
                <c:pt idx="55">
                  <c:v>480</c:v>
                </c:pt>
                <c:pt idx="56">
                  <c:v>467.6</c:v>
                </c:pt>
                <c:pt idx="57">
                  <c:v>452.5</c:v>
                </c:pt>
                <c:pt idx="58">
                  <c:v>443</c:v>
                </c:pt>
                <c:pt idx="59">
                  <c:v>434.3</c:v>
                </c:pt>
                <c:pt idx="60">
                  <c:v>413.5</c:v>
                </c:pt>
                <c:pt idx="61">
                  <c:v>408.4</c:v>
                </c:pt>
                <c:pt idx="62">
                  <c:v>396.7</c:v>
                </c:pt>
                <c:pt idx="63">
                  <c:v>393.5</c:v>
                </c:pt>
                <c:pt idx="64">
                  <c:v>382.9</c:v>
                </c:pt>
                <c:pt idx="65">
                  <c:v>369.5</c:v>
                </c:pt>
                <c:pt idx="66">
                  <c:v>364.6</c:v>
                </c:pt>
                <c:pt idx="67">
                  <c:v>353.1</c:v>
                </c:pt>
                <c:pt idx="68">
                  <c:v>346.6</c:v>
                </c:pt>
                <c:pt idx="69">
                  <c:v>342.2</c:v>
                </c:pt>
                <c:pt idx="70">
                  <c:v>336.3</c:v>
                </c:pt>
                <c:pt idx="71">
                  <c:v>334.9</c:v>
                </c:pt>
                <c:pt idx="72">
                  <c:v>320.89999999999998</c:v>
                </c:pt>
                <c:pt idx="73">
                  <c:v>319.7</c:v>
                </c:pt>
                <c:pt idx="74">
                  <c:v>308.39999999999998</c:v>
                </c:pt>
                <c:pt idx="75">
                  <c:v>309.2</c:v>
                </c:pt>
                <c:pt idx="76">
                  <c:v>299.8</c:v>
                </c:pt>
                <c:pt idx="77">
                  <c:v>287.7</c:v>
                </c:pt>
                <c:pt idx="78">
                  <c:v>269.77</c:v>
                </c:pt>
                <c:pt idx="79">
                  <c:v>236.59</c:v>
                </c:pt>
                <c:pt idx="80">
                  <c:v>205.79</c:v>
                </c:pt>
                <c:pt idx="81">
                  <c:v>185.37</c:v>
                </c:pt>
                <c:pt idx="82">
                  <c:v>170.04</c:v>
                </c:pt>
                <c:pt idx="83">
                  <c:v>156.44</c:v>
                </c:pt>
                <c:pt idx="84">
                  <c:v>142.94999999999999</c:v>
                </c:pt>
                <c:pt idx="85">
                  <c:v>135.54</c:v>
                </c:pt>
                <c:pt idx="86">
                  <c:v>126.95</c:v>
                </c:pt>
                <c:pt idx="87">
                  <c:v>119.71</c:v>
                </c:pt>
                <c:pt idx="88">
                  <c:v>114.67</c:v>
                </c:pt>
                <c:pt idx="89">
                  <c:v>109.52</c:v>
                </c:pt>
                <c:pt idx="90">
                  <c:v>103.51</c:v>
                </c:pt>
                <c:pt idx="91">
                  <c:v>101.65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Data2'!$G$218:$CT$218</c:f>
              <c:numCache>
                <c:formatCode>General</c:formatCode>
                <c:ptCount val="92"/>
                <c:pt idx="0">
                  <c:v>5039</c:v>
                </c:pt>
                <c:pt idx="1">
                  <c:v>5002</c:v>
                </c:pt>
                <c:pt idx="2">
                  <c:v>4961</c:v>
                </c:pt>
                <c:pt idx="3">
                  <c:v>4914</c:v>
                </c:pt>
                <c:pt idx="4">
                  <c:v>4951</c:v>
                </c:pt>
                <c:pt idx="5">
                  <c:v>4889</c:v>
                </c:pt>
                <c:pt idx="6">
                  <c:v>4889</c:v>
                </c:pt>
                <c:pt idx="7">
                  <c:v>5118</c:v>
                </c:pt>
                <c:pt idx="8">
                  <c:v>4790</c:v>
                </c:pt>
                <c:pt idx="9">
                  <c:v>4836</c:v>
                </c:pt>
                <c:pt idx="10">
                  <c:v>4821</c:v>
                </c:pt>
                <c:pt idx="11">
                  <c:v>4730</c:v>
                </c:pt>
                <c:pt idx="12">
                  <c:v>4684</c:v>
                </c:pt>
                <c:pt idx="13">
                  <c:v>4650</c:v>
                </c:pt>
                <c:pt idx="14">
                  <c:v>4698</c:v>
                </c:pt>
                <c:pt idx="15">
                  <c:v>4699</c:v>
                </c:pt>
                <c:pt idx="16">
                  <c:v>4639</c:v>
                </c:pt>
                <c:pt idx="17">
                  <c:v>4686</c:v>
                </c:pt>
                <c:pt idx="18">
                  <c:v>4601</c:v>
                </c:pt>
                <c:pt idx="19">
                  <c:v>4485</c:v>
                </c:pt>
                <c:pt idx="20">
                  <c:v>4437.5</c:v>
                </c:pt>
                <c:pt idx="21">
                  <c:v>4171.3999999999996</c:v>
                </c:pt>
                <c:pt idx="22">
                  <c:v>3955.5</c:v>
                </c:pt>
                <c:pt idx="23">
                  <c:v>3730.6</c:v>
                </c:pt>
                <c:pt idx="24">
                  <c:v>3526.8</c:v>
                </c:pt>
                <c:pt idx="25">
                  <c:v>3327.2</c:v>
                </c:pt>
                <c:pt idx="26">
                  <c:v>3153.4</c:v>
                </c:pt>
                <c:pt idx="27">
                  <c:v>2998.4</c:v>
                </c:pt>
                <c:pt idx="28">
                  <c:v>2833.5</c:v>
                </c:pt>
                <c:pt idx="29">
                  <c:v>2677.2</c:v>
                </c:pt>
                <c:pt idx="30">
                  <c:v>2549.6999999999998</c:v>
                </c:pt>
                <c:pt idx="31">
                  <c:v>2394.1999999999998</c:v>
                </c:pt>
                <c:pt idx="32">
                  <c:v>2279.8000000000002</c:v>
                </c:pt>
                <c:pt idx="33">
                  <c:v>2190.9</c:v>
                </c:pt>
                <c:pt idx="34">
                  <c:v>2090.5</c:v>
                </c:pt>
                <c:pt idx="35">
                  <c:v>2011.2</c:v>
                </c:pt>
                <c:pt idx="36">
                  <c:v>1910.4</c:v>
                </c:pt>
                <c:pt idx="37">
                  <c:v>1840.7</c:v>
                </c:pt>
                <c:pt idx="38">
                  <c:v>1733.9</c:v>
                </c:pt>
                <c:pt idx="39">
                  <c:v>1685</c:v>
                </c:pt>
                <c:pt idx="40">
                  <c:v>1632</c:v>
                </c:pt>
                <c:pt idx="41">
                  <c:v>1577.3</c:v>
                </c:pt>
                <c:pt idx="42">
                  <c:v>1514.7</c:v>
                </c:pt>
                <c:pt idx="43">
                  <c:v>1457</c:v>
                </c:pt>
                <c:pt idx="44">
                  <c:v>1400.6</c:v>
                </c:pt>
                <c:pt idx="45">
                  <c:v>1352.2</c:v>
                </c:pt>
                <c:pt idx="46">
                  <c:v>1307.8</c:v>
                </c:pt>
                <c:pt idx="47">
                  <c:v>1259.3</c:v>
                </c:pt>
                <c:pt idx="48">
                  <c:v>1211.9000000000001</c:v>
                </c:pt>
                <c:pt idx="49">
                  <c:v>1185.9000000000001</c:v>
                </c:pt>
                <c:pt idx="50">
                  <c:v>1155.2</c:v>
                </c:pt>
                <c:pt idx="51">
                  <c:v>1112.3</c:v>
                </c:pt>
                <c:pt idx="52">
                  <c:v>1077.2</c:v>
                </c:pt>
                <c:pt idx="53">
                  <c:v>1038.5</c:v>
                </c:pt>
                <c:pt idx="54">
                  <c:v>1026.8</c:v>
                </c:pt>
                <c:pt idx="55">
                  <c:v>988.6</c:v>
                </c:pt>
                <c:pt idx="56">
                  <c:v>955.6</c:v>
                </c:pt>
                <c:pt idx="57">
                  <c:v>922.1</c:v>
                </c:pt>
                <c:pt idx="58">
                  <c:v>917.4</c:v>
                </c:pt>
                <c:pt idx="59">
                  <c:v>883.8</c:v>
                </c:pt>
                <c:pt idx="60">
                  <c:v>861.9</c:v>
                </c:pt>
                <c:pt idx="61">
                  <c:v>840.2</c:v>
                </c:pt>
                <c:pt idx="62">
                  <c:v>815.9</c:v>
                </c:pt>
                <c:pt idx="63">
                  <c:v>790.8</c:v>
                </c:pt>
                <c:pt idx="64">
                  <c:v>774.9</c:v>
                </c:pt>
                <c:pt idx="65">
                  <c:v>759.7</c:v>
                </c:pt>
                <c:pt idx="66">
                  <c:v>740.8</c:v>
                </c:pt>
                <c:pt idx="67">
                  <c:v>728.9</c:v>
                </c:pt>
                <c:pt idx="68">
                  <c:v>711.6</c:v>
                </c:pt>
                <c:pt idx="69">
                  <c:v>695.9</c:v>
                </c:pt>
                <c:pt idx="70">
                  <c:v>681</c:v>
                </c:pt>
                <c:pt idx="71">
                  <c:v>670.9</c:v>
                </c:pt>
                <c:pt idx="72">
                  <c:v>652.9</c:v>
                </c:pt>
                <c:pt idx="73">
                  <c:v>643.1</c:v>
                </c:pt>
                <c:pt idx="74">
                  <c:v>620.4</c:v>
                </c:pt>
                <c:pt idx="75">
                  <c:v>608.70000000000005</c:v>
                </c:pt>
                <c:pt idx="76">
                  <c:v>600.1</c:v>
                </c:pt>
                <c:pt idx="77">
                  <c:v>582.29999999999995</c:v>
                </c:pt>
                <c:pt idx="78">
                  <c:v>529.22</c:v>
                </c:pt>
                <c:pt idx="79">
                  <c:v>448.57</c:v>
                </c:pt>
                <c:pt idx="80">
                  <c:v>392.8</c:v>
                </c:pt>
                <c:pt idx="81">
                  <c:v>345.8</c:v>
                </c:pt>
                <c:pt idx="82">
                  <c:v>310.05</c:v>
                </c:pt>
                <c:pt idx="83">
                  <c:v>279.95999999999998</c:v>
                </c:pt>
                <c:pt idx="84">
                  <c:v>259.02</c:v>
                </c:pt>
                <c:pt idx="85">
                  <c:v>238.11</c:v>
                </c:pt>
                <c:pt idx="86">
                  <c:v>220.62</c:v>
                </c:pt>
                <c:pt idx="87">
                  <c:v>204.3</c:v>
                </c:pt>
                <c:pt idx="88">
                  <c:v>194.06</c:v>
                </c:pt>
                <c:pt idx="89">
                  <c:v>183.66</c:v>
                </c:pt>
                <c:pt idx="90">
                  <c:v>172.49</c:v>
                </c:pt>
                <c:pt idx="91">
                  <c:v>166.69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Data2'!$G$219:$CT$219</c:f>
              <c:numCache>
                <c:formatCode>General</c:formatCode>
                <c:ptCount val="92"/>
                <c:pt idx="0">
                  <c:v>2417</c:v>
                </c:pt>
                <c:pt idx="1">
                  <c:v>2385</c:v>
                </c:pt>
                <c:pt idx="2">
                  <c:v>2363</c:v>
                </c:pt>
                <c:pt idx="3">
                  <c:v>2348</c:v>
                </c:pt>
                <c:pt idx="4">
                  <c:v>2334</c:v>
                </c:pt>
                <c:pt idx="5">
                  <c:v>2270</c:v>
                </c:pt>
                <c:pt idx="6">
                  <c:v>2343</c:v>
                </c:pt>
                <c:pt idx="7">
                  <c:v>2238</c:v>
                </c:pt>
                <c:pt idx="8">
                  <c:v>2318</c:v>
                </c:pt>
                <c:pt idx="9">
                  <c:v>2238</c:v>
                </c:pt>
                <c:pt idx="10">
                  <c:v>2241</c:v>
                </c:pt>
                <c:pt idx="11">
                  <c:v>2297</c:v>
                </c:pt>
                <c:pt idx="12">
                  <c:v>2207</c:v>
                </c:pt>
                <c:pt idx="13">
                  <c:v>2242</c:v>
                </c:pt>
                <c:pt idx="14">
                  <c:v>2155</c:v>
                </c:pt>
                <c:pt idx="15">
                  <c:v>2156</c:v>
                </c:pt>
                <c:pt idx="16">
                  <c:v>2167</c:v>
                </c:pt>
                <c:pt idx="17">
                  <c:v>2151</c:v>
                </c:pt>
                <c:pt idx="18">
                  <c:v>2165</c:v>
                </c:pt>
                <c:pt idx="19">
                  <c:v>2110</c:v>
                </c:pt>
                <c:pt idx="20">
                  <c:v>2085.6</c:v>
                </c:pt>
                <c:pt idx="21">
                  <c:v>1997.3</c:v>
                </c:pt>
                <c:pt idx="22">
                  <c:v>1898.4</c:v>
                </c:pt>
                <c:pt idx="23">
                  <c:v>1785.6</c:v>
                </c:pt>
                <c:pt idx="24">
                  <c:v>1685.4</c:v>
                </c:pt>
                <c:pt idx="25">
                  <c:v>1609.4</c:v>
                </c:pt>
                <c:pt idx="26">
                  <c:v>1546.9</c:v>
                </c:pt>
                <c:pt idx="27">
                  <c:v>1454.9</c:v>
                </c:pt>
                <c:pt idx="28">
                  <c:v>1394.2</c:v>
                </c:pt>
                <c:pt idx="29">
                  <c:v>1308.4000000000001</c:v>
                </c:pt>
                <c:pt idx="30">
                  <c:v>1273.8</c:v>
                </c:pt>
                <c:pt idx="31">
                  <c:v>1204.5999999999999</c:v>
                </c:pt>
                <c:pt idx="32">
                  <c:v>1137.9000000000001</c:v>
                </c:pt>
                <c:pt idx="33">
                  <c:v>1133.4000000000001</c:v>
                </c:pt>
                <c:pt idx="34">
                  <c:v>1057.5</c:v>
                </c:pt>
                <c:pt idx="35">
                  <c:v>1002.8</c:v>
                </c:pt>
                <c:pt idx="36">
                  <c:v>970.8</c:v>
                </c:pt>
                <c:pt idx="37">
                  <c:v>936.5</c:v>
                </c:pt>
                <c:pt idx="38">
                  <c:v>894.9</c:v>
                </c:pt>
                <c:pt idx="39">
                  <c:v>859.1</c:v>
                </c:pt>
                <c:pt idx="40">
                  <c:v>841.3</c:v>
                </c:pt>
                <c:pt idx="41">
                  <c:v>806.6</c:v>
                </c:pt>
                <c:pt idx="42">
                  <c:v>781.5</c:v>
                </c:pt>
                <c:pt idx="43">
                  <c:v>768.1</c:v>
                </c:pt>
                <c:pt idx="44">
                  <c:v>748.7</c:v>
                </c:pt>
                <c:pt idx="45">
                  <c:v>713</c:v>
                </c:pt>
                <c:pt idx="46">
                  <c:v>695.2</c:v>
                </c:pt>
                <c:pt idx="47">
                  <c:v>671.2</c:v>
                </c:pt>
                <c:pt idx="48">
                  <c:v>647.29999999999995</c:v>
                </c:pt>
                <c:pt idx="49">
                  <c:v>645.5</c:v>
                </c:pt>
                <c:pt idx="50">
                  <c:v>617.6</c:v>
                </c:pt>
                <c:pt idx="51">
                  <c:v>598.79999999999995</c:v>
                </c:pt>
                <c:pt idx="52">
                  <c:v>578.6</c:v>
                </c:pt>
                <c:pt idx="53">
                  <c:v>571.1</c:v>
                </c:pt>
                <c:pt idx="54">
                  <c:v>551.29999999999995</c:v>
                </c:pt>
                <c:pt idx="55">
                  <c:v>545.29999999999995</c:v>
                </c:pt>
                <c:pt idx="56">
                  <c:v>520.20000000000005</c:v>
                </c:pt>
                <c:pt idx="57">
                  <c:v>514.6</c:v>
                </c:pt>
                <c:pt idx="58">
                  <c:v>507.6</c:v>
                </c:pt>
                <c:pt idx="59">
                  <c:v>490.3</c:v>
                </c:pt>
                <c:pt idx="60">
                  <c:v>479.8</c:v>
                </c:pt>
                <c:pt idx="61">
                  <c:v>471</c:v>
                </c:pt>
                <c:pt idx="62">
                  <c:v>463.4</c:v>
                </c:pt>
                <c:pt idx="63">
                  <c:v>460.2</c:v>
                </c:pt>
                <c:pt idx="64">
                  <c:v>442.2</c:v>
                </c:pt>
                <c:pt idx="65">
                  <c:v>434.2</c:v>
                </c:pt>
                <c:pt idx="66">
                  <c:v>433.7</c:v>
                </c:pt>
                <c:pt idx="67">
                  <c:v>425.8</c:v>
                </c:pt>
                <c:pt idx="68">
                  <c:v>409.8</c:v>
                </c:pt>
                <c:pt idx="69">
                  <c:v>409.2</c:v>
                </c:pt>
                <c:pt idx="70">
                  <c:v>403.7</c:v>
                </c:pt>
                <c:pt idx="71">
                  <c:v>394.8</c:v>
                </c:pt>
                <c:pt idx="72">
                  <c:v>395.3</c:v>
                </c:pt>
                <c:pt idx="73">
                  <c:v>380.4</c:v>
                </c:pt>
                <c:pt idx="74">
                  <c:v>369.6</c:v>
                </c:pt>
                <c:pt idx="75">
                  <c:v>361.1</c:v>
                </c:pt>
                <c:pt idx="76">
                  <c:v>368.7</c:v>
                </c:pt>
                <c:pt idx="77">
                  <c:v>356.5</c:v>
                </c:pt>
                <c:pt idx="78">
                  <c:v>328.88</c:v>
                </c:pt>
                <c:pt idx="79">
                  <c:v>287.93</c:v>
                </c:pt>
                <c:pt idx="80">
                  <c:v>259.27999999999997</c:v>
                </c:pt>
                <c:pt idx="81">
                  <c:v>237.47</c:v>
                </c:pt>
                <c:pt idx="82">
                  <c:v>218.31</c:v>
                </c:pt>
                <c:pt idx="83">
                  <c:v>201.43</c:v>
                </c:pt>
                <c:pt idx="84">
                  <c:v>189.95</c:v>
                </c:pt>
                <c:pt idx="85">
                  <c:v>178.67</c:v>
                </c:pt>
                <c:pt idx="86">
                  <c:v>169.22</c:v>
                </c:pt>
                <c:pt idx="87">
                  <c:v>162.26</c:v>
                </c:pt>
                <c:pt idx="88">
                  <c:v>153.96</c:v>
                </c:pt>
                <c:pt idx="89">
                  <c:v>148.57</c:v>
                </c:pt>
                <c:pt idx="90">
                  <c:v>142.47</c:v>
                </c:pt>
                <c:pt idx="91">
                  <c:v>136.46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23744"/>
        <c:axId val="48225664"/>
      </c:scatterChart>
      <c:valAx>
        <c:axId val="4822374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225664"/>
        <c:crosses val="autoZero"/>
        <c:crossBetween val="midCat"/>
      </c:valAx>
      <c:valAx>
        <c:axId val="48225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2237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Data'!$A$321</c:f>
          <c:strCache>
            <c:ptCount val="1"/>
            <c:pt idx="0">
              <c:v>Disk 48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Data2'!$G$220:$CT$220</c:f>
              <c:numCache>
                <c:formatCode>General</c:formatCode>
                <c:ptCount val="92"/>
                <c:pt idx="0">
                  <c:v>272</c:v>
                </c:pt>
                <c:pt idx="1">
                  <c:v>281</c:v>
                </c:pt>
                <c:pt idx="2">
                  <c:v>247</c:v>
                </c:pt>
                <c:pt idx="3">
                  <c:v>281</c:v>
                </c:pt>
                <c:pt idx="4">
                  <c:v>277</c:v>
                </c:pt>
                <c:pt idx="5">
                  <c:v>276</c:v>
                </c:pt>
                <c:pt idx="6">
                  <c:v>270</c:v>
                </c:pt>
                <c:pt idx="7">
                  <c:v>240</c:v>
                </c:pt>
                <c:pt idx="8">
                  <c:v>253</c:v>
                </c:pt>
                <c:pt idx="9">
                  <c:v>270</c:v>
                </c:pt>
                <c:pt idx="10">
                  <c:v>259</c:v>
                </c:pt>
                <c:pt idx="11">
                  <c:v>275</c:v>
                </c:pt>
                <c:pt idx="12">
                  <c:v>274</c:v>
                </c:pt>
                <c:pt idx="13">
                  <c:v>270</c:v>
                </c:pt>
                <c:pt idx="14">
                  <c:v>256</c:v>
                </c:pt>
                <c:pt idx="15">
                  <c:v>258</c:v>
                </c:pt>
                <c:pt idx="16">
                  <c:v>248</c:v>
                </c:pt>
                <c:pt idx="17">
                  <c:v>232</c:v>
                </c:pt>
                <c:pt idx="18">
                  <c:v>241</c:v>
                </c:pt>
                <c:pt idx="19">
                  <c:v>264</c:v>
                </c:pt>
                <c:pt idx="20">
                  <c:v>243.2</c:v>
                </c:pt>
                <c:pt idx="21">
                  <c:v>228.2</c:v>
                </c:pt>
                <c:pt idx="22">
                  <c:v>219.9</c:v>
                </c:pt>
                <c:pt idx="23">
                  <c:v>211.9</c:v>
                </c:pt>
                <c:pt idx="24">
                  <c:v>192.5</c:v>
                </c:pt>
                <c:pt idx="25">
                  <c:v>174.3</c:v>
                </c:pt>
                <c:pt idx="26">
                  <c:v>179.1</c:v>
                </c:pt>
                <c:pt idx="27">
                  <c:v>175</c:v>
                </c:pt>
                <c:pt idx="28">
                  <c:v>160.69999999999999</c:v>
                </c:pt>
                <c:pt idx="29">
                  <c:v>153.19999999999999</c:v>
                </c:pt>
                <c:pt idx="30">
                  <c:v>144.19999999999999</c:v>
                </c:pt>
                <c:pt idx="31">
                  <c:v>142.4</c:v>
                </c:pt>
                <c:pt idx="32">
                  <c:v>140.5</c:v>
                </c:pt>
                <c:pt idx="33">
                  <c:v>132.69999999999999</c:v>
                </c:pt>
                <c:pt idx="34">
                  <c:v>130.19999999999999</c:v>
                </c:pt>
                <c:pt idx="35">
                  <c:v>124.9</c:v>
                </c:pt>
                <c:pt idx="36">
                  <c:v>121.1</c:v>
                </c:pt>
                <c:pt idx="37">
                  <c:v>117.3</c:v>
                </c:pt>
                <c:pt idx="38">
                  <c:v>110.3</c:v>
                </c:pt>
                <c:pt idx="39">
                  <c:v>109.6</c:v>
                </c:pt>
                <c:pt idx="40">
                  <c:v>104.7</c:v>
                </c:pt>
                <c:pt idx="41">
                  <c:v>103.9</c:v>
                </c:pt>
                <c:pt idx="42">
                  <c:v>99.5</c:v>
                </c:pt>
                <c:pt idx="43">
                  <c:v>94.4</c:v>
                </c:pt>
                <c:pt idx="44">
                  <c:v>100</c:v>
                </c:pt>
                <c:pt idx="45">
                  <c:v>96.8</c:v>
                </c:pt>
                <c:pt idx="46">
                  <c:v>90.1</c:v>
                </c:pt>
                <c:pt idx="47">
                  <c:v>93.5</c:v>
                </c:pt>
                <c:pt idx="48">
                  <c:v>90</c:v>
                </c:pt>
                <c:pt idx="49">
                  <c:v>90.3</c:v>
                </c:pt>
                <c:pt idx="50">
                  <c:v>84.5</c:v>
                </c:pt>
                <c:pt idx="51">
                  <c:v>82.4</c:v>
                </c:pt>
                <c:pt idx="52">
                  <c:v>86.7</c:v>
                </c:pt>
                <c:pt idx="53">
                  <c:v>78.900000000000006</c:v>
                </c:pt>
                <c:pt idx="54">
                  <c:v>76.8</c:v>
                </c:pt>
                <c:pt idx="55">
                  <c:v>78.7</c:v>
                </c:pt>
                <c:pt idx="56">
                  <c:v>75.5</c:v>
                </c:pt>
                <c:pt idx="57">
                  <c:v>80.5</c:v>
                </c:pt>
                <c:pt idx="58">
                  <c:v>74.5</c:v>
                </c:pt>
                <c:pt idx="59">
                  <c:v>75.8</c:v>
                </c:pt>
                <c:pt idx="60">
                  <c:v>72.7</c:v>
                </c:pt>
                <c:pt idx="61">
                  <c:v>70.5</c:v>
                </c:pt>
                <c:pt idx="62">
                  <c:v>66.900000000000006</c:v>
                </c:pt>
                <c:pt idx="63">
                  <c:v>67.099999999999994</c:v>
                </c:pt>
                <c:pt idx="64">
                  <c:v>68.900000000000006</c:v>
                </c:pt>
                <c:pt idx="65">
                  <c:v>68.8</c:v>
                </c:pt>
                <c:pt idx="66">
                  <c:v>68.900000000000006</c:v>
                </c:pt>
                <c:pt idx="67">
                  <c:v>65.8</c:v>
                </c:pt>
                <c:pt idx="68">
                  <c:v>65.099999999999994</c:v>
                </c:pt>
                <c:pt idx="69">
                  <c:v>68.2</c:v>
                </c:pt>
                <c:pt idx="70">
                  <c:v>63.9</c:v>
                </c:pt>
                <c:pt idx="71">
                  <c:v>63.4</c:v>
                </c:pt>
                <c:pt idx="72">
                  <c:v>62.4</c:v>
                </c:pt>
                <c:pt idx="73">
                  <c:v>58.4</c:v>
                </c:pt>
                <c:pt idx="74">
                  <c:v>60.9</c:v>
                </c:pt>
                <c:pt idx="75">
                  <c:v>63.1</c:v>
                </c:pt>
                <c:pt idx="76">
                  <c:v>62.1</c:v>
                </c:pt>
                <c:pt idx="77">
                  <c:v>60.8</c:v>
                </c:pt>
                <c:pt idx="78">
                  <c:v>57.7</c:v>
                </c:pt>
                <c:pt idx="79">
                  <c:v>53.52</c:v>
                </c:pt>
                <c:pt idx="80">
                  <c:v>49.87</c:v>
                </c:pt>
                <c:pt idx="81">
                  <c:v>48.56</c:v>
                </c:pt>
                <c:pt idx="82">
                  <c:v>46.67</c:v>
                </c:pt>
                <c:pt idx="83">
                  <c:v>44.46</c:v>
                </c:pt>
                <c:pt idx="84">
                  <c:v>43.37</c:v>
                </c:pt>
                <c:pt idx="85">
                  <c:v>41.72</c:v>
                </c:pt>
                <c:pt idx="86">
                  <c:v>40.840000000000003</c:v>
                </c:pt>
                <c:pt idx="87">
                  <c:v>40.29</c:v>
                </c:pt>
                <c:pt idx="88">
                  <c:v>38.83</c:v>
                </c:pt>
                <c:pt idx="89">
                  <c:v>38.39</c:v>
                </c:pt>
                <c:pt idx="90">
                  <c:v>37.82</c:v>
                </c:pt>
                <c:pt idx="91">
                  <c:v>37.28</c:v>
                </c:pt>
              </c:numCache>
            </c:numRef>
          </c:yVal>
          <c:smooth val="1"/>
        </c:ser>
        <c:ser>
          <c:idx val="8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Data2'!$G$180:$CT$180</c:f>
              <c:numCache>
                <c:formatCode>General</c:formatCode>
                <c:ptCount val="92"/>
                <c:pt idx="0">
                  <c:v>32</c:v>
                </c:pt>
                <c:pt idx="1">
                  <c:v>25</c:v>
                </c:pt>
                <c:pt idx="2">
                  <c:v>30</c:v>
                </c:pt>
                <c:pt idx="3">
                  <c:v>28</c:v>
                </c:pt>
                <c:pt idx="4">
                  <c:v>35</c:v>
                </c:pt>
                <c:pt idx="5">
                  <c:v>37</c:v>
                </c:pt>
                <c:pt idx="6">
                  <c:v>33</c:v>
                </c:pt>
                <c:pt idx="7">
                  <c:v>34</c:v>
                </c:pt>
                <c:pt idx="8">
                  <c:v>34</c:v>
                </c:pt>
                <c:pt idx="9">
                  <c:v>36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33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28</c:v>
                </c:pt>
                <c:pt idx="18">
                  <c:v>33</c:v>
                </c:pt>
                <c:pt idx="19">
                  <c:v>36</c:v>
                </c:pt>
                <c:pt idx="20">
                  <c:v>30.4</c:v>
                </c:pt>
                <c:pt idx="21">
                  <c:v>32.299999999999997</c:v>
                </c:pt>
                <c:pt idx="22">
                  <c:v>36.799999999999997</c:v>
                </c:pt>
                <c:pt idx="23">
                  <c:v>35.6</c:v>
                </c:pt>
                <c:pt idx="24">
                  <c:v>33.5</c:v>
                </c:pt>
                <c:pt idx="25">
                  <c:v>35.799999999999997</c:v>
                </c:pt>
                <c:pt idx="26">
                  <c:v>34.9</c:v>
                </c:pt>
                <c:pt idx="27">
                  <c:v>34.1</c:v>
                </c:pt>
                <c:pt idx="28">
                  <c:v>34.6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35.799999999999997</c:v>
                </c:pt>
                <c:pt idx="32">
                  <c:v>33.200000000000003</c:v>
                </c:pt>
                <c:pt idx="33">
                  <c:v>33.299999999999997</c:v>
                </c:pt>
                <c:pt idx="34">
                  <c:v>33.1</c:v>
                </c:pt>
                <c:pt idx="35">
                  <c:v>31.2</c:v>
                </c:pt>
                <c:pt idx="36">
                  <c:v>30.4</c:v>
                </c:pt>
                <c:pt idx="37">
                  <c:v>32.799999999999997</c:v>
                </c:pt>
                <c:pt idx="38">
                  <c:v>33.200000000000003</c:v>
                </c:pt>
                <c:pt idx="39">
                  <c:v>32.700000000000003</c:v>
                </c:pt>
                <c:pt idx="40">
                  <c:v>32.5</c:v>
                </c:pt>
                <c:pt idx="41">
                  <c:v>31.1</c:v>
                </c:pt>
                <c:pt idx="42">
                  <c:v>31</c:v>
                </c:pt>
                <c:pt idx="43">
                  <c:v>31.1</c:v>
                </c:pt>
                <c:pt idx="44">
                  <c:v>28</c:v>
                </c:pt>
                <c:pt idx="45">
                  <c:v>33.6</c:v>
                </c:pt>
                <c:pt idx="46">
                  <c:v>30.7</c:v>
                </c:pt>
                <c:pt idx="47">
                  <c:v>30.3</c:v>
                </c:pt>
                <c:pt idx="48">
                  <c:v>31.4</c:v>
                </c:pt>
                <c:pt idx="49">
                  <c:v>29.6</c:v>
                </c:pt>
                <c:pt idx="50">
                  <c:v>28.6</c:v>
                </c:pt>
                <c:pt idx="51">
                  <c:v>30.6</c:v>
                </c:pt>
                <c:pt idx="52">
                  <c:v>30</c:v>
                </c:pt>
                <c:pt idx="53">
                  <c:v>28.6</c:v>
                </c:pt>
                <c:pt idx="54">
                  <c:v>32.5</c:v>
                </c:pt>
                <c:pt idx="55">
                  <c:v>30</c:v>
                </c:pt>
                <c:pt idx="56">
                  <c:v>30.3</c:v>
                </c:pt>
                <c:pt idx="57">
                  <c:v>28</c:v>
                </c:pt>
                <c:pt idx="58">
                  <c:v>28.5</c:v>
                </c:pt>
                <c:pt idx="59">
                  <c:v>29.2</c:v>
                </c:pt>
                <c:pt idx="60">
                  <c:v>29.5</c:v>
                </c:pt>
                <c:pt idx="61">
                  <c:v>30.1</c:v>
                </c:pt>
                <c:pt idx="62">
                  <c:v>29.7</c:v>
                </c:pt>
                <c:pt idx="63">
                  <c:v>28.3</c:v>
                </c:pt>
                <c:pt idx="64">
                  <c:v>30.1</c:v>
                </c:pt>
                <c:pt idx="65">
                  <c:v>28.6</c:v>
                </c:pt>
                <c:pt idx="66">
                  <c:v>29.3</c:v>
                </c:pt>
                <c:pt idx="67">
                  <c:v>30.6</c:v>
                </c:pt>
                <c:pt idx="68">
                  <c:v>29.5</c:v>
                </c:pt>
                <c:pt idx="69">
                  <c:v>28.5</c:v>
                </c:pt>
                <c:pt idx="70">
                  <c:v>30.1</c:v>
                </c:pt>
                <c:pt idx="71">
                  <c:v>28.8</c:v>
                </c:pt>
                <c:pt idx="72">
                  <c:v>28.2</c:v>
                </c:pt>
                <c:pt idx="73">
                  <c:v>29.5</c:v>
                </c:pt>
                <c:pt idx="74">
                  <c:v>29.8</c:v>
                </c:pt>
                <c:pt idx="75">
                  <c:v>27.9</c:v>
                </c:pt>
                <c:pt idx="76">
                  <c:v>30</c:v>
                </c:pt>
                <c:pt idx="77">
                  <c:v>28.8</c:v>
                </c:pt>
                <c:pt idx="78">
                  <c:v>28.21</c:v>
                </c:pt>
                <c:pt idx="79">
                  <c:v>27.71</c:v>
                </c:pt>
                <c:pt idx="80">
                  <c:v>27.45</c:v>
                </c:pt>
                <c:pt idx="81">
                  <c:v>26.51</c:v>
                </c:pt>
                <c:pt idx="82">
                  <c:v>26.96</c:v>
                </c:pt>
                <c:pt idx="83">
                  <c:v>26.14</c:v>
                </c:pt>
                <c:pt idx="84">
                  <c:v>25.37</c:v>
                </c:pt>
                <c:pt idx="85">
                  <c:v>26.02</c:v>
                </c:pt>
                <c:pt idx="86">
                  <c:v>25.26</c:v>
                </c:pt>
                <c:pt idx="87">
                  <c:v>24.98</c:v>
                </c:pt>
                <c:pt idx="88">
                  <c:v>25.65</c:v>
                </c:pt>
                <c:pt idx="89">
                  <c:v>24.74</c:v>
                </c:pt>
                <c:pt idx="90">
                  <c:v>24.47</c:v>
                </c:pt>
                <c:pt idx="91">
                  <c:v>24.77</c:v>
                </c:pt>
              </c:numCache>
            </c:numRef>
          </c:yVal>
          <c:smooth val="1"/>
        </c:ser>
        <c:ser>
          <c:idx val="0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Data2'!$G$221:$CT$221</c:f>
              <c:numCache>
                <c:formatCode>General</c:formatCode>
                <c:ptCount val="92"/>
                <c:pt idx="0">
                  <c:v>273</c:v>
                </c:pt>
                <c:pt idx="1">
                  <c:v>274</c:v>
                </c:pt>
                <c:pt idx="2">
                  <c:v>265</c:v>
                </c:pt>
                <c:pt idx="3">
                  <c:v>289</c:v>
                </c:pt>
                <c:pt idx="4">
                  <c:v>297</c:v>
                </c:pt>
                <c:pt idx="5">
                  <c:v>293</c:v>
                </c:pt>
                <c:pt idx="6">
                  <c:v>263</c:v>
                </c:pt>
                <c:pt idx="7">
                  <c:v>275</c:v>
                </c:pt>
                <c:pt idx="8">
                  <c:v>270</c:v>
                </c:pt>
                <c:pt idx="9">
                  <c:v>248</c:v>
                </c:pt>
                <c:pt idx="10">
                  <c:v>278</c:v>
                </c:pt>
                <c:pt idx="11">
                  <c:v>264</c:v>
                </c:pt>
                <c:pt idx="12">
                  <c:v>281</c:v>
                </c:pt>
                <c:pt idx="13">
                  <c:v>261</c:v>
                </c:pt>
                <c:pt idx="14">
                  <c:v>256</c:v>
                </c:pt>
                <c:pt idx="15">
                  <c:v>254</c:v>
                </c:pt>
                <c:pt idx="16">
                  <c:v>236</c:v>
                </c:pt>
                <c:pt idx="17">
                  <c:v>260</c:v>
                </c:pt>
                <c:pt idx="18">
                  <c:v>240</c:v>
                </c:pt>
                <c:pt idx="19">
                  <c:v>251</c:v>
                </c:pt>
                <c:pt idx="20">
                  <c:v>237.9</c:v>
                </c:pt>
                <c:pt idx="21">
                  <c:v>223.6</c:v>
                </c:pt>
                <c:pt idx="22">
                  <c:v>203</c:v>
                </c:pt>
                <c:pt idx="23">
                  <c:v>196.4</c:v>
                </c:pt>
                <c:pt idx="24">
                  <c:v>187.2</c:v>
                </c:pt>
                <c:pt idx="25">
                  <c:v>176.2</c:v>
                </c:pt>
                <c:pt idx="26">
                  <c:v>165.1</c:v>
                </c:pt>
                <c:pt idx="27">
                  <c:v>154.80000000000001</c:v>
                </c:pt>
                <c:pt idx="28">
                  <c:v>146.19999999999999</c:v>
                </c:pt>
                <c:pt idx="29">
                  <c:v>140.5</c:v>
                </c:pt>
                <c:pt idx="30">
                  <c:v>137.4</c:v>
                </c:pt>
                <c:pt idx="31">
                  <c:v>127.8</c:v>
                </c:pt>
                <c:pt idx="32">
                  <c:v>126.2</c:v>
                </c:pt>
                <c:pt idx="33">
                  <c:v>120.7</c:v>
                </c:pt>
                <c:pt idx="34">
                  <c:v>119.3</c:v>
                </c:pt>
                <c:pt idx="35">
                  <c:v>112.6</c:v>
                </c:pt>
                <c:pt idx="36">
                  <c:v>109.9</c:v>
                </c:pt>
                <c:pt idx="37">
                  <c:v>100.7</c:v>
                </c:pt>
                <c:pt idx="38">
                  <c:v>102.5</c:v>
                </c:pt>
                <c:pt idx="39">
                  <c:v>96.3</c:v>
                </c:pt>
                <c:pt idx="40">
                  <c:v>93.3</c:v>
                </c:pt>
                <c:pt idx="41">
                  <c:v>86.8</c:v>
                </c:pt>
                <c:pt idx="42">
                  <c:v>87.6</c:v>
                </c:pt>
                <c:pt idx="43">
                  <c:v>84.2</c:v>
                </c:pt>
                <c:pt idx="44">
                  <c:v>82.7</c:v>
                </c:pt>
                <c:pt idx="45">
                  <c:v>82.2</c:v>
                </c:pt>
                <c:pt idx="46">
                  <c:v>78.7</c:v>
                </c:pt>
                <c:pt idx="47">
                  <c:v>79.099999999999994</c:v>
                </c:pt>
                <c:pt idx="48">
                  <c:v>78.2</c:v>
                </c:pt>
                <c:pt idx="49">
                  <c:v>72.5</c:v>
                </c:pt>
                <c:pt idx="50">
                  <c:v>75.7</c:v>
                </c:pt>
                <c:pt idx="51">
                  <c:v>66.3</c:v>
                </c:pt>
                <c:pt idx="52">
                  <c:v>70.900000000000006</c:v>
                </c:pt>
                <c:pt idx="53">
                  <c:v>69.599999999999994</c:v>
                </c:pt>
                <c:pt idx="54">
                  <c:v>69.400000000000006</c:v>
                </c:pt>
                <c:pt idx="55">
                  <c:v>72.8</c:v>
                </c:pt>
                <c:pt idx="56">
                  <c:v>66.400000000000006</c:v>
                </c:pt>
                <c:pt idx="57">
                  <c:v>62</c:v>
                </c:pt>
                <c:pt idx="58">
                  <c:v>65.900000000000006</c:v>
                </c:pt>
                <c:pt idx="59">
                  <c:v>62.5</c:v>
                </c:pt>
                <c:pt idx="60">
                  <c:v>61.2</c:v>
                </c:pt>
                <c:pt idx="61">
                  <c:v>61.2</c:v>
                </c:pt>
                <c:pt idx="62">
                  <c:v>58.8</c:v>
                </c:pt>
                <c:pt idx="63">
                  <c:v>59.1</c:v>
                </c:pt>
                <c:pt idx="64">
                  <c:v>59.2</c:v>
                </c:pt>
                <c:pt idx="65">
                  <c:v>57.8</c:v>
                </c:pt>
                <c:pt idx="66">
                  <c:v>59.2</c:v>
                </c:pt>
                <c:pt idx="67">
                  <c:v>56.4</c:v>
                </c:pt>
                <c:pt idx="68">
                  <c:v>53.9</c:v>
                </c:pt>
                <c:pt idx="69">
                  <c:v>53.8</c:v>
                </c:pt>
                <c:pt idx="70">
                  <c:v>56.1</c:v>
                </c:pt>
                <c:pt idx="71">
                  <c:v>52.3</c:v>
                </c:pt>
                <c:pt idx="72">
                  <c:v>51.7</c:v>
                </c:pt>
                <c:pt idx="73">
                  <c:v>53.5</c:v>
                </c:pt>
                <c:pt idx="74">
                  <c:v>52</c:v>
                </c:pt>
                <c:pt idx="75">
                  <c:v>47.5</c:v>
                </c:pt>
                <c:pt idx="76">
                  <c:v>51</c:v>
                </c:pt>
                <c:pt idx="77">
                  <c:v>50.4</c:v>
                </c:pt>
                <c:pt idx="78">
                  <c:v>48.1</c:v>
                </c:pt>
                <c:pt idx="79">
                  <c:v>45.19</c:v>
                </c:pt>
                <c:pt idx="80">
                  <c:v>42.22</c:v>
                </c:pt>
                <c:pt idx="81">
                  <c:v>39.83</c:v>
                </c:pt>
                <c:pt idx="82">
                  <c:v>38.130000000000003</c:v>
                </c:pt>
                <c:pt idx="83">
                  <c:v>37.18</c:v>
                </c:pt>
                <c:pt idx="84">
                  <c:v>35.729999999999997</c:v>
                </c:pt>
                <c:pt idx="85">
                  <c:v>36</c:v>
                </c:pt>
                <c:pt idx="86">
                  <c:v>34.43</c:v>
                </c:pt>
                <c:pt idx="87">
                  <c:v>33.08</c:v>
                </c:pt>
                <c:pt idx="88">
                  <c:v>32.950000000000003</c:v>
                </c:pt>
                <c:pt idx="89">
                  <c:v>31.93</c:v>
                </c:pt>
                <c:pt idx="90">
                  <c:v>32.22</c:v>
                </c:pt>
                <c:pt idx="91">
                  <c:v>31.13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Data2'!$G$222:$CT$222</c:f>
              <c:numCache>
                <c:formatCode>General</c:formatCode>
                <c:ptCount val="92"/>
                <c:pt idx="0">
                  <c:v>192</c:v>
                </c:pt>
                <c:pt idx="1">
                  <c:v>173</c:v>
                </c:pt>
                <c:pt idx="2">
                  <c:v>204</c:v>
                </c:pt>
                <c:pt idx="3">
                  <c:v>188</c:v>
                </c:pt>
                <c:pt idx="4">
                  <c:v>176</c:v>
                </c:pt>
                <c:pt idx="5">
                  <c:v>193</c:v>
                </c:pt>
                <c:pt idx="6">
                  <c:v>183</c:v>
                </c:pt>
                <c:pt idx="7">
                  <c:v>163</c:v>
                </c:pt>
                <c:pt idx="8">
                  <c:v>171</c:v>
                </c:pt>
                <c:pt idx="9">
                  <c:v>172</c:v>
                </c:pt>
                <c:pt idx="10">
                  <c:v>172</c:v>
                </c:pt>
                <c:pt idx="11">
                  <c:v>177</c:v>
                </c:pt>
                <c:pt idx="12">
                  <c:v>167</c:v>
                </c:pt>
                <c:pt idx="13">
                  <c:v>173</c:v>
                </c:pt>
                <c:pt idx="14">
                  <c:v>187</c:v>
                </c:pt>
                <c:pt idx="15">
                  <c:v>154</c:v>
                </c:pt>
                <c:pt idx="16">
                  <c:v>165</c:v>
                </c:pt>
                <c:pt idx="17">
                  <c:v>178</c:v>
                </c:pt>
                <c:pt idx="18">
                  <c:v>171</c:v>
                </c:pt>
                <c:pt idx="19">
                  <c:v>177</c:v>
                </c:pt>
                <c:pt idx="20">
                  <c:v>167.3</c:v>
                </c:pt>
                <c:pt idx="21">
                  <c:v>151</c:v>
                </c:pt>
                <c:pt idx="22">
                  <c:v>142.5</c:v>
                </c:pt>
                <c:pt idx="23">
                  <c:v>136.4</c:v>
                </c:pt>
                <c:pt idx="24">
                  <c:v>133</c:v>
                </c:pt>
                <c:pt idx="25">
                  <c:v>119.5</c:v>
                </c:pt>
                <c:pt idx="26">
                  <c:v>114.9</c:v>
                </c:pt>
                <c:pt idx="27">
                  <c:v>115.2</c:v>
                </c:pt>
                <c:pt idx="28">
                  <c:v>104.1</c:v>
                </c:pt>
                <c:pt idx="29">
                  <c:v>103.8</c:v>
                </c:pt>
                <c:pt idx="30">
                  <c:v>95.6</c:v>
                </c:pt>
                <c:pt idx="31">
                  <c:v>94.3</c:v>
                </c:pt>
                <c:pt idx="32">
                  <c:v>87.2</c:v>
                </c:pt>
                <c:pt idx="33">
                  <c:v>84.7</c:v>
                </c:pt>
                <c:pt idx="34">
                  <c:v>82.2</c:v>
                </c:pt>
                <c:pt idx="35">
                  <c:v>80.8</c:v>
                </c:pt>
                <c:pt idx="36">
                  <c:v>77.2</c:v>
                </c:pt>
                <c:pt idx="37">
                  <c:v>74.599999999999994</c:v>
                </c:pt>
                <c:pt idx="38">
                  <c:v>75.8</c:v>
                </c:pt>
                <c:pt idx="39">
                  <c:v>68.7</c:v>
                </c:pt>
                <c:pt idx="40">
                  <c:v>69.900000000000006</c:v>
                </c:pt>
                <c:pt idx="41">
                  <c:v>64.900000000000006</c:v>
                </c:pt>
                <c:pt idx="42">
                  <c:v>65.3</c:v>
                </c:pt>
                <c:pt idx="43">
                  <c:v>63</c:v>
                </c:pt>
                <c:pt idx="44">
                  <c:v>62.5</c:v>
                </c:pt>
                <c:pt idx="45">
                  <c:v>61.7</c:v>
                </c:pt>
                <c:pt idx="46">
                  <c:v>59.6</c:v>
                </c:pt>
                <c:pt idx="47">
                  <c:v>57.1</c:v>
                </c:pt>
                <c:pt idx="48">
                  <c:v>57</c:v>
                </c:pt>
                <c:pt idx="49">
                  <c:v>55.5</c:v>
                </c:pt>
                <c:pt idx="50">
                  <c:v>51.7</c:v>
                </c:pt>
                <c:pt idx="51">
                  <c:v>52.1</c:v>
                </c:pt>
                <c:pt idx="52">
                  <c:v>50</c:v>
                </c:pt>
                <c:pt idx="53">
                  <c:v>51.2</c:v>
                </c:pt>
                <c:pt idx="54">
                  <c:v>54.7</c:v>
                </c:pt>
                <c:pt idx="55">
                  <c:v>50.1</c:v>
                </c:pt>
                <c:pt idx="56">
                  <c:v>48.6</c:v>
                </c:pt>
                <c:pt idx="57">
                  <c:v>47.7</c:v>
                </c:pt>
                <c:pt idx="58">
                  <c:v>48.9</c:v>
                </c:pt>
                <c:pt idx="59">
                  <c:v>42.7</c:v>
                </c:pt>
                <c:pt idx="60">
                  <c:v>47.3</c:v>
                </c:pt>
                <c:pt idx="61">
                  <c:v>47.6</c:v>
                </c:pt>
                <c:pt idx="62">
                  <c:v>42.4</c:v>
                </c:pt>
                <c:pt idx="63">
                  <c:v>43.2</c:v>
                </c:pt>
                <c:pt idx="64">
                  <c:v>44.1</c:v>
                </c:pt>
                <c:pt idx="65">
                  <c:v>44.9</c:v>
                </c:pt>
                <c:pt idx="66">
                  <c:v>41.7</c:v>
                </c:pt>
                <c:pt idx="67">
                  <c:v>42.9</c:v>
                </c:pt>
                <c:pt idx="68">
                  <c:v>44.8</c:v>
                </c:pt>
                <c:pt idx="69">
                  <c:v>40.1</c:v>
                </c:pt>
                <c:pt idx="70">
                  <c:v>40.1</c:v>
                </c:pt>
                <c:pt idx="71">
                  <c:v>40.1</c:v>
                </c:pt>
                <c:pt idx="72">
                  <c:v>36.9</c:v>
                </c:pt>
                <c:pt idx="73">
                  <c:v>40.200000000000003</c:v>
                </c:pt>
                <c:pt idx="74">
                  <c:v>37.700000000000003</c:v>
                </c:pt>
                <c:pt idx="75">
                  <c:v>39.1</c:v>
                </c:pt>
                <c:pt idx="76">
                  <c:v>37</c:v>
                </c:pt>
                <c:pt idx="77">
                  <c:v>37.6</c:v>
                </c:pt>
                <c:pt idx="78">
                  <c:v>36.49</c:v>
                </c:pt>
                <c:pt idx="79">
                  <c:v>33.96</c:v>
                </c:pt>
                <c:pt idx="80">
                  <c:v>32.75</c:v>
                </c:pt>
                <c:pt idx="81">
                  <c:v>30.29</c:v>
                </c:pt>
                <c:pt idx="82">
                  <c:v>28.91</c:v>
                </c:pt>
                <c:pt idx="83">
                  <c:v>27.99</c:v>
                </c:pt>
                <c:pt idx="84">
                  <c:v>28.04</c:v>
                </c:pt>
                <c:pt idx="85">
                  <c:v>27.39</c:v>
                </c:pt>
                <c:pt idx="86">
                  <c:v>26.25</c:v>
                </c:pt>
                <c:pt idx="87">
                  <c:v>26</c:v>
                </c:pt>
                <c:pt idx="88">
                  <c:v>25.56</c:v>
                </c:pt>
                <c:pt idx="89">
                  <c:v>25.11</c:v>
                </c:pt>
                <c:pt idx="90">
                  <c:v>23.61</c:v>
                </c:pt>
                <c:pt idx="91">
                  <c:v>24.52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Data2'!$G$223:$CT$223</c:f>
              <c:numCache>
                <c:formatCode>General</c:formatCode>
                <c:ptCount val="92"/>
                <c:pt idx="0">
                  <c:v>291</c:v>
                </c:pt>
                <c:pt idx="1">
                  <c:v>275</c:v>
                </c:pt>
                <c:pt idx="2">
                  <c:v>295</c:v>
                </c:pt>
                <c:pt idx="3">
                  <c:v>287</c:v>
                </c:pt>
                <c:pt idx="4">
                  <c:v>277</c:v>
                </c:pt>
                <c:pt idx="5">
                  <c:v>269</c:v>
                </c:pt>
                <c:pt idx="6">
                  <c:v>276</c:v>
                </c:pt>
                <c:pt idx="7">
                  <c:v>258</c:v>
                </c:pt>
                <c:pt idx="8">
                  <c:v>243</c:v>
                </c:pt>
                <c:pt idx="9">
                  <c:v>262</c:v>
                </c:pt>
                <c:pt idx="10">
                  <c:v>261</c:v>
                </c:pt>
                <c:pt idx="11">
                  <c:v>233</c:v>
                </c:pt>
                <c:pt idx="12">
                  <c:v>232</c:v>
                </c:pt>
                <c:pt idx="13">
                  <c:v>267</c:v>
                </c:pt>
                <c:pt idx="14">
                  <c:v>260</c:v>
                </c:pt>
                <c:pt idx="15">
                  <c:v>254</c:v>
                </c:pt>
                <c:pt idx="16">
                  <c:v>264</c:v>
                </c:pt>
                <c:pt idx="17">
                  <c:v>227</c:v>
                </c:pt>
                <c:pt idx="18">
                  <c:v>250</c:v>
                </c:pt>
                <c:pt idx="19">
                  <c:v>224</c:v>
                </c:pt>
                <c:pt idx="20">
                  <c:v>234.8</c:v>
                </c:pt>
                <c:pt idx="21">
                  <c:v>218.2</c:v>
                </c:pt>
                <c:pt idx="22">
                  <c:v>208.7</c:v>
                </c:pt>
                <c:pt idx="23">
                  <c:v>193.1</c:v>
                </c:pt>
                <c:pt idx="24">
                  <c:v>179.7</c:v>
                </c:pt>
                <c:pt idx="25">
                  <c:v>169.7</c:v>
                </c:pt>
                <c:pt idx="26">
                  <c:v>163.1</c:v>
                </c:pt>
                <c:pt idx="27">
                  <c:v>150.19999999999999</c:v>
                </c:pt>
                <c:pt idx="28">
                  <c:v>143.30000000000001</c:v>
                </c:pt>
                <c:pt idx="29">
                  <c:v>111.9</c:v>
                </c:pt>
                <c:pt idx="30">
                  <c:v>134.80000000000001</c:v>
                </c:pt>
                <c:pt idx="31">
                  <c:v>125.3</c:v>
                </c:pt>
                <c:pt idx="32">
                  <c:v>120.6</c:v>
                </c:pt>
                <c:pt idx="33">
                  <c:v>114.9</c:v>
                </c:pt>
                <c:pt idx="34">
                  <c:v>109.6</c:v>
                </c:pt>
                <c:pt idx="35">
                  <c:v>105.7</c:v>
                </c:pt>
                <c:pt idx="36">
                  <c:v>109</c:v>
                </c:pt>
                <c:pt idx="37">
                  <c:v>102.4</c:v>
                </c:pt>
                <c:pt idx="38">
                  <c:v>96.5</c:v>
                </c:pt>
                <c:pt idx="39">
                  <c:v>92.3</c:v>
                </c:pt>
                <c:pt idx="40">
                  <c:v>92.5</c:v>
                </c:pt>
                <c:pt idx="41">
                  <c:v>84.4</c:v>
                </c:pt>
                <c:pt idx="42">
                  <c:v>82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77.3</c:v>
                </c:pt>
                <c:pt idx="46">
                  <c:v>75.599999999999994</c:v>
                </c:pt>
                <c:pt idx="47">
                  <c:v>73.099999999999994</c:v>
                </c:pt>
                <c:pt idx="48">
                  <c:v>72.099999999999994</c:v>
                </c:pt>
                <c:pt idx="49">
                  <c:v>69.2</c:v>
                </c:pt>
                <c:pt idx="50">
                  <c:v>69.5</c:v>
                </c:pt>
                <c:pt idx="51">
                  <c:v>66.400000000000006</c:v>
                </c:pt>
                <c:pt idx="52">
                  <c:v>66.599999999999994</c:v>
                </c:pt>
                <c:pt idx="53">
                  <c:v>63.7</c:v>
                </c:pt>
                <c:pt idx="54">
                  <c:v>62.8</c:v>
                </c:pt>
                <c:pt idx="55">
                  <c:v>61.8</c:v>
                </c:pt>
                <c:pt idx="56">
                  <c:v>60.2</c:v>
                </c:pt>
                <c:pt idx="57">
                  <c:v>56.3</c:v>
                </c:pt>
                <c:pt idx="58">
                  <c:v>56.2</c:v>
                </c:pt>
                <c:pt idx="59">
                  <c:v>58.5</c:v>
                </c:pt>
                <c:pt idx="60">
                  <c:v>55.7</c:v>
                </c:pt>
                <c:pt idx="61">
                  <c:v>53.8</c:v>
                </c:pt>
                <c:pt idx="62">
                  <c:v>53.4</c:v>
                </c:pt>
                <c:pt idx="63">
                  <c:v>56.4</c:v>
                </c:pt>
                <c:pt idx="64">
                  <c:v>53</c:v>
                </c:pt>
                <c:pt idx="65">
                  <c:v>50.7</c:v>
                </c:pt>
                <c:pt idx="66">
                  <c:v>53.1</c:v>
                </c:pt>
                <c:pt idx="67">
                  <c:v>51</c:v>
                </c:pt>
                <c:pt idx="68">
                  <c:v>47.5</c:v>
                </c:pt>
                <c:pt idx="69">
                  <c:v>45.4</c:v>
                </c:pt>
                <c:pt idx="70">
                  <c:v>49.9</c:v>
                </c:pt>
                <c:pt idx="71">
                  <c:v>48.7</c:v>
                </c:pt>
                <c:pt idx="72">
                  <c:v>45.2</c:v>
                </c:pt>
                <c:pt idx="73">
                  <c:v>47.4</c:v>
                </c:pt>
                <c:pt idx="74">
                  <c:v>46.5</c:v>
                </c:pt>
                <c:pt idx="75">
                  <c:v>47.6</c:v>
                </c:pt>
                <c:pt idx="76">
                  <c:v>46.7</c:v>
                </c:pt>
                <c:pt idx="77">
                  <c:v>45</c:v>
                </c:pt>
                <c:pt idx="78">
                  <c:v>42.5</c:v>
                </c:pt>
                <c:pt idx="79">
                  <c:v>39.409999999999997</c:v>
                </c:pt>
                <c:pt idx="80">
                  <c:v>36.19</c:v>
                </c:pt>
                <c:pt idx="81">
                  <c:v>34.25</c:v>
                </c:pt>
                <c:pt idx="82">
                  <c:v>32.450000000000003</c:v>
                </c:pt>
                <c:pt idx="83">
                  <c:v>30.92</c:v>
                </c:pt>
                <c:pt idx="84">
                  <c:v>30.48</c:v>
                </c:pt>
                <c:pt idx="85">
                  <c:v>28.87</c:v>
                </c:pt>
                <c:pt idx="86">
                  <c:v>27.95</c:v>
                </c:pt>
                <c:pt idx="87">
                  <c:v>27.41</c:v>
                </c:pt>
                <c:pt idx="88">
                  <c:v>26.1</c:v>
                </c:pt>
                <c:pt idx="89">
                  <c:v>26.24</c:v>
                </c:pt>
                <c:pt idx="90">
                  <c:v>25.86</c:v>
                </c:pt>
                <c:pt idx="91">
                  <c:v>24.66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Data2'!$G$224:$CT$224</c:f>
              <c:numCache>
                <c:formatCode>General</c:formatCode>
                <c:ptCount val="92"/>
                <c:pt idx="0">
                  <c:v>379</c:v>
                </c:pt>
                <c:pt idx="1">
                  <c:v>369</c:v>
                </c:pt>
                <c:pt idx="2">
                  <c:v>378</c:v>
                </c:pt>
                <c:pt idx="3">
                  <c:v>389</c:v>
                </c:pt>
                <c:pt idx="4">
                  <c:v>367</c:v>
                </c:pt>
                <c:pt idx="5">
                  <c:v>357</c:v>
                </c:pt>
                <c:pt idx="6">
                  <c:v>355</c:v>
                </c:pt>
                <c:pt idx="7">
                  <c:v>372</c:v>
                </c:pt>
                <c:pt idx="8">
                  <c:v>359</c:v>
                </c:pt>
                <c:pt idx="9">
                  <c:v>361</c:v>
                </c:pt>
                <c:pt idx="10">
                  <c:v>349</c:v>
                </c:pt>
                <c:pt idx="11">
                  <c:v>356</c:v>
                </c:pt>
                <c:pt idx="12">
                  <c:v>316</c:v>
                </c:pt>
                <c:pt idx="13">
                  <c:v>329</c:v>
                </c:pt>
                <c:pt idx="14">
                  <c:v>344</c:v>
                </c:pt>
                <c:pt idx="15">
                  <c:v>324</c:v>
                </c:pt>
                <c:pt idx="16">
                  <c:v>330</c:v>
                </c:pt>
                <c:pt idx="17">
                  <c:v>320</c:v>
                </c:pt>
                <c:pt idx="18">
                  <c:v>335</c:v>
                </c:pt>
                <c:pt idx="19">
                  <c:v>318</c:v>
                </c:pt>
                <c:pt idx="20">
                  <c:v>319.5</c:v>
                </c:pt>
                <c:pt idx="21">
                  <c:v>292.89999999999998</c:v>
                </c:pt>
                <c:pt idx="22">
                  <c:v>273</c:v>
                </c:pt>
                <c:pt idx="23">
                  <c:v>255.5</c:v>
                </c:pt>
                <c:pt idx="24">
                  <c:v>231.5</c:v>
                </c:pt>
                <c:pt idx="25">
                  <c:v>223</c:v>
                </c:pt>
                <c:pt idx="26">
                  <c:v>215.5</c:v>
                </c:pt>
                <c:pt idx="27">
                  <c:v>197.1</c:v>
                </c:pt>
                <c:pt idx="28">
                  <c:v>187.3</c:v>
                </c:pt>
                <c:pt idx="29">
                  <c:v>183.3</c:v>
                </c:pt>
                <c:pt idx="30">
                  <c:v>172.7</c:v>
                </c:pt>
                <c:pt idx="31">
                  <c:v>163.80000000000001</c:v>
                </c:pt>
                <c:pt idx="32">
                  <c:v>157.4</c:v>
                </c:pt>
                <c:pt idx="33">
                  <c:v>143.19999999999999</c:v>
                </c:pt>
                <c:pt idx="34">
                  <c:v>143</c:v>
                </c:pt>
                <c:pt idx="35">
                  <c:v>133.5</c:v>
                </c:pt>
                <c:pt idx="36">
                  <c:v>130.30000000000001</c:v>
                </c:pt>
                <c:pt idx="37">
                  <c:v>122.8</c:v>
                </c:pt>
                <c:pt idx="38">
                  <c:v>120.3</c:v>
                </c:pt>
                <c:pt idx="39">
                  <c:v>114</c:v>
                </c:pt>
                <c:pt idx="40">
                  <c:v>113.1</c:v>
                </c:pt>
                <c:pt idx="41">
                  <c:v>106.1</c:v>
                </c:pt>
                <c:pt idx="42">
                  <c:v>102.2</c:v>
                </c:pt>
                <c:pt idx="43">
                  <c:v>102.2</c:v>
                </c:pt>
                <c:pt idx="44">
                  <c:v>102.5</c:v>
                </c:pt>
                <c:pt idx="45">
                  <c:v>97.4</c:v>
                </c:pt>
                <c:pt idx="46">
                  <c:v>94.8</c:v>
                </c:pt>
                <c:pt idx="47">
                  <c:v>87.5</c:v>
                </c:pt>
                <c:pt idx="48">
                  <c:v>87.9</c:v>
                </c:pt>
                <c:pt idx="49">
                  <c:v>87.7</c:v>
                </c:pt>
                <c:pt idx="50">
                  <c:v>81.900000000000006</c:v>
                </c:pt>
                <c:pt idx="51">
                  <c:v>82.1</c:v>
                </c:pt>
                <c:pt idx="52">
                  <c:v>82.3</c:v>
                </c:pt>
                <c:pt idx="53">
                  <c:v>79.099999999999994</c:v>
                </c:pt>
                <c:pt idx="54">
                  <c:v>71.3</c:v>
                </c:pt>
                <c:pt idx="55">
                  <c:v>76.599999999999994</c:v>
                </c:pt>
                <c:pt idx="56">
                  <c:v>70.7</c:v>
                </c:pt>
                <c:pt idx="57">
                  <c:v>73.3</c:v>
                </c:pt>
                <c:pt idx="58">
                  <c:v>67.8</c:v>
                </c:pt>
                <c:pt idx="59">
                  <c:v>66.7</c:v>
                </c:pt>
                <c:pt idx="60">
                  <c:v>65.900000000000006</c:v>
                </c:pt>
                <c:pt idx="61">
                  <c:v>64.400000000000006</c:v>
                </c:pt>
                <c:pt idx="62">
                  <c:v>64.2</c:v>
                </c:pt>
                <c:pt idx="63">
                  <c:v>62.8</c:v>
                </c:pt>
                <c:pt idx="64">
                  <c:v>62.5</c:v>
                </c:pt>
                <c:pt idx="65">
                  <c:v>62.7</c:v>
                </c:pt>
                <c:pt idx="66">
                  <c:v>59.2</c:v>
                </c:pt>
                <c:pt idx="67">
                  <c:v>57.4</c:v>
                </c:pt>
                <c:pt idx="68">
                  <c:v>62.7</c:v>
                </c:pt>
                <c:pt idx="69">
                  <c:v>55</c:v>
                </c:pt>
                <c:pt idx="70">
                  <c:v>55.2</c:v>
                </c:pt>
                <c:pt idx="71">
                  <c:v>53.7</c:v>
                </c:pt>
                <c:pt idx="72">
                  <c:v>54.1</c:v>
                </c:pt>
                <c:pt idx="73">
                  <c:v>51</c:v>
                </c:pt>
                <c:pt idx="74">
                  <c:v>51.5</c:v>
                </c:pt>
                <c:pt idx="75">
                  <c:v>53.4</c:v>
                </c:pt>
                <c:pt idx="76">
                  <c:v>51.1</c:v>
                </c:pt>
                <c:pt idx="77">
                  <c:v>53.3</c:v>
                </c:pt>
                <c:pt idx="78">
                  <c:v>46.78</c:v>
                </c:pt>
                <c:pt idx="79">
                  <c:v>42.92</c:v>
                </c:pt>
                <c:pt idx="80">
                  <c:v>39.35</c:v>
                </c:pt>
                <c:pt idx="81">
                  <c:v>36.409999999999997</c:v>
                </c:pt>
                <c:pt idx="82">
                  <c:v>33.82</c:v>
                </c:pt>
                <c:pt idx="83">
                  <c:v>32.28</c:v>
                </c:pt>
                <c:pt idx="84">
                  <c:v>31.82</c:v>
                </c:pt>
                <c:pt idx="85">
                  <c:v>29.6</c:v>
                </c:pt>
                <c:pt idx="86">
                  <c:v>28.87</c:v>
                </c:pt>
                <c:pt idx="87">
                  <c:v>27.72</c:v>
                </c:pt>
                <c:pt idx="88">
                  <c:v>26.98</c:v>
                </c:pt>
                <c:pt idx="89">
                  <c:v>25.8</c:v>
                </c:pt>
                <c:pt idx="90">
                  <c:v>25.25</c:v>
                </c:pt>
                <c:pt idx="91">
                  <c:v>24.99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Data2'!$G$225:$CT$225</c:f>
              <c:numCache>
                <c:formatCode>General</c:formatCode>
                <c:ptCount val="92"/>
                <c:pt idx="0">
                  <c:v>315</c:v>
                </c:pt>
                <c:pt idx="1">
                  <c:v>317</c:v>
                </c:pt>
                <c:pt idx="2">
                  <c:v>312</c:v>
                </c:pt>
                <c:pt idx="3">
                  <c:v>296</c:v>
                </c:pt>
                <c:pt idx="4">
                  <c:v>323</c:v>
                </c:pt>
                <c:pt idx="5">
                  <c:v>314</c:v>
                </c:pt>
                <c:pt idx="6">
                  <c:v>297</c:v>
                </c:pt>
                <c:pt idx="7">
                  <c:v>269</c:v>
                </c:pt>
                <c:pt idx="8">
                  <c:v>321</c:v>
                </c:pt>
                <c:pt idx="9">
                  <c:v>296</c:v>
                </c:pt>
                <c:pt idx="10">
                  <c:v>274</c:v>
                </c:pt>
                <c:pt idx="11">
                  <c:v>287</c:v>
                </c:pt>
                <c:pt idx="12">
                  <c:v>299</c:v>
                </c:pt>
                <c:pt idx="13">
                  <c:v>291</c:v>
                </c:pt>
                <c:pt idx="14">
                  <c:v>287</c:v>
                </c:pt>
                <c:pt idx="15">
                  <c:v>288</c:v>
                </c:pt>
                <c:pt idx="16">
                  <c:v>265</c:v>
                </c:pt>
                <c:pt idx="17">
                  <c:v>298</c:v>
                </c:pt>
                <c:pt idx="18">
                  <c:v>278</c:v>
                </c:pt>
                <c:pt idx="19">
                  <c:v>267</c:v>
                </c:pt>
                <c:pt idx="20">
                  <c:v>267.3</c:v>
                </c:pt>
                <c:pt idx="21">
                  <c:v>247.4</c:v>
                </c:pt>
                <c:pt idx="22">
                  <c:v>230.9</c:v>
                </c:pt>
                <c:pt idx="23">
                  <c:v>217</c:v>
                </c:pt>
                <c:pt idx="24">
                  <c:v>200.4</c:v>
                </c:pt>
                <c:pt idx="25">
                  <c:v>189.9</c:v>
                </c:pt>
                <c:pt idx="26">
                  <c:v>178.6</c:v>
                </c:pt>
                <c:pt idx="27">
                  <c:v>168</c:v>
                </c:pt>
                <c:pt idx="28">
                  <c:v>163.5</c:v>
                </c:pt>
                <c:pt idx="29">
                  <c:v>156.80000000000001</c:v>
                </c:pt>
                <c:pt idx="30">
                  <c:v>148.9</c:v>
                </c:pt>
                <c:pt idx="31">
                  <c:v>142.1</c:v>
                </c:pt>
                <c:pt idx="32">
                  <c:v>138.5</c:v>
                </c:pt>
                <c:pt idx="33">
                  <c:v>130.19999999999999</c:v>
                </c:pt>
                <c:pt idx="34">
                  <c:v>124.6</c:v>
                </c:pt>
                <c:pt idx="35">
                  <c:v>113.4</c:v>
                </c:pt>
                <c:pt idx="36">
                  <c:v>112.3</c:v>
                </c:pt>
                <c:pt idx="37">
                  <c:v>111.8</c:v>
                </c:pt>
                <c:pt idx="38">
                  <c:v>106</c:v>
                </c:pt>
                <c:pt idx="39">
                  <c:v>102.1</c:v>
                </c:pt>
                <c:pt idx="40">
                  <c:v>97.5</c:v>
                </c:pt>
                <c:pt idx="41">
                  <c:v>90.3</c:v>
                </c:pt>
                <c:pt idx="42">
                  <c:v>91</c:v>
                </c:pt>
                <c:pt idx="43">
                  <c:v>89.7</c:v>
                </c:pt>
                <c:pt idx="44">
                  <c:v>90.8</c:v>
                </c:pt>
                <c:pt idx="45">
                  <c:v>85.7</c:v>
                </c:pt>
                <c:pt idx="46">
                  <c:v>88.5</c:v>
                </c:pt>
                <c:pt idx="47">
                  <c:v>81.2</c:v>
                </c:pt>
                <c:pt idx="48">
                  <c:v>78.599999999999994</c:v>
                </c:pt>
                <c:pt idx="49">
                  <c:v>73.900000000000006</c:v>
                </c:pt>
                <c:pt idx="50">
                  <c:v>74.7</c:v>
                </c:pt>
                <c:pt idx="51">
                  <c:v>74.5</c:v>
                </c:pt>
                <c:pt idx="52">
                  <c:v>72.400000000000006</c:v>
                </c:pt>
                <c:pt idx="53">
                  <c:v>68.7</c:v>
                </c:pt>
                <c:pt idx="54">
                  <c:v>70.2</c:v>
                </c:pt>
                <c:pt idx="55">
                  <c:v>68.900000000000006</c:v>
                </c:pt>
                <c:pt idx="56">
                  <c:v>67.900000000000006</c:v>
                </c:pt>
                <c:pt idx="57">
                  <c:v>68.3</c:v>
                </c:pt>
                <c:pt idx="58">
                  <c:v>63.9</c:v>
                </c:pt>
                <c:pt idx="59">
                  <c:v>62.1</c:v>
                </c:pt>
                <c:pt idx="60">
                  <c:v>63.2</c:v>
                </c:pt>
                <c:pt idx="61">
                  <c:v>61.3</c:v>
                </c:pt>
                <c:pt idx="62">
                  <c:v>63.5</c:v>
                </c:pt>
                <c:pt idx="63">
                  <c:v>60.4</c:v>
                </c:pt>
                <c:pt idx="64">
                  <c:v>56.7</c:v>
                </c:pt>
                <c:pt idx="65">
                  <c:v>57</c:v>
                </c:pt>
                <c:pt idx="66">
                  <c:v>53.8</c:v>
                </c:pt>
                <c:pt idx="67">
                  <c:v>56.9</c:v>
                </c:pt>
                <c:pt idx="68">
                  <c:v>57.5</c:v>
                </c:pt>
                <c:pt idx="69">
                  <c:v>56</c:v>
                </c:pt>
                <c:pt idx="70">
                  <c:v>53.9</c:v>
                </c:pt>
                <c:pt idx="71">
                  <c:v>54.2</c:v>
                </c:pt>
                <c:pt idx="72">
                  <c:v>54.7</c:v>
                </c:pt>
                <c:pt idx="73">
                  <c:v>51.5</c:v>
                </c:pt>
                <c:pt idx="74">
                  <c:v>50.7</c:v>
                </c:pt>
                <c:pt idx="75">
                  <c:v>49.4</c:v>
                </c:pt>
                <c:pt idx="76">
                  <c:v>52.3</c:v>
                </c:pt>
                <c:pt idx="77">
                  <c:v>50.6</c:v>
                </c:pt>
                <c:pt idx="78">
                  <c:v>46.8</c:v>
                </c:pt>
                <c:pt idx="79">
                  <c:v>42.61</c:v>
                </c:pt>
                <c:pt idx="80">
                  <c:v>39.51</c:v>
                </c:pt>
                <c:pt idx="81">
                  <c:v>37.25</c:v>
                </c:pt>
                <c:pt idx="82">
                  <c:v>35.11</c:v>
                </c:pt>
                <c:pt idx="83">
                  <c:v>33.92</c:v>
                </c:pt>
                <c:pt idx="84">
                  <c:v>33</c:v>
                </c:pt>
                <c:pt idx="85">
                  <c:v>30.75</c:v>
                </c:pt>
                <c:pt idx="86">
                  <c:v>30.08</c:v>
                </c:pt>
                <c:pt idx="87">
                  <c:v>29.22</c:v>
                </c:pt>
                <c:pt idx="88">
                  <c:v>29.36</c:v>
                </c:pt>
                <c:pt idx="89">
                  <c:v>27.21</c:v>
                </c:pt>
                <c:pt idx="90">
                  <c:v>27.27</c:v>
                </c:pt>
                <c:pt idx="91">
                  <c:v>26.11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Data2'!$G$226:$CT$226</c:f>
              <c:numCache>
                <c:formatCode>General</c:formatCode>
                <c:ptCount val="92"/>
                <c:pt idx="0">
                  <c:v>858</c:v>
                </c:pt>
                <c:pt idx="1">
                  <c:v>805</c:v>
                </c:pt>
                <c:pt idx="2">
                  <c:v>832</c:v>
                </c:pt>
                <c:pt idx="3">
                  <c:v>812</c:v>
                </c:pt>
                <c:pt idx="4">
                  <c:v>787</c:v>
                </c:pt>
                <c:pt idx="5">
                  <c:v>812</c:v>
                </c:pt>
                <c:pt idx="6">
                  <c:v>796</c:v>
                </c:pt>
                <c:pt idx="7">
                  <c:v>1022</c:v>
                </c:pt>
                <c:pt idx="8">
                  <c:v>769</c:v>
                </c:pt>
                <c:pt idx="9">
                  <c:v>787</c:v>
                </c:pt>
                <c:pt idx="10">
                  <c:v>763</c:v>
                </c:pt>
                <c:pt idx="11">
                  <c:v>741</c:v>
                </c:pt>
                <c:pt idx="12">
                  <c:v>759</c:v>
                </c:pt>
                <c:pt idx="13">
                  <c:v>733</c:v>
                </c:pt>
                <c:pt idx="14">
                  <c:v>741</c:v>
                </c:pt>
                <c:pt idx="15">
                  <c:v>751</c:v>
                </c:pt>
                <c:pt idx="16">
                  <c:v>719</c:v>
                </c:pt>
                <c:pt idx="17">
                  <c:v>701</c:v>
                </c:pt>
                <c:pt idx="18">
                  <c:v>747</c:v>
                </c:pt>
                <c:pt idx="19">
                  <c:v>714</c:v>
                </c:pt>
                <c:pt idx="20">
                  <c:v>678.5</c:v>
                </c:pt>
                <c:pt idx="21">
                  <c:v>639.79999999999995</c:v>
                </c:pt>
                <c:pt idx="22">
                  <c:v>580.6</c:v>
                </c:pt>
                <c:pt idx="23">
                  <c:v>553.70000000000005</c:v>
                </c:pt>
                <c:pt idx="24">
                  <c:v>508</c:v>
                </c:pt>
                <c:pt idx="25">
                  <c:v>477.7</c:v>
                </c:pt>
                <c:pt idx="26">
                  <c:v>454.1</c:v>
                </c:pt>
                <c:pt idx="27">
                  <c:v>426.5</c:v>
                </c:pt>
                <c:pt idx="28">
                  <c:v>392.6</c:v>
                </c:pt>
                <c:pt idx="29">
                  <c:v>375</c:v>
                </c:pt>
                <c:pt idx="30">
                  <c:v>356.3</c:v>
                </c:pt>
                <c:pt idx="31">
                  <c:v>332.4</c:v>
                </c:pt>
                <c:pt idx="32">
                  <c:v>325.3</c:v>
                </c:pt>
                <c:pt idx="33">
                  <c:v>312.2</c:v>
                </c:pt>
                <c:pt idx="34">
                  <c:v>297.39999999999998</c:v>
                </c:pt>
                <c:pt idx="35">
                  <c:v>282.7</c:v>
                </c:pt>
                <c:pt idx="36">
                  <c:v>264.8</c:v>
                </c:pt>
                <c:pt idx="37">
                  <c:v>254.1</c:v>
                </c:pt>
                <c:pt idx="38">
                  <c:v>248.5</c:v>
                </c:pt>
                <c:pt idx="39">
                  <c:v>237.9</c:v>
                </c:pt>
                <c:pt idx="40">
                  <c:v>237.2</c:v>
                </c:pt>
                <c:pt idx="41">
                  <c:v>220.4</c:v>
                </c:pt>
                <c:pt idx="42">
                  <c:v>211.5</c:v>
                </c:pt>
                <c:pt idx="43">
                  <c:v>205.9</c:v>
                </c:pt>
                <c:pt idx="44">
                  <c:v>204</c:v>
                </c:pt>
                <c:pt idx="45">
                  <c:v>198.1</c:v>
                </c:pt>
                <c:pt idx="46">
                  <c:v>185.3</c:v>
                </c:pt>
                <c:pt idx="47">
                  <c:v>180.7</c:v>
                </c:pt>
                <c:pt idx="48">
                  <c:v>173.2</c:v>
                </c:pt>
                <c:pt idx="49">
                  <c:v>168.1</c:v>
                </c:pt>
                <c:pt idx="50">
                  <c:v>165.7</c:v>
                </c:pt>
                <c:pt idx="51">
                  <c:v>158.19999999999999</c:v>
                </c:pt>
                <c:pt idx="52">
                  <c:v>152.19999999999999</c:v>
                </c:pt>
                <c:pt idx="53">
                  <c:v>156.6</c:v>
                </c:pt>
                <c:pt idx="54">
                  <c:v>153.6</c:v>
                </c:pt>
                <c:pt idx="55">
                  <c:v>144.30000000000001</c:v>
                </c:pt>
                <c:pt idx="56">
                  <c:v>143</c:v>
                </c:pt>
                <c:pt idx="57">
                  <c:v>140</c:v>
                </c:pt>
                <c:pt idx="58">
                  <c:v>135.5</c:v>
                </c:pt>
                <c:pt idx="59">
                  <c:v>137.1</c:v>
                </c:pt>
                <c:pt idx="60">
                  <c:v>133</c:v>
                </c:pt>
                <c:pt idx="61">
                  <c:v>125.1</c:v>
                </c:pt>
                <c:pt idx="62">
                  <c:v>126.6</c:v>
                </c:pt>
                <c:pt idx="63">
                  <c:v>124.9</c:v>
                </c:pt>
                <c:pt idx="64">
                  <c:v>117.5</c:v>
                </c:pt>
                <c:pt idx="65">
                  <c:v>119.1</c:v>
                </c:pt>
                <c:pt idx="66">
                  <c:v>111.3</c:v>
                </c:pt>
                <c:pt idx="67">
                  <c:v>114.8</c:v>
                </c:pt>
                <c:pt idx="68">
                  <c:v>108.7</c:v>
                </c:pt>
                <c:pt idx="69">
                  <c:v>111.3</c:v>
                </c:pt>
                <c:pt idx="70">
                  <c:v>103.5</c:v>
                </c:pt>
                <c:pt idx="71">
                  <c:v>107.5</c:v>
                </c:pt>
                <c:pt idx="72">
                  <c:v>107</c:v>
                </c:pt>
                <c:pt idx="73">
                  <c:v>102.8</c:v>
                </c:pt>
                <c:pt idx="74">
                  <c:v>94</c:v>
                </c:pt>
                <c:pt idx="75">
                  <c:v>102</c:v>
                </c:pt>
                <c:pt idx="76">
                  <c:v>95.3</c:v>
                </c:pt>
                <c:pt idx="77">
                  <c:v>95</c:v>
                </c:pt>
                <c:pt idx="78">
                  <c:v>89.05</c:v>
                </c:pt>
                <c:pt idx="79">
                  <c:v>78.97</c:v>
                </c:pt>
                <c:pt idx="80">
                  <c:v>71.150000000000006</c:v>
                </c:pt>
                <c:pt idx="81">
                  <c:v>64.44</c:v>
                </c:pt>
                <c:pt idx="82">
                  <c:v>59.44</c:v>
                </c:pt>
                <c:pt idx="83">
                  <c:v>55.65</c:v>
                </c:pt>
                <c:pt idx="84">
                  <c:v>52.79</c:v>
                </c:pt>
                <c:pt idx="85">
                  <c:v>48.49</c:v>
                </c:pt>
                <c:pt idx="86">
                  <c:v>46.11</c:v>
                </c:pt>
                <c:pt idx="87">
                  <c:v>43.65</c:v>
                </c:pt>
                <c:pt idx="88">
                  <c:v>42.32</c:v>
                </c:pt>
                <c:pt idx="89">
                  <c:v>40.770000000000003</c:v>
                </c:pt>
                <c:pt idx="90">
                  <c:v>40.08</c:v>
                </c:pt>
                <c:pt idx="91">
                  <c:v>38.57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Data2'!$G$227:$CT$227</c:f>
              <c:numCache>
                <c:formatCode>General</c:formatCode>
                <c:ptCount val="92"/>
                <c:pt idx="0">
                  <c:v>397</c:v>
                </c:pt>
                <c:pt idx="1">
                  <c:v>350</c:v>
                </c:pt>
                <c:pt idx="2">
                  <c:v>371</c:v>
                </c:pt>
                <c:pt idx="3">
                  <c:v>358</c:v>
                </c:pt>
                <c:pt idx="4">
                  <c:v>358</c:v>
                </c:pt>
                <c:pt idx="5">
                  <c:v>359</c:v>
                </c:pt>
                <c:pt idx="6">
                  <c:v>363</c:v>
                </c:pt>
                <c:pt idx="7">
                  <c:v>370</c:v>
                </c:pt>
                <c:pt idx="8">
                  <c:v>328</c:v>
                </c:pt>
                <c:pt idx="9">
                  <c:v>381</c:v>
                </c:pt>
                <c:pt idx="10">
                  <c:v>353</c:v>
                </c:pt>
                <c:pt idx="11">
                  <c:v>336</c:v>
                </c:pt>
                <c:pt idx="12">
                  <c:v>350</c:v>
                </c:pt>
                <c:pt idx="13">
                  <c:v>355</c:v>
                </c:pt>
                <c:pt idx="14">
                  <c:v>329</c:v>
                </c:pt>
                <c:pt idx="15">
                  <c:v>322</c:v>
                </c:pt>
                <c:pt idx="16">
                  <c:v>293</c:v>
                </c:pt>
                <c:pt idx="17">
                  <c:v>311</c:v>
                </c:pt>
                <c:pt idx="18">
                  <c:v>325</c:v>
                </c:pt>
                <c:pt idx="19">
                  <c:v>310</c:v>
                </c:pt>
                <c:pt idx="20">
                  <c:v>311.89999999999998</c:v>
                </c:pt>
                <c:pt idx="21">
                  <c:v>295.3</c:v>
                </c:pt>
                <c:pt idx="22">
                  <c:v>279.89999999999998</c:v>
                </c:pt>
                <c:pt idx="23">
                  <c:v>255.8</c:v>
                </c:pt>
                <c:pt idx="24">
                  <c:v>241.5</c:v>
                </c:pt>
                <c:pt idx="25">
                  <c:v>224.4</c:v>
                </c:pt>
                <c:pt idx="26">
                  <c:v>219</c:v>
                </c:pt>
                <c:pt idx="27">
                  <c:v>205.4</c:v>
                </c:pt>
                <c:pt idx="28">
                  <c:v>200</c:v>
                </c:pt>
                <c:pt idx="29">
                  <c:v>189.2</c:v>
                </c:pt>
                <c:pt idx="30">
                  <c:v>175.5</c:v>
                </c:pt>
                <c:pt idx="31">
                  <c:v>174.6</c:v>
                </c:pt>
                <c:pt idx="32">
                  <c:v>159.80000000000001</c:v>
                </c:pt>
                <c:pt idx="33">
                  <c:v>157</c:v>
                </c:pt>
                <c:pt idx="34">
                  <c:v>149.6</c:v>
                </c:pt>
                <c:pt idx="35">
                  <c:v>145.1</c:v>
                </c:pt>
                <c:pt idx="36">
                  <c:v>141.1</c:v>
                </c:pt>
                <c:pt idx="37">
                  <c:v>135.6</c:v>
                </c:pt>
                <c:pt idx="38">
                  <c:v>136.19999999999999</c:v>
                </c:pt>
                <c:pt idx="39">
                  <c:v>124</c:v>
                </c:pt>
                <c:pt idx="40">
                  <c:v>124.3</c:v>
                </c:pt>
                <c:pt idx="41">
                  <c:v>120.4</c:v>
                </c:pt>
                <c:pt idx="42">
                  <c:v>113.7</c:v>
                </c:pt>
                <c:pt idx="43">
                  <c:v>113</c:v>
                </c:pt>
                <c:pt idx="44">
                  <c:v>112.2</c:v>
                </c:pt>
                <c:pt idx="45">
                  <c:v>107.3</c:v>
                </c:pt>
                <c:pt idx="46">
                  <c:v>105.1</c:v>
                </c:pt>
                <c:pt idx="47">
                  <c:v>100.2</c:v>
                </c:pt>
                <c:pt idx="48">
                  <c:v>96.6</c:v>
                </c:pt>
                <c:pt idx="49">
                  <c:v>101.4</c:v>
                </c:pt>
                <c:pt idx="50">
                  <c:v>94.6</c:v>
                </c:pt>
                <c:pt idx="51">
                  <c:v>91.7</c:v>
                </c:pt>
                <c:pt idx="52">
                  <c:v>91.5</c:v>
                </c:pt>
                <c:pt idx="53">
                  <c:v>89.7</c:v>
                </c:pt>
                <c:pt idx="54">
                  <c:v>87.2</c:v>
                </c:pt>
                <c:pt idx="55">
                  <c:v>87.7</c:v>
                </c:pt>
                <c:pt idx="56">
                  <c:v>82.7</c:v>
                </c:pt>
                <c:pt idx="57">
                  <c:v>80.599999999999994</c:v>
                </c:pt>
                <c:pt idx="58">
                  <c:v>79</c:v>
                </c:pt>
                <c:pt idx="59">
                  <c:v>82.4</c:v>
                </c:pt>
                <c:pt idx="60">
                  <c:v>79.099999999999994</c:v>
                </c:pt>
                <c:pt idx="61">
                  <c:v>77.7</c:v>
                </c:pt>
                <c:pt idx="62">
                  <c:v>81.5</c:v>
                </c:pt>
                <c:pt idx="63">
                  <c:v>76.7</c:v>
                </c:pt>
                <c:pt idx="64">
                  <c:v>70.599999999999994</c:v>
                </c:pt>
                <c:pt idx="65">
                  <c:v>72.099999999999994</c:v>
                </c:pt>
                <c:pt idx="66">
                  <c:v>70</c:v>
                </c:pt>
                <c:pt idx="67">
                  <c:v>71.7</c:v>
                </c:pt>
                <c:pt idx="68">
                  <c:v>71.3</c:v>
                </c:pt>
                <c:pt idx="69">
                  <c:v>70.400000000000006</c:v>
                </c:pt>
                <c:pt idx="70">
                  <c:v>67.900000000000006</c:v>
                </c:pt>
                <c:pt idx="71">
                  <c:v>65.2</c:v>
                </c:pt>
                <c:pt idx="72">
                  <c:v>68.2</c:v>
                </c:pt>
                <c:pt idx="73">
                  <c:v>63.8</c:v>
                </c:pt>
                <c:pt idx="74">
                  <c:v>61.7</c:v>
                </c:pt>
                <c:pt idx="75">
                  <c:v>63.5</c:v>
                </c:pt>
                <c:pt idx="76">
                  <c:v>65.8</c:v>
                </c:pt>
                <c:pt idx="77">
                  <c:v>60.8</c:v>
                </c:pt>
                <c:pt idx="78">
                  <c:v>59.34</c:v>
                </c:pt>
                <c:pt idx="79">
                  <c:v>54.08</c:v>
                </c:pt>
                <c:pt idx="80">
                  <c:v>50.87</c:v>
                </c:pt>
                <c:pt idx="81">
                  <c:v>47.95</c:v>
                </c:pt>
                <c:pt idx="82">
                  <c:v>45.36</c:v>
                </c:pt>
                <c:pt idx="83">
                  <c:v>42.62</c:v>
                </c:pt>
                <c:pt idx="84">
                  <c:v>41.01</c:v>
                </c:pt>
                <c:pt idx="85">
                  <c:v>38.450000000000003</c:v>
                </c:pt>
                <c:pt idx="86">
                  <c:v>37.22</c:v>
                </c:pt>
                <c:pt idx="87">
                  <c:v>36.72</c:v>
                </c:pt>
                <c:pt idx="88">
                  <c:v>35.270000000000003</c:v>
                </c:pt>
                <c:pt idx="89">
                  <c:v>34.99</c:v>
                </c:pt>
                <c:pt idx="90">
                  <c:v>34.15</c:v>
                </c:pt>
                <c:pt idx="91">
                  <c:v>32.36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Data2'!$G$228:$CT$228</c:f>
              <c:numCache>
                <c:formatCode>General</c:formatCode>
                <c:ptCount val="92"/>
                <c:pt idx="0">
                  <c:v>16</c:v>
                </c:pt>
                <c:pt idx="1">
                  <c:v>12</c:v>
                </c:pt>
                <c:pt idx="2">
                  <c:v>23</c:v>
                </c:pt>
                <c:pt idx="3">
                  <c:v>19</c:v>
                </c:pt>
                <c:pt idx="4">
                  <c:v>21</c:v>
                </c:pt>
                <c:pt idx="5">
                  <c:v>21</c:v>
                </c:pt>
                <c:pt idx="6">
                  <c:v>25</c:v>
                </c:pt>
                <c:pt idx="7">
                  <c:v>13</c:v>
                </c:pt>
                <c:pt idx="8">
                  <c:v>18</c:v>
                </c:pt>
                <c:pt idx="9">
                  <c:v>24</c:v>
                </c:pt>
                <c:pt idx="10">
                  <c:v>22</c:v>
                </c:pt>
                <c:pt idx="11">
                  <c:v>22</c:v>
                </c:pt>
                <c:pt idx="12">
                  <c:v>16</c:v>
                </c:pt>
                <c:pt idx="13">
                  <c:v>15</c:v>
                </c:pt>
                <c:pt idx="14">
                  <c:v>20</c:v>
                </c:pt>
                <c:pt idx="15">
                  <c:v>23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20</c:v>
                </c:pt>
                <c:pt idx="20">
                  <c:v>21.8</c:v>
                </c:pt>
                <c:pt idx="21">
                  <c:v>22.4</c:v>
                </c:pt>
                <c:pt idx="22">
                  <c:v>20.100000000000001</c:v>
                </c:pt>
                <c:pt idx="23">
                  <c:v>20.399999999999999</c:v>
                </c:pt>
                <c:pt idx="24">
                  <c:v>19.7</c:v>
                </c:pt>
                <c:pt idx="25">
                  <c:v>22.6</c:v>
                </c:pt>
                <c:pt idx="26">
                  <c:v>19.3</c:v>
                </c:pt>
                <c:pt idx="27">
                  <c:v>20.399999999999999</c:v>
                </c:pt>
                <c:pt idx="28">
                  <c:v>20.7</c:v>
                </c:pt>
                <c:pt idx="29">
                  <c:v>20.399999999999999</c:v>
                </c:pt>
                <c:pt idx="30">
                  <c:v>20</c:v>
                </c:pt>
                <c:pt idx="31">
                  <c:v>18.5</c:v>
                </c:pt>
                <c:pt idx="32">
                  <c:v>18.600000000000001</c:v>
                </c:pt>
                <c:pt idx="33">
                  <c:v>21.6</c:v>
                </c:pt>
                <c:pt idx="34">
                  <c:v>18.5</c:v>
                </c:pt>
                <c:pt idx="35">
                  <c:v>19.3</c:v>
                </c:pt>
                <c:pt idx="36">
                  <c:v>19</c:v>
                </c:pt>
                <c:pt idx="37">
                  <c:v>19.600000000000001</c:v>
                </c:pt>
                <c:pt idx="38">
                  <c:v>17.399999999999999</c:v>
                </c:pt>
                <c:pt idx="39">
                  <c:v>17.5</c:v>
                </c:pt>
                <c:pt idx="40">
                  <c:v>18.3</c:v>
                </c:pt>
                <c:pt idx="41">
                  <c:v>16.3</c:v>
                </c:pt>
                <c:pt idx="42">
                  <c:v>18.399999999999999</c:v>
                </c:pt>
                <c:pt idx="43">
                  <c:v>17</c:v>
                </c:pt>
                <c:pt idx="44">
                  <c:v>19.3</c:v>
                </c:pt>
                <c:pt idx="45">
                  <c:v>18</c:v>
                </c:pt>
                <c:pt idx="46">
                  <c:v>17.600000000000001</c:v>
                </c:pt>
                <c:pt idx="47">
                  <c:v>17.899999999999999</c:v>
                </c:pt>
                <c:pt idx="48">
                  <c:v>18.2</c:v>
                </c:pt>
                <c:pt idx="49">
                  <c:v>17.899999999999999</c:v>
                </c:pt>
                <c:pt idx="50">
                  <c:v>17.8</c:v>
                </c:pt>
                <c:pt idx="51">
                  <c:v>18.600000000000001</c:v>
                </c:pt>
                <c:pt idx="52">
                  <c:v>17.399999999999999</c:v>
                </c:pt>
                <c:pt idx="53">
                  <c:v>17.7</c:v>
                </c:pt>
                <c:pt idx="54">
                  <c:v>16</c:v>
                </c:pt>
                <c:pt idx="55">
                  <c:v>16.7</c:v>
                </c:pt>
                <c:pt idx="56">
                  <c:v>15.7</c:v>
                </c:pt>
                <c:pt idx="57">
                  <c:v>16.2</c:v>
                </c:pt>
                <c:pt idx="58">
                  <c:v>17.100000000000001</c:v>
                </c:pt>
                <c:pt idx="59">
                  <c:v>16.3</c:v>
                </c:pt>
                <c:pt idx="60">
                  <c:v>18.399999999999999</c:v>
                </c:pt>
                <c:pt idx="61">
                  <c:v>17.399999999999999</c:v>
                </c:pt>
                <c:pt idx="62">
                  <c:v>16.8</c:v>
                </c:pt>
                <c:pt idx="63">
                  <c:v>17</c:v>
                </c:pt>
                <c:pt idx="64">
                  <c:v>16.899999999999999</c:v>
                </c:pt>
                <c:pt idx="65">
                  <c:v>17</c:v>
                </c:pt>
                <c:pt idx="66">
                  <c:v>17</c:v>
                </c:pt>
                <c:pt idx="67">
                  <c:v>18.100000000000001</c:v>
                </c:pt>
                <c:pt idx="68">
                  <c:v>15.7</c:v>
                </c:pt>
                <c:pt idx="69">
                  <c:v>18.399999999999999</c:v>
                </c:pt>
                <c:pt idx="70">
                  <c:v>15.8</c:v>
                </c:pt>
                <c:pt idx="71">
                  <c:v>15.4</c:v>
                </c:pt>
                <c:pt idx="72">
                  <c:v>17.399999999999999</c:v>
                </c:pt>
                <c:pt idx="73">
                  <c:v>15</c:v>
                </c:pt>
                <c:pt idx="74">
                  <c:v>16.399999999999999</c:v>
                </c:pt>
                <c:pt idx="75">
                  <c:v>15.7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15.93</c:v>
                </c:pt>
                <c:pt idx="79">
                  <c:v>15.7</c:v>
                </c:pt>
                <c:pt idx="80">
                  <c:v>16.13</c:v>
                </c:pt>
                <c:pt idx="81">
                  <c:v>15.93</c:v>
                </c:pt>
                <c:pt idx="82">
                  <c:v>15.68</c:v>
                </c:pt>
                <c:pt idx="83">
                  <c:v>15.76</c:v>
                </c:pt>
                <c:pt idx="84">
                  <c:v>15.65</c:v>
                </c:pt>
                <c:pt idx="85">
                  <c:v>15.29</c:v>
                </c:pt>
                <c:pt idx="86">
                  <c:v>15.53</c:v>
                </c:pt>
                <c:pt idx="87">
                  <c:v>14.88</c:v>
                </c:pt>
                <c:pt idx="88">
                  <c:v>15.19</c:v>
                </c:pt>
                <c:pt idx="89">
                  <c:v>15.56</c:v>
                </c:pt>
                <c:pt idx="90">
                  <c:v>14.92</c:v>
                </c:pt>
                <c:pt idx="91">
                  <c:v>14.76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Data2'!$G$229:$CT$229</c:f>
              <c:numCache>
                <c:formatCode>General</c:formatCode>
                <c:ptCount val="92"/>
                <c:pt idx="0">
                  <c:v>361</c:v>
                </c:pt>
                <c:pt idx="1">
                  <c:v>376</c:v>
                </c:pt>
                <c:pt idx="2">
                  <c:v>319</c:v>
                </c:pt>
                <c:pt idx="3">
                  <c:v>345</c:v>
                </c:pt>
                <c:pt idx="4">
                  <c:v>333</c:v>
                </c:pt>
                <c:pt idx="5">
                  <c:v>334</c:v>
                </c:pt>
                <c:pt idx="6">
                  <c:v>341</c:v>
                </c:pt>
                <c:pt idx="7">
                  <c:v>338</c:v>
                </c:pt>
                <c:pt idx="8">
                  <c:v>338</c:v>
                </c:pt>
                <c:pt idx="9">
                  <c:v>337</c:v>
                </c:pt>
                <c:pt idx="10">
                  <c:v>333</c:v>
                </c:pt>
                <c:pt idx="11">
                  <c:v>316</c:v>
                </c:pt>
                <c:pt idx="12">
                  <c:v>313</c:v>
                </c:pt>
                <c:pt idx="13">
                  <c:v>317</c:v>
                </c:pt>
                <c:pt idx="14">
                  <c:v>312</c:v>
                </c:pt>
                <c:pt idx="15">
                  <c:v>317</c:v>
                </c:pt>
                <c:pt idx="16">
                  <c:v>310</c:v>
                </c:pt>
                <c:pt idx="17">
                  <c:v>278</c:v>
                </c:pt>
                <c:pt idx="18">
                  <c:v>326</c:v>
                </c:pt>
                <c:pt idx="19">
                  <c:v>308</c:v>
                </c:pt>
                <c:pt idx="20">
                  <c:v>289.8</c:v>
                </c:pt>
                <c:pt idx="21">
                  <c:v>270.8</c:v>
                </c:pt>
                <c:pt idx="22">
                  <c:v>256.7</c:v>
                </c:pt>
                <c:pt idx="23">
                  <c:v>245.4</c:v>
                </c:pt>
                <c:pt idx="24">
                  <c:v>226</c:v>
                </c:pt>
                <c:pt idx="25">
                  <c:v>216.4</c:v>
                </c:pt>
                <c:pt idx="26">
                  <c:v>202.2</c:v>
                </c:pt>
                <c:pt idx="27">
                  <c:v>191.3</c:v>
                </c:pt>
                <c:pt idx="28">
                  <c:v>180.3</c:v>
                </c:pt>
                <c:pt idx="29">
                  <c:v>168.7</c:v>
                </c:pt>
                <c:pt idx="30">
                  <c:v>161</c:v>
                </c:pt>
                <c:pt idx="31">
                  <c:v>150.30000000000001</c:v>
                </c:pt>
                <c:pt idx="32">
                  <c:v>142.9</c:v>
                </c:pt>
                <c:pt idx="33">
                  <c:v>136.19999999999999</c:v>
                </c:pt>
                <c:pt idx="34">
                  <c:v>133.1</c:v>
                </c:pt>
                <c:pt idx="35">
                  <c:v>123.6</c:v>
                </c:pt>
                <c:pt idx="36">
                  <c:v>121.1</c:v>
                </c:pt>
                <c:pt idx="37">
                  <c:v>118.5</c:v>
                </c:pt>
                <c:pt idx="38">
                  <c:v>110.6</c:v>
                </c:pt>
                <c:pt idx="39">
                  <c:v>113</c:v>
                </c:pt>
                <c:pt idx="40">
                  <c:v>103.7</c:v>
                </c:pt>
                <c:pt idx="41">
                  <c:v>100.8</c:v>
                </c:pt>
                <c:pt idx="42">
                  <c:v>100.6</c:v>
                </c:pt>
                <c:pt idx="43">
                  <c:v>95.8</c:v>
                </c:pt>
                <c:pt idx="44">
                  <c:v>95.5</c:v>
                </c:pt>
                <c:pt idx="45">
                  <c:v>88.8</c:v>
                </c:pt>
                <c:pt idx="46">
                  <c:v>87.5</c:v>
                </c:pt>
                <c:pt idx="47">
                  <c:v>82.1</c:v>
                </c:pt>
                <c:pt idx="48">
                  <c:v>83.2</c:v>
                </c:pt>
                <c:pt idx="49">
                  <c:v>78.599999999999994</c:v>
                </c:pt>
                <c:pt idx="50">
                  <c:v>78.3</c:v>
                </c:pt>
                <c:pt idx="51">
                  <c:v>72</c:v>
                </c:pt>
                <c:pt idx="52">
                  <c:v>72.400000000000006</c:v>
                </c:pt>
                <c:pt idx="53">
                  <c:v>73</c:v>
                </c:pt>
                <c:pt idx="54">
                  <c:v>69.5</c:v>
                </c:pt>
                <c:pt idx="55">
                  <c:v>73.400000000000006</c:v>
                </c:pt>
                <c:pt idx="56">
                  <c:v>64.2</c:v>
                </c:pt>
                <c:pt idx="57">
                  <c:v>66.099999999999994</c:v>
                </c:pt>
                <c:pt idx="58">
                  <c:v>63.2</c:v>
                </c:pt>
                <c:pt idx="59">
                  <c:v>60.6</c:v>
                </c:pt>
                <c:pt idx="60">
                  <c:v>61.1</c:v>
                </c:pt>
                <c:pt idx="61">
                  <c:v>57.5</c:v>
                </c:pt>
                <c:pt idx="62">
                  <c:v>63.3</c:v>
                </c:pt>
                <c:pt idx="63">
                  <c:v>58.6</c:v>
                </c:pt>
                <c:pt idx="64">
                  <c:v>60.2</c:v>
                </c:pt>
                <c:pt idx="65">
                  <c:v>56.8</c:v>
                </c:pt>
                <c:pt idx="66">
                  <c:v>54.1</c:v>
                </c:pt>
                <c:pt idx="67">
                  <c:v>55.7</c:v>
                </c:pt>
                <c:pt idx="68">
                  <c:v>57.2</c:v>
                </c:pt>
                <c:pt idx="69">
                  <c:v>54.6</c:v>
                </c:pt>
                <c:pt idx="70">
                  <c:v>53.6</c:v>
                </c:pt>
                <c:pt idx="71">
                  <c:v>53.2</c:v>
                </c:pt>
                <c:pt idx="72">
                  <c:v>51.4</c:v>
                </c:pt>
                <c:pt idx="73">
                  <c:v>51.3</c:v>
                </c:pt>
                <c:pt idx="74">
                  <c:v>52.4</c:v>
                </c:pt>
                <c:pt idx="75">
                  <c:v>51.2</c:v>
                </c:pt>
                <c:pt idx="76">
                  <c:v>48.7</c:v>
                </c:pt>
                <c:pt idx="77">
                  <c:v>48.9</c:v>
                </c:pt>
                <c:pt idx="78">
                  <c:v>45.04</c:v>
                </c:pt>
                <c:pt idx="79">
                  <c:v>40.17</c:v>
                </c:pt>
                <c:pt idx="80">
                  <c:v>37.409999999999997</c:v>
                </c:pt>
                <c:pt idx="81">
                  <c:v>35.450000000000003</c:v>
                </c:pt>
                <c:pt idx="82">
                  <c:v>32.840000000000003</c:v>
                </c:pt>
                <c:pt idx="83">
                  <c:v>30.45</c:v>
                </c:pt>
                <c:pt idx="84">
                  <c:v>29.12</c:v>
                </c:pt>
                <c:pt idx="85">
                  <c:v>28.09</c:v>
                </c:pt>
                <c:pt idx="86">
                  <c:v>27.18</c:v>
                </c:pt>
                <c:pt idx="87">
                  <c:v>27.67</c:v>
                </c:pt>
                <c:pt idx="88">
                  <c:v>25.38</c:v>
                </c:pt>
                <c:pt idx="89">
                  <c:v>24.55</c:v>
                </c:pt>
                <c:pt idx="90">
                  <c:v>23.85</c:v>
                </c:pt>
                <c:pt idx="91">
                  <c:v>23.79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Data2'!$G$230:$CT$230</c:f>
              <c:numCache>
                <c:formatCode>General</c:formatCode>
                <c:ptCount val="92"/>
                <c:pt idx="0">
                  <c:v>255</c:v>
                </c:pt>
                <c:pt idx="1">
                  <c:v>240</c:v>
                </c:pt>
                <c:pt idx="2">
                  <c:v>234</c:v>
                </c:pt>
                <c:pt idx="3">
                  <c:v>240</c:v>
                </c:pt>
                <c:pt idx="4">
                  <c:v>233</c:v>
                </c:pt>
                <c:pt idx="5">
                  <c:v>237</c:v>
                </c:pt>
                <c:pt idx="6">
                  <c:v>229</c:v>
                </c:pt>
                <c:pt idx="7">
                  <c:v>242</c:v>
                </c:pt>
                <c:pt idx="8">
                  <c:v>241</c:v>
                </c:pt>
                <c:pt idx="9">
                  <c:v>204</c:v>
                </c:pt>
                <c:pt idx="10">
                  <c:v>239</c:v>
                </c:pt>
                <c:pt idx="11">
                  <c:v>227</c:v>
                </c:pt>
                <c:pt idx="12">
                  <c:v>218</c:v>
                </c:pt>
                <c:pt idx="13">
                  <c:v>226</c:v>
                </c:pt>
                <c:pt idx="14">
                  <c:v>216</c:v>
                </c:pt>
                <c:pt idx="15">
                  <c:v>201</c:v>
                </c:pt>
                <c:pt idx="16">
                  <c:v>187</c:v>
                </c:pt>
                <c:pt idx="17">
                  <c:v>222</c:v>
                </c:pt>
                <c:pt idx="18">
                  <c:v>191</c:v>
                </c:pt>
                <c:pt idx="19">
                  <c:v>208</c:v>
                </c:pt>
                <c:pt idx="20">
                  <c:v>198.3</c:v>
                </c:pt>
                <c:pt idx="21">
                  <c:v>192.6</c:v>
                </c:pt>
                <c:pt idx="22">
                  <c:v>178.1</c:v>
                </c:pt>
                <c:pt idx="23">
                  <c:v>167.2</c:v>
                </c:pt>
                <c:pt idx="24">
                  <c:v>154.6</c:v>
                </c:pt>
                <c:pt idx="25">
                  <c:v>146.69999999999999</c:v>
                </c:pt>
                <c:pt idx="26">
                  <c:v>141.4</c:v>
                </c:pt>
                <c:pt idx="27">
                  <c:v>134.30000000000001</c:v>
                </c:pt>
                <c:pt idx="28">
                  <c:v>127</c:v>
                </c:pt>
                <c:pt idx="29">
                  <c:v>120.4</c:v>
                </c:pt>
                <c:pt idx="30">
                  <c:v>114.3</c:v>
                </c:pt>
                <c:pt idx="31">
                  <c:v>105.4</c:v>
                </c:pt>
                <c:pt idx="32">
                  <c:v>99.9</c:v>
                </c:pt>
                <c:pt idx="33">
                  <c:v>96.3</c:v>
                </c:pt>
                <c:pt idx="34">
                  <c:v>93.7</c:v>
                </c:pt>
                <c:pt idx="35">
                  <c:v>90.9</c:v>
                </c:pt>
                <c:pt idx="36">
                  <c:v>86.6</c:v>
                </c:pt>
                <c:pt idx="37">
                  <c:v>84.7</c:v>
                </c:pt>
                <c:pt idx="38">
                  <c:v>80.5</c:v>
                </c:pt>
                <c:pt idx="39">
                  <c:v>78.7</c:v>
                </c:pt>
                <c:pt idx="40">
                  <c:v>76.400000000000006</c:v>
                </c:pt>
                <c:pt idx="41">
                  <c:v>70.8</c:v>
                </c:pt>
                <c:pt idx="42">
                  <c:v>70.5</c:v>
                </c:pt>
                <c:pt idx="43">
                  <c:v>70.8</c:v>
                </c:pt>
                <c:pt idx="44">
                  <c:v>65.7</c:v>
                </c:pt>
                <c:pt idx="45">
                  <c:v>64.400000000000006</c:v>
                </c:pt>
                <c:pt idx="46">
                  <c:v>65.400000000000006</c:v>
                </c:pt>
                <c:pt idx="47">
                  <c:v>59.3</c:v>
                </c:pt>
                <c:pt idx="48">
                  <c:v>59.4</c:v>
                </c:pt>
                <c:pt idx="49">
                  <c:v>56.3</c:v>
                </c:pt>
                <c:pt idx="50">
                  <c:v>57.3</c:v>
                </c:pt>
                <c:pt idx="51">
                  <c:v>54.3</c:v>
                </c:pt>
                <c:pt idx="52">
                  <c:v>54.4</c:v>
                </c:pt>
                <c:pt idx="53">
                  <c:v>53.8</c:v>
                </c:pt>
                <c:pt idx="54">
                  <c:v>52</c:v>
                </c:pt>
                <c:pt idx="55">
                  <c:v>51.5</c:v>
                </c:pt>
                <c:pt idx="56">
                  <c:v>47.2</c:v>
                </c:pt>
                <c:pt idx="57">
                  <c:v>49.4</c:v>
                </c:pt>
                <c:pt idx="58">
                  <c:v>47.2</c:v>
                </c:pt>
                <c:pt idx="59">
                  <c:v>49.6</c:v>
                </c:pt>
                <c:pt idx="60">
                  <c:v>45.5</c:v>
                </c:pt>
                <c:pt idx="61">
                  <c:v>45.2</c:v>
                </c:pt>
                <c:pt idx="62">
                  <c:v>44</c:v>
                </c:pt>
                <c:pt idx="63">
                  <c:v>43.8</c:v>
                </c:pt>
                <c:pt idx="64">
                  <c:v>45.2</c:v>
                </c:pt>
                <c:pt idx="65">
                  <c:v>43.2</c:v>
                </c:pt>
                <c:pt idx="66">
                  <c:v>41.8</c:v>
                </c:pt>
                <c:pt idx="67">
                  <c:v>39.5</c:v>
                </c:pt>
                <c:pt idx="68">
                  <c:v>40.6</c:v>
                </c:pt>
                <c:pt idx="69">
                  <c:v>38.200000000000003</c:v>
                </c:pt>
                <c:pt idx="70">
                  <c:v>42.2</c:v>
                </c:pt>
                <c:pt idx="71">
                  <c:v>40.6</c:v>
                </c:pt>
                <c:pt idx="72">
                  <c:v>39.299999999999997</c:v>
                </c:pt>
                <c:pt idx="73">
                  <c:v>39.700000000000003</c:v>
                </c:pt>
                <c:pt idx="74">
                  <c:v>36.700000000000003</c:v>
                </c:pt>
                <c:pt idx="75">
                  <c:v>37.4</c:v>
                </c:pt>
                <c:pt idx="76">
                  <c:v>35.4</c:v>
                </c:pt>
                <c:pt idx="77">
                  <c:v>35.5</c:v>
                </c:pt>
                <c:pt idx="78">
                  <c:v>33.39</c:v>
                </c:pt>
                <c:pt idx="79">
                  <c:v>31.1</c:v>
                </c:pt>
                <c:pt idx="80">
                  <c:v>28.73</c:v>
                </c:pt>
                <c:pt idx="81">
                  <c:v>26.93</c:v>
                </c:pt>
                <c:pt idx="82">
                  <c:v>25.94</c:v>
                </c:pt>
                <c:pt idx="83">
                  <c:v>24.98</c:v>
                </c:pt>
                <c:pt idx="84">
                  <c:v>23.85</c:v>
                </c:pt>
                <c:pt idx="85">
                  <c:v>22.43</c:v>
                </c:pt>
                <c:pt idx="86">
                  <c:v>22.23</c:v>
                </c:pt>
                <c:pt idx="87">
                  <c:v>21.07</c:v>
                </c:pt>
                <c:pt idx="88">
                  <c:v>21.31</c:v>
                </c:pt>
                <c:pt idx="89">
                  <c:v>20.27</c:v>
                </c:pt>
                <c:pt idx="90">
                  <c:v>19.600000000000001</c:v>
                </c:pt>
                <c:pt idx="91">
                  <c:v>19.61</c:v>
                </c:pt>
              </c:numCache>
            </c:numRef>
          </c:yVal>
          <c:smooth val="1"/>
        </c:ser>
        <c:ser>
          <c:idx val="12"/>
          <c:order val="1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Data2'!$G$231:$CT$231</c:f>
              <c:numCache>
                <c:formatCode>General</c:formatCode>
                <c:ptCount val="92"/>
                <c:pt idx="0">
                  <c:v>350</c:v>
                </c:pt>
                <c:pt idx="1">
                  <c:v>350</c:v>
                </c:pt>
                <c:pt idx="2">
                  <c:v>345</c:v>
                </c:pt>
                <c:pt idx="3">
                  <c:v>356</c:v>
                </c:pt>
                <c:pt idx="4">
                  <c:v>374</c:v>
                </c:pt>
                <c:pt idx="5">
                  <c:v>342</c:v>
                </c:pt>
                <c:pt idx="6">
                  <c:v>349</c:v>
                </c:pt>
                <c:pt idx="7">
                  <c:v>328</c:v>
                </c:pt>
                <c:pt idx="8">
                  <c:v>343</c:v>
                </c:pt>
                <c:pt idx="9">
                  <c:v>321</c:v>
                </c:pt>
                <c:pt idx="10">
                  <c:v>345</c:v>
                </c:pt>
                <c:pt idx="11">
                  <c:v>317</c:v>
                </c:pt>
                <c:pt idx="12">
                  <c:v>348</c:v>
                </c:pt>
                <c:pt idx="13">
                  <c:v>331</c:v>
                </c:pt>
                <c:pt idx="14">
                  <c:v>328</c:v>
                </c:pt>
                <c:pt idx="15">
                  <c:v>340</c:v>
                </c:pt>
                <c:pt idx="16">
                  <c:v>336</c:v>
                </c:pt>
                <c:pt idx="17">
                  <c:v>316</c:v>
                </c:pt>
                <c:pt idx="18">
                  <c:v>321</c:v>
                </c:pt>
                <c:pt idx="19">
                  <c:v>315</c:v>
                </c:pt>
                <c:pt idx="20">
                  <c:v>298.8</c:v>
                </c:pt>
                <c:pt idx="21">
                  <c:v>275.2</c:v>
                </c:pt>
                <c:pt idx="22">
                  <c:v>267.2</c:v>
                </c:pt>
                <c:pt idx="23">
                  <c:v>240</c:v>
                </c:pt>
                <c:pt idx="24">
                  <c:v>238.5</c:v>
                </c:pt>
                <c:pt idx="25">
                  <c:v>219.6</c:v>
                </c:pt>
                <c:pt idx="26">
                  <c:v>203.4</c:v>
                </c:pt>
                <c:pt idx="27">
                  <c:v>193.7</c:v>
                </c:pt>
                <c:pt idx="28">
                  <c:v>186.5</c:v>
                </c:pt>
                <c:pt idx="29">
                  <c:v>170.3</c:v>
                </c:pt>
                <c:pt idx="30">
                  <c:v>171.3</c:v>
                </c:pt>
                <c:pt idx="31">
                  <c:v>159.4</c:v>
                </c:pt>
                <c:pt idx="32">
                  <c:v>150.30000000000001</c:v>
                </c:pt>
                <c:pt idx="33">
                  <c:v>146.6</c:v>
                </c:pt>
                <c:pt idx="34">
                  <c:v>139.19999999999999</c:v>
                </c:pt>
                <c:pt idx="35">
                  <c:v>131.80000000000001</c:v>
                </c:pt>
                <c:pt idx="36">
                  <c:v>130</c:v>
                </c:pt>
                <c:pt idx="37">
                  <c:v>120.9</c:v>
                </c:pt>
                <c:pt idx="38">
                  <c:v>118.9</c:v>
                </c:pt>
                <c:pt idx="39">
                  <c:v>113.2</c:v>
                </c:pt>
                <c:pt idx="40">
                  <c:v>108.4</c:v>
                </c:pt>
                <c:pt idx="41">
                  <c:v>104.6</c:v>
                </c:pt>
                <c:pt idx="42">
                  <c:v>101.5</c:v>
                </c:pt>
                <c:pt idx="43">
                  <c:v>97</c:v>
                </c:pt>
                <c:pt idx="44">
                  <c:v>99.5</c:v>
                </c:pt>
                <c:pt idx="45">
                  <c:v>93.1</c:v>
                </c:pt>
                <c:pt idx="46">
                  <c:v>91.5</c:v>
                </c:pt>
                <c:pt idx="47">
                  <c:v>89.3</c:v>
                </c:pt>
                <c:pt idx="48">
                  <c:v>90.6</c:v>
                </c:pt>
                <c:pt idx="49">
                  <c:v>84.6</c:v>
                </c:pt>
                <c:pt idx="50">
                  <c:v>87.7</c:v>
                </c:pt>
                <c:pt idx="51">
                  <c:v>78.3</c:v>
                </c:pt>
                <c:pt idx="52">
                  <c:v>81</c:v>
                </c:pt>
                <c:pt idx="53">
                  <c:v>76.599999999999994</c:v>
                </c:pt>
                <c:pt idx="54">
                  <c:v>75.7</c:v>
                </c:pt>
                <c:pt idx="55">
                  <c:v>71</c:v>
                </c:pt>
                <c:pt idx="56">
                  <c:v>72.900000000000006</c:v>
                </c:pt>
                <c:pt idx="57">
                  <c:v>73.099999999999994</c:v>
                </c:pt>
                <c:pt idx="58">
                  <c:v>69.099999999999994</c:v>
                </c:pt>
                <c:pt idx="59">
                  <c:v>65</c:v>
                </c:pt>
                <c:pt idx="60">
                  <c:v>64.2</c:v>
                </c:pt>
                <c:pt idx="61">
                  <c:v>66.7</c:v>
                </c:pt>
                <c:pt idx="62">
                  <c:v>62.5</c:v>
                </c:pt>
                <c:pt idx="63">
                  <c:v>64.7</c:v>
                </c:pt>
                <c:pt idx="64">
                  <c:v>60</c:v>
                </c:pt>
                <c:pt idx="65">
                  <c:v>61.4</c:v>
                </c:pt>
                <c:pt idx="66">
                  <c:v>59.3</c:v>
                </c:pt>
                <c:pt idx="67">
                  <c:v>56.2</c:v>
                </c:pt>
                <c:pt idx="68">
                  <c:v>58.2</c:v>
                </c:pt>
                <c:pt idx="69">
                  <c:v>57.7</c:v>
                </c:pt>
                <c:pt idx="70">
                  <c:v>57.9</c:v>
                </c:pt>
                <c:pt idx="71">
                  <c:v>56.5</c:v>
                </c:pt>
                <c:pt idx="72">
                  <c:v>56.8</c:v>
                </c:pt>
                <c:pt idx="73">
                  <c:v>53.1</c:v>
                </c:pt>
                <c:pt idx="74">
                  <c:v>52.6</c:v>
                </c:pt>
                <c:pt idx="75">
                  <c:v>54.5</c:v>
                </c:pt>
                <c:pt idx="76">
                  <c:v>54.3</c:v>
                </c:pt>
                <c:pt idx="77">
                  <c:v>49.7</c:v>
                </c:pt>
                <c:pt idx="78">
                  <c:v>48.34</c:v>
                </c:pt>
                <c:pt idx="79">
                  <c:v>44.07</c:v>
                </c:pt>
                <c:pt idx="80">
                  <c:v>39.909999999999997</c:v>
                </c:pt>
                <c:pt idx="81">
                  <c:v>37.39</c:v>
                </c:pt>
                <c:pt idx="82">
                  <c:v>34.9</c:v>
                </c:pt>
                <c:pt idx="83">
                  <c:v>33.39</c:v>
                </c:pt>
                <c:pt idx="84">
                  <c:v>31.55</c:v>
                </c:pt>
                <c:pt idx="85">
                  <c:v>30.04</c:v>
                </c:pt>
                <c:pt idx="86">
                  <c:v>29.13</c:v>
                </c:pt>
                <c:pt idx="87">
                  <c:v>28.18</c:v>
                </c:pt>
                <c:pt idx="88">
                  <c:v>27.49</c:v>
                </c:pt>
                <c:pt idx="89">
                  <c:v>26.75</c:v>
                </c:pt>
                <c:pt idx="90">
                  <c:v>25.78</c:v>
                </c:pt>
                <c:pt idx="91">
                  <c:v>24.9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9392"/>
        <c:axId val="48313856"/>
      </c:scatterChart>
      <c:valAx>
        <c:axId val="4829939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313856"/>
        <c:crosses val="autoZero"/>
        <c:crossBetween val="midCat"/>
      </c:valAx>
      <c:valAx>
        <c:axId val="48313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2993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Data'!$A$322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Data2'!$G$232:$CT$232</c:f>
              <c:numCache>
                <c:formatCode>General</c:formatCode>
                <c:ptCount val="92"/>
                <c:pt idx="0">
                  <c:v>69</c:v>
                </c:pt>
                <c:pt idx="1">
                  <c:v>49</c:v>
                </c:pt>
                <c:pt idx="2">
                  <c:v>55</c:v>
                </c:pt>
                <c:pt idx="3">
                  <c:v>52</c:v>
                </c:pt>
                <c:pt idx="4">
                  <c:v>63</c:v>
                </c:pt>
                <c:pt idx="5">
                  <c:v>64</c:v>
                </c:pt>
                <c:pt idx="6">
                  <c:v>69</c:v>
                </c:pt>
                <c:pt idx="7">
                  <c:v>63</c:v>
                </c:pt>
                <c:pt idx="8">
                  <c:v>59</c:v>
                </c:pt>
                <c:pt idx="9">
                  <c:v>72</c:v>
                </c:pt>
                <c:pt idx="10">
                  <c:v>56</c:v>
                </c:pt>
                <c:pt idx="11">
                  <c:v>70</c:v>
                </c:pt>
                <c:pt idx="12">
                  <c:v>64</c:v>
                </c:pt>
                <c:pt idx="13">
                  <c:v>66</c:v>
                </c:pt>
                <c:pt idx="14">
                  <c:v>63</c:v>
                </c:pt>
                <c:pt idx="15">
                  <c:v>67</c:v>
                </c:pt>
                <c:pt idx="16">
                  <c:v>63</c:v>
                </c:pt>
                <c:pt idx="17">
                  <c:v>59</c:v>
                </c:pt>
                <c:pt idx="18">
                  <c:v>67</c:v>
                </c:pt>
                <c:pt idx="19">
                  <c:v>63</c:v>
                </c:pt>
                <c:pt idx="20">
                  <c:v>66.8</c:v>
                </c:pt>
                <c:pt idx="21">
                  <c:v>65.599999999999994</c:v>
                </c:pt>
                <c:pt idx="22">
                  <c:v>64.5</c:v>
                </c:pt>
                <c:pt idx="23">
                  <c:v>67.400000000000006</c:v>
                </c:pt>
                <c:pt idx="24">
                  <c:v>65.2</c:v>
                </c:pt>
                <c:pt idx="25">
                  <c:v>62.6</c:v>
                </c:pt>
                <c:pt idx="26">
                  <c:v>64.8</c:v>
                </c:pt>
                <c:pt idx="27">
                  <c:v>62.5</c:v>
                </c:pt>
                <c:pt idx="28">
                  <c:v>60.3</c:v>
                </c:pt>
                <c:pt idx="29">
                  <c:v>61.5</c:v>
                </c:pt>
                <c:pt idx="30">
                  <c:v>61.2</c:v>
                </c:pt>
                <c:pt idx="31">
                  <c:v>59</c:v>
                </c:pt>
                <c:pt idx="32">
                  <c:v>59.9</c:v>
                </c:pt>
                <c:pt idx="33">
                  <c:v>55.7</c:v>
                </c:pt>
                <c:pt idx="34">
                  <c:v>57.9</c:v>
                </c:pt>
                <c:pt idx="35">
                  <c:v>58.9</c:v>
                </c:pt>
                <c:pt idx="36">
                  <c:v>56.7</c:v>
                </c:pt>
                <c:pt idx="37">
                  <c:v>52.6</c:v>
                </c:pt>
                <c:pt idx="38">
                  <c:v>56.6</c:v>
                </c:pt>
                <c:pt idx="39">
                  <c:v>53.6</c:v>
                </c:pt>
                <c:pt idx="40">
                  <c:v>55.8</c:v>
                </c:pt>
                <c:pt idx="41">
                  <c:v>56.3</c:v>
                </c:pt>
                <c:pt idx="42">
                  <c:v>54.5</c:v>
                </c:pt>
                <c:pt idx="43">
                  <c:v>50.1</c:v>
                </c:pt>
                <c:pt idx="44">
                  <c:v>52.6</c:v>
                </c:pt>
                <c:pt idx="45">
                  <c:v>51.2</c:v>
                </c:pt>
                <c:pt idx="46">
                  <c:v>52</c:v>
                </c:pt>
                <c:pt idx="47">
                  <c:v>51.2</c:v>
                </c:pt>
                <c:pt idx="48">
                  <c:v>52.2</c:v>
                </c:pt>
                <c:pt idx="49">
                  <c:v>50</c:v>
                </c:pt>
                <c:pt idx="50">
                  <c:v>48.5</c:v>
                </c:pt>
                <c:pt idx="51">
                  <c:v>51</c:v>
                </c:pt>
                <c:pt idx="52">
                  <c:v>51.2</c:v>
                </c:pt>
                <c:pt idx="53">
                  <c:v>49.1</c:v>
                </c:pt>
                <c:pt idx="54">
                  <c:v>49.1</c:v>
                </c:pt>
                <c:pt idx="55">
                  <c:v>50.3</c:v>
                </c:pt>
                <c:pt idx="56">
                  <c:v>49</c:v>
                </c:pt>
                <c:pt idx="57">
                  <c:v>52.2</c:v>
                </c:pt>
                <c:pt idx="58">
                  <c:v>48.5</c:v>
                </c:pt>
                <c:pt idx="59">
                  <c:v>53</c:v>
                </c:pt>
                <c:pt idx="60">
                  <c:v>46.1</c:v>
                </c:pt>
                <c:pt idx="61">
                  <c:v>48.1</c:v>
                </c:pt>
                <c:pt idx="62">
                  <c:v>50.7</c:v>
                </c:pt>
                <c:pt idx="63">
                  <c:v>46.7</c:v>
                </c:pt>
                <c:pt idx="64">
                  <c:v>47</c:v>
                </c:pt>
                <c:pt idx="65">
                  <c:v>48.1</c:v>
                </c:pt>
                <c:pt idx="66">
                  <c:v>46.3</c:v>
                </c:pt>
                <c:pt idx="67">
                  <c:v>46.8</c:v>
                </c:pt>
                <c:pt idx="68">
                  <c:v>48.3</c:v>
                </c:pt>
                <c:pt idx="69">
                  <c:v>47.1</c:v>
                </c:pt>
                <c:pt idx="70">
                  <c:v>46.5</c:v>
                </c:pt>
                <c:pt idx="71">
                  <c:v>45.4</c:v>
                </c:pt>
                <c:pt idx="72">
                  <c:v>47.2</c:v>
                </c:pt>
                <c:pt idx="73">
                  <c:v>46.4</c:v>
                </c:pt>
                <c:pt idx="74">
                  <c:v>46.5</c:v>
                </c:pt>
                <c:pt idx="75">
                  <c:v>44.7</c:v>
                </c:pt>
                <c:pt idx="76">
                  <c:v>47.5</c:v>
                </c:pt>
                <c:pt idx="77">
                  <c:v>46</c:v>
                </c:pt>
                <c:pt idx="78">
                  <c:v>44.57</c:v>
                </c:pt>
                <c:pt idx="79">
                  <c:v>44.54</c:v>
                </c:pt>
                <c:pt idx="80">
                  <c:v>43.38</c:v>
                </c:pt>
                <c:pt idx="81">
                  <c:v>41.73</c:v>
                </c:pt>
                <c:pt idx="82">
                  <c:v>41.39</c:v>
                </c:pt>
                <c:pt idx="83">
                  <c:v>40.24</c:v>
                </c:pt>
                <c:pt idx="84">
                  <c:v>39.85</c:v>
                </c:pt>
                <c:pt idx="85">
                  <c:v>39.799999999999997</c:v>
                </c:pt>
                <c:pt idx="86">
                  <c:v>39.26</c:v>
                </c:pt>
                <c:pt idx="87">
                  <c:v>38.18</c:v>
                </c:pt>
                <c:pt idx="88">
                  <c:v>37.93</c:v>
                </c:pt>
                <c:pt idx="89">
                  <c:v>38.69</c:v>
                </c:pt>
                <c:pt idx="90">
                  <c:v>38.200000000000003</c:v>
                </c:pt>
                <c:pt idx="91">
                  <c:v>38.4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Data2'!$G$233:$CT$233</c:f>
              <c:numCache>
                <c:formatCode>General</c:formatCode>
                <c:ptCount val="92"/>
                <c:pt idx="0">
                  <c:v>39</c:v>
                </c:pt>
                <c:pt idx="1">
                  <c:v>42</c:v>
                </c:pt>
                <c:pt idx="2">
                  <c:v>46</c:v>
                </c:pt>
                <c:pt idx="3">
                  <c:v>40</c:v>
                </c:pt>
                <c:pt idx="4">
                  <c:v>41</c:v>
                </c:pt>
                <c:pt idx="5">
                  <c:v>49</c:v>
                </c:pt>
                <c:pt idx="6">
                  <c:v>45</c:v>
                </c:pt>
                <c:pt idx="7">
                  <c:v>42</c:v>
                </c:pt>
                <c:pt idx="8">
                  <c:v>35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46</c:v>
                </c:pt>
                <c:pt idx="13">
                  <c:v>43</c:v>
                </c:pt>
                <c:pt idx="14">
                  <c:v>41</c:v>
                </c:pt>
                <c:pt idx="15">
                  <c:v>53</c:v>
                </c:pt>
                <c:pt idx="16">
                  <c:v>43</c:v>
                </c:pt>
                <c:pt idx="17">
                  <c:v>45</c:v>
                </c:pt>
                <c:pt idx="18">
                  <c:v>43</c:v>
                </c:pt>
                <c:pt idx="19">
                  <c:v>43</c:v>
                </c:pt>
                <c:pt idx="20">
                  <c:v>45.4</c:v>
                </c:pt>
                <c:pt idx="21">
                  <c:v>45.3</c:v>
                </c:pt>
                <c:pt idx="22">
                  <c:v>45.3</c:v>
                </c:pt>
                <c:pt idx="23">
                  <c:v>46.4</c:v>
                </c:pt>
                <c:pt idx="24">
                  <c:v>42.7</c:v>
                </c:pt>
                <c:pt idx="25">
                  <c:v>44.4</c:v>
                </c:pt>
                <c:pt idx="26">
                  <c:v>42.8</c:v>
                </c:pt>
                <c:pt idx="27">
                  <c:v>45</c:v>
                </c:pt>
                <c:pt idx="28">
                  <c:v>43.9</c:v>
                </c:pt>
                <c:pt idx="29">
                  <c:v>42.9</c:v>
                </c:pt>
                <c:pt idx="30">
                  <c:v>42</c:v>
                </c:pt>
                <c:pt idx="31">
                  <c:v>39.5</c:v>
                </c:pt>
                <c:pt idx="32">
                  <c:v>42.3</c:v>
                </c:pt>
                <c:pt idx="33">
                  <c:v>39.700000000000003</c:v>
                </c:pt>
                <c:pt idx="34">
                  <c:v>40.200000000000003</c:v>
                </c:pt>
                <c:pt idx="35">
                  <c:v>44.2</c:v>
                </c:pt>
                <c:pt idx="36">
                  <c:v>38.5</c:v>
                </c:pt>
                <c:pt idx="37">
                  <c:v>39.700000000000003</c:v>
                </c:pt>
                <c:pt idx="38">
                  <c:v>37.799999999999997</c:v>
                </c:pt>
                <c:pt idx="39">
                  <c:v>37.799999999999997</c:v>
                </c:pt>
                <c:pt idx="40">
                  <c:v>38.9</c:v>
                </c:pt>
                <c:pt idx="41">
                  <c:v>39.299999999999997</c:v>
                </c:pt>
                <c:pt idx="42">
                  <c:v>37.1</c:v>
                </c:pt>
                <c:pt idx="43">
                  <c:v>34.4</c:v>
                </c:pt>
                <c:pt idx="44">
                  <c:v>35.6</c:v>
                </c:pt>
                <c:pt idx="45">
                  <c:v>38.700000000000003</c:v>
                </c:pt>
                <c:pt idx="46">
                  <c:v>37.6</c:v>
                </c:pt>
                <c:pt idx="47">
                  <c:v>38</c:v>
                </c:pt>
                <c:pt idx="48">
                  <c:v>38.700000000000003</c:v>
                </c:pt>
                <c:pt idx="49">
                  <c:v>35.799999999999997</c:v>
                </c:pt>
                <c:pt idx="50">
                  <c:v>35.299999999999997</c:v>
                </c:pt>
                <c:pt idx="51">
                  <c:v>36.4</c:v>
                </c:pt>
                <c:pt idx="52">
                  <c:v>38.4</c:v>
                </c:pt>
                <c:pt idx="53">
                  <c:v>34.6</c:v>
                </c:pt>
                <c:pt idx="54">
                  <c:v>34.299999999999997</c:v>
                </c:pt>
                <c:pt idx="55">
                  <c:v>37.700000000000003</c:v>
                </c:pt>
                <c:pt idx="56">
                  <c:v>34.700000000000003</c:v>
                </c:pt>
                <c:pt idx="57">
                  <c:v>37.9</c:v>
                </c:pt>
                <c:pt idx="58">
                  <c:v>35.5</c:v>
                </c:pt>
                <c:pt idx="59">
                  <c:v>34.799999999999997</c:v>
                </c:pt>
                <c:pt idx="60">
                  <c:v>35.1</c:v>
                </c:pt>
                <c:pt idx="61">
                  <c:v>35.6</c:v>
                </c:pt>
                <c:pt idx="62">
                  <c:v>34.1</c:v>
                </c:pt>
                <c:pt idx="63">
                  <c:v>33.1</c:v>
                </c:pt>
                <c:pt idx="64">
                  <c:v>36.4</c:v>
                </c:pt>
                <c:pt idx="65">
                  <c:v>34.4</c:v>
                </c:pt>
                <c:pt idx="66">
                  <c:v>35.299999999999997</c:v>
                </c:pt>
                <c:pt idx="67">
                  <c:v>34.299999999999997</c:v>
                </c:pt>
                <c:pt idx="68">
                  <c:v>34.200000000000003</c:v>
                </c:pt>
                <c:pt idx="69">
                  <c:v>35.5</c:v>
                </c:pt>
                <c:pt idx="70">
                  <c:v>34.200000000000003</c:v>
                </c:pt>
                <c:pt idx="71">
                  <c:v>36.5</c:v>
                </c:pt>
                <c:pt idx="72">
                  <c:v>31.7</c:v>
                </c:pt>
                <c:pt idx="73">
                  <c:v>35.1</c:v>
                </c:pt>
                <c:pt idx="74">
                  <c:v>33.700000000000003</c:v>
                </c:pt>
                <c:pt idx="75">
                  <c:v>31.2</c:v>
                </c:pt>
                <c:pt idx="76">
                  <c:v>32</c:v>
                </c:pt>
                <c:pt idx="77">
                  <c:v>32.5</c:v>
                </c:pt>
                <c:pt idx="78">
                  <c:v>33.130000000000003</c:v>
                </c:pt>
                <c:pt idx="79">
                  <c:v>32.82</c:v>
                </c:pt>
                <c:pt idx="80">
                  <c:v>32.229999999999997</c:v>
                </c:pt>
                <c:pt idx="81">
                  <c:v>31.18</c:v>
                </c:pt>
                <c:pt idx="82">
                  <c:v>30.98</c:v>
                </c:pt>
                <c:pt idx="83">
                  <c:v>30.9</c:v>
                </c:pt>
                <c:pt idx="84">
                  <c:v>30.5</c:v>
                </c:pt>
                <c:pt idx="85">
                  <c:v>29.61</c:v>
                </c:pt>
                <c:pt idx="86">
                  <c:v>30.28</c:v>
                </c:pt>
                <c:pt idx="87">
                  <c:v>30.02</c:v>
                </c:pt>
                <c:pt idx="88">
                  <c:v>29.59</c:v>
                </c:pt>
                <c:pt idx="89">
                  <c:v>29.26</c:v>
                </c:pt>
                <c:pt idx="90">
                  <c:v>28.68</c:v>
                </c:pt>
                <c:pt idx="91">
                  <c:v>29.51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Data2'!$G$234:$CT$234</c:f>
              <c:numCache>
                <c:formatCode>General</c:formatCode>
                <c:ptCount val="92"/>
                <c:pt idx="0">
                  <c:v>44</c:v>
                </c:pt>
                <c:pt idx="1">
                  <c:v>35</c:v>
                </c:pt>
                <c:pt idx="2">
                  <c:v>38</c:v>
                </c:pt>
                <c:pt idx="3">
                  <c:v>44</c:v>
                </c:pt>
                <c:pt idx="4">
                  <c:v>38</c:v>
                </c:pt>
                <c:pt idx="5">
                  <c:v>35</c:v>
                </c:pt>
                <c:pt idx="6">
                  <c:v>49</c:v>
                </c:pt>
                <c:pt idx="7">
                  <c:v>35</c:v>
                </c:pt>
                <c:pt idx="8">
                  <c:v>45</c:v>
                </c:pt>
                <c:pt idx="9">
                  <c:v>39</c:v>
                </c:pt>
                <c:pt idx="10">
                  <c:v>38</c:v>
                </c:pt>
                <c:pt idx="11">
                  <c:v>46</c:v>
                </c:pt>
                <c:pt idx="12">
                  <c:v>42</c:v>
                </c:pt>
                <c:pt idx="13">
                  <c:v>40</c:v>
                </c:pt>
                <c:pt idx="14">
                  <c:v>42</c:v>
                </c:pt>
                <c:pt idx="15">
                  <c:v>35</c:v>
                </c:pt>
                <c:pt idx="16">
                  <c:v>46</c:v>
                </c:pt>
                <c:pt idx="17">
                  <c:v>43</c:v>
                </c:pt>
                <c:pt idx="18">
                  <c:v>37</c:v>
                </c:pt>
                <c:pt idx="19">
                  <c:v>41</c:v>
                </c:pt>
                <c:pt idx="20">
                  <c:v>42.5</c:v>
                </c:pt>
                <c:pt idx="21">
                  <c:v>40.5</c:v>
                </c:pt>
                <c:pt idx="22">
                  <c:v>41.6</c:v>
                </c:pt>
                <c:pt idx="23">
                  <c:v>40.799999999999997</c:v>
                </c:pt>
                <c:pt idx="24">
                  <c:v>43.5</c:v>
                </c:pt>
                <c:pt idx="25">
                  <c:v>40.1</c:v>
                </c:pt>
                <c:pt idx="26">
                  <c:v>40.9</c:v>
                </c:pt>
                <c:pt idx="27">
                  <c:v>40</c:v>
                </c:pt>
                <c:pt idx="28">
                  <c:v>38</c:v>
                </c:pt>
                <c:pt idx="29">
                  <c:v>37.9</c:v>
                </c:pt>
                <c:pt idx="30">
                  <c:v>37</c:v>
                </c:pt>
                <c:pt idx="31">
                  <c:v>36.200000000000003</c:v>
                </c:pt>
                <c:pt idx="32">
                  <c:v>36.6</c:v>
                </c:pt>
                <c:pt idx="33">
                  <c:v>39.700000000000003</c:v>
                </c:pt>
                <c:pt idx="34">
                  <c:v>39.1</c:v>
                </c:pt>
                <c:pt idx="35">
                  <c:v>36.5</c:v>
                </c:pt>
                <c:pt idx="36">
                  <c:v>35.799999999999997</c:v>
                </c:pt>
                <c:pt idx="37">
                  <c:v>34.4</c:v>
                </c:pt>
                <c:pt idx="38">
                  <c:v>33.799999999999997</c:v>
                </c:pt>
                <c:pt idx="39">
                  <c:v>34.9</c:v>
                </c:pt>
                <c:pt idx="40">
                  <c:v>34.9</c:v>
                </c:pt>
                <c:pt idx="41">
                  <c:v>33.200000000000003</c:v>
                </c:pt>
                <c:pt idx="42">
                  <c:v>33.4</c:v>
                </c:pt>
                <c:pt idx="43">
                  <c:v>32.200000000000003</c:v>
                </c:pt>
                <c:pt idx="44">
                  <c:v>34.200000000000003</c:v>
                </c:pt>
                <c:pt idx="45">
                  <c:v>34.700000000000003</c:v>
                </c:pt>
                <c:pt idx="46">
                  <c:v>35</c:v>
                </c:pt>
                <c:pt idx="47">
                  <c:v>34.700000000000003</c:v>
                </c:pt>
                <c:pt idx="48">
                  <c:v>34.299999999999997</c:v>
                </c:pt>
                <c:pt idx="49">
                  <c:v>35.200000000000003</c:v>
                </c:pt>
                <c:pt idx="50">
                  <c:v>32.9</c:v>
                </c:pt>
                <c:pt idx="51">
                  <c:v>30.5</c:v>
                </c:pt>
                <c:pt idx="52">
                  <c:v>32.299999999999997</c:v>
                </c:pt>
                <c:pt idx="53">
                  <c:v>32.299999999999997</c:v>
                </c:pt>
                <c:pt idx="54">
                  <c:v>32.799999999999997</c:v>
                </c:pt>
                <c:pt idx="55">
                  <c:v>29.6</c:v>
                </c:pt>
                <c:pt idx="56">
                  <c:v>33.799999999999997</c:v>
                </c:pt>
                <c:pt idx="57">
                  <c:v>32.1</c:v>
                </c:pt>
                <c:pt idx="58">
                  <c:v>30</c:v>
                </c:pt>
                <c:pt idx="59">
                  <c:v>32.799999999999997</c:v>
                </c:pt>
                <c:pt idx="60">
                  <c:v>31.7</c:v>
                </c:pt>
                <c:pt idx="61">
                  <c:v>30.4</c:v>
                </c:pt>
                <c:pt idx="62">
                  <c:v>32.700000000000003</c:v>
                </c:pt>
                <c:pt idx="63">
                  <c:v>29.8</c:v>
                </c:pt>
                <c:pt idx="64">
                  <c:v>28.3</c:v>
                </c:pt>
                <c:pt idx="65">
                  <c:v>30.4</c:v>
                </c:pt>
                <c:pt idx="66">
                  <c:v>29.4</c:v>
                </c:pt>
                <c:pt idx="67">
                  <c:v>28.4</c:v>
                </c:pt>
                <c:pt idx="68">
                  <c:v>29</c:v>
                </c:pt>
                <c:pt idx="69">
                  <c:v>30.3</c:v>
                </c:pt>
                <c:pt idx="70">
                  <c:v>28.6</c:v>
                </c:pt>
                <c:pt idx="71">
                  <c:v>28.5</c:v>
                </c:pt>
                <c:pt idx="72">
                  <c:v>27.2</c:v>
                </c:pt>
                <c:pt idx="73">
                  <c:v>28.3</c:v>
                </c:pt>
                <c:pt idx="74">
                  <c:v>29.6</c:v>
                </c:pt>
                <c:pt idx="75">
                  <c:v>28</c:v>
                </c:pt>
                <c:pt idx="76">
                  <c:v>26.5</c:v>
                </c:pt>
                <c:pt idx="77">
                  <c:v>29.1</c:v>
                </c:pt>
                <c:pt idx="78">
                  <c:v>29.4</c:v>
                </c:pt>
                <c:pt idx="79">
                  <c:v>27.19</c:v>
                </c:pt>
                <c:pt idx="80">
                  <c:v>27.72</c:v>
                </c:pt>
                <c:pt idx="81">
                  <c:v>26.69</c:v>
                </c:pt>
                <c:pt idx="82">
                  <c:v>25.73</c:v>
                </c:pt>
                <c:pt idx="83">
                  <c:v>25.73</c:v>
                </c:pt>
                <c:pt idx="84">
                  <c:v>25.76</c:v>
                </c:pt>
                <c:pt idx="85">
                  <c:v>25.09</c:v>
                </c:pt>
                <c:pt idx="86">
                  <c:v>25.13</c:v>
                </c:pt>
                <c:pt idx="87">
                  <c:v>24.85</c:v>
                </c:pt>
                <c:pt idx="88">
                  <c:v>24.35</c:v>
                </c:pt>
                <c:pt idx="89">
                  <c:v>24.07</c:v>
                </c:pt>
                <c:pt idx="90">
                  <c:v>23.92</c:v>
                </c:pt>
                <c:pt idx="91">
                  <c:v>23.75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Data2'!$G$235:$CT$235</c:f>
              <c:numCache>
                <c:formatCode>General</c:formatCode>
                <c:ptCount val="92"/>
                <c:pt idx="0">
                  <c:v>26</c:v>
                </c:pt>
                <c:pt idx="1">
                  <c:v>23</c:v>
                </c:pt>
                <c:pt idx="2">
                  <c:v>28</c:v>
                </c:pt>
                <c:pt idx="3">
                  <c:v>33</c:v>
                </c:pt>
                <c:pt idx="4">
                  <c:v>32</c:v>
                </c:pt>
                <c:pt idx="5">
                  <c:v>22</c:v>
                </c:pt>
                <c:pt idx="6">
                  <c:v>30</c:v>
                </c:pt>
                <c:pt idx="7">
                  <c:v>32</c:v>
                </c:pt>
                <c:pt idx="8">
                  <c:v>34</c:v>
                </c:pt>
                <c:pt idx="9">
                  <c:v>27</c:v>
                </c:pt>
                <c:pt idx="10">
                  <c:v>29</c:v>
                </c:pt>
                <c:pt idx="11">
                  <c:v>32</c:v>
                </c:pt>
                <c:pt idx="12">
                  <c:v>32</c:v>
                </c:pt>
                <c:pt idx="13">
                  <c:v>30</c:v>
                </c:pt>
                <c:pt idx="14">
                  <c:v>31</c:v>
                </c:pt>
                <c:pt idx="15">
                  <c:v>28</c:v>
                </c:pt>
                <c:pt idx="16">
                  <c:v>27</c:v>
                </c:pt>
                <c:pt idx="17">
                  <c:v>30</c:v>
                </c:pt>
                <c:pt idx="18">
                  <c:v>37</c:v>
                </c:pt>
                <c:pt idx="19">
                  <c:v>30</c:v>
                </c:pt>
                <c:pt idx="20">
                  <c:v>31.2</c:v>
                </c:pt>
                <c:pt idx="21">
                  <c:v>30.9</c:v>
                </c:pt>
                <c:pt idx="22">
                  <c:v>32</c:v>
                </c:pt>
                <c:pt idx="23">
                  <c:v>32.299999999999997</c:v>
                </c:pt>
                <c:pt idx="24">
                  <c:v>32.9</c:v>
                </c:pt>
                <c:pt idx="25">
                  <c:v>31.5</c:v>
                </c:pt>
                <c:pt idx="26">
                  <c:v>29.5</c:v>
                </c:pt>
                <c:pt idx="27">
                  <c:v>31.3</c:v>
                </c:pt>
                <c:pt idx="28">
                  <c:v>31.2</c:v>
                </c:pt>
                <c:pt idx="29">
                  <c:v>31.8</c:v>
                </c:pt>
                <c:pt idx="30">
                  <c:v>31.2</c:v>
                </c:pt>
                <c:pt idx="31">
                  <c:v>33.700000000000003</c:v>
                </c:pt>
                <c:pt idx="32">
                  <c:v>29.1</c:v>
                </c:pt>
                <c:pt idx="33">
                  <c:v>29.2</c:v>
                </c:pt>
                <c:pt idx="34">
                  <c:v>30.4</c:v>
                </c:pt>
                <c:pt idx="35">
                  <c:v>28.1</c:v>
                </c:pt>
                <c:pt idx="36">
                  <c:v>30.5</c:v>
                </c:pt>
                <c:pt idx="37">
                  <c:v>28</c:v>
                </c:pt>
                <c:pt idx="38">
                  <c:v>26.8</c:v>
                </c:pt>
                <c:pt idx="39">
                  <c:v>29.6</c:v>
                </c:pt>
                <c:pt idx="40">
                  <c:v>28</c:v>
                </c:pt>
                <c:pt idx="41">
                  <c:v>27</c:v>
                </c:pt>
                <c:pt idx="42">
                  <c:v>29.2</c:v>
                </c:pt>
                <c:pt idx="43">
                  <c:v>28.8</c:v>
                </c:pt>
                <c:pt idx="44">
                  <c:v>27.2</c:v>
                </c:pt>
                <c:pt idx="45">
                  <c:v>28.2</c:v>
                </c:pt>
                <c:pt idx="46">
                  <c:v>24.9</c:v>
                </c:pt>
                <c:pt idx="47">
                  <c:v>27.5</c:v>
                </c:pt>
                <c:pt idx="48">
                  <c:v>28.4</c:v>
                </c:pt>
                <c:pt idx="49">
                  <c:v>24.2</c:v>
                </c:pt>
                <c:pt idx="50">
                  <c:v>26.9</c:v>
                </c:pt>
                <c:pt idx="51">
                  <c:v>26.8</c:v>
                </c:pt>
                <c:pt idx="52">
                  <c:v>28.2</c:v>
                </c:pt>
                <c:pt idx="53">
                  <c:v>27.3</c:v>
                </c:pt>
                <c:pt idx="54">
                  <c:v>25.1</c:v>
                </c:pt>
                <c:pt idx="55">
                  <c:v>26</c:v>
                </c:pt>
                <c:pt idx="56">
                  <c:v>26.8</c:v>
                </c:pt>
                <c:pt idx="57">
                  <c:v>26.1</c:v>
                </c:pt>
                <c:pt idx="58">
                  <c:v>26.8</c:v>
                </c:pt>
                <c:pt idx="59">
                  <c:v>25.4</c:v>
                </c:pt>
                <c:pt idx="60">
                  <c:v>25.8</c:v>
                </c:pt>
                <c:pt idx="61">
                  <c:v>25.8</c:v>
                </c:pt>
                <c:pt idx="62">
                  <c:v>25.5</c:v>
                </c:pt>
                <c:pt idx="63">
                  <c:v>25.4</c:v>
                </c:pt>
                <c:pt idx="64">
                  <c:v>25.3</c:v>
                </c:pt>
                <c:pt idx="65">
                  <c:v>24.6</c:v>
                </c:pt>
                <c:pt idx="66">
                  <c:v>23.9</c:v>
                </c:pt>
                <c:pt idx="67">
                  <c:v>23.4</c:v>
                </c:pt>
                <c:pt idx="68">
                  <c:v>25.3</c:v>
                </c:pt>
                <c:pt idx="69">
                  <c:v>27.5</c:v>
                </c:pt>
                <c:pt idx="70">
                  <c:v>23.1</c:v>
                </c:pt>
                <c:pt idx="71">
                  <c:v>24.7</c:v>
                </c:pt>
                <c:pt idx="72">
                  <c:v>23.5</c:v>
                </c:pt>
                <c:pt idx="73">
                  <c:v>24.1</c:v>
                </c:pt>
                <c:pt idx="74">
                  <c:v>23.7</c:v>
                </c:pt>
                <c:pt idx="75">
                  <c:v>23.4</c:v>
                </c:pt>
                <c:pt idx="76">
                  <c:v>25.4</c:v>
                </c:pt>
                <c:pt idx="77">
                  <c:v>24.7</c:v>
                </c:pt>
                <c:pt idx="78">
                  <c:v>23.72</c:v>
                </c:pt>
                <c:pt idx="79">
                  <c:v>23.51</c:v>
                </c:pt>
                <c:pt idx="80">
                  <c:v>23.45</c:v>
                </c:pt>
                <c:pt idx="81">
                  <c:v>22.63</c:v>
                </c:pt>
                <c:pt idx="82">
                  <c:v>22.01</c:v>
                </c:pt>
                <c:pt idx="83">
                  <c:v>22.01</c:v>
                </c:pt>
                <c:pt idx="84">
                  <c:v>21.5</c:v>
                </c:pt>
                <c:pt idx="85">
                  <c:v>21.7</c:v>
                </c:pt>
                <c:pt idx="86">
                  <c:v>20.93</c:v>
                </c:pt>
                <c:pt idx="87">
                  <c:v>21.09</c:v>
                </c:pt>
                <c:pt idx="88">
                  <c:v>20.83</c:v>
                </c:pt>
                <c:pt idx="89">
                  <c:v>20.72</c:v>
                </c:pt>
                <c:pt idx="90">
                  <c:v>20.82</c:v>
                </c:pt>
                <c:pt idx="91">
                  <c:v>21.03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Data2'!$G$236:$CT$236</c:f>
              <c:numCache>
                <c:formatCode>General</c:formatCode>
                <c:ptCount val="92"/>
                <c:pt idx="0">
                  <c:v>27</c:v>
                </c:pt>
                <c:pt idx="1">
                  <c:v>35</c:v>
                </c:pt>
                <c:pt idx="2">
                  <c:v>24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32</c:v>
                </c:pt>
                <c:pt idx="7">
                  <c:v>21</c:v>
                </c:pt>
                <c:pt idx="8">
                  <c:v>29</c:v>
                </c:pt>
                <c:pt idx="9">
                  <c:v>24</c:v>
                </c:pt>
                <c:pt idx="10">
                  <c:v>31</c:v>
                </c:pt>
                <c:pt idx="11">
                  <c:v>23</c:v>
                </c:pt>
                <c:pt idx="12">
                  <c:v>29</c:v>
                </c:pt>
                <c:pt idx="13">
                  <c:v>44</c:v>
                </c:pt>
                <c:pt idx="14">
                  <c:v>34</c:v>
                </c:pt>
                <c:pt idx="15">
                  <c:v>28</c:v>
                </c:pt>
                <c:pt idx="16">
                  <c:v>29</c:v>
                </c:pt>
                <c:pt idx="17">
                  <c:v>32</c:v>
                </c:pt>
                <c:pt idx="18">
                  <c:v>25</c:v>
                </c:pt>
                <c:pt idx="19">
                  <c:v>27</c:v>
                </c:pt>
                <c:pt idx="20">
                  <c:v>31.1</c:v>
                </c:pt>
                <c:pt idx="21">
                  <c:v>30</c:v>
                </c:pt>
                <c:pt idx="22">
                  <c:v>30.2</c:v>
                </c:pt>
                <c:pt idx="23">
                  <c:v>27.9</c:v>
                </c:pt>
                <c:pt idx="24">
                  <c:v>29.2</c:v>
                </c:pt>
                <c:pt idx="25">
                  <c:v>29</c:v>
                </c:pt>
                <c:pt idx="26">
                  <c:v>27.2</c:v>
                </c:pt>
                <c:pt idx="27">
                  <c:v>29.2</c:v>
                </c:pt>
                <c:pt idx="28">
                  <c:v>28.6</c:v>
                </c:pt>
                <c:pt idx="29">
                  <c:v>27.3</c:v>
                </c:pt>
                <c:pt idx="30">
                  <c:v>27.6</c:v>
                </c:pt>
                <c:pt idx="31">
                  <c:v>27.8</c:v>
                </c:pt>
                <c:pt idx="32">
                  <c:v>25</c:v>
                </c:pt>
                <c:pt idx="33">
                  <c:v>26.8</c:v>
                </c:pt>
                <c:pt idx="34">
                  <c:v>24.5</c:v>
                </c:pt>
                <c:pt idx="35">
                  <c:v>26.5</c:v>
                </c:pt>
                <c:pt idx="36">
                  <c:v>26.2</c:v>
                </c:pt>
                <c:pt idx="37">
                  <c:v>23.4</c:v>
                </c:pt>
                <c:pt idx="38">
                  <c:v>25.2</c:v>
                </c:pt>
                <c:pt idx="39">
                  <c:v>25.8</c:v>
                </c:pt>
                <c:pt idx="40">
                  <c:v>24.5</c:v>
                </c:pt>
                <c:pt idx="41">
                  <c:v>25.7</c:v>
                </c:pt>
                <c:pt idx="42">
                  <c:v>26.3</c:v>
                </c:pt>
                <c:pt idx="43">
                  <c:v>23.9</c:v>
                </c:pt>
                <c:pt idx="44">
                  <c:v>24.2</c:v>
                </c:pt>
                <c:pt idx="45">
                  <c:v>24.8</c:v>
                </c:pt>
                <c:pt idx="46">
                  <c:v>24</c:v>
                </c:pt>
                <c:pt idx="47">
                  <c:v>23.9</c:v>
                </c:pt>
                <c:pt idx="48">
                  <c:v>21.5</c:v>
                </c:pt>
                <c:pt idx="49">
                  <c:v>23.1</c:v>
                </c:pt>
                <c:pt idx="50">
                  <c:v>24.2</c:v>
                </c:pt>
                <c:pt idx="51">
                  <c:v>24.2</c:v>
                </c:pt>
                <c:pt idx="52">
                  <c:v>21.5</c:v>
                </c:pt>
                <c:pt idx="53">
                  <c:v>22.7</c:v>
                </c:pt>
                <c:pt idx="54">
                  <c:v>21.9</c:v>
                </c:pt>
                <c:pt idx="55">
                  <c:v>22.6</c:v>
                </c:pt>
                <c:pt idx="56">
                  <c:v>24</c:v>
                </c:pt>
                <c:pt idx="57">
                  <c:v>22.5</c:v>
                </c:pt>
                <c:pt idx="58">
                  <c:v>21.5</c:v>
                </c:pt>
                <c:pt idx="59">
                  <c:v>22.5</c:v>
                </c:pt>
                <c:pt idx="60">
                  <c:v>21.8</c:v>
                </c:pt>
                <c:pt idx="61">
                  <c:v>20.8</c:v>
                </c:pt>
                <c:pt idx="62">
                  <c:v>21.8</c:v>
                </c:pt>
                <c:pt idx="63">
                  <c:v>21.5</c:v>
                </c:pt>
                <c:pt idx="64">
                  <c:v>22.1</c:v>
                </c:pt>
                <c:pt idx="65">
                  <c:v>22</c:v>
                </c:pt>
                <c:pt idx="66">
                  <c:v>21.2</c:v>
                </c:pt>
                <c:pt idx="67">
                  <c:v>20.3</c:v>
                </c:pt>
                <c:pt idx="68">
                  <c:v>22.7</c:v>
                </c:pt>
                <c:pt idx="69">
                  <c:v>21.7</c:v>
                </c:pt>
                <c:pt idx="70">
                  <c:v>21.1</c:v>
                </c:pt>
                <c:pt idx="71">
                  <c:v>21.2</c:v>
                </c:pt>
                <c:pt idx="72">
                  <c:v>21.8</c:v>
                </c:pt>
                <c:pt idx="73">
                  <c:v>21.6</c:v>
                </c:pt>
                <c:pt idx="74">
                  <c:v>19.600000000000001</c:v>
                </c:pt>
                <c:pt idx="75">
                  <c:v>20.8</c:v>
                </c:pt>
                <c:pt idx="76">
                  <c:v>23.3</c:v>
                </c:pt>
                <c:pt idx="77">
                  <c:v>19.399999999999999</c:v>
                </c:pt>
                <c:pt idx="78">
                  <c:v>20.6</c:v>
                </c:pt>
                <c:pt idx="79">
                  <c:v>19.71</c:v>
                </c:pt>
                <c:pt idx="80">
                  <c:v>19.89</c:v>
                </c:pt>
                <c:pt idx="81">
                  <c:v>19.05</c:v>
                </c:pt>
                <c:pt idx="82">
                  <c:v>18.899999999999999</c:v>
                </c:pt>
                <c:pt idx="83">
                  <c:v>18.7</c:v>
                </c:pt>
                <c:pt idx="84">
                  <c:v>18.5</c:v>
                </c:pt>
                <c:pt idx="85">
                  <c:v>18.37</c:v>
                </c:pt>
                <c:pt idx="86">
                  <c:v>18.309999999999999</c:v>
                </c:pt>
                <c:pt idx="87">
                  <c:v>17.920000000000002</c:v>
                </c:pt>
                <c:pt idx="88">
                  <c:v>17.97</c:v>
                </c:pt>
                <c:pt idx="89">
                  <c:v>17.79</c:v>
                </c:pt>
                <c:pt idx="90">
                  <c:v>18.18</c:v>
                </c:pt>
                <c:pt idx="91">
                  <c:v>18.03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Data2'!$G$237:$CT$237</c:f>
              <c:numCache>
                <c:formatCode>General</c:formatCode>
                <c:ptCount val="92"/>
                <c:pt idx="0">
                  <c:v>34</c:v>
                </c:pt>
                <c:pt idx="1">
                  <c:v>22</c:v>
                </c:pt>
                <c:pt idx="2">
                  <c:v>27</c:v>
                </c:pt>
                <c:pt idx="3">
                  <c:v>32</c:v>
                </c:pt>
                <c:pt idx="4">
                  <c:v>19</c:v>
                </c:pt>
                <c:pt idx="5">
                  <c:v>25</c:v>
                </c:pt>
                <c:pt idx="6">
                  <c:v>25</c:v>
                </c:pt>
                <c:pt idx="7">
                  <c:v>31</c:v>
                </c:pt>
                <c:pt idx="8">
                  <c:v>26</c:v>
                </c:pt>
                <c:pt idx="9">
                  <c:v>25</c:v>
                </c:pt>
                <c:pt idx="10">
                  <c:v>29</c:v>
                </c:pt>
                <c:pt idx="11">
                  <c:v>24</c:v>
                </c:pt>
                <c:pt idx="12">
                  <c:v>20</c:v>
                </c:pt>
                <c:pt idx="13">
                  <c:v>29</c:v>
                </c:pt>
                <c:pt idx="14">
                  <c:v>28</c:v>
                </c:pt>
                <c:pt idx="15">
                  <c:v>30</c:v>
                </c:pt>
                <c:pt idx="16">
                  <c:v>26</c:v>
                </c:pt>
                <c:pt idx="17">
                  <c:v>24</c:v>
                </c:pt>
                <c:pt idx="18">
                  <c:v>29</c:v>
                </c:pt>
                <c:pt idx="19">
                  <c:v>32</c:v>
                </c:pt>
                <c:pt idx="20">
                  <c:v>28.1</c:v>
                </c:pt>
                <c:pt idx="21">
                  <c:v>27.3</c:v>
                </c:pt>
                <c:pt idx="22">
                  <c:v>28.6</c:v>
                </c:pt>
                <c:pt idx="23">
                  <c:v>28.1</c:v>
                </c:pt>
                <c:pt idx="24">
                  <c:v>25.8</c:v>
                </c:pt>
                <c:pt idx="25">
                  <c:v>51.1</c:v>
                </c:pt>
                <c:pt idx="26">
                  <c:v>25</c:v>
                </c:pt>
                <c:pt idx="27">
                  <c:v>26.5</c:v>
                </c:pt>
                <c:pt idx="28">
                  <c:v>25</c:v>
                </c:pt>
                <c:pt idx="29">
                  <c:v>25.9</c:v>
                </c:pt>
                <c:pt idx="30">
                  <c:v>25.9</c:v>
                </c:pt>
                <c:pt idx="31">
                  <c:v>23.9</c:v>
                </c:pt>
                <c:pt idx="32">
                  <c:v>22.7</c:v>
                </c:pt>
                <c:pt idx="33">
                  <c:v>22.1</c:v>
                </c:pt>
                <c:pt idx="34">
                  <c:v>22</c:v>
                </c:pt>
                <c:pt idx="35">
                  <c:v>23.2</c:v>
                </c:pt>
                <c:pt idx="36">
                  <c:v>21.9</c:v>
                </c:pt>
                <c:pt idx="37">
                  <c:v>22</c:v>
                </c:pt>
                <c:pt idx="38">
                  <c:v>23.6</c:v>
                </c:pt>
                <c:pt idx="39">
                  <c:v>21.3</c:v>
                </c:pt>
                <c:pt idx="40">
                  <c:v>22.3</c:v>
                </c:pt>
                <c:pt idx="41">
                  <c:v>22.2</c:v>
                </c:pt>
                <c:pt idx="42">
                  <c:v>21.2</c:v>
                </c:pt>
                <c:pt idx="43">
                  <c:v>19.899999999999999</c:v>
                </c:pt>
                <c:pt idx="44">
                  <c:v>22.7</c:v>
                </c:pt>
                <c:pt idx="45">
                  <c:v>21.9</c:v>
                </c:pt>
                <c:pt idx="46">
                  <c:v>20.6</c:v>
                </c:pt>
                <c:pt idx="47">
                  <c:v>22</c:v>
                </c:pt>
                <c:pt idx="48">
                  <c:v>21.2</c:v>
                </c:pt>
                <c:pt idx="49">
                  <c:v>20</c:v>
                </c:pt>
                <c:pt idx="50">
                  <c:v>21.5</c:v>
                </c:pt>
                <c:pt idx="51">
                  <c:v>21.8</c:v>
                </c:pt>
                <c:pt idx="52">
                  <c:v>20</c:v>
                </c:pt>
                <c:pt idx="53">
                  <c:v>20.3</c:v>
                </c:pt>
                <c:pt idx="54">
                  <c:v>21.5</c:v>
                </c:pt>
                <c:pt idx="55">
                  <c:v>19.7</c:v>
                </c:pt>
                <c:pt idx="56">
                  <c:v>21.5</c:v>
                </c:pt>
                <c:pt idx="57">
                  <c:v>18.7</c:v>
                </c:pt>
                <c:pt idx="58">
                  <c:v>18.8</c:v>
                </c:pt>
                <c:pt idx="59">
                  <c:v>20.8</c:v>
                </c:pt>
                <c:pt idx="60">
                  <c:v>19.399999999999999</c:v>
                </c:pt>
                <c:pt idx="61">
                  <c:v>20.100000000000001</c:v>
                </c:pt>
                <c:pt idx="62">
                  <c:v>21</c:v>
                </c:pt>
                <c:pt idx="63">
                  <c:v>21.1</c:v>
                </c:pt>
                <c:pt idx="64">
                  <c:v>19.5</c:v>
                </c:pt>
                <c:pt idx="65">
                  <c:v>20.100000000000001</c:v>
                </c:pt>
                <c:pt idx="66">
                  <c:v>19.5</c:v>
                </c:pt>
                <c:pt idx="67">
                  <c:v>21.3</c:v>
                </c:pt>
                <c:pt idx="68">
                  <c:v>18.7</c:v>
                </c:pt>
                <c:pt idx="69">
                  <c:v>20.2</c:v>
                </c:pt>
                <c:pt idx="70">
                  <c:v>19.100000000000001</c:v>
                </c:pt>
                <c:pt idx="71">
                  <c:v>18.399999999999999</c:v>
                </c:pt>
                <c:pt idx="72">
                  <c:v>18.600000000000001</c:v>
                </c:pt>
                <c:pt idx="73">
                  <c:v>20.399999999999999</c:v>
                </c:pt>
                <c:pt idx="74">
                  <c:v>21.2</c:v>
                </c:pt>
                <c:pt idx="75">
                  <c:v>18.600000000000001</c:v>
                </c:pt>
                <c:pt idx="76">
                  <c:v>19.7</c:v>
                </c:pt>
                <c:pt idx="77">
                  <c:v>20.7</c:v>
                </c:pt>
                <c:pt idx="78">
                  <c:v>18.8</c:v>
                </c:pt>
                <c:pt idx="79">
                  <c:v>19.059999999999999</c:v>
                </c:pt>
                <c:pt idx="80">
                  <c:v>18.489999999999998</c:v>
                </c:pt>
                <c:pt idx="81">
                  <c:v>17.98</c:v>
                </c:pt>
                <c:pt idx="82">
                  <c:v>17.37</c:v>
                </c:pt>
                <c:pt idx="83">
                  <c:v>17.61</c:v>
                </c:pt>
                <c:pt idx="84">
                  <c:v>17.39</c:v>
                </c:pt>
                <c:pt idx="85">
                  <c:v>17.510000000000002</c:v>
                </c:pt>
                <c:pt idx="86">
                  <c:v>18.11</c:v>
                </c:pt>
                <c:pt idx="87">
                  <c:v>17.54</c:v>
                </c:pt>
                <c:pt idx="88">
                  <c:v>16.97</c:v>
                </c:pt>
                <c:pt idx="89">
                  <c:v>16.88</c:v>
                </c:pt>
                <c:pt idx="90">
                  <c:v>16.95</c:v>
                </c:pt>
                <c:pt idx="91">
                  <c:v>16.489999999999998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Data2'!$G$238:$CT$238</c:f>
              <c:numCache>
                <c:formatCode>General</c:formatCode>
                <c:ptCount val="92"/>
                <c:pt idx="0">
                  <c:v>28</c:v>
                </c:pt>
                <c:pt idx="1">
                  <c:v>27</c:v>
                </c:pt>
                <c:pt idx="2">
                  <c:v>26</c:v>
                </c:pt>
                <c:pt idx="3">
                  <c:v>36</c:v>
                </c:pt>
                <c:pt idx="4">
                  <c:v>30</c:v>
                </c:pt>
                <c:pt idx="5">
                  <c:v>28</c:v>
                </c:pt>
                <c:pt idx="6">
                  <c:v>40</c:v>
                </c:pt>
                <c:pt idx="7">
                  <c:v>32</c:v>
                </c:pt>
                <c:pt idx="8">
                  <c:v>29</c:v>
                </c:pt>
                <c:pt idx="9">
                  <c:v>32</c:v>
                </c:pt>
                <c:pt idx="10">
                  <c:v>33</c:v>
                </c:pt>
                <c:pt idx="11">
                  <c:v>28</c:v>
                </c:pt>
                <c:pt idx="12">
                  <c:v>30</c:v>
                </c:pt>
                <c:pt idx="13">
                  <c:v>28</c:v>
                </c:pt>
                <c:pt idx="14">
                  <c:v>30</c:v>
                </c:pt>
                <c:pt idx="15">
                  <c:v>27</c:v>
                </c:pt>
                <c:pt idx="16">
                  <c:v>27</c:v>
                </c:pt>
                <c:pt idx="17">
                  <c:v>33</c:v>
                </c:pt>
                <c:pt idx="18">
                  <c:v>29</c:v>
                </c:pt>
                <c:pt idx="19">
                  <c:v>29</c:v>
                </c:pt>
                <c:pt idx="20">
                  <c:v>28.9</c:v>
                </c:pt>
                <c:pt idx="21">
                  <c:v>35.1</c:v>
                </c:pt>
                <c:pt idx="22">
                  <c:v>32.799999999999997</c:v>
                </c:pt>
                <c:pt idx="23">
                  <c:v>32.1</c:v>
                </c:pt>
                <c:pt idx="24">
                  <c:v>29.3</c:v>
                </c:pt>
                <c:pt idx="25">
                  <c:v>30.4</c:v>
                </c:pt>
                <c:pt idx="26">
                  <c:v>30.4</c:v>
                </c:pt>
                <c:pt idx="27">
                  <c:v>30.3</c:v>
                </c:pt>
                <c:pt idx="28">
                  <c:v>29.9</c:v>
                </c:pt>
                <c:pt idx="29">
                  <c:v>30.1</c:v>
                </c:pt>
                <c:pt idx="30">
                  <c:v>28.3</c:v>
                </c:pt>
                <c:pt idx="31">
                  <c:v>27.8</c:v>
                </c:pt>
                <c:pt idx="32">
                  <c:v>26.1</c:v>
                </c:pt>
                <c:pt idx="33">
                  <c:v>28.2</c:v>
                </c:pt>
                <c:pt idx="34">
                  <c:v>26.5</c:v>
                </c:pt>
                <c:pt idx="35">
                  <c:v>25</c:v>
                </c:pt>
                <c:pt idx="36">
                  <c:v>29.2</c:v>
                </c:pt>
                <c:pt idx="37">
                  <c:v>24.7</c:v>
                </c:pt>
                <c:pt idx="38">
                  <c:v>26.3</c:v>
                </c:pt>
                <c:pt idx="39">
                  <c:v>25.4</c:v>
                </c:pt>
                <c:pt idx="40">
                  <c:v>27.5</c:v>
                </c:pt>
                <c:pt idx="41">
                  <c:v>23.8</c:v>
                </c:pt>
                <c:pt idx="42">
                  <c:v>25.3</c:v>
                </c:pt>
                <c:pt idx="43">
                  <c:v>25.9</c:v>
                </c:pt>
                <c:pt idx="44">
                  <c:v>25.5</c:v>
                </c:pt>
                <c:pt idx="45">
                  <c:v>23.6</c:v>
                </c:pt>
                <c:pt idx="46">
                  <c:v>24.1</c:v>
                </c:pt>
                <c:pt idx="47">
                  <c:v>24.2</c:v>
                </c:pt>
                <c:pt idx="48">
                  <c:v>24.2</c:v>
                </c:pt>
                <c:pt idx="49">
                  <c:v>23.9</c:v>
                </c:pt>
                <c:pt idx="50">
                  <c:v>24.8</c:v>
                </c:pt>
                <c:pt idx="51">
                  <c:v>25.4</c:v>
                </c:pt>
                <c:pt idx="52">
                  <c:v>22.1</c:v>
                </c:pt>
                <c:pt idx="53">
                  <c:v>23.5</c:v>
                </c:pt>
                <c:pt idx="54">
                  <c:v>23.8</c:v>
                </c:pt>
                <c:pt idx="55">
                  <c:v>21.2</c:v>
                </c:pt>
                <c:pt idx="56">
                  <c:v>22.6</c:v>
                </c:pt>
                <c:pt idx="57">
                  <c:v>22.8</c:v>
                </c:pt>
                <c:pt idx="58">
                  <c:v>25.1</c:v>
                </c:pt>
                <c:pt idx="59">
                  <c:v>21.7</c:v>
                </c:pt>
                <c:pt idx="60">
                  <c:v>20.5</c:v>
                </c:pt>
                <c:pt idx="61">
                  <c:v>23.1</c:v>
                </c:pt>
                <c:pt idx="62">
                  <c:v>22.4</c:v>
                </c:pt>
                <c:pt idx="63">
                  <c:v>21.1</c:v>
                </c:pt>
                <c:pt idx="64">
                  <c:v>22.1</c:v>
                </c:pt>
                <c:pt idx="65">
                  <c:v>20.3</c:v>
                </c:pt>
                <c:pt idx="66">
                  <c:v>20</c:v>
                </c:pt>
                <c:pt idx="67">
                  <c:v>19.7</c:v>
                </c:pt>
                <c:pt idx="68">
                  <c:v>21.5</c:v>
                </c:pt>
                <c:pt idx="69">
                  <c:v>19.7</c:v>
                </c:pt>
                <c:pt idx="70">
                  <c:v>22</c:v>
                </c:pt>
                <c:pt idx="71">
                  <c:v>21.4</c:v>
                </c:pt>
                <c:pt idx="72">
                  <c:v>20.9</c:v>
                </c:pt>
                <c:pt idx="73">
                  <c:v>19.899999999999999</c:v>
                </c:pt>
                <c:pt idx="74">
                  <c:v>20.3</c:v>
                </c:pt>
                <c:pt idx="75">
                  <c:v>21.7</c:v>
                </c:pt>
                <c:pt idx="76">
                  <c:v>20.100000000000001</c:v>
                </c:pt>
                <c:pt idx="77">
                  <c:v>20.9</c:v>
                </c:pt>
                <c:pt idx="78">
                  <c:v>19.829999999999998</c:v>
                </c:pt>
                <c:pt idx="79">
                  <c:v>20.149999999999999</c:v>
                </c:pt>
                <c:pt idx="80">
                  <c:v>19.25</c:v>
                </c:pt>
                <c:pt idx="81">
                  <c:v>19.09</c:v>
                </c:pt>
                <c:pt idx="82">
                  <c:v>18.37</c:v>
                </c:pt>
                <c:pt idx="83">
                  <c:v>18.23</c:v>
                </c:pt>
                <c:pt idx="84">
                  <c:v>17.59</c:v>
                </c:pt>
                <c:pt idx="85">
                  <c:v>16.82</c:v>
                </c:pt>
                <c:pt idx="86">
                  <c:v>17.11</c:v>
                </c:pt>
                <c:pt idx="87">
                  <c:v>17.39</c:v>
                </c:pt>
                <c:pt idx="88">
                  <c:v>16.7</c:v>
                </c:pt>
                <c:pt idx="89">
                  <c:v>16.32</c:v>
                </c:pt>
                <c:pt idx="90">
                  <c:v>16.66</c:v>
                </c:pt>
                <c:pt idx="91">
                  <c:v>16.7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Data2'!$G$239:$CT$239</c:f>
              <c:numCache>
                <c:formatCode>General</c:formatCode>
                <c:ptCount val="92"/>
                <c:pt idx="0">
                  <c:v>24</c:v>
                </c:pt>
                <c:pt idx="1">
                  <c:v>21</c:v>
                </c:pt>
                <c:pt idx="2">
                  <c:v>25</c:v>
                </c:pt>
                <c:pt idx="3">
                  <c:v>24</c:v>
                </c:pt>
                <c:pt idx="4">
                  <c:v>28</c:v>
                </c:pt>
                <c:pt idx="5">
                  <c:v>23</c:v>
                </c:pt>
                <c:pt idx="6">
                  <c:v>22</c:v>
                </c:pt>
                <c:pt idx="7">
                  <c:v>26</c:v>
                </c:pt>
                <c:pt idx="8">
                  <c:v>23</c:v>
                </c:pt>
                <c:pt idx="9">
                  <c:v>26</c:v>
                </c:pt>
                <c:pt idx="10">
                  <c:v>22</c:v>
                </c:pt>
                <c:pt idx="11">
                  <c:v>24</c:v>
                </c:pt>
                <c:pt idx="12">
                  <c:v>24</c:v>
                </c:pt>
                <c:pt idx="13">
                  <c:v>28</c:v>
                </c:pt>
                <c:pt idx="14">
                  <c:v>26</c:v>
                </c:pt>
                <c:pt idx="15">
                  <c:v>24</c:v>
                </c:pt>
                <c:pt idx="16">
                  <c:v>24</c:v>
                </c:pt>
                <c:pt idx="17">
                  <c:v>26</c:v>
                </c:pt>
                <c:pt idx="18">
                  <c:v>21</c:v>
                </c:pt>
                <c:pt idx="19">
                  <c:v>27</c:v>
                </c:pt>
                <c:pt idx="20">
                  <c:v>26.7</c:v>
                </c:pt>
                <c:pt idx="21">
                  <c:v>25.8</c:v>
                </c:pt>
                <c:pt idx="22">
                  <c:v>25.5</c:v>
                </c:pt>
                <c:pt idx="23">
                  <c:v>24.3</c:v>
                </c:pt>
                <c:pt idx="24">
                  <c:v>26.2</c:v>
                </c:pt>
                <c:pt idx="25">
                  <c:v>26</c:v>
                </c:pt>
                <c:pt idx="26">
                  <c:v>26.7</c:v>
                </c:pt>
                <c:pt idx="27">
                  <c:v>24.5</c:v>
                </c:pt>
                <c:pt idx="28">
                  <c:v>25.3</c:v>
                </c:pt>
                <c:pt idx="29">
                  <c:v>22.1</c:v>
                </c:pt>
                <c:pt idx="30">
                  <c:v>23</c:v>
                </c:pt>
                <c:pt idx="31">
                  <c:v>22.7</c:v>
                </c:pt>
                <c:pt idx="32">
                  <c:v>23.3</c:v>
                </c:pt>
                <c:pt idx="33">
                  <c:v>20.5</c:v>
                </c:pt>
                <c:pt idx="34">
                  <c:v>22.6</c:v>
                </c:pt>
                <c:pt idx="35">
                  <c:v>20.6</c:v>
                </c:pt>
                <c:pt idx="36">
                  <c:v>21.7</c:v>
                </c:pt>
                <c:pt idx="37">
                  <c:v>21.7</c:v>
                </c:pt>
                <c:pt idx="38">
                  <c:v>21.1</c:v>
                </c:pt>
                <c:pt idx="39">
                  <c:v>21.2</c:v>
                </c:pt>
                <c:pt idx="40">
                  <c:v>21.8</c:v>
                </c:pt>
                <c:pt idx="41">
                  <c:v>22.4</c:v>
                </c:pt>
                <c:pt idx="42">
                  <c:v>21.8</c:v>
                </c:pt>
                <c:pt idx="43">
                  <c:v>19.5</c:v>
                </c:pt>
                <c:pt idx="44">
                  <c:v>20.7</c:v>
                </c:pt>
                <c:pt idx="45">
                  <c:v>19.3</c:v>
                </c:pt>
                <c:pt idx="46">
                  <c:v>21.5</c:v>
                </c:pt>
                <c:pt idx="47">
                  <c:v>20.6</c:v>
                </c:pt>
                <c:pt idx="48">
                  <c:v>20.100000000000001</c:v>
                </c:pt>
                <c:pt idx="49">
                  <c:v>19.100000000000001</c:v>
                </c:pt>
                <c:pt idx="50">
                  <c:v>20.2</c:v>
                </c:pt>
                <c:pt idx="51">
                  <c:v>21.5</c:v>
                </c:pt>
                <c:pt idx="52">
                  <c:v>18.2</c:v>
                </c:pt>
                <c:pt idx="53">
                  <c:v>20.5</c:v>
                </c:pt>
                <c:pt idx="54">
                  <c:v>18.3</c:v>
                </c:pt>
                <c:pt idx="55">
                  <c:v>18.2</c:v>
                </c:pt>
                <c:pt idx="56">
                  <c:v>18.100000000000001</c:v>
                </c:pt>
                <c:pt idx="57">
                  <c:v>20.6</c:v>
                </c:pt>
                <c:pt idx="58">
                  <c:v>19.600000000000001</c:v>
                </c:pt>
                <c:pt idx="59">
                  <c:v>17.7</c:v>
                </c:pt>
                <c:pt idx="60">
                  <c:v>18.5</c:v>
                </c:pt>
                <c:pt idx="61">
                  <c:v>18.7</c:v>
                </c:pt>
                <c:pt idx="62">
                  <c:v>18.2</c:v>
                </c:pt>
                <c:pt idx="63">
                  <c:v>19.3</c:v>
                </c:pt>
                <c:pt idx="64">
                  <c:v>19.3</c:v>
                </c:pt>
                <c:pt idx="65">
                  <c:v>19.5</c:v>
                </c:pt>
                <c:pt idx="66">
                  <c:v>18.100000000000001</c:v>
                </c:pt>
                <c:pt idx="67">
                  <c:v>17.399999999999999</c:v>
                </c:pt>
                <c:pt idx="68">
                  <c:v>19.899999999999999</c:v>
                </c:pt>
                <c:pt idx="69">
                  <c:v>19</c:v>
                </c:pt>
                <c:pt idx="70">
                  <c:v>19.100000000000001</c:v>
                </c:pt>
                <c:pt idx="71">
                  <c:v>17.3</c:v>
                </c:pt>
                <c:pt idx="72">
                  <c:v>18.7</c:v>
                </c:pt>
                <c:pt idx="73">
                  <c:v>19</c:v>
                </c:pt>
                <c:pt idx="74">
                  <c:v>20.2</c:v>
                </c:pt>
                <c:pt idx="75">
                  <c:v>18.8</c:v>
                </c:pt>
                <c:pt idx="76">
                  <c:v>17</c:v>
                </c:pt>
                <c:pt idx="77">
                  <c:v>18.5</c:v>
                </c:pt>
                <c:pt idx="78">
                  <c:v>17.61</c:v>
                </c:pt>
                <c:pt idx="79">
                  <c:v>17.46</c:v>
                </c:pt>
                <c:pt idx="80">
                  <c:v>17.43</c:v>
                </c:pt>
                <c:pt idx="81">
                  <c:v>16.73</c:v>
                </c:pt>
                <c:pt idx="82">
                  <c:v>16.61</c:v>
                </c:pt>
                <c:pt idx="83">
                  <c:v>16.440000000000001</c:v>
                </c:pt>
                <c:pt idx="84">
                  <c:v>16.09</c:v>
                </c:pt>
                <c:pt idx="85">
                  <c:v>15.48</c:v>
                </c:pt>
                <c:pt idx="86">
                  <c:v>15.74</c:v>
                </c:pt>
                <c:pt idx="87">
                  <c:v>15.91</c:v>
                </c:pt>
                <c:pt idx="88">
                  <c:v>15.13</c:v>
                </c:pt>
                <c:pt idx="89">
                  <c:v>15.71</c:v>
                </c:pt>
                <c:pt idx="90">
                  <c:v>15.41</c:v>
                </c:pt>
                <c:pt idx="91">
                  <c:v>15.12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Data2'!$G$240:$CT$240</c:f>
              <c:numCache>
                <c:formatCode>General</c:formatCode>
                <c:ptCount val="92"/>
                <c:pt idx="0">
                  <c:v>14</c:v>
                </c:pt>
                <c:pt idx="1">
                  <c:v>19</c:v>
                </c:pt>
                <c:pt idx="2">
                  <c:v>22</c:v>
                </c:pt>
                <c:pt idx="3">
                  <c:v>17</c:v>
                </c:pt>
                <c:pt idx="4">
                  <c:v>19</c:v>
                </c:pt>
                <c:pt idx="5">
                  <c:v>16</c:v>
                </c:pt>
                <c:pt idx="6">
                  <c:v>15</c:v>
                </c:pt>
                <c:pt idx="7">
                  <c:v>14</c:v>
                </c:pt>
                <c:pt idx="8">
                  <c:v>18</c:v>
                </c:pt>
                <c:pt idx="9">
                  <c:v>17</c:v>
                </c:pt>
                <c:pt idx="10">
                  <c:v>19</c:v>
                </c:pt>
                <c:pt idx="11">
                  <c:v>10</c:v>
                </c:pt>
                <c:pt idx="12">
                  <c:v>25</c:v>
                </c:pt>
                <c:pt idx="13">
                  <c:v>14</c:v>
                </c:pt>
                <c:pt idx="14">
                  <c:v>11</c:v>
                </c:pt>
                <c:pt idx="15">
                  <c:v>17</c:v>
                </c:pt>
                <c:pt idx="16">
                  <c:v>13</c:v>
                </c:pt>
                <c:pt idx="17">
                  <c:v>17</c:v>
                </c:pt>
                <c:pt idx="18">
                  <c:v>21</c:v>
                </c:pt>
                <c:pt idx="19">
                  <c:v>14</c:v>
                </c:pt>
                <c:pt idx="20">
                  <c:v>17.3</c:v>
                </c:pt>
                <c:pt idx="21">
                  <c:v>17.5</c:v>
                </c:pt>
                <c:pt idx="22">
                  <c:v>15.3</c:v>
                </c:pt>
                <c:pt idx="23">
                  <c:v>18.2</c:v>
                </c:pt>
                <c:pt idx="24">
                  <c:v>18.600000000000001</c:v>
                </c:pt>
                <c:pt idx="25">
                  <c:v>17.5</c:v>
                </c:pt>
                <c:pt idx="26">
                  <c:v>17.3</c:v>
                </c:pt>
                <c:pt idx="27">
                  <c:v>18</c:v>
                </c:pt>
                <c:pt idx="28">
                  <c:v>17.600000000000001</c:v>
                </c:pt>
                <c:pt idx="29">
                  <c:v>15.5</c:v>
                </c:pt>
                <c:pt idx="30">
                  <c:v>14.6</c:v>
                </c:pt>
                <c:pt idx="31">
                  <c:v>18</c:v>
                </c:pt>
                <c:pt idx="32">
                  <c:v>16.100000000000001</c:v>
                </c:pt>
                <c:pt idx="33">
                  <c:v>17.899999999999999</c:v>
                </c:pt>
                <c:pt idx="34">
                  <c:v>16.2</c:v>
                </c:pt>
                <c:pt idx="35">
                  <c:v>15.2</c:v>
                </c:pt>
                <c:pt idx="36">
                  <c:v>16.399999999999999</c:v>
                </c:pt>
                <c:pt idx="37">
                  <c:v>16.7</c:v>
                </c:pt>
                <c:pt idx="38">
                  <c:v>15.9</c:v>
                </c:pt>
                <c:pt idx="39">
                  <c:v>14.8</c:v>
                </c:pt>
                <c:pt idx="40">
                  <c:v>16.5</c:v>
                </c:pt>
                <c:pt idx="41">
                  <c:v>14</c:v>
                </c:pt>
                <c:pt idx="42">
                  <c:v>16.2</c:v>
                </c:pt>
                <c:pt idx="43">
                  <c:v>15.2</c:v>
                </c:pt>
                <c:pt idx="44">
                  <c:v>13.8</c:v>
                </c:pt>
                <c:pt idx="45">
                  <c:v>16.5</c:v>
                </c:pt>
                <c:pt idx="46">
                  <c:v>14.9</c:v>
                </c:pt>
                <c:pt idx="47">
                  <c:v>14.6</c:v>
                </c:pt>
                <c:pt idx="48">
                  <c:v>15.7</c:v>
                </c:pt>
                <c:pt idx="49">
                  <c:v>13.3</c:v>
                </c:pt>
                <c:pt idx="50">
                  <c:v>16.399999999999999</c:v>
                </c:pt>
                <c:pt idx="51">
                  <c:v>14.8</c:v>
                </c:pt>
                <c:pt idx="52">
                  <c:v>14.6</c:v>
                </c:pt>
                <c:pt idx="53">
                  <c:v>13.9</c:v>
                </c:pt>
                <c:pt idx="54">
                  <c:v>15.5</c:v>
                </c:pt>
                <c:pt idx="55">
                  <c:v>15.4</c:v>
                </c:pt>
                <c:pt idx="56">
                  <c:v>15.4</c:v>
                </c:pt>
                <c:pt idx="57">
                  <c:v>14.4</c:v>
                </c:pt>
                <c:pt idx="58">
                  <c:v>16</c:v>
                </c:pt>
                <c:pt idx="59">
                  <c:v>15.1</c:v>
                </c:pt>
                <c:pt idx="60">
                  <c:v>12.7</c:v>
                </c:pt>
                <c:pt idx="61">
                  <c:v>14.3</c:v>
                </c:pt>
                <c:pt idx="62">
                  <c:v>15.1</c:v>
                </c:pt>
                <c:pt idx="63">
                  <c:v>15</c:v>
                </c:pt>
                <c:pt idx="64">
                  <c:v>14</c:v>
                </c:pt>
                <c:pt idx="65">
                  <c:v>14.6</c:v>
                </c:pt>
                <c:pt idx="66">
                  <c:v>12.2</c:v>
                </c:pt>
                <c:pt idx="67">
                  <c:v>14.3</c:v>
                </c:pt>
                <c:pt idx="68">
                  <c:v>14.6</c:v>
                </c:pt>
                <c:pt idx="69">
                  <c:v>14.4</c:v>
                </c:pt>
                <c:pt idx="70">
                  <c:v>14.7</c:v>
                </c:pt>
                <c:pt idx="71">
                  <c:v>14.6</c:v>
                </c:pt>
                <c:pt idx="72">
                  <c:v>13.3</c:v>
                </c:pt>
                <c:pt idx="73">
                  <c:v>14</c:v>
                </c:pt>
                <c:pt idx="74">
                  <c:v>12.7</c:v>
                </c:pt>
                <c:pt idx="75">
                  <c:v>13</c:v>
                </c:pt>
                <c:pt idx="76">
                  <c:v>12.9</c:v>
                </c:pt>
                <c:pt idx="77">
                  <c:v>14.8</c:v>
                </c:pt>
                <c:pt idx="78">
                  <c:v>13.18</c:v>
                </c:pt>
                <c:pt idx="79">
                  <c:v>13.42</c:v>
                </c:pt>
                <c:pt idx="80">
                  <c:v>12.93</c:v>
                </c:pt>
                <c:pt idx="81">
                  <c:v>13.66</c:v>
                </c:pt>
                <c:pt idx="82">
                  <c:v>12.72</c:v>
                </c:pt>
                <c:pt idx="83">
                  <c:v>12.61</c:v>
                </c:pt>
                <c:pt idx="84">
                  <c:v>13.69</c:v>
                </c:pt>
                <c:pt idx="85">
                  <c:v>13</c:v>
                </c:pt>
                <c:pt idx="86">
                  <c:v>12.49</c:v>
                </c:pt>
                <c:pt idx="87">
                  <c:v>12.49</c:v>
                </c:pt>
                <c:pt idx="88">
                  <c:v>12.95</c:v>
                </c:pt>
                <c:pt idx="89">
                  <c:v>12.68</c:v>
                </c:pt>
                <c:pt idx="90">
                  <c:v>12.49</c:v>
                </c:pt>
                <c:pt idx="91">
                  <c:v>12.18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Data2'!$G$241:$CT$241</c:f>
              <c:numCache>
                <c:formatCode>General</c:formatCode>
                <c:ptCount val="92"/>
                <c:pt idx="0">
                  <c:v>20</c:v>
                </c:pt>
                <c:pt idx="1">
                  <c:v>18</c:v>
                </c:pt>
                <c:pt idx="2">
                  <c:v>22</c:v>
                </c:pt>
                <c:pt idx="3">
                  <c:v>24</c:v>
                </c:pt>
                <c:pt idx="4">
                  <c:v>18</c:v>
                </c:pt>
                <c:pt idx="5">
                  <c:v>23</c:v>
                </c:pt>
                <c:pt idx="6">
                  <c:v>22</c:v>
                </c:pt>
                <c:pt idx="7">
                  <c:v>24</c:v>
                </c:pt>
                <c:pt idx="8">
                  <c:v>28</c:v>
                </c:pt>
                <c:pt idx="9">
                  <c:v>20</c:v>
                </c:pt>
                <c:pt idx="10">
                  <c:v>16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28</c:v>
                </c:pt>
                <c:pt idx="15">
                  <c:v>17</c:v>
                </c:pt>
                <c:pt idx="16">
                  <c:v>23</c:v>
                </c:pt>
                <c:pt idx="17">
                  <c:v>23</c:v>
                </c:pt>
                <c:pt idx="18">
                  <c:v>21</c:v>
                </c:pt>
                <c:pt idx="19">
                  <c:v>22</c:v>
                </c:pt>
                <c:pt idx="20">
                  <c:v>21.9</c:v>
                </c:pt>
                <c:pt idx="21">
                  <c:v>22.9</c:v>
                </c:pt>
                <c:pt idx="22">
                  <c:v>22</c:v>
                </c:pt>
                <c:pt idx="23">
                  <c:v>21.5</c:v>
                </c:pt>
                <c:pt idx="24">
                  <c:v>20.5</c:v>
                </c:pt>
                <c:pt idx="25">
                  <c:v>21.7</c:v>
                </c:pt>
                <c:pt idx="26">
                  <c:v>19.7</c:v>
                </c:pt>
                <c:pt idx="27">
                  <c:v>20.3</c:v>
                </c:pt>
                <c:pt idx="28">
                  <c:v>21.9</c:v>
                </c:pt>
                <c:pt idx="29">
                  <c:v>21.1</c:v>
                </c:pt>
                <c:pt idx="30">
                  <c:v>18.899999999999999</c:v>
                </c:pt>
                <c:pt idx="31">
                  <c:v>17.899999999999999</c:v>
                </c:pt>
                <c:pt idx="32">
                  <c:v>20.8</c:v>
                </c:pt>
                <c:pt idx="33">
                  <c:v>19.100000000000001</c:v>
                </c:pt>
                <c:pt idx="34">
                  <c:v>20.2</c:v>
                </c:pt>
                <c:pt idx="35">
                  <c:v>18.7</c:v>
                </c:pt>
                <c:pt idx="36">
                  <c:v>18.5</c:v>
                </c:pt>
                <c:pt idx="37">
                  <c:v>19.8</c:v>
                </c:pt>
                <c:pt idx="38">
                  <c:v>17.5</c:v>
                </c:pt>
                <c:pt idx="39">
                  <c:v>17.3</c:v>
                </c:pt>
                <c:pt idx="40">
                  <c:v>19.7</c:v>
                </c:pt>
                <c:pt idx="41">
                  <c:v>17.2</c:v>
                </c:pt>
                <c:pt idx="42">
                  <c:v>17.600000000000001</c:v>
                </c:pt>
                <c:pt idx="43">
                  <c:v>15.9</c:v>
                </c:pt>
                <c:pt idx="44">
                  <c:v>17</c:v>
                </c:pt>
                <c:pt idx="45">
                  <c:v>14.4</c:v>
                </c:pt>
                <c:pt idx="46">
                  <c:v>16.8</c:v>
                </c:pt>
                <c:pt idx="47">
                  <c:v>17.5</c:v>
                </c:pt>
                <c:pt idx="48">
                  <c:v>17.5</c:v>
                </c:pt>
                <c:pt idx="49">
                  <c:v>17.2</c:v>
                </c:pt>
                <c:pt idx="50">
                  <c:v>17.3</c:v>
                </c:pt>
                <c:pt idx="51">
                  <c:v>16.2</c:v>
                </c:pt>
                <c:pt idx="52">
                  <c:v>16.5</c:v>
                </c:pt>
                <c:pt idx="53">
                  <c:v>17.3</c:v>
                </c:pt>
                <c:pt idx="54">
                  <c:v>17.2</c:v>
                </c:pt>
                <c:pt idx="55">
                  <c:v>15.5</c:v>
                </c:pt>
                <c:pt idx="56">
                  <c:v>16.8</c:v>
                </c:pt>
                <c:pt idx="57">
                  <c:v>15.8</c:v>
                </c:pt>
                <c:pt idx="58">
                  <c:v>16.2</c:v>
                </c:pt>
                <c:pt idx="59">
                  <c:v>15.4</c:v>
                </c:pt>
                <c:pt idx="60">
                  <c:v>17.3</c:v>
                </c:pt>
                <c:pt idx="61">
                  <c:v>16.2</c:v>
                </c:pt>
                <c:pt idx="62">
                  <c:v>16</c:v>
                </c:pt>
                <c:pt idx="63">
                  <c:v>15.4</c:v>
                </c:pt>
                <c:pt idx="64">
                  <c:v>14.5</c:v>
                </c:pt>
                <c:pt idx="65">
                  <c:v>16.100000000000001</c:v>
                </c:pt>
                <c:pt idx="66">
                  <c:v>14.3</c:v>
                </c:pt>
                <c:pt idx="67">
                  <c:v>16.600000000000001</c:v>
                </c:pt>
                <c:pt idx="68">
                  <c:v>15.6</c:v>
                </c:pt>
                <c:pt idx="69">
                  <c:v>14.9</c:v>
                </c:pt>
                <c:pt idx="70">
                  <c:v>15.1</c:v>
                </c:pt>
                <c:pt idx="71">
                  <c:v>15.8</c:v>
                </c:pt>
                <c:pt idx="72">
                  <c:v>15.8</c:v>
                </c:pt>
                <c:pt idx="73">
                  <c:v>16.7</c:v>
                </c:pt>
                <c:pt idx="74">
                  <c:v>15.1</c:v>
                </c:pt>
                <c:pt idx="75">
                  <c:v>15.3</c:v>
                </c:pt>
                <c:pt idx="76">
                  <c:v>14.3</c:v>
                </c:pt>
                <c:pt idx="77">
                  <c:v>15.6</c:v>
                </c:pt>
                <c:pt idx="78">
                  <c:v>15.98</c:v>
                </c:pt>
                <c:pt idx="79">
                  <c:v>14.92</c:v>
                </c:pt>
                <c:pt idx="80">
                  <c:v>14.38</c:v>
                </c:pt>
                <c:pt idx="81">
                  <c:v>13.97</c:v>
                </c:pt>
                <c:pt idx="82">
                  <c:v>14.45</c:v>
                </c:pt>
                <c:pt idx="83">
                  <c:v>13.9</c:v>
                </c:pt>
                <c:pt idx="84">
                  <c:v>13.85</c:v>
                </c:pt>
                <c:pt idx="85">
                  <c:v>13.86</c:v>
                </c:pt>
                <c:pt idx="86">
                  <c:v>13.78</c:v>
                </c:pt>
                <c:pt idx="87">
                  <c:v>13.9</c:v>
                </c:pt>
                <c:pt idx="88">
                  <c:v>13.91</c:v>
                </c:pt>
                <c:pt idx="89">
                  <c:v>13.28</c:v>
                </c:pt>
                <c:pt idx="90">
                  <c:v>13.09</c:v>
                </c:pt>
                <c:pt idx="91">
                  <c:v>13.35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Data2'!$G$242:$CT$242</c:f>
              <c:numCache>
                <c:formatCode>General</c:formatCode>
                <c:ptCount val="92"/>
                <c:pt idx="0">
                  <c:v>14</c:v>
                </c:pt>
                <c:pt idx="1">
                  <c:v>19</c:v>
                </c:pt>
                <c:pt idx="2">
                  <c:v>27</c:v>
                </c:pt>
                <c:pt idx="3">
                  <c:v>13</c:v>
                </c:pt>
                <c:pt idx="4">
                  <c:v>19</c:v>
                </c:pt>
                <c:pt idx="5">
                  <c:v>22</c:v>
                </c:pt>
                <c:pt idx="6">
                  <c:v>18</c:v>
                </c:pt>
                <c:pt idx="7">
                  <c:v>19</c:v>
                </c:pt>
                <c:pt idx="8">
                  <c:v>17</c:v>
                </c:pt>
                <c:pt idx="9">
                  <c:v>22</c:v>
                </c:pt>
                <c:pt idx="10">
                  <c:v>26</c:v>
                </c:pt>
                <c:pt idx="11">
                  <c:v>19</c:v>
                </c:pt>
                <c:pt idx="12">
                  <c:v>15</c:v>
                </c:pt>
                <c:pt idx="13">
                  <c:v>15</c:v>
                </c:pt>
                <c:pt idx="14">
                  <c:v>35</c:v>
                </c:pt>
                <c:pt idx="15">
                  <c:v>21</c:v>
                </c:pt>
                <c:pt idx="16">
                  <c:v>17</c:v>
                </c:pt>
                <c:pt idx="17">
                  <c:v>20</c:v>
                </c:pt>
                <c:pt idx="18">
                  <c:v>22</c:v>
                </c:pt>
                <c:pt idx="19">
                  <c:v>21</c:v>
                </c:pt>
                <c:pt idx="20">
                  <c:v>19.5</c:v>
                </c:pt>
                <c:pt idx="21">
                  <c:v>21.3</c:v>
                </c:pt>
                <c:pt idx="22">
                  <c:v>20.6</c:v>
                </c:pt>
                <c:pt idx="23">
                  <c:v>20.9</c:v>
                </c:pt>
                <c:pt idx="24">
                  <c:v>19.5</c:v>
                </c:pt>
                <c:pt idx="25">
                  <c:v>20.7</c:v>
                </c:pt>
                <c:pt idx="26">
                  <c:v>20.7</c:v>
                </c:pt>
                <c:pt idx="27">
                  <c:v>21.1</c:v>
                </c:pt>
                <c:pt idx="28">
                  <c:v>19.2</c:v>
                </c:pt>
                <c:pt idx="29">
                  <c:v>18.8</c:v>
                </c:pt>
                <c:pt idx="30">
                  <c:v>17.3</c:v>
                </c:pt>
                <c:pt idx="31">
                  <c:v>17.399999999999999</c:v>
                </c:pt>
                <c:pt idx="32">
                  <c:v>17.2</c:v>
                </c:pt>
                <c:pt idx="33">
                  <c:v>17.2</c:v>
                </c:pt>
                <c:pt idx="34">
                  <c:v>18.2</c:v>
                </c:pt>
                <c:pt idx="35">
                  <c:v>16.3</c:v>
                </c:pt>
                <c:pt idx="36">
                  <c:v>16.399999999999999</c:v>
                </c:pt>
                <c:pt idx="37">
                  <c:v>15.9</c:v>
                </c:pt>
                <c:pt idx="38">
                  <c:v>16.5</c:v>
                </c:pt>
                <c:pt idx="39">
                  <c:v>15.9</c:v>
                </c:pt>
                <c:pt idx="40">
                  <c:v>16.7</c:v>
                </c:pt>
                <c:pt idx="41">
                  <c:v>16.2</c:v>
                </c:pt>
                <c:pt idx="42">
                  <c:v>17.100000000000001</c:v>
                </c:pt>
                <c:pt idx="43">
                  <c:v>17.600000000000001</c:v>
                </c:pt>
                <c:pt idx="44">
                  <c:v>14.8</c:v>
                </c:pt>
                <c:pt idx="45">
                  <c:v>16.8</c:v>
                </c:pt>
                <c:pt idx="46">
                  <c:v>14.1</c:v>
                </c:pt>
                <c:pt idx="47">
                  <c:v>16.8</c:v>
                </c:pt>
                <c:pt idx="48">
                  <c:v>16.7</c:v>
                </c:pt>
                <c:pt idx="49">
                  <c:v>15.3</c:v>
                </c:pt>
                <c:pt idx="50">
                  <c:v>17</c:v>
                </c:pt>
                <c:pt idx="51">
                  <c:v>16</c:v>
                </c:pt>
                <c:pt idx="52">
                  <c:v>15.8</c:v>
                </c:pt>
                <c:pt idx="53">
                  <c:v>14.5</c:v>
                </c:pt>
                <c:pt idx="54">
                  <c:v>14.1</c:v>
                </c:pt>
                <c:pt idx="55">
                  <c:v>15.5</c:v>
                </c:pt>
                <c:pt idx="56">
                  <c:v>14.7</c:v>
                </c:pt>
                <c:pt idx="57">
                  <c:v>15</c:v>
                </c:pt>
                <c:pt idx="58">
                  <c:v>15.3</c:v>
                </c:pt>
                <c:pt idx="59">
                  <c:v>15.3</c:v>
                </c:pt>
                <c:pt idx="60">
                  <c:v>14.3</c:v>
                </c:pt>
                <c:pt idx="61">
                  <c:v>13.8</c:v>
                </c:pt>
                <c:pt idx="62">
                  <c:v>14.2</c:v>
                </c:pt>
                <c:pt idx="63">
                  <c:v>16.399999999999999</c:v>
                </c:pt>
                <c:pt idx="64">
                  <c:v>14.4</c:v>
                </c:pt>
                <c:pt idx="65">
                  <c:v>14.4</c:v>
                </c:pt>
                <c:pt idx="66">
                  <c:v>15.3</c:v>
                </c:pt>
                <c:pt idx="67">
                  <c:v>16.100000000000001</c:v>
                </c:pt>
                <c:pt idx="68">
                  <c:v>14.2</c:v>
                </c:pt>
                <c:pt idx="69">
                  <c:v>15</c:v>
                </c:pt>
                <c:pt idx="70">
                  <c:v>15.7</c:v>
                </c:pt>
                <c:pt idx="71">
                  <c:v>14.6</c:v>
                </c:pt>
                <c:pt idx="72">
                  <c:v>14.9</c:v>
                </c:pt>
                <c:pt idx="73">
                  <c:v>14.6</c:v>
                </c:pt>
                <c:pt idx="74">
                  <c:v>12.7</c:v>
                </c:pt>
                <c:pt idx="75">
                  <c:v>14.5</c:v>
                </c:pt>
                <c:pt idx="76">
                  <c:v>13</c:v>
                </c:pt>
                <c:pt idx="77">
                  <c:v>15.3</c:v>
                </c:pt>
                <c:pt idx="78">
                  <c:v>14.28</c:v>
                </c:pt>
                <c:pt idx="79">
                  <c:v>13.61</c:v>
                </c:pt>
                <c:pt idx="80">
                  <c:v>13.43</c:v>
                </c:pt>
                <c:pt idx="81">
                  <c:v>13.59</c:v>
                </c:pt>
                <c:pt idx="82">
                  <c:v>12.9</c:v>
                </c:pt>
                <c:pt idx="83">
                  <c:v>13.16</c:v>
                </c:pt>
                <c:pt idx="84">
                  <c:v>13.23</c:v>
                </c:pt>
                <c:pt idx="85">
                  <c:v>12.59</c:v>
                </c:pt>
                <c:pt idx="86">
                  <c:v>12.4</c:v>
                </c:pt>
                <c:pt idx="87">
                  <c:v>12.8</c:v>
                </c:pt>
                <c:pt idx="88">
                  <c:v>12.91</c:v>
                </c:pt>
                <c:pt idx="89">
                  <c:v>12.82</c:v>
                </c:pt>
                <c:pt idx="90">
                  <c:v>12.2</c:v>
                </c:pt>
                <c:pt idx="91">
                  <c:v>11.97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Data2'!$G$243:$CT$243</c:f>
              <c:numCache>
                <c:formatCode>General</c:formatCode>
                <c:ptCount val="92"/>
                <c:pt idx="0">
                  <c:v>24</c:v>
                </c:pt>
                <c:pt idx="1">
                  <c:v>17</c:v>
                </c:pt>
                <c:pt idx="2">
                  <c:v>23</c:v>
                </c:pt>
                <c:pt idx="3">
                  <c:v>18</c:v>
                </c:pt>
                <c:pt idx="4">
                  <c:v>24</c:v>
                </c:pt>
                <c:pt idx="5">
                  <c:v>19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22</c:v>
                </c:pt>
                <c:pt idx="10">
                  <c:v>18</c:v>
                </c:pt>
                <c:pt idx="11">
                  <c:v>18</c:v>
                </c:pt>
                <c:pt idx="12">
                  <c:v>16</c:v>
                </c:pt>
                <c:pt idx="13">
                  <c:v>22</c:v>
                </c:pt>
                <c:pt idx="14">
                  <c:v>22</c:v>
                </c:pt>
                <c:pt idx="15">
                  <c:v>23</c:v>
                </c:pt>
                <c:pt idx="16">
                  <c:v>31</c:v>
                </c:pt>
                <c:pt idx="17">
                  <c:v>21</c:v>
                </c:pt>
                <c:pt idx="18">
                  <c:v>18</c:v>
                </c:pt>
                <c:pt idx="19">
                  <c:v>21</c:v>
                </c:pt>
                <c:pt idx="20">
                  <c:v>21.2</c:v>
                </c:pt>
                <c:pt idx="21">
                  <c:v>19.399999999999999</c:v>
                </c:pt>
                <c:pt idx="22">
                  <c:v>20.2</c:v>
                </c:pt>
                <c:pt idx="23">
                  <c:v>20.399999999999999</c:v>
                </c:pt>
                <c:pt idx="24">
                  <c:v>20.8</c:v>
                </c:pt>
                <c:pt idx="25">
                  <c:v>19.7</c:v>
                </c:pt>
                <c:pt idx="26">
                  <c:v>19.100000000000001</c:v>
                </c:pt>
                <c:pt idx="27">
                  <c:v>20.7</c:v>
                </c:pt>
                <c:pt idx="28">
                  <c:v>18.399999999999999</c:v>
                </c:pt>
                <c:pt idx="29">
                  <c:v>17.600000000000001</c:v>
                </c:pt>
                <c:pt idx="30">
                  <c:v>19</c:v>
                </c:pt>
                <c:pt idx="31">
                  <c:v>19.3</c:v>
                </c:pt>
                <c:pt idx="32">
                  <c:v>17</c:v>
                </c:pt>
                <c:pt idx="33">
                  <c:v>17</c:v>
                </c:pt>
                <c:pt idx="34">
                  <c:v>18.899999999999999</c:v>
                </c:pt>
                <c:pt idx="35">
                  <c:v>16.899999999999999</c:v>
                </c:pt>
                <c:pt idx="36">
                  <c:v>16.7</c:v>
                </c:pt>
                <c:pt idx="37">
                  <c:v>18.3</c:v>
                </c:pt>
                <c:pt idx="38">
                  <c:v>17.7</c:v>
                </c:pt>
                <c:pt idx="39">
                  <c:v>16.100000000000001</c:v>
                </c:pt>
                <c:pt idx="40">
                  <c:v>17.7</c:v>
                </c:pt>
                <c:pt idx="41">
                  <c:v>16.899999999999999</c:v>
                </c:pt>
                <c:pt idx="42">
                  <c:v>18.2</c:v>
                </c:pt>
                <c:pt idx="43">
                  <c:v>17.899999999999999</c:v>
                </c:pt>
                <c:pt idx="44">
                  <c:v>16.5</c:v>
                </c:pt>
                <c:pt idx="45">
                  <c:v>17.600000000000001</c:v>
                </c:pt>
                <c:pt idx="46">
                  <c:v>16.899999999999999</c:v>
                </c:pt>
                <c:pt idx="47">
                  <c:v>15.6</c:v>
                </c:pt>
                <c:pt idx="48">
                  <c:v>18.600000000000001</c:v>
                </c:pt>
                <c:pt idx="49">
                  <c:v>15.6</c:v>
                </c:pt>
                <c:pt idx="50">
                  <c:v>16.899999999999999</c:v>
                </c:pt>
                <c:pt idx="51">
                  <c:v>16.5</c:v>
                </c:pt>
                <c:pt idx="52">
                  <c:v>16.2</c:v>
                </c:pt>
                <c:pt idx="53">
                  <c:v>14.2</c:v>
                </c:pt>
                <c:pt idx="54">
                  <c:v>16.7</c:v>
                </c:pt>
                <c:pt idx="55">
                  <c:v>15.8</c:v>
                </c:pt>
                <c:pt idx="56">
                  <c:v>14.9</c:v>
                </c:pt>
                <c:pt idx="57">
                  <c:v>15.7</c:v>
                </c:pt>
                <c:pt idx="58">
                  <c:v>16.8</c:v>
                </c:pt>
                <c:pt idx="59">
                  <c:v>15.6</c:v>
                </c:pt>
                <c:pt idx="60">
                  <c:v>14.8</c:v>
                </c:pt>
                <c:pt idx="61">
                  <c:v>17.100000000000001</c:v>
                </c:pt>
                <c:pt idx="62">
                  <c:v>15.1</c:v>
                </c:pt>
                <c:pt idx="63">
                  <c:v>15.6</c:v>
                </c:pt>
                <c:pt idx="64">
                  <c:v>14.7</c:v>
                </c:pt>
                <c:pt idx="65">
                  <c:v>15.7</c:v>
                </c:pt>
                <c:pt idx="66">
                  <c:v>14.4</c:v>
                </c:pt>
                <c:pt idx="67">
                  <c:v>16</c:v>
                </c:pt>
                <c:pt idx="68">
                  <c:v>15.6</c:v>
                </c:pt>
                <c:pt idx="69">
                  <c:v>14.4</c:v>
                </c:pt>
                <c:pt idx="70">
                  <c:v>16.100000000000001</c:v>
                </c:pt>
                <c:pt idx="71">
                  <c:v>14.1</c:v>
                </c:pt>
                <c:pt idx="72">
                  <c:v>16.8</c:v>
                </c:pt>
                <c:pt idx="73">
                  <c:v>14.6</c:v>
                </c:pt>
                <c:pt idx="74">
                  <c:v>15</c:v>
                </c:pt>
                <c:pt idx="75">
                  <c:v>15.3</c:v>
                </c:pt>
                <c:pt idx="76">
                  <c:v>16.3</c:v>
                </c:pt>
                <c:pt idx="77">
                  <c:v>15.8</c:v>
                </c:pt>
                <c:pt idx="78">
                  <c:v>14.55</c:v>
                </c:pt>
                <c:pt idx="79">
                  <c:v>14.2</c:v>
                </c:pt>
                <c:pt idx="80">
                  <c:v>13.96</c:v>
                </c:pt>
                <c:pt idx="81">
                  <c:v>13.45</c:v>
                </c:pt>
                <c:pt idx="82">
                  <c:v>12.94</c:v>
                </c:pt>
                <c:pt idx="83">
                  <c:v>12.95</c:v>
                </c:pt>
                <c:pt idx="84">
                  <c:v>13.17</c:v>
                </c:pt>
                <c:pt idx="85">
                  <c:v>12.66</c:v>
                </c:pt>
                <c:pt idx="86">
                  <c:v>12.83</c:v>
                </c:pt>
                <c:pt idx="87">
                  <c:v>12.49</c:v>
                </c:pt>
                <c:pt idx="88">
                  <c:v>12.54</c:v>
                </c:pt>
                <c:pt idx="89">
                  <c:v>12.49</c:v>
                </c:pt>
                <c:pt idx="90">
                  <c:v>12.13</c:v>
                </c:pt>
                <c:pt idx="91">
                  <c:v>12.71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17120"/>
        <c:axId val="48519040"/>
      </c:scatterChart>
      <c:valAx>
        <c:axId val="4851712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519040"/>
        <c:crosses val="autoZero"/>
        <c:crossBetween val="midCat"/>
      </c:valAx>
      <c:valAx>
        <c:axId val="48519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5171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Data'!$A$303</c:f>
          <c:strCache>
            <c:ptCount val="1"/>
            <c:pt idx="0">
              <c:v>Disk 30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11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Data2'!$G$4:$CT$4</c:f>
              <c:numCache>
                <c:formatCode>General</c:formatCode>
                <c:ptCount val="92"/>
                <c:pt idx="0">
                  <c:v>2344</c:v>
                </c:pt>
                <c:pt idx="1">
                  <c:v>2390</c:v>
                </c:pt>
                <c:pt idx="2">
                  <c:v>2346</c:v>
                </c:pt>
                <c:pt idx="3">
                  <c:v>2424</c:v>
                </c:pt>
                <c:pt idx="4">
                  <c:v>2346</c:v>
                </c:pt>
                <c:pt idx="5">
                  <c:v>2354</c:v>
                </c:pt>
                <c:pt idx="6">
                  <c:v>2287</c:v>
                </c:pt>
                <c:pt idx="7">
                  <c:v>2343</c:v>
                </c:pt>
                <c:pt idx="8">
                  <c:v>2363</c:v>
                </c:pt>
                <c:pt idx="9">
                  <c:v>2346</c:v>
                </c:pt>
                <c:pt idx="10">
                  <c:v>2353</c:v>
                </c:pt>
                <c:pt idx="11">
                  <c:v>2297</c:v>
                </c:pt>
                <c:pt idx="12">
                  <c:v>2292</c:v>
                </c:pt>
                <c:pt idx="13">
                  <c:v>2343</c:v>
                </c:pt>
                <c:pt idx="14">
                  <c:v>2301</c:v>
                </c:pt>
                <c:pt idx="15">
                  <c:v>2270</c:v>
                </c:pt>
                <c:pt idx="16">
                  <c:v>2313</c:v>
                </c:pt>
                <c:pt idx="17">
                  <c:v>2343</c:v>
                </c:pt>
                <c:pt idx="18">
                  <c:v>2310</c:v>
                </c:pt>
                <c:pt idx="19">
                  <c:v>2215</c:v>
                </c:pt>
                <c:pt idx="20">
                  <c:v>2248.5</c:v>
                </c:pt>
                <c:pt idx="21">
                  <c:v>2171.8000000000002</c:v>
                </c:pt>
                <c:pt idx="22">
                  <c:v>2088.4</c:v>
                </c:pt>
                <c:pt idx="23">
                  <c:v>2002.1</c:v>
                </c:pt>
                <c:pt idx="24">
                  <c:v>1912.4</c:v>
                </c:pt>
                <c:pt idx="25">
                  <c:v>1832.8</c:v>
                </c:pt>
                <c:pt idx="26">
                  <c:v>1741.9</c:v>
                </c:pt>
                <c:pt idx="27">
                  <c:v>1662.1</c:v>
                </c:pt>
                <c:pt idx="28">
                  <c:v>1580.2</c:v>
                </c:pt>
                <c:pt idx="29">
                  <c:v>1520.6</c:v>
                </c:pt>
                <c:pt idx="30">
                  <c:v>1448.2</c:v>
                </c:pt>
                <c:pt idx="31">
                  <c:v>1413.9</c:v>
                </c:pt>
                <c:pt idx="32">
                  <c:v>1336.4</c:v>
                </c:pt>
                <c:pt idx="33">
                  <c:v>1282.5</c:v>
                </c:pt>
                <c:pt idx="34">
                  <c:v>1219.9000000000001</c:v>
                </c:pt>
                <c:pt idx="35">
                  <c:v>1155.5999999999999</c:v>
                </c:pt>
                <c:pt idx="36">
                  <c:v>1132.4000000000001</c:v>
                </c:pt>
                <c:pt idx="37">
                  <c:v>1096</c:v>
                </c:pt>
                <c:pt idx="38">
                  <c:v>1046.5999999999999</c:v>
                </c:pt>
                <c:pt idx="39">
                  <c:v>1022.1</c:v>
                </c:pt>
                <c:pt idx="40">
                  <c:v>966.3</c:v>
                </c:pt>
                <c:pt idx="41">
                  <c:v>939.2</c:v>
                </c:pt>
                <c:pt idx="42">
                  <c:v>900.3</c:v>
                </c:pt>
                <c:pt idx="43">
                  <c:v>877.7</c:v>
                </c:pt>
                <c:pt idx="44">
                  <c:v>852.3</c:v>
                </c:pt>
                <c:pt idx="45">
                  <c:v>826.8</c:v>
                </c:pt>
                <c:pt idx="46">
                  <c:v>778.6</c:v>
                </c:pt>
                <c:pt idx="47">
                  <c:v>762.8</c:v>
                </c:pt>
                <c:pt idx="48">
                  <c:v>743.3</c:v>
                </c:pt>
                <c:pt idx="49">
                  <c:v>720.3</c:v>
                </c:pt>
                <c:pt idx="50">
                  <c:v>703.1</c:v>
                </c:pt>
                <c:pt idx="51">
                  <c:v>668.9</c:v>
                </c:pt>
                <c:pt idx="52">
                  <c:v>648.6</c:v>
                </c:pt>
                <c:pt idx="53">
                  <c:v>648</c:v>
                </c:pt>
                <c:pt idx="54">
                  <c:v>623.6</c:v>
                </c:pt>
                <c:pt idx="55">
                  <c:v>613.9</c:v>
                </c:pt>
                <c:pt idx="56">
                  <c:v>579.9</c:v>
                </c:pt>
                <c:pt idx="57">
                  <c:v>582.5</c:v>
                </c:pt>
                <c:pt idx="58">
                  <c:v>551.1</c:v>
                </c:pt>
                <c:pt idx="59">
                  <c:v>537.79999999999995</c:v>
                </c:pt>
                <c:pt idx="60">
                  <c:v>535.6</c:v>
                </c:pt>
                <c:pt idx="61">
                  <c:v>520.4</c:v>
                </c:pt>
                <c:pt idx="62">
                  <c:v>499.7</c:v>
                </c:pt>
                <c:pt idx="63">
                  <c:v>494.3</c:v>
                </c:pt>
                <c:pt idx="64">
                  <c:v>478.6</c:v>
                </c:pt>
                <c:pt idx="65">
                  <c:v>464.5</c:v>
                </c:pt>
                <c:pt idx="66">
                  <c:v>466.8</c:v>
                </c:pt>
                <c:pt idx="67">
                  <c:v>456.1</c:v>
                </c:pt>
                <c:pt idx="68">
                  <c:v>438.8</c:v>
                </c:pt>
                <c:pt idx="69">
                  <c:v>430.9</c:v>
                </c:pt>
                <c:pt idx="70">
                  <c:v>432.6</c:v>
                </c:pt>
                <c:pt idx="71">
                  <c:v>408.4</c:v>
                </c:pt>
                <c:pt idx="72">
                  <c:v>404.2</c:v>
                </c:pt>
                <c:pt idx="73">
                  <c:v>394.4</c:v>
                </c:pt>
                <c:pt idx="74">
                  <c:v>386.7</c:v>
                </c:pt>
                <c:pt idx="75">
                  <c:v>379.3</c:v>
                </c:pt>
                <c:pt idx="76">
                  <c:v>373.3</c:v>
                </c:pt>
                <c:pt idx="77">
                  <c:v>367.5</c:v>
                </c:pt>
                <c:pt idx="78">
                  <c:v>333.66</c:v>
                </c:pt>
                <c:pt idx="79">
                  <c:v>284.60000000000002</c:v>
                </c:pt>
                <c:pt idx="80">
                  <c:v>244.43</c:v>
                </c:pt>
                <c:pt idx="81">
                  <c:v>215.46</c:v>
                </c:pt>
                <c:pt idx="82">
                  <c:v>193.9</c:v>
                </c:pt>
                <c:pt idx="83">
                  <c:v>175.81</c:v>
                </c:pt>
                <c:pt idx="84">
                  <c:v>158.06</c:v>
                </c:pt>
                <c:pt idx="85">
                  <c:v>146.56</c:v>
                </c:pt>
                <c:pt idx="86">
                  <c:v>136.01</c:v>
                </c:pt>
                <c:pt idx="87">
                  <c:v>126.5</c:v>
                </c:pt>
                <c:pt idx="88">
                  <c:v>119.82</c:v>
                </c:pt>
                <c:pt idx="89">
                  <c:v>111.39</c:v>
                </c:pt>
                <c:pt idx="90">
                  <c:v>105.19</c:v>
                </c:pt>
                <c:pt idx="91">
                  <c:v>100.38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Data2'!$G$5:$CT$5</c:f>
              <c:numCache>
                <c:formatCode>General</c:formatCode>
                <c:ptCount val="92"/>
                <c:pt idx="0">
                  <c:v>693</c:v>
                </c:pt>
                <c:pt idx="1">
                  <c:v>714</c:v>
                </c:pt>
                <c:pt idx="2">
                  <c:v>680</c:v>
                </c:pt>
                <c:pt idx="3">
                  <c:v>690</c:v>
                </c:pt>
                <c:pt idx="4">
                  <c:v>713</c:v>
                </c:pt>
                <c:pt idx="5">
                  <c:v>690</c:v>
                </c:pt>
                <c:pt idx="6">
                  <c:v>676</c:v>
                </c:pt>
                <c:pt idx="7">
                  <c:v>656</c:v>
                </c:pt>
                <c:pt idx="8">
                  <c:v>716</c:v>
                </c:pt>
                <c:pt idx="9">
                  <c:v>674</c:v>
                </c:pt>
                <c:pt idx="10">
                  <c:v>661</c:v>
                </c:pt>
                <c:pt idx="11">
                  <c:v>678</c:v>
                </c:pt>
                <c:pt idx="12">
                  <c:v>649</c:v>
                </c:pt>
                <c:pt idx="13">
                  <c:v>686</c:v>
                </c:pt>
                <c:pt idx="14">
                  <c:v>649</c:v>
                </c:pt>
                <c:pt idx="15">
                  <c:v>690</c:v>
                </c:pt>
                <c:pt idx="16">
                  <c:v>653</c:v>
                </c:pt>
                <c:pt idx="17">
                  <c:v>653</c:v>
                </c:pt>
                <c:pt idx="18">
                  <c:v>668</c:v>
                </c:pt>
                <c:pt idx="19">
                  <c:v>699</c:v>
                </c:pt>
                <c:pt idx="20">
                  <c:v>656.2</c:v>
                </c:pt>
                <c:pt idx="21">
                  <c:v>645.70000000000005</c:v>
                </c:pt>
                <c:pt idx="22">
                  <c:v>620.5</c:v>
                </c:pt>
                <c:pt idx="23">
                  <c:v>600.5</c:v>
                </c:pt>
                <c:pt idx="24">
                  <c:v>584.5</c:v>
                </c:pt>
                <c:pt idx="25">
                  <c:v>565.70000000000005</c:v>
                </c:pt>
                <c:pt idx="26">
                  <c:v>543</c:v>
                </c:pt>
                <c:pt idx="27">
                  <c:v>523.4</c:v>
                </c:pt>
                <c:pt idx="28">
                  <c:v>502.4</c:v>
                </c:pt>
                <c:pt idx="29">
                  <c:v>494.6</c:v>
                </c:pt>
                <c:pt idx="30">
                  <c:v>460.5</c:v>
                </c:pt>
                <c:pt idx="31">
                  <c:v>446.4</c:v>
                </c:pt>
                <c:pt idx="32">
                  <c:v>436.1</c:v>
                </c:pt>
                <c:pt idx="33">
                  <c:v>423.7</c:v>
                </c:pt>
                <c:pt idx="34">
                  <c:v>410.6</c:v>
                </c:pt>
                <c:pt idx="35">
                  <c:v>392.5</c:v>
                </c:pt>
                <c:pt idx="36">
                  <c:v>379.2</c:v>
                </c:pt>
                <c:pt idx="37">
                  <c:v>367.2</c:v>
                </c:pt>
                <c:pt idx="38">
                  <c:v>367.8</c:v>
                </c:pt>
                <c:pt idx="39">
                  <c:v>354.2</c:v>
                </c:pt>
                <c:pt idx="40">
                  <c:v>338.8</c:v>
                </c:pt>
                <c:pt idx="41">
                  <c:v>326.8</c:v>
                </c:pt>
                <c:pt idx="42">
                  <c:v>320.3</c:v>
                </c:pt>
                <c:pt idx="43">
                  <c:v>312.10000000000002</c:v>
                </c:pt>
                <c:pt idx="44">
                  <c:v>309.10000000000002</c:v>
                </c:pt>
                <c:pt idx="45">
                  <c:v>302</c:v>
                </c:pt>
                <c:pt idx="46">
                  <c:v>284.8</c:v>
                </c:pt>
                <c:pt idx="47">
                  <c:v>284.3</c:v>
                </c:pt>
                <c:pt idx="48">
                  <c:v>277.60000000000002</c:v>
                </c:pt>
                <c:pt idx="49">
                  <c:v>271.39999999999998</c:v>
                </c:pt>
                <c:pt idx="50">
                  <c:v>266.60000000000002</c:v>
                </c:pt>
                <c:pt idx="51">
                  <c:v>254.5</c:v>
                </c:pt>
                <c:pt idx="52">
                  <c:v>251</c:v>
                </c:pt>
                <c:pt idx="53">
                  <c:v>254.1</c:v>
                </c:pt>
                <c:pt idx="54">
                  <c:v>249.1</c:v>
                </c:pt>
                <c:pt idx="55">
                  <c:v>238</c:v>
                </c:pt>
                <c:pt idx="56">
                  <c:v>231.3</c:v>
                </c:pt>
                <c:pt idx="57">
                  <c:v>226.9</c:v>
                </c:pt>
                <c:pt idx="58">
                  <c:v>225.2</c:v>
                </c:pt>
                <c:pt idx="59">
                  <c:v>223.5</c:v>
                </c:pt>
                <c:pt idx="60">
                  <c:v>210.2</c:v>
                </c:pt>
                <c:pt idx="61">
                  <c:v>212.8</c:v>
                </c:pt>
                <c:pt idx="62">
                  <c:v>203.9</c:v>
                </c:pt>
                <c:pt idx="63">
                  <c:v>212.2</c:v>
                </c:pt>
                <c:pt idx="64">
                  <c:v>203.9</c:v>
                </c:pt>
                <c:pt idx="65">
                  <c:v>201.7</c:v>
                </c:pt>
                <c:pt idx="66">
                  <c:v>201.6</c:v>
                </c:pt>
                <c:pt idx="67">
                  <c:v>200.3</c:v>
                </c:pt>
                <c:pt idx="68">
                  <c:v>188.5</c:v>
                </c:pt>
                <c:pt idx="69">
                  <c:v>185.1</c:v>
                </c:pt>
                <c:pt idx="70">
                  <c:v>188.1</c:v>
                </c:pt>
                <c:pt idx="71">
                  <c:v>176.1</c:v>
                </c:pt>
                <c:pt idx="72">
                  <c:v>177.3</c:v>
                </c:pt>
                <c:pt idx="73">
                  <c:v>180.2</c:v>
                </c:pt>
                <c:pt idx="74">
                  <c:v>173.2</c:v>
                </c:pt>
                <c:pt idx="75">
                  <c:v>178.8</c:v>
                </c:pt>
                <c:pt idx="76">
                  <c:v>173.9</c:v>
                </c:pt>
                <c:pt idx="77">
                  <c:v>171</c:v>
                </c:pt>
                <c:pt idx="78">
                  <c:v>159.57</c:v>
                </c:pt>
                <c:pt idx="79">
                  <c:v>142.96</c:v>
                </c:pt>
                <c:pt idx="80">
                  <c:v>129.29</c:v>
                </c:pt>
                <c:pt idx="81">
                  <c:v>120.1</c:v>
                </c:pt>
                <c:pt idx="82">
                  <c:v>110.56</c:v>
                </c:pt>
                <c:pt idx="83">
                  <c:v>106.23</c:v>
                </c:pt>
                <c:pt idx="84">
                  <c:v>99.17</c:v>
                </c:pt>
                <c:pt idx="85">
                  <c:v>94.33</c:v>
                </c:pt>
                <c:pt idx="86">
                  <c:v>90.69</c:v>
                </c:pt>
                <c:pt idx="87">
                  <c:v>85.42</c:v>
                </c:pt>
                <c:pt idx="88">
                  <c:v>82.24</c:v>
                </c:pt>
                <c:pt idx="89">
                  <c:v>79.95</c:v>
                </c:pt>
                <c:pt idx="90">
                  <c:v>75.64</c:v>
                </c:pt>
                <c:pt idx="91">
                  <c:v>74.27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Data2'!$G$6:$CT$6</c:f>
              <c:numCache>
                <c:formatCode>General</c:formatCode>
                <c:ptCount val="92"/>
                <c:pt idx="0">
                  <c:v>904</c:v>
                </c:pt>
                <c:pt idx="1">
                  <c:v>861</c:v>
                </c:pt>
                <c:pt idx="2">
                  <c:v>819</c:v>
                </c:pt>
                <c:pt idx="3">
                  <c:v>857</c:v>
                </c:pt>
                <c:pt idx="4">
                  <c:v>835</c:v>
                </c:pt>
                <c:pt idx="5">
                  <c:v>867</c:v>
                </c:pt>
                <c:pt idx="6">
                  <c:v>886</c:v>
                </c:pt>
                <c:pt idx="7">
                  <c:v>885</c:v>
                </c:pt>
                <c:pt idx="8">
                  <c:v>888</c:v>
                </c:pt>
                <c:pt idx="9">
                  <c:v>895</c:v>
                </c:pt>
                <c:pt idx="10">
                  <c:v>881</c:v>
                </c:pt>
                <c:pt idx="11">
                  <c:v>866</c:v>
                </c:pt>
                <c:pt idx="12">
                  <c:v>852</c:v>
                </c:pt>
                <c:pt idx="13">
                  <c:v>876</c:v>
                </c:pt>
                <c:pt idx="14">
                  <c:v>831</c:v>
                </c:pt>
                <c:pt idx="15">
                  <c:v>816</c:v>
                </c:pt>
                <c:pt idx="16">
                  <c:v>852</c:v>
                </c:pt>
                <c:pt idx="17">
                  <c:v>829</c:v>
                </c:pt>
                <c:pt idx="18">
                  <c:v>808</c:v>
                </c:pt>
                <c:pt idx="19">
                  <c:v>873</c:v>
                </c:pt>
                <c:pt idx="20">
                  <c:v>834.8</c:v>
                </c:pt>
                <c:pt idx="21">
                  <c:v>795</c:v>
                </c:pt>
                <c:pt idx="22">
                  <c:v>761.8</c:v>
                </c:pt>
                <c:pt idx="23">
                  <c:v>733.1</c:v>
                </c:pt>
                <c:pt idx="24">
                  <c:v>700.7</c:v>
                </c:pt>
                <c:pt idx="25">
                  <c:v>673.1</c:v>
                </c:pt>
                <c:pt idx="26">
                  <c:v>658.3</c:v>
                </c:pt>
                <c:pt idx="27">
                  <c:v>622.70000000000005</c:v>
                </c:pt>
                <c:pt idx="28">
                  <c:v>586.29999999999995</c:v>
                </c:pt>
                <c:pt idx="29">
                  <c:v>565.79999999999995</c:v>
                </c:pt>
                <c:pt idx="30">
                  <c:v>540.29999999999995</c:v>
                </c:pt>
                <c:pt idx="31">
                  <c:v>524.70000000000005</c:v>
                </c:pt>
                <c:pt idx="32">
                  <c:v>514.29999999999995</c:v>
                </c:pt>
                <c:pt idx="33">
                  <c:v>487.2</c:v>
                </c:pt>
                <c:pt idx="34">
                  <c:v>459.8</c:v>
                </c:pt>
                <c:pt idx="35">
                  <c:v>444.8</c:v>
                </c:pt>
                <c:pt idx="36">
                  <c:v>437.2</c:v>
                </c:pt>
                <c:pt idx="37">
                  <c:v>422.3</c:v>
                </c:pt>
                <c:pt idx="38">
                  <c:v>403.3</c:v>
                </c:pt>
                <c:pt idx="39">
                  <c:v>382.5</c:v>
                </c:pt>
                <c:pt idx="40">
                  <c:v>365.6</c:v>
                </c:pt>
                <c:pt idx="41">
                  <c:v>360.8</c:v>
                </c:pt>
                <c:pt idx="42">
                  <c:v>350.1</c:v>
                </c:pt>
                <c:pt idx="43">
                  <c:v>336.4</c:v>
                </c:pt>
                <c:pt idx="44">
                  <c:v>325.3</c:v>
                </c:pt>
                <c:pt idx="45">
                  <c:v>318</c:v>
                </c:pt>
                <c:pt idx="46">
                  <c:v>311</c:v>
                </c:pt>
                <c:pt idx="47">
                  <c:v>302</c:v>
                </c:pt>
                <c:pt idx="48">
                  <c:v>290.2</c:v>
                </c:pt>
                <c:pt idx="49">
                  <c:v>282.39999999999998</c:v>
                </c:pt>
                <c:pt idx="50">
                  <c:v>279.10000000000002</c:v>
                </c:pt>
                <c:pt idx="51">
                  <c:v>267.10000000000002</c:v>
                </c:pt>
                <c:pt idx="52">
                  <c:v>256.60000000000002</c:v>
                </c:pt>
                <c:pt idx="53">
                  <c:v>250.9</c:v>
                </c:pt>
                <c:pt idx="54">
                  <c:v>250</c:v>
                </c:pt>
                <c:pt idx="55">
                  <c:v>239.9</c:v>
                </c:pt>
                <c:pt idx="56">
                  <c:v>232.7</c:v>
                </c:pt>
                <c:pt idx="57">
                  <c:v>233.4</c:v>
                </c:pt>
                <c:pt idx="58">
                  <c:v>223.3</c:v>
                </c:pt>
                <c:pt idx="59">
                  <c:v>219</c:v>
                </c:pt>
                <c:pt idx="60">
                  <c:v>216.4</c:v>
                </c:pt>
                <c:pt idx="61">
                  <c:v>212.2</c:v>
                </c:pt>
                <c:pt idx="62">
                  <c:v>205.4</c:v>
                </c:pt>
                <c:pt idx="63">
                  <c:v>202.4</c:v>
                </c:pt>
                <c:pt idx="64">
                  <c:v>198</c:v>
                </c:pt>
                <c:pt idx="65">
                  <c:v>187.2</c:v>
                </c:pt>
                <c:pt idx="66">
                  <c:v>186.9</c:v>
                </c:pt>
                <c:pt idx="67">
                  <c:v>180.4</c:v>
                </c:pt>
                <c:pt idx="68">
                  <c:v>182.2</c:v>
                </c:pt>
                <c:pt idx="69">
                  <c:v>181.7</c:v>
                </c:pt>
                <c:pt idx="70">
                  <c:v>176.6</c:v>
                </c:pt>
                <c:pt idx="71">
                  <c:v>170.8</c:v>
                </c:pt>
                <c:pt idx="72">
                  <c:v>171.8</c:v>
                </c:pt>
                <c:pt idx="73">
                  <c:v>165.9</c:v>
                </c:pt>
                <c:pt idx="74">
                  <c:v>159.19999999999999</c:v>
                </c:pt>
                <c:pt idx="75">
                  <c:v>152.30000000000001</c:v>
                </c:pt>
                <c:pt idx="76">
                  <c:v>162.30000000000001</c:v>
                </c:pt>
                <c:pt idx="77">
                  <c:v>150.69999999999999</c:v>
                </c:pt>
                <c:pt idx="78">
                  <c:v>138.38999999999999</c:v>
                </c:pt>
                <c:pt idx="79">
                  <c:v>120.61</c:v>
                </c:pt>
                <c:pt idx="80">
                  <c:v>104.47</c:v>
                </c:pt>
                <c:pt idx="81">
                  <c:v>94.72</c:v>
                </c:pt>
                <c:pt idx="82">
                  <c:v>84.38</c:v>
                </c:pt>
                <c:pt idx="83">
                  <c:v>78.540000000000006</c:v>
                </c:pt>
                <c:pt idx="84">
                  <c:v>71.08</c:v>
                </c:pt>
                <c:pt idx="85">
                  <c:v>66.400000000000006</c:v>
                </c:pt>
                <c:pt idx="86">
                  <c:v>60.56</c:v>
                </c:pt>
                <c:pt idx="87">
                  <c:v>58.1</c:v>
                </c:pt>
                <c:pt idx="88">
                  <c:v>55.17</c:v>
                </c:pt>
                <c:pt idx="89">
                  <c:v>50.59</c:v>
                </c:pt>
                <c:pt idx="90">
                  <c:v>49.05</c:v>
                </c:pt>
                <c:pt idx="91">
                  <c:v>47.47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Data2'!$G$7:$CT$7</c:f>
              <c:numCache>
                <c:formatCode>General</c:formatCode>
                <c:ptCount val="92"/>
                <c:pt idx="0">
                  <c:v>471</c:v>
                </c:pt>
                <c:pt idx="1">
                  <c:v>475</c:v>
                </c:pt>
                <c:pt idx="2">
                  <c:v>486</c:v>
                </c:pt>
                <c:pt idx="3">
                  <c:v>485</c:v>
                </c:pt>
                <c:pt idx="4">
                  <c:v>485</c:v>
                </c:pt>
                <c:pt idx="5">
                  <c:v>477</c:v>
                </c:pt>
                <c:pt idx="6">
                  <c:v>486</c:v>
                </c:pt>
                <c:pt idx="7">
                  <c:v>449</c:v>
                </c:pt>
                <c:pt idx="8">
                  <c:v>445</c:v>
                </c:pt>
                <c:pt idx="9">
                  <c:v>461</c:v>
                </c:pt>
                <c:pt idx="10">
                  <c:v>465</c:v>
                </c:pt>
                <c:pt idx="11">
                  <c:v>457</c:v>
                </c:pt>
                <c:pt idx="12">
                  <c:v>492</c:v>
                </c:pt>
                <c:pt idx="13">
                  <c:v>454</c:v>
                </c:pt>
                <c:pt idx="14">
                  <c:v>432</c:v>
                </c:pt>
                <c:pt idx="15">
                  <c:v>460</c:v>
                </c:pt>
                <c:pt idx="16">
                  <c:v>451</c:v>
                </c:pt>
                <c:pt idx="17">
                  <c:v>426</c:v>
                </c:pt>
                <c:pt idx="18">
                  <c:v>448</c:v>
                </c:pt>
                <c:pt idx="19">
                  <c:v>435</c:v>
                </c:pt>
                <c:pt idx="20">
                  <c:v>441</c:v>
                </c:pt>
                <c:pt idx="21">
                  <c:v>423.4</c:v>
                </c:pt>
                <c:pt idx="22">
                  <c:v>412.1</c:v>
                </c:pt>
                <c:pt idx="23">
                  <c:v>399.7</c:v>
                </c:pt>
                <c:pt idx="24">
                  <c:v>385.1</c:v>
                </c:pt>
                <c:pt idx="25">
                  <c:v>374.7</c:v>
                </c:pt>
                <c:pt idx="26">
                  <c:v>349.8</c:v>
                </c:pt>
                <c:pt idx="27">
                  <c:v>339.3</c:v>
                </c:pt>
                <c:pt idx="28">
                  <c:v>323.10000000000002</c:v>
                </c:pt>
                <c:pt idx="29">
                  <c:v>314.8</c:v>
                </c:pt>
                <c:pt idx="30">
                  <c:v>305.60000000000002</c:v>
                </c:pt>
                <c:pt idx="31">
                  <c:v>288.2</c:v>
                </c:pt>
                <c:pt idx="32">
                  <c:v>279</c:v>
                </c:pt>
                <c:pt idx="33">
                  <c:v>271.10000000000002</c:v>
                </c:pt>
                <c:pt idx="34">
                  <c:v>266.8</c:v>
                </c:pt>
                <c:pt idx="35">
                  <c:v>259.89999999999998</c:v>
                </c:pt>
                <c:pt idx="36">
                  <c:v>254.4</c:v>
                </c:pt>
                <c:pt idx="37">
                  <c:v>235.8</c:v>
                </c:pt>
                <c:pt idx="38">
                  <c:v>234.4</c:v>
                </c:pt>
                <c:pt idx="39">
                  <c:v>221.4</c:v>
                </c:pt>
                <c:pt idx="40">
                  <c:v>216.9</c:v>
                </c:pt>
                <c:pt idx="41">
                  <c:v>213.7</c:v>
                </c:pt>
                <c:pt idx="42">
                  <c:v>202.7</c:v>
                </c:pt>
                <c:pt idx="43">
                  <c:v>198.8</c:v>
                </c:pt>
                <c:pt idx="44">
                  <c:v>199.7</c:v>
                </c:pt>
                <c:pt idx="45">
                  <c:v>193.3</c:v>
                </c:pt>
                <c:pt idx="46">
                  <c:v>191.9</c:v>
                </c:pt>
                <c:pt idx="47">
                  <c:v>186.8</c:v>
                </c:pt>
                <c:pt idx="48">
                  <c:v>175.7</c:v>
                </c:pt>
                <c:pt idx="49">
                  <c:v>168.7</c:v>
                </c:pt>
                <c:pt idx="50">
                  <c:v>163.9</c:v>
                </c:pt>
                <c:pt idx="51">
                  <c:v>164.1</c:v>
                </c:pt>
                <c:pt idx="52">
                  <c:v>157.69999999999999</c:v>
                </c:pt>
                <c:pt idx="53">
                  <c:v>157.19999999999999</c:v>
                </c:pt>
                <c:pt idx="54">
                  <c:v>158</c:v>
                </c:pt>
                <c:pt idx="55">
                  <c:v>149.80000000000001</c:v>
                </c:pt>
                <c:pt idx="56">
                  <c:v>148.69999999999999</c:v>
                </c:pt>
                <c:pt idx="57">
                  <c:v>148.1</c:v>
                </c:pt>
                <c:pt idx="58">
                  <c:v>141</c:v>
                </c:pt>
                <c:pt idx="59">
                  <c:v>139.19999999999999</c:v>
                </c:pt>
                <c:pt idx="60">
                  <c:v>139.6</c:v>
                </c:pt>
                <c:pt idx="61">
                  <c:v>135.4</c:v>
                </c:pt>
                <c:pt idx="62">
                  <c:v>137.19999999999999</c:v>
                </c:pt>
                <c:pt idx="63">
                  <c:v>126.3</c:v>
                </c:pt>
                <c:pt idx="64">
                  <c:v>129.4</c:v>
                </c:pt>
                <c:pt idx="65">
                  <c:v>124.9</c:v>
                </c:pt>
                <c:pt idx="66">
                  <c:v>127.9</c:v>
                </c:pt>
                <c:pt idx="67">
                  <c:v>119.8</c:v>
                </c:pt>
                <c:pt idx="68">
                  <c:v>116.9</c:v>
                </c:pt>
                <c:pt idx="69">
                  <c:v>116.8</c:v>
                </c:pt>
                <c:pt idx="70">
                  <c:v>121.1</c:v>
                </c:pt>
                <c:pt idx="71">
                  <c:v>114.5</c:v>
                </c:pt>
                <c:pt idx="72">
                  <c:v>112.6</c:v>
                </c:pt>
                <c:pt idx="73">
                  <c:v>116</c:v>
                </c:pt>
                <c:pt idx="74">
                  <c:v>106.9</c:v>
                </c:pt>
                <c:pt idx="75">
                  <c:v>108.2</c:v>
                </c:pt>
                <c:pt idx="76">
                  <c:v>109.2</c:v>
                </c:pt>
                <c:pt idx="77">
                  <c:v>104</c:v>
                </c:pt>
                <c:pt idx="78">
                  <c:v>96.88</c:v>
                </c:pt>
                <c:pt idx="79">
                  <c:v>87.29</c:v>
                </c:pt>
                <c:pt idx="80">
                  <c:v>80.05</c:v>
                </c:pt>
                <c:pt idx="81">
                  <c:v>73.069999999999993</c:v>
                </c:pt>
                <c:pt idx="82">
                  <c:v>69.03</c:v>
                </c:pt>
                <c:pt idx="83">
                  <c:v>64.22</c:v>
                </c:pt>
                <c:pt idx="84">
                  <c:v>59.31</c:v>
                </c:pt>
                <c:pt idx="85">
                  <c:v>56.56</c:v>
                </c:pt>
                <c:pt idx="86">
                  <c:v>54.3</c:v>
                </c:pt>
                <c:pt idx="87">
                  <c:v>51.13</c:v>
                </c:pt>
                <c:pt idx="88">
                  <c:v>52.03</c:v>
                </c:pt>
                <c:pt idx="89">
                  <c:v>47.05</c:v>
                </c:pt>
                <c:pt idx="90">
                  <c:v>45.92</c:v>
                </c:pt>
                <c:pt idx="91">
                  <c:v>44.93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Data2'!$G$8:$CT$8</c:f>
              <c:numCache>
                <c:formatCode>General</c:formatCode>
                <c:ptCount val="92"/>
                <c:pt idx="0">
                  <c:v>2011</c:v>
                </c:pt>
                <c:pt idx="1">
                  <c:v>1999</c:v>
                </c:pt>
                <c:pt idx="2">
                  <c:v>2025</c:v>
                </c:pt>
                <c:pt idx="3">
                  <c:v>2079</c:v>
                </c:pt>
                <c:pt idx="4">
                  <c:v>2040</c:v>
                </c:pt>
                <c:pt idx="5">
                  <c:v>2005</c:v>
                </c:pt>
                <c:pt idx="6">
                  <c:v>1963</c:v>
                </c:pt>
                <c:pt idx="7">
                  <c:v>2020</c:v>
                </c:pt>
                <c:pt idx="8">
                  <c:v>2033</c:v>
                </c:pt>
                <c:pt idx="9">
                  <c:v>2048</c:v>
                </c:pt>
                <c:pt idx="10">
                  <c:v>1981</c:v>
                </c:pt>
                <c:pt idx="11">
                  <c:v>1992</c:v>
                </c:pt>
                <c:pt idx="12">
                  <c:v>1955</c:v>
                </c:pt>
                <c:pt idx="13">
                  <c:v>2026</c:v>
                </c:pt>
                <c:pt idx="14">
                  <c:v>1942</c:v>
                </c:pt>
                <c:pt idx="15">
                  <c:v>1961</c:v>
                </c:pt>
                <c:pt idx="16">
                  <c:v>1741</c:v>
                </c:pt>
                <c:pt idx="17">
                  <c:v>1940</c:v>
                </c:pt>
                <c:pt idx="18">
                  <c:v>1952</c:v>
                </c:pt>
                <c:pt idx="19">
                  <c:v>1943</c:v>
                </c:pt>
                <c:pt idx="20">
                  <c:v>1934</c:v>
                </c:pt>
                <c:pt idx="21">
                  <c:v>1856.6</c:v>
                </c:pt>
                <c:pt idx="22">
                  <c:v>1776.7</c:v>
                </c:pt>
                <c:pt idx="23">
                  <c:v>1708.9</c:v>
                </c:pt>
                <c:pt idx="24">
                  <c:v>1651.8</c:v>
                </c:pt>
                <c:pt idx="25">
                  <c:v>1584.6</c:v>
                </c:pt>
                <c:pt idx="26">
                  <c:v>1517.6</c:v>
                </c:pt>
                <c:pt idx="27">
                  <c:v>1447.3</c:v>
                </c:pt>
                <c:pt idx="28">
                  <c:v>1400.6</c:v>
                </c:pt>
                <c:pt idx="29">
                  <c:v>1347.7</c:v>
                </c:pt>
                <c:pt idx="30">
                  <c:v>1273.5999999999999</c:v>
                </c:pt>
                <c:pt idx="31">
                  <c:v>1226.5</c:v>
                </c:pt>
                <c:pt idx="32">
                  <c:v>1175.4000000000001</c:v>
                </c:pt>
                <c:pt idx="33">
                  <c:v>1131.7</c:v>
                </c:pt>
                <c:pt idx="34">
                  <c:v>1079.3</c:v>
                </c:pt>
                <c:pt idx="35">
                  <c:v>1048.8</c:v>
                </c:pt>
                <c:pt idx="36">
                  <c:v>1014.3</c:v>
                </c:pt>
                <c:pt idx="37">
                  <c:v>969.7</c:v>
                </c:pt>
                <c:pt idx="38">
                  <c:v>938.5</c:v>
                </c:pt>
                <c:pt idx="39">
                  <c:v>907.2</c:v>
                </c:pt>
                <c:pt idx="40">
                  <c:v>868.6</c:v>
                </c:pt>
                <c:pt idx="41">
                  <c:v>843.9</c:v>
                </c:pt>
                <c:pt idx="42">
                  <c:v>813.9</c:v>
                </c:pt>
                <c:pt idx="43">
                  <c:v>791.3</c:v>
                </c:pt>
                <c:pt idx="44">
                  <c:v>765.3</c:v>
                </c:pt>
                <c:pt idx="45">
                  <c:v>757.1</c:v>
                </c:pt>
                <c:pt idx="46">
                  <c:v>726.7</c:v>
                </c:pt>
                <c:pt idx="47">
                  <c:v>695.1</c:v>
                </c:pt>
                <c:pt idx="48">
                  <c:v>687.3</c:v>
                </c:pt>
                <c:pt idx="49">
                  <c:v>667.2</c:v>
                </c:pt>
                <c:pt idx="50">
                  <c:v>638.1</c:v>
                </c:pt>
                <c:pt idx="51">
                  <c:v>619.9</c:v>
                </c:pt>
                <c:pt idx="52">
                  <c:v>610.6</c:v>
                </c:pt>
                <c:pt idx="53">
                  <c:v>586.70000000000005</c:v>
                </c:pt>
                <c:pt idx="54">
                  <c:v>571.20000000000005</c:v>
                </c:pt>
                <c:pt idx="55">
                  <c:v>562.20000000000005</c:v>
                </c:pt>
                <c:pt idx="56">
                  <c:v>560.5</c:v>
                </c:pt>
                <c:pt idx="57">
                  <c:v>534.79999999999995</c:v>
                </c:pt>
                <c:pt idx="58">
                  <c:v>519.4</c:v>
                </c:pt>
                <c:pt idx="59">
                  <c:v>512.6</c:v>
                </c:pt>
                <c:pt idx="60">
                  <c:v>493.4</c:v>
                </c:pt>
                <c:pt idx="61">
                  <c:v>495</c:v>
                </c:pt>
                <c:pt idx="62">
                  <c:v>485.3</c:v>
                </c:pt>
                <c:pt idx="63">
                  <c:v>467</c:v>
                </c:pt>
                <c:pt idx="64">
                  <c:v>452.6</c:v>
                </c:pt>
                <c:pt idx="65">
                  <c:v>442</c:v>
                </c:pt>
                <c:pt idx="66">
                  <c:v>440.1</c:v>
                </c:pt>
                <c:pt idx="67">
                  <c:v>425.7</c:v>
                </c:pt>
                <c:pt idx="68">
                  <c:v>418.5</c:v>
                </c:pt>
                <c:pt idx="69">
                  <c:v>412.9</c:v>
                </c:pt>
                <c:pt idx="70">
                  <c:v>400.2</c:v>
                </c:pt>
                <c:pt idx="71">
                  <c:v>391.3</c:v>
                </c:pt>
                <c:pt idx="72">
                  <c:v>383.8</c:v>
                </c:pt>
                <c:pt idx="73">
                  <c:v>379.3</c:v>
                </c:pt>
                <c:pt idx="74">
                  <c:v>375.5</c:v>
                </c:pt>
                <c:pt idx="75">
                  <c:v>367.8</c:v>
                </c:pt>
                <c:pt idx="76">
                  <c:v>351.8</c:v>
                </c:pt>
                <c:pt idx="77">
                  <c:v>352.9</c:v>
                </c:pt>
                <c:pt idx="78">
                  <c:v>324.07</c:v>
                </c:pt>
                <c:pt idx="79">
                  <c:v>277.54000000000002</c:v>
                </c:pt>
                <c:pt idx="80">
                  <c:v>245.12</c:v>
                </c:pt>
                <c:pt idx="81">
                  <c:v>219.63</c:v>
                </c:pt>
                <c:pt idx="82">
                  <c:v>195.81</c:v>
                </c:pt>
                <c:pt idx="83">
                  <c:v>177.41</c:v>
                </c:pt>
                <c:pt idx="84">
                  <c:v>164.02</c:v>
                </c:pt>
                <c:pt idx="85">
                  <c:v>147.94</c:v>
                </c:pt>
                <c:pt idx="86">
                  <c:v>139.24</c:v>
                </c:pt>
                <c:pt idx="87">
                  <c:v>132.65</c:v>
                </c:pt>
                <c:pt idx="88">
                  <c:v>124.57</c:v>
                </c:pt>
                <c:pt idx="89">
                  <c:v>119.57</c:v>
                </c:pt>
                <c:pt idx="90">
                  <c:v>112.32</c:v>
                </c:pt>
                <c:pt idx="91">
                  <c:v>106.92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Data2'!$G$9:$CT$9</c:f>
              <c:numCache>
                <c:formatCode>General</c:formatCode>
                <c:ptCount val="92"/>
                <c:pt idx="0">
                  <c:v>647</c:v>
                </c:pt>
                <c:pt idx="1">
                  <c:v>604</c:v>
                </c:pt>
                <c:pt idx="2">
                  <c:v>663</c:v>
                </c:pt>
                <c:pt idx="3">
                  <c:v>603</c:v>
                </c:pt>
                <c:pt idx="4">
                  <c:v>595</c:v>
                </c:pt>
                <c:pt idx="5">
                  <c:v>610</c:v>
                </c:pt>
                <c:pt idx="6">
                  <c:v>634</c:v>
                </c:pt>
                <c:pt idx="7">
                  <c:v>608</c:v>
                </c:pt>
                <c:pt idx="8">
                  <c:v>625</c:v>
                </c:pt>
                <c:pt idx="9">
                  <c:v>610</c:v>
                </c:pt>
                <c:pt idx="10">
                  <c:v>600</c:v>
                </c:pt>
                <c:pt idx="11">
                  <c:v>608</c:v>
                </c:pt>
                <c:pt idx="12">
                  <c:v>577</c:v>
                </c:pt>
                <c:pt idx="13">
                  <c:v>572</c:v>
                </c:pt>
                <c:pt idx="14">
                  <c:v>619</c:v>
                </c:pt>
                <c:pt idx="15">
                  <c:v>564</c:v>
                </c:pt>
                <c:pt idx="16">
                  <c:v>628</c:v>
                </c:pt>
                <c:pt idx="17">
                  <c:v>573</c:v>
                </c:pt>
                <c:pt idx="18">
                  <c:v>585</c:v>
                </c:pt>
                <c:pt idx="19">
                  <c:v>590</c:v>
                </c:pt>
                <c:pt idx="20">
                  <c:v>585.6</c:v>
                </c:pt>
                <c:pt idx="21">
                  <c:v>572.70000000000005</c:v>
                </c:pt>
                <c:pt idx="22">
                  <c:v>562.1</c:v>
                </c:pt>
                <c:pt idx="23">
                  <c:v>540.29999999999995</c:v>
                </c:pt>
                <c:pt idx="24">
                  <c:v>517.20000000000005</c:v>
                </c:pt>
                <c:pt idx="25">
                  <c:v>510</c:v>
                </c:pt>
                <c:pt idx="26">
                  <c:v>493.9</c:v>
                </c:pt>
                <c:pt idx="27">
                  <c:v>471.8</c:v>
                </c:pt>
                <c:pt idx="28">
                  <c:v>449.3</c:v>
                </c:pt>
                <c:pt idx="29">
                  <c:v>434.2</c:v>
                </c:pt>
                <c:pt idx="30">
                  <c:v>424.8</c:v>
                </c:pt>
                <c:pt idx="31">
                  <c:v>403.9</c:v>
                </c:pt>
                <c:pt idx="32">
                  <c:v>390.6</c:v>
                </c:pt>
                <c:pt idx="33">
                  <c:v>381.8</c:v>
                </c:pt>
                <c:pt idx="34">
                  <c:v>371.1</c:v>
                </c:pt>
                <c:pt idx="35">
                  <c:v>351.9</c:v>
                </c:pt>
                <c:pt idx="36">
                  <c:v>350.3</c:v>
                </c:pt>
                <c:pt idx="37">
                  <c:v>339.5</c:v>
                </c:pt>
                <c:pt idx="38">
                  <c:v>334.2</c:v>
                </c:pt>
                <c:pt idx="39">
                  <c:v>320.3</c:v>
                </c:pt>
                <c:pt idx="40">
                  <c:v>308.89999999999998</c:v>
                </c:pt>
                <c:pt idx="41">
                  <c:v>303.7</c:v>
                </c:pt>
                <c:pt idx="42">
                  <c:v>294.39999999999998</c:v>
                </c:pt>
                <c:pt idx="43">
                  <c:v>295.7</c:v>
                </c:pt>
                <c:pt idx="44">
                  <c:v>283.89999999999998</c:v>
                </c:pt>
                <c:pt idx="45">
                  <c:v>276.3</c:v>
                </c:pt>
                <c:pt idx="46">
                  <c:v>266.7</c:v>
                </c:pt>
                <c:pt idx="47">
                  <c:v>262.10000000000002</c:v>
                </c:pt>
                <c:pt idx="48">
                  <c:v>254.8</c:v>
                </c:pt>
                <c:pt idx="49">
                  <c:v>251.7</c:v>
                </c:pt>
                <c:pt idx="50">
                  <c:v>250.9</c:v>
                </c:pt>
                <c:pt idx="51">
                  <c:v>240.2</c:v>
                </c:pt>
                <c:pt idx="52">
                  <c:v>229.7</c:v>
                </c:pt>
                <c:pt idx="53">
                  <c:v>230.4</c:v>
                </c:pt>
                <c:pt idx="54">
                  <c:v>229.5</c:v>
                </c:pt>
                <c:pt idx="55">
                  <c:v>226</c:v>
                </c:pt>
                <c:pt idx="56">
                  <c:v>218.1</c:v>
                </c:pt>
                <c:pt idx="57">
                  <c:v>214.2</c:v>
                </c:pt>
                <c:pt idx="58">
                  <c:v>205.2</c:v>
                </c:pt>
                <c:pt idx="59">
                  <c:v>205.7</c:v>
                </c:pt>
                <c:pt idx="60">
                  <c:v>204.1</c:v>
                </c:pt>
                <c:pt idx="61">
                  <c:v>198.6</c:v>
                </c:pt>
                <c:pt idx="62">
                  <c:v>197.9</c:v>
                </c:pt>
                <c:pt idx="63">
                  <c:v>196.4</c:v>
                </c:pt>
                <c:pt idx="64">
                  <c:v>193.3</c:v>
                </c:pt>
                <c:pt idx="65">
                  <c:v>192.3</c:v>
                </c:pt>
                <c:pt idx="66">
                  <c:v>192.6</c:v>
                </c:pt>
                <c:pt idx="67">
                  <c:v>188.1</c:v>
                </c:pt>
                <c:pt idx="68">
                  <c:v>183.6</c:v>
                </c:pt>
                <c:pt idx="69">
                  <c:v>178</c:v>
                </c:pt>
                <c:pt idx="70">
                  <c:v>180</c:v>
                </c:pt>
                <c:pt idx="71">
                  <c:v>176.1</c:v>
                </c:pt>
                <c:pt idx="72">
                  <c:v>172.1</c:v>
                </c:pt>
                <c:pt idx="73">
                  <c:v>166.9</c:v>
                </c:pt>
                <c:pt idx="74">
                  <c:v>166.9</c:v>
                </c:pt>
                <c:pt idx="75">
                  <c:v>165.3</c:v>
                </c:pt>
                <c:pt idx="76">
                  <c:v>165.5</c:v>
                </c:pt>
                <c:pt idx="77">
                  <c:v>167.7</c:v>
                </c:pt>
                <c:pt idx="78">
                  <c:v>152.38</c:v>
                </c:pt>
                <c:pt idx="79">
                  <c:v>137.37</c:v>
                </c:pt>
                <c:pt idx="80">
                  <c:v>126.89</c:v>
                </c:pt>
                <c:pt idx="81">
                  <c:v>117.86</c:v>
                </c:pt>
                <c:pt idx="82">
                  <c:v>110.89</c:v>
                </c:pt>
                <c:pt idx="83">
                  <c:v>102.87</c:v>
                </c:pt>
                <c:pt idx="84">
                  <c:v>98.63</c:v>
                </c:pt>
                <c:pt idx="85">
                  <c:v>93.82</c:v>
                </c:pt>
                <c:pt idx="86">
                  <c:v>90.01</c:v>
                </c:pt>
                <c:pt idx="87">
                  <c:v>86.83</c:v>
                </c:pt>
                <c:pt idx="88">
                  <c:v>83.01</c:v>
                </c:pt>
                <c:pt idx="89">
                  <c:v>80.41</c:v>
                </c:pt>
                <c:pt idx="90">
                  <c:v>78.28</c:v>
                </c:pt>
                <c:pt idx="91">
                  <c:v>74.55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Data2'!$G$10:$CT$10</c:f>
              <c:numCache>
                <c:formatCode>General</c:formatCode>
                <c:ptCount val="92"/>
                <c:pt idx="0">
                  <c:v>3080</c:v>
                </c:pt>
                <c:pt idx="1">
                  <c:v>3007</c:v>
                </c:pt>
                <c:pt idx="2">
                  <c:v>3132</c:v>
                </c:pt>
                <c:pt idx="3">
                  <c:v>3080</c:v>
                </c:pt>
                <c:pt idx="4">
                  <c:v>3076</c:v>
                </c:pt>
                <c:pt idx="5">
                  <c:v>3013</c:v>
                </c:pt>
                <c:pt idx="6">
                  <c:v>3010</c:v>
                </c:pt>
                <c:pt idx="7">
                  <c:v>3043</c:v>
                </c:pt>
                <c:pt idx="8">
                  <c:v>3040</c:v>
                </c:pt>
                <c:pt idx="9">
                  <c:v>3050</c:v>
                </c:pt>
                <c:pt idx="10">
                  <c:v>3086</c:v>
                </c:pt>
                <c:pt idx="11">
                  <c:v>3020</c:v>
                </c:pt>
                <c:pt idx="12">
                  <c:v>3013</c:v>
                </c:pt>
                <c:pt idx="13">
                  <c:v>3057</c:v>
                </c:pt>
                <c:pt idx="14">
                  <c:v>2964</c:v>
                </c:pt>
                <c:pt idx="15">
                  <c:v>2955</c:v>
                </c:pt>
                <c:pt idx="16">
                  <c:v>3027</c:v>
                </c:pt>
                <c:pt idx="17">
                  <c:v>2976</c:v>
                </c:pt>
                <c:pt idx="18">
                  <c:v>2903</c:v>
                </c:pt>
                <c:pt idx="19">
                  <c:v>2859</c:v>
                </c:pt>
                <c:pt idx="20">
                  <c:v>2909.6</c:v>
                </c:pt>
                <c:pt idx="21">
                  <c:v>2795.1</c:v>
                </c:pt>
                <c:pt idx="22">
                  <c:v>2701</c:v>
                </c:pt>
                <c:pt idx="23">
                  <c:v>2587.5</c:v>
                </c:pt>
                <c:pt idx="24">
                  <c:v>2451.4</c:v>
                </c:pt>
                <c:pt idx="25">
                  <c:v>2368.1</c:v>
                </c:pt>
                <c:pt idx="26">
                  <c:v>2259.4</c:v>
                </c:pt>
                <c:pt idx="27">
                  <c:v>2146</c:v>
                </c:pt>
                <c:pt idx="28">
                  <c:v>2070.3000000000002</c:v>
                </c:pt>
                <c:pt idx="29">
                  <c:v>1998.2</c:v>
                </c:pt>
                <c:pt idx="30">
                  <c:v>1877.3</c:v>
                </c:pt>
                <c:pt idx="31">
                  <c:v>1838.2</c:v>
                </c:pt>
                <c:pt idx="32">
                  <c:v>1732.8</c:v>
                </c:pt>
                <c:pt idx="33">
                  <c:v>1668.2</c:v>
                </c:pt>
                <c:pt idx="34">
                  <c:v>1616.6</c:v>
                </c:pt>
                <c:pt idx="35">
                  <c:v>1544.3</c:v>
                </c:pt>
                <c:pt idx="36">
                  <c:v>1497.7</c:v>
                </c:pt>
                <c:pt idx="37">
                  <c:v>1448.3</c:v>
                </c:pt>
                <c:pt idx="38">
                  <c:v>1397.8</c:v>
                </c:pt>
                <c:pt idx="39">
                  <c:v>1349.3</c:v>
                </c:pt>
                <c:pt idx="40">
                  <c:v>1300.8</c:v>
                </c:pt>
                <c:pt idx="41">
                  <c:v>1258.3</c:v>
                </c:pt>
                <c:pt idx="42">
                  <c:v>1222.8</c:v>
                </c:pt>
                <c:pt idx="43">
                  <c:v>1166.7</c:v>
                </c:pt>
                <c:pt idx="44">
                  <c:v>1142.7</c:v>
                </c:pt>
                <c:pt idx="45">
                  <c:v>1100.3</c:v>
                </c:pt>
                <c:pt idx="46">
                  <c:v>1064.7</c:v>
                </c:pt>
                <c:pt idx="47">
                  <c:v>1025.5999999999999</c:v>
                </c:pt>
                <c:pt idx="48">
                  <c:v>1014.1</c:v>
                </c:pt>
                <c:pt idx="49">
                  <c:v>977</c:v>
                </c:pt>
                <c:pt idx="50">
                  <c:v>950</c:v>
                </c:pt>
                <c:pt idx="51">
                  <c:v>906.3</c:v>
                </c:pt>
                <c:pt idx="52">
                  <c:v>897.1</c:v>
                </c:pt>
                <c:pt idx="53">
                  <c:v>892.7</c:v>
                </c:pt>
                <c:pt idx="54">
                  <c:v>842.8</c:v>
                </c:pt>
                <c:pt idx="55">
                  <c:v>830</c:v>
                </c:pt>
                <c:pt idx="56">
                  <c:v>806.1</c:v>
                </c:pt>
                <c:pt idx="57">
                  <c:v>786.6</c:v>
                </c:pt>
                <c:pt idx="58">
                  <c:v>777.9</c:v>
                </c:pt>
                <c:pt idx="59">
                  <c:v>747.5</c:v>
                </c:pt>
                <c:pt idx="60">
                  <c:v>734.8</c:v>
                </c:pt>
                <c:pt idx="61">
                  <c:v>716.3</c:v>
                </c:pt>
                <c:pt idx="62">
                  <c:v>697.4</c:v>
                </c:pt>
                <c:pt idx="63">
                  <c:v>683.2</c:v>
                </c:pt>
                <c:pt idx="64">
                  <c:v>668.5</c:v>
                </c:pt>
                <c:pt idx="65">
                  <c:v>651.4</c:v>
                </c:pt>
                <c:pt idx="66">
                  <c:v>637</c:v>
                </c:pt>
                <c:pt idx="67">
                  <c:v>631</c:v>
                </c:pt>
                <c:pt idx="68">
                  <c:v>619</c:v>
                </c:pt>
                <c:pt idx="69">
                  <c:v>604.9</c:v>
                </c:pt>
                <c:pt idx="70">
                  <c:v>589.5</c:v>
                </c:pt>
                <c:pt idx="71">
                  <c:v>575.9</c:v>
                </c:pt>
                <c:pt idx="72">
                  <c:v>564.79999999999995</c:v>
                </c:pt>
                <c:pt idx="73">
                  <c:v>554.1</c:v>
                </c:pt>
                <c:pt idx="74">
                  <c:v>541.70000000000005</c:v>
                </c:pt>
                <c:pt idx="75">
                  <c:v>539.29999999999995</c:v>
                </c:pt>
                <c:pt idx="76">
                  <c:v>532.4</c:v>
                </c:pt>
                <c:pt idx="77">
                  <c:v>519.29999999999995</c:v>
                </c:pt>
                <c:pt idx="78">
                  <c:v>472.3</c:v>
                </c:pt>
                <c:pt idx="79">
                  <c:v>406.19</c:v>
                </c:pt>
                <c:pt idx="80">
                  <c:v>356.08</c:v>
                </c:pt>
                <c:pt idx="81">
                  <c:v>315.87</c:v>
                </c:pt>
                <c:pt idx="82">
                  <c:v>285.51</c:v>
                </c:pt>
                <c:pt idx="83">
                  <c:v>260.17</c:v>
                </c:pt>
                <c:pt idx="84">
                  <c:v>237.38</c:v>
                </c:pt>
                <c:pt idx="85">
                  <c:v>220.14</c:v>
                </c:pt>
                <c:pt idx="86">
                  <c:v>206.23</c:v>
                </c:pt>
                <c:pt idx="87">
                  <c:v>193.34</c:v>
                </c:pt>
                <c:pt idx="88">
                  <c:v>179.59</c:v>
                </c:pt>
                <c:pt idx="89">
                  <c:v>169.65</c:v>
                </c:pt>
                <c:pt idx="90">
                  <c:v>162.81</c:v>
                </c:pt>
                <c:pt idx="91">
                  <c:v>155.29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Data2'!$G$11:$CT$11</c:f>
              <c:numCache>
                <c:formatCode>General</c:formatCode>
                <c:ptCount val="92"/>
                <c:pt idx="0">
                  <c:v>654</c:v>
                </c:pt>
                <c:pt idx="1">
                  <c:v>667</c:v>
                </c:pt>
                <c:pt idx="2">
                  <c:v>679</c:v>
                </c:pt>
                <c:pt idx="3">
                  <c:v>671</c:v>
                </c:pt>
                <c:pt idx="4">
                  <c:v>679</c:v>
                </c:pt>
                <c:pt idx="5">
                  <c:v>635</c:v>
                </c:pt>
                <c:pt idx="6">
                  <c:v>675</c:v>
                </c:pt>
                <c:pt idx="7">
                  <c:v>660</c:v>
                </c:pt>
                <c:pt idx="8">
                  <c:v>666</c:v>
                </c:pt>
                <c:pt idx="9">
                  <c:v>669</c:v>
                </c:pt>
                <c:pt idx="10">
                  <c:v>673</c:v>
                </c:pt>
                <c:pt idx="11">
                  <c:v>693</c:v>
                </c:pt>
                <c:pt idx="12">
                  <c:v>669</c:v>
                </c:pt>
                <c:pt idx="13">
                  <c:v>654</c:v>
                </c:pt>
                <c:pt idx="14">
                  <c:v>696</c:v>
                </c:pt>
                <c:pt idx="15">
                  <c:v>672</c:v>
                </c:pt>
                <c:pt idx="16">
                  <c:v>655</c:v>
                </c:pt>
                <c:pt idx="17">
                  <c:v>445</c:v>
                </c:pt>
                <c:pt idx="18">
                  <c:v>649</c:v>
                </c:pt>
                <c:pt idx="19">
                  <c:v>671</c:v>
                </c:pt>
                <c:pt idx="20">
                  <c:v>666.4</c:v>
                </c:pt>
                <c:pt idx="21">
                  <c:v>645.9</c:v>
                </c:pt>
                <c:pt idx="22">
                  <c:v>639.5</c:v>
                </c:pt>
                <c:pt idx="23">
                  <c:v>622.5</c:v>
                </c:pt>
                <c:pt idx="24">
                  <c:v>606.20000000000005</c:v>
                </c:pt>
                <c:pt idx="25">
                  <c:v>586.4</c:v>
                </c:pt>
                <c:pt idx="26">
                  <c:v>572.29999999999995</c:v>
                </c:pt>
                <c:pt idx="27">
                  <c:v>540.79999999999995</c:v>
                </c:pt>
                <c:pt idx="28">
                  <c:v>527.6</c:v>
                </c:pt>
                <c:pt idx="29">
                  <c:v>515.5</c:v>
                </c:pt>
                <c:pt idx="30">
                  <c:v>507</c:v>
                </c:pt>
                <c:pt idx="31">
                  <c:v>481.5</c:v>
                </c:pt>
                <c:pt idx="32">
                  <c:v>466.5</c:v>
                </c:pt>
                <c:pt idx="33">
                  <c:v>452.5</c:v>
                </c:pt>
                <c:pt idx="34">
                  <c:v>439.6</c:v>
                </c:pt>
                <c:pt idx="35">
                  <c:v>425</c:v>
                </c:pt>
                <c:pt idx="36">
                  <c:v>423.6</c:v>
                </c:pt>
                <c:pt idx="37">
                  <c:v>401.1</c:v>
                </c:pt>
                <c:pt idx="38">
                  <c:v>399.8</c:v>
                </c:pt>
                <c:pt idx="39">
                  <c:v>387</c:v>
                </c:pt>
                <c:pt idx="40">
                  <c:v>372.7</c:v>
                </c:pt>
                <c:pt idx="41">
                  <c:v>363.8</c:v>
                </c:pt>
                <c:pt idx="42">
                  <c:v>354.5</c:v>
                </c:pt>
                <c:pt idx="43">
                  <c:v>350.2</c:v>
                </c:pt>
                <c:pt idx="44">
                  <c:v>344.1</c:v>
                </c:pt>
                <c:pt idx="45">
                  <c:v>323.39999999999998</c:v>
                </c:pt>
                <c:pt idx="46">
                  <c:v>324.60000000000002</c:v>
                </c:pt>
                <c:pt idx="47">
                  <c:v>317.3</c:v>
                </c:pt>
                <c:pt idx="48">
                  <c:v>310.60000000000002</c:v>
                </c:pt>
                <c:pt idx="49">
                  <c:v>301.8</c:v>
                </c:pt>
                <c:pt idx="50">
                  <c:v>302</c:v>
                </c:pt>
                <c:pt idx="51">
                  <c:v>295.10000000000002</c:v>
                </c:pt>
                <c:pt idx="52">
                  <c:v>289.10000000000002</c:v>
                </c:pt>
                <c:pt idx="53">
                  <c:v>284.10000000000002</c:v>
                </c:pt>
                <c:pt idx="54">
                  <c:v>279.7</c:v>
                </c:pt>
                <c:pt idx="55">
                  <c:v>273.60000000000002</c:v>
                </c:pt>
                <c:pt idx="56">
                  <c:v>265.39999999999998</c:v>
                </c:pt>
                <c:pt idx="57">
                  <c:v>263.60000000000002</c:v>
                </c:pt>
                <c:pt idx="58">
                  <c:v>263.2</c:v>
                </c:pt>
                <c:pt idx="59">
                  <c:v>258.3</c:v>
                </c:pt>
                <c:pt idx="60">
                  <c:v>250.1</c:v>
                </c:pt>
                <c:pt idx="61">
                  <c:v>244.4</c:v>
                </c:pt>
                <c:pt idx="62">
                  <c:v>248.9</c:v>
                </c:pt>
                <c:pt idx="63">
                  <c:v>240.5</c:v>
                </c:pt>
                <c:pt idx="64">
                  <c:v>244.7</c:v>
                </c:pt>
                <c:pt idx="65">
                  <c:v>240.9</c:v>
                </c:pt>
                <c:pt idx="66">
                  <c:v>231.3</c:v>
                </c:pt>
                <c:pt idx="67">
                  <c:v>222</c:v>
                </c:pt>
                <c:pt idx="68">
                  <c:v>227</c:v>
                </c:pt>
                <c:pt idx="69">
                  <c:v>228.4</c:v>
                </c:pt>
                <c:pt idx="70">
                  <c:v>217.6</c:v>
                </c:pt>
                <c:pt idx="71">
                  <c:v>216</c:v>
                </c:pt>
                <c:pt idx="72">
                  <c:v>213.7</c:v>
                </c:pt>
                <c:pt idx="73">
                  <c:v>209.3</c:v>
                </c:pt>
                <c:pt idx="74">
                  <c:v>208.2</c:v>
                </c:pt>
                <c:pt idx="75">
                  <c:v>204.2</c:v>
                </c:pt>
                <c:pt idx="76">
                  <c:v>197.1</c:v>
                </c:pt>
                <c:pt idx="77">
                  <c:v>208.5</c:v>
                </c:pt>
                <c:pt idx="78">
                  <c:v>189.53</c:v>
                </c:pt>
                <c:pt idx="79">
                  <c:v>171.82</c:v>
                </c:pt>
                <c:pt idx="80">
                  <c:v>160.59</c:v>
                </c:pt>
                <c:pt idx="81">
                  <c:v>148.72999999999999</c:v>
                </c:pt>
                <c:pt idx="82">
                  <c:v>141.47999999999999</c:v>
                </c:pt>
                <c:pt idx="83">
                  <c:v>133.51</c:v>
                </c:pt>
                <c:pt idx="84">
                  <c:v>126.44</c:v>
                </c:pt>
                <c:pt idx="85">
                  <c:v>119.53</c:v>
                </c:pt>
                <c:pt idx="86">
                  <c:v>116.47</c:v>
                </c:pt>
                <c:pt idx="87">
                  <c:v>111.18</c:v>
                </c:pt>
                <c:pt idx="88">
                  <c:v>108.64</c:v>
                </c:pt>
                <c:pt idx="89">
                  <c:v>103.6</c:v>
                </c:pt>
                <c:pt idx="90">
                  <c:v>100.48</c:v>
                </c:pt>
                <c:pt idx="91">
                  <c:v>96.96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Data2'!$G$12:$CT$12</c:f>
              <c:numCache>
                <c:formatCode>General</c:formatCode>
                <c:ptCount val="92"/>
                <c:pt idx="0">
                  <c:v>24</c:v>
                </c:pt>
                <c:pt idx="1">
                  <c:v>20</c:v>
                </c:pt>
                <c:pt idx="2">
                  <c:v>23</c:v>
                </c:pt>
                <c:pt idx="3">
                  <c:v>27</c:v>
                </c:pt>
                <c:pt idx="4">
                  <c:v>23</c:v>
                </c:pt>
                <c:pt idx="5">
                  <c:v>21</c:v>
                </c:pt>
                <c:pt idx="6">
                  <c:v>24</c:v>
                </c:pt>
                <c:pt idx="7">
                  <c:v>14</c:v>
                </c:pt>
                <c:pt idx="8">
                  <c:v>24</c:v>
                </c:pt>
                <c:pt idx="9">
                  <c:v>22</c:v>
                </c:pt>
                <c:pt idx="10">
                  <c:v>18</c:v>
                </c:pt>
                <c:pt idx="11">
                  <c:v>27</c:v>
                </c:pt>
                <c:pt idx="12">
                  <c:v>24</c:v>
                </c:pt>
                <c:pt idx="13">
                  <c:v>20</c:v>
                </c:pt>
                <c:pt idx="14">
                  <c:v>20</c:v>
                </c:pt>
                <c:pt idx="15">
                  <c:v>25</c:v>
                </c:pt>
                <c:pt idx="16">
                  <c:v>24</c:v>
                </c:pt>
                <c:pt idx="17">
                  <c:v>22</c:v>
                </c:pt>
                <c:pt idx="18">
                  <c:v>23</c:v>
                </c:pt>
                <c:pt idx="19">
                  <c:v>23</c:v>
                </c:pt>
                <c:pt idx="20">
                  <c:v>25.8</c:v>
                </c:pt>
                <c:pt idx="21">
                  <c:v>25.8</c:v>
                </c:pt>
                <c:pt idx="22">
                  <c:v>24.8</c:v>
                </c:pt>
                <c:pt idx="23">
                  <c:v>29.6</c:v>
                </c:pt>
                <c:pt idx="24">
                  <c:v>29.8</c:v>
                </c:pt>
                <c:pt idx="25">
                  <c:v>29.6</c:v>
                </c:pt>
                <c:pt idx="26">
                  <c:v>30.4</c:v>
                </c:pt>
                <c:pt idx="27">
                  <c:v>28.1</c:v>
                </c:pt>
                <c:pt idx="28">
                  <c:v>31.6</c:v>
                </c:pt>
                <c:pt idx="29">
                  <c:v>32.4</c:v>
                </c:pt>
                <c:pt idx="30">
                  <c:v>28.6</c:v>
                </c:pt>
                <c:pt idx="31">
                  <c:v>31.3</c:v>
                </c:pt>
                <c:pt idx="32">
                  <c:v>31</c:v>
                </c:pt>
                <c:pt idx="33">
                  <c:v>30.5</c:v>
                </c:pt>
                <c:pt idx="34">
                  <c:v>30.4</c:v>
                </c:pt>
                <c:pt idx="35">
                  <c:v>29.9</c:v>
                </c:pt>
                <c:pt idx="36">
                  <c:v>28.3</c:v>
                </c:pt>
                <c:pt idx="37">
                  <c:v>30.7</c:v>
                </c:pt>
                <c:pt idx="38">
                  <c:v>32.4</c:v>
                </c:pt>
                <c:pt idx="39">
                  <c:v>31</c:v>
                </c:pt>
                <c:pt idx="40">
                  <c:v>28.4</c:v>
                </c:pt>
                <c:pt idx="41">
                  <c:v>30</c:v>
                </c:pt>
                <c:pt idx="42">
                  <c:v>29.6</c:v>
                </c:pt>
                <c:pt idx="43">
                  <c:v>31.1</c:v>
                </c:pt>
                <c:pt idx="44">
                  <c:v>29.4</c:v>
                </c:pt>
                <c:pt idx="45">
                  <c:v>30.8</c:v>
                </c:pt>
                <c:pt idx="46">
                  <c:v>30.1</c:v>
                </c:pt>
                <c:pt idx="47">
                  <c:v>28.5</c:v>
                </c:pt>
                <c:pt idx="48">
                  <c:v>28.7</c:v>
                </c:pt>
                <c:pt idx="49">
                  <c:v>28.2</c:v>
                </c:pt>
                <c:pt idx="50">
                  <c:v>28.8</c:v>
                </c:pt>
                <c:pt idx="51">
                  <c:v>26.9</c:v>
                </c:pt>
                <c:pt idx="52">
                  <c:v>30.5</c:v>
                </c:pt>
                <c:pt idx="53">
                  <c:v>27.6</c:v>
                </c:pt>
                <c:pt idx="54">
                  <c:v>30.3</c:v>
                </c:pt>
                <c:pt idx="55">
                  <c:v>30.4</c:v>
                </c:pt>
                <c:pt idx="56">
                  <c:v>23.8</c:v>
                </c:pt>
                <c:pt idx="57">
                  <c:v>30.4</c:v>
                </c:pt>
                <c:pt idx="58">
                  <c:v>29.6</c:v>
                </c:pt>
                <c:pt idx="59">
                  <c:v>27.1</c:v>
                </c:pt>
                <c:pt idx="60">
                  <c:v>26.9</c:v>
                </c:pt>
                <c:pt idx="61">
                  <c:v>29.3</c:v>
                </c:pt>
                <c:pt idx="62">
                  <c:v>27.5</c:v>
                </c:pt>
                <c:pt idx="63">
                  <c:v>28.6</c:v>
                </c:pt>
                <c:pt idx="64">
                  <c:v>25.5</c:v>
                </c:pt>
                <c:pt idx="65">
                  <c:v>29.8</c:v>
                </c:pt>
                <c:pt idx="66">
                  <c:v>26.2</c:v>
                </c:pt>
                <c:pt idx="67">
                  <c:v>28.4</c:v>
                </c:pt>
                <c:pt idx="68">
                  <c:v>26.5</c:v>
                </c:pt>
                <c:pt idx="69">
                  <c:v>27</c:v>
                </c:pt>
                <c:pt idx="70">
                  <c:v>26.1</c:v>
                </c:pt>
                <c:pt idx="71">
                  <c:v>28.2</c:v>
                </c:pt>
                <c:pt idx="72">
                  <c:v>28.4</c:v>
                </c:pt>
                <c:pt idx="73">
                  <c:v>27</c:v>
                </c:pt>
                <c:pt idx="74">
                  <c:v>27.5</c:v>
                </c:pt>
                <c:pt idx="75">
                  <c:v>25.6</c:v>
                </c:pt>
                <c:pt idx="76">
                  <c:v>28.9</c:v>
                </c:pt>
                <c:pt idx="77">
                  <c:v>25.1</c:v>
                </c:pt>
                <c:pt idx="78">
                  <c:v>27.34</c:v>
                </c:pt>
                <c:pt idx="79">
                  <c:v>26.26</c:v>
                </c:pt>
                <c:pt idx="80">
                  <c:v>25.92</c:v>
                </c:pt>
                <c:pt idx="81">
                  <c:v>25.98</c:v>
                </c:pt>
                <c:pt idx="82">
                  <c:v>26.19</c:v>
                </c:pt>
                <c:pt idx="83">
                  <c:v>24.7</c:v>
                </c:pt>
                <c:pt idx="84">
                  <c:v>24.61</c:v>
                </c:pt>
                <c:pt idx="85">
                  <c:v>24.9</c:v>
                </c:pt>
                <c:pt idx="86">
                  <c:v>24.84</c:v>
                </c:pt>
                <c:pt idx="87">
                  <c:v>24.56</c:v>
                </c:pt>
                <c:pt idx="88">
                  <c:v>24.37</c:v>
                </c:pt>
                <c:pt idx="89">
                  <c:v>24.5</c:v>
                </c:pt>
                <c:pt idx="90">
                  <c:v>23.86</c:v>
                </c:pt>
                <c:pt idx="91">
                  <c:v>23.78</c:v>
                </c:pt>
              </c:numCache>
            </c:numRef>
          </c:yVal>
          <c:smooth val="1"/>
        </c:ser>
        <c:ser>
          <c:idx val="8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Data2'!$G$13:$CT$13</c:f>
              <c:numCache>
                <c:formatCode>General</c:formatCode>
                <c:ptCount val="92"/>
                <c:pt idx="0">
                  <c:v>614</c:v>
                </c:pt>
                <c:pt idx="1">
                  <c:v>601</c:v>
                </c:pt>
                <c:pt idx="2">
                  <c:v>580</c:v>
                </c:pt>
                <c:pt idx="3">
                  <c:v>610</c:v>
                </c:pt>
                <c:pt idx="4">
                  <c:v>592</c:v>
                </c:pt>
                <c:pt idx="5">
                  <c:v>592</c:v>
                </c:pt>
                <c:pt idx="6">
                  <c:v>590</c:v>
                </c:pt>
                <c:pt idx="7">
                  <c:v>582</c:v>
                </c:pt>
                <c:pt idx="8">
                  <c:v>582</c:v>
                </c:pt>
                <c:pt idx="9">
                  <c:v>578</c:v>
                </c:pt>
                <c:pt idx="10">
                  <c:v>598</c:v>
                </c:pt>
                <c:pt idx="11">
                  <c:v>591</c:v>
                </c:pt>
                <c:pt idx="12">
                  <c:v>614</c:v>
                </c:pt>
                <c:pt idx="13">
                  <c:v>589</c:v>
                </c:pt>
                <c:pt idx="14">
                  <c:v>592</c:v>
                </c:pt>
                <c:pt idx="15">
                  <c:v>589</c:v>
                </c:pt>
                <c:pt idx="16">
                  <c:v>597</c:v>
                </c:pt>
                <c:pt idx="17">
                  <c:v>587</c:v>
                </c:pt>
                <c:pt idx="18">
                  <c:v>570</c:v>
                </c:pt>
                <c:pt idx="19">
                  <c:v>575</c:v>
                </c:pt>
                <c:pt idx="20">
                  <c:v>573.70000000000005</c:v>
                </c:pt>
                <c:pt idx="21">
                  <c:v>566.6</c:v>
                </c:pt>
                <c:pt idx="22">
                  <c:v>537.6</c:v>
                </c:pt>
                <c:pt idx="23">
                  <c:v>518.29999999999995</c:v>
                </c:pt>
                <c:pt idx="24">
                  <c:v>502.1</c:v>
                </c:pt>
                <c:pt idx="25">
                  <c:v>469.8</c:v>
                </c:pt>
                <c:pt idx="26">
                  <c:v>462</c:v>
                </c:pt>
                <c:pt idx="27">
                  <c:v>446</c:v>
                </c:pt>
                <c:pt idx="28">
                  <c:v>424.8</c:v>
                </c:pt>
                <c:pt idx="29">
                  <c:v>400.9</c:v>
                </c:pt>
                <c:pt idx="30">
                  <c:v>398</c:v>
                </c:pt>
                <c:pt idx="31">
                  <c:v>379.5</c:v>
                </c:pt>
                <c:pt idx="32">
                  <c:v>367.3</c:v>
                </c:pt>
                <c:pt idx="33">
                  <c:v>348.7</c:v>
                </c:pt>
                <c:pt idx="34">
                  <c:v>339.8</c:v>
                </c:pt>
                <c:pt idx="35">
                  <c:v>327</c:v>
                </c:pt>
                <c:pt idx="36">
                  <c:v>313</c:v>
                </c:pt>
                <c:pt idx="37">
                  <c:v>299.39999999999998</c:v>
                </c:pt>
                <c:pt idx="38">
                  <c:v>301.8</c:v>
                </c:pt>
                <c:pt idx="39">
                  <c:v>284.8</c:v>
                </c:pt>
                <c:pt idx="40">
                  <c:v>275.89999999999998</c:v>
                </c:pt>
                <c:pt idx="41">
                  <c:v>277.8</c:v>
                </c:pt>
                <c:pt idx="42">
                  <c:v>258.5</c:v>
                </c:pt>
                <c:pt idx="43">
                  <c:v>251.4</c:v>
                </c:pt>
                <c:pt idx="44">
                  <c:v>254.7</c:v>
                </c:pt>
                <c:pt idx="45">
                  <c:v>240.7</c:v>
                </c:pt>
                <c:pt idx="46">
                  <c:v>237.2</c:v>
                </c:pt>
                <c:pt idx="47">
                  <c:v>227.4</c:v>
                </c:pt>
                <c:pt idx="48">
                  <c:v>217.7</c:v>
                </c:pt>
                <c:pt idx="49">
                  <c:v>216.3</c:v>
                </c:pt>
                <c:pt idx="50">
                  <c:v>205.9</c:v>
                </c:pt>
                <c:pt idx="51">
                  <c:v>203.8</c:v>
                </c:pt>
                <c:pt idx="52">
                  <c:v>204.2</c:v>
                </c:pt>
                <c:pt idx="53">
                  <c:v>197.5</c:v>
                </c:pt>
                <c:pt idx="54">
                  <c:v>195.3</c:v>
                </c:pt>
                <c:pt idx="55">
                  <c:v>188.9</c:v>
                </c:pt>
                <c:pt idx="56">
                  <c:v>183.1</c:v>
                </c:pt>
                <c:pt idx="57">
                  <c:v>176.1</c:v>
                </c:pt>
                <c:pt idx="58">
                  <c:v>171.6</c:v>
                </c:pt>
                <c:pt idx="59">
                  <c:v>171.5</c:v>
                </c:pt>
                <c:pt idx="60">
                  <c:v>170.7</c:v>
                </c:pt>
                <c:pt idx="61">
                  <c:v>170.1</c:v>
                </c:pt>
                <c:pt idx="62">
                  <c:v>156.1</c:v>
                </c:pt>
                <c:pt idx="63">
                  <c:v>157.6</c:v>
                </c:pt>
                <c:pt idx="64">
                  <c:v>156.9</c:v>
                </c:pt>
                <c:pt idx="65">
                  <c:v>147.19999999999999</c:v>
                </c:pt>
                <c:pt idx="66">
                  <c:v>148.9</c:v>
                </c:pt>
                <c:pt idx="67">
                  <c:v>145.19999999999999</c:v>
                </c:pt>
                <c:pt idx="68">
                  <c:v>144.69999999999999</c:v>
                </c:pt>
                <c:pt idx="69">
                  <c:v>145</c:v>
                </c:pt>
                <c:pt idx="70">
                  <c:v>139.80000000000001</c:v>
                </c:pt>
                <c:pt idx="71">
                  <c:v>134.69999999999999</c:v>
                </c:pt>
                <c:pt idx="72">
                  <c:v>139.9</c:v>
                </c:pt>
                <c:pt idx="73">
                  <c:v>135</c:v>
                </c:pt>
                <c:pt idx="74">
                  <c:v>127.6</c:v>
                </c:pt>
                <c:pt idx="75">
                  <c:v>131.9</c:v>
                </c:pt>
                <c:pt idx="76">
                  <c:v>127.6</c:v>
                </c:pt>
                <c:pt idx="77">
                  <c:v>123.2</c:v>
                </c:pt>
                <c:pt idx="78">
                  <c:v>118.46</c:v>
                </c:pt>
                <c:pt idx="79">
                  <c:v>100.75</c:v>
                </c:pt>
                <c:pt idx="80">
                  <c:v>90.58</c:v>
                </c:pt>
                <c:pt idx="81">
                  <c:v>82.2</c:v>
                </c:pt>
                <c:pt idx="82">
                  <c:v>76.89</c:v>
                </c:pt>
                <c:pt idx="83">
                  <c:v>71.25</c:v>
                </c:pt>
                <c:pt idx="84">
                  <c:v>66.52</c:v>
                </c:pt>
                <c:pt idx="85">
                  <c:v>62.59</c:v>
                </c:pt>
                <c:pt idx="86">
                  <c:v>59.92</c:v>
                </c:pt>
                <c:pt idx="87">
                  <c:v>57.36</c:v>
                </c:pt>
                <c:pt idx="88">
                  <c:v>54.67</c:v>
                </c:pt>
                <c:pt idx="89">
                  <c:v>52.17</c:v>
                </c:pt>
                <c:pt idx="90">
                  <c:v>50.96</c:v>
                </c:pt>
                <c:pt idx="91">
                  <c:v>47.76</c:v>
                </c:pt>
              </c:numCache>
            </c:numRef>
          </c:yVal>
          <c:smooth val="1"/>
        </c:ser>
        <c:ser>
          <c:idx val="9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Data2'!$G$14:$CT$14</c:f>
              <c:numCache>
                <c:formatCode>General</c:formatCode>
                <c:ptCount val="92"/>
                <c:pt idx="0">
                  <c:v>1302</c:v>
                </c:pt>
                <c:pt idx="1">
                  <c:v>1325</c:v>
                </c:pt>
                <c:pt idx="2">
                  <c:v>1327</c:v>
                </c:pt>
                <c:pt idx="3">
                  <c:v>1352</c:v>
                </c:pt>
                <c:pt idx="4">
                  <c:v>1335</c:v>
                </c:pt>
                <c:pt idx="5">
                  <c:v>1319</c:v>
                </c:pt>
                <c:pt idx="6">
                  <c:v>1283</c:v>
                </c:pt>
                <c:pt idx="7">
                  <c:v>1322</c:v>
                </c:pt>
                <c:pt idx="8">
                  <c:v>1338</c:v>
                </c:pt>
                <c:pt idx="9">
                  <c:v>1319</c:v>
                </c:pt>
                <c:pt idx="10">
                  <c:v>1325</c:v>
                </c:pt>
                <c:pt idx="11">
                  <c:v>1324</c:v>
                </c:pt>
                <c:pt idx="12">
                  <c:v>1296</c:v>
                </c:pt>
                <c:pt idx="13">
                  <c:v>1302</c:v>
                </c:pt>
                <c:pt idx="14">
                  <c:v>1333</c:v>
                </c:pt>
                <c:pt idx="15">
                  <c:v>1295</c:v>
                </c:pt>
                <c:pt idx="16">
                  <c:v>1317</c:v>
                </c:pt>
                <c:pt idx="17">
                  <c:v>1324</c:v>
                </c:pt>
                <c:pt idx="18">
                  <c:v>1276</c:v>
                </c:pt>
                <c:pt idx="19">
                  <c:v>1253</c:v>
                </c:pt>
                <c:pt idx="20">
                  <c:v>1280</c:v>
                </c:pt>
                <c:pt idx="21">
                  <c:v>1222.0999999999999</c:v>
                </c:pt>
                <c:pt idx="22">
                  <c:v>1188.5</c:v>
                </c:pt>
                <c:pt idx="23">
                  <c:v>1138.3</c:v>
                </c:pt>
                <c:pt idx="24">
                  <c:v>1099.9000000000001</c:v>
                </c:pt>
                <c:pt idx="25">
                  <c:v>1053.5999999999999</c:v>
                </c:pt>
                <c:pt idx="26">
                  <c:v>994.9</c:v>
                </c:pt>
                <c:pt idx="27">
                  <c:v>963.2</c:v>
                </c:pt>
                <c:pt idx="28">
                  <c:v>913.9</c:v>
                </c:pt>
                <c:pt idx="29">
                  <c:v>886.8</c:v>
                </c:pt>
                <c:pt idx="30">
                  <c:v>849.1</c:v>
                </c:pt>
                <c:pt idx="31">
                  <c:v>824.7</c:v>
                </c:pt>
                <c:pt idx="32">
                  <c:v>790.5</c:v>
                </c:pt>
                <c:pt idx="33">
                  <c:v>758.6</c:v>
                </c:pt>
                <c:pt idx="34">
                  <c:v>726</c:v>
                </c:pt>
                <c:pt idx="35">
                  <c:v>702.1</c:v>
                </c:pt>
                <c:pt idx="36">
                  <c:v>669.6</c:v>
                </c:pt>
                <c:pt idx="37">
                  <c:v>656</c:v>
                </c:pt>
                <c:pt idx="38">
                  <c:v>624.6</c:v>
                </c:pt>
                <c:pt idx="39">
                  <c:v>612.4</c:v>
                </c:pt>
                <c:pt idx="40">
                  <c:v>585.29999999999995</c:v>
                </c:pt>
                <c:pt idx="41">
                  <c:v>568.70000000000005</c:v>
                </c:pt>
                <c:pt idx="42">
                  <c:v>548.9</c:v>
                </c:pt>
                <c:pt idx="43">
                  <c:v>545.9</c:v>
                </c:pt>
                <c:pt idx="44">
                  <c:v>521</c:v>
                </c:pt>
                <c:pt idx="45">
                  <c:v>505.5</c:v>
                </c:pt>
                <c:pt idx="46">
                  <c:v>484.8</c:v>
                </c:pt>
                <c:pt idx="47">
                  <c:v>473.7</c:v>
                </c:pt>
                <c:pt idx="48">
                  <c:v>454.6</c:v>
                </c:pt>
                <c:pt idx="49">
                  <c:v>444.4</c:v>
                </c:pt>
                <c:pt idx="50">
                  <c:v>434.8</c:v>
                </c:pt>
                <c:pt idx="51">
                  <c:v>421.1</c:v>
                </c:pt>
                <c:pt idx="52">
                  <c:v>411.4</c:v>
                </c:pt>
                <c:pt idx="53">
                  <c:v>398.6</c:v>
                </c:pt>
                <c:pt idx="54">
                  <c:v>390.6</c:v>
                </c:pt>
                <c:pt idx="55">
                  <c:v>382.3</c:v>
                </c:pt>
                <c:pt idx="56">
                  <c:v>369.2</c:v>
                </c:pt>
                <c:pt idx="57">
                  <c:v>360.4</c:v>
                </c:pt>
                <c:pt idx="58">
                  <c:v>360.5</c:v>
                </c:pt>
                <c:pt idx="59">
                  <c:v>340.3</c:v>
                </c:pt>
                <c:pt idx="60">
                  <c:v>336.9</c:v>
                </c:pt>
                <c:pt idx="61">
                  <c:v>336.3</c:v>
                </c:pt>
                <c:pt idx="62">
                  <c:v>323.3</c:v>
                </c:pt>
                <c:pt idx="63">
                  <c:v>319.89999999999998</c:v>
                </c:pt>
                <c:pt idx="64">
                  <c:v>314.39999999999998</c:v>
                </c:pt>
                <c:pt idx="65">
                  <c:v>308.8</c:v>
                </c:pt>
                <c:pt idx="66">
                  <c:v>293.89999999999998</c:v>
                </c:pt>
                <c:pt idx="67">
                  <c:v>292.3</c:v>
                </c:pt>
                <c:pt idx="68">
                  <c:v>287.8</c:v>
                </c:pt>
                <c:pt idx="69">
                  <c:v>285.10000000000002</c:v>
                </c:pt>
                <c:pt idx="70">
                  <c:v>275.5</c:v>
                </c:pt>
                <c:pt idx="71">
                  <c:v>264.8</c:v>
                </c:pt>
                <c:pt idx="72">
                  <c:v>258.39999999999998</c:v>
                </c:pt>
                <c:pt idx="73">
                  <c:v>260.7</c:v>
                </c:pt>
                <c:pt idx="74">
                  <c:v>258.60000000000002</c:v>
                </c:pt>
                <c:pt idx="75">
                  <c:v>242.6</c:v>
                </c:pt>
                <c:pt idx="76">
                  <c:v>239</c:v>
                </c:pt>
                <c:pt idx="77">
                  <c:v>241.3</c:v>
                </c:pt>
                <c:pt idx="78">
                  <c:v>224.04</c:v>
                </c:pt>
                <c:pt idx="79">
                  <c:v>192.28</c:v>
                </c:pt>
                <c:pt idx="80">
                  <c:v>170.44</c:v>
                </c:pt>
                <c:pt idx="81">
                  <c:v>152.57</c:v>
                </c:pt>
                <c:pt idx="82">
                  <c:v>138.49</c:v>
                </c:pt>
                <c:pt idx="83">
                  <c:v>124.04</c:v>
                </c:pt>
                <c:pt idx="84">
                  <c:v>117.43</c:v>
                </c:pt>
                <c:pt idx="85">
                  <c:v>109.41</c:v>
                </c:pt>
                <c:pt idx="86">
                  <c:v>100.53</c:v>
                </c:pt>
                <c:pt idx="87">
                  <c:v>96.54</c:v>
                </c:pt>
                <c:pt idx="88">
                  <c:v>92.15</c:v>
                </c:pt>
                <c:pt idx="89">
                  <c:v>86.94</c:v>
                </c:pt>
                <c:pt idx="90">
                  <c:v>80.790000000000006</c:v>
                </c:pt>
                <c:pt idx="91">
                  <c:v>79.069999999999993</c:v>
                </c:pt>
              </c:numCache>
            </c:numRef>
          </c:yVal>
          <c:smooth val="1"/>
        </c:ser>
        <c:ser>
          <c:idx val="10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Data2'!$G$15:$CT$15</c:f>
              <c:numCache>
                <c:formatCode>General</c:formatCode>
                <c:ptCount val="92"/>
                <c:pt idx="0">
                  <c:v>633</c:v>
                </c:pt>
                <c:pt idx="1">
                  <c:v>676</c:v>
                </c:pt>
                <c:pt idx="2">
                  <c:v>647</c:v>
                </c:pt>
                <c:pt idx="3">
                  <c:v>659</c:v>
                </c:pt>
                <c:pt idx="4">
                  <c:v>670</c:v>
                </c:pt>
                <c:pt idx="5">
                  <c:v>639</c:v>
                </c:pt>
                <c:pt idx="6">
                  <c:v>665</c:v>
                </c:pt>
                <c:pt idx="7">
                  <c:v>652</c:v>
                </c:pt>
                <c:pt idx="8">
                  <c:v>635</c:v>
                </c:pt>
                <c:pt idx="9">
                  <c:v>631</c:v>
                </c:pt>
                <c:pt idx="10">
                  <c:v>652</c:v>
                </c:pt>
                <c:pt idx="11">
                  <c:v>631</c:v>
                </c:pt>
                <c:pt idx="12">
                  <c:v>647</c:v>
                </c:pt>
                <c:pt idx="13">
                  <c:v>630</c:v>
                </c:pt>
                <c:pt idx="14">
                  <c:v>628</c:v>
                </c:pt>
                <c:pt idx="15">
                  <c:v>631</c:v>
                </c:pt>
                <c:pt idx="16">
                  <c:v>637</c:v>
                </c:pt>
                <c:pt idx="17">
                  <c:v>630</c:v>
                </c:pt>
                <c:pt idx="18">
                  <c:v>662</c:v>
                </c:pt>
                <c:pt idx="19">
                  <c:v>595</c:v>
                </c:pt>
                <c:pt idx="20">
                  <c:v>633.70000000000005</c:v>
                </c:pt>
                <c:pt idx="21">
                  <c:v>611.70000000000005</c:v>
                </c:pt>
                <c:pt idx="22">
                  <c:v>591.1</c:v>
                </c:pt>
                <c:pt idx="23">
                  <c:v>565.5</c:v>
                </c:pt>
                <c:pt idx="24">
                  <c:v>543.29999999999995</c:v>
                </c:pt>
                <c:pt idx="25">
                  <c:v>524</c:v>
                </c:pt>
                <c:pt idx="26">
                  <c:v>502.6</c:v>
                </c:pt>
                <c:pt idx="27">
                  <c:v>485.8</c:v>
                </c:pt>
                <c:pt idx="28">
                  <c:v>476.6</c:v>
                </c:pt>
                <c:pt idx="29">
                  <c:v>440</c:v>
                </c:pt>
                <c:pt idx="30">
                  <c:v>427.9</c:v>
                </c:pt>
                <c:pt idx="31">
                  <c:v>414.5</c:v>
                </c:pt>
                <c:pt idx="32">
                  <c:v>399.1</c:v>
                </c:pt>
                <c:pt idx="33">
                  <c:v>396.7</c:v>
                </c:pt>
                <c:pt idx="34">
                  <c:v>377.8</c:v>
                </c:pt>
                <c:pt idx="35">
                  <c:v>365.7</c:v>
                </c:pt>
                <c:pt idx="36">
                  <c:v>357.3</c:v>
                </c:pt>
                <c:pt idx="37">
                  <c:v>343.1</c:v>
                </c:pt>
                <c:pt idx="38">
                  <c:v>338.7</c:v>
                </c:pt>
                <c:pt idx="39">
                  <c:v>319.39999999999998</c:v>
                </c:pt>
                <c:pt idx="40">
                  <c:v>316.89999999999998</c:v>
                </c:pt>
                <c:pt idx="41">
                  <c:v>311</c:v>
                </c:pt>
                <c:pt idx="42">
                  <c:v>301.10000000000002</c:v>
                </c:pt>
                <c:pt idx="43">
                  <c:v>301.39999999999998</c:v>
                </c:pt>
                <c:pt idx="44">
                  <c:v>281.2</c:v>
                </c:pt>
                <c:pt idx="45">
                  <c:v>273.8</c:v>
                </c:pt>
                <c:pt idx="46">
                  <c:v>269.8</c:v>
                </c:pt>
                <c:pt idx="47">
                  <c:v>263.5</c:v>
                </c:pt>
                <c:pt idx="48">
                  <c:v>253.2</c:v>
                </c:pt>
                <c:pt idx="49">
                  <c:v>246.1</c:v>
                </c:pt>
                <c:pt idx="50">
                  <c:v>247.2</c:v>
                </c:pt>
                <c:pt idx="51">
                  <c:v>238.2</c:v>
                </c:pt>
                <c:pt idx="52">
                  <c:v>237.7</c:v>
                </c:pt>
                <c:pt idx="53">
                  <c:v>231.3</c:v>
                </c:pt>
                <c:pt idx="54">
                  <c:v>222.5</c:v>
                </c:pt>
                <c:pt idx="55">
                  <c:v>226.3</c:v>
                </c:pt>
                <c:pt idx="56">
                  <c:v>213</c:v>
                </c:pt>
                <c:pt idx="57">
                  <c:v>216.8</c:v>
                </c:pt>
                <c:pt idx="58">
                  <c:v>209.7</c:v>
                </c:pt>
                <c:pt idx="59">
                  <c:v>201.6</c:v>
                </c:pt>
                <c:pt idx="60">
                  <c:v>203</c:v>
                </c:pt>
                <c:pt idx="61">
                  <c:v>197.2</c:v>
                </c:pt>
                <c:pt idx="62">
                  <c:v>192.9</c:v>
                </c:pt>
                <c:pt idx="63">
                  <c:v>192</c:v>
                </c:pt>
                <c:pt idx="64">
                  <c:v>185.1</c:v>
                </c:pt>
                <c:pt idx="65">
                  <c:v>182.4</c:v>
                </c:pt>
                <c:pt idx="66">
                  <c:v>174.7</c:v>
                </c:pt>
                <c:pt idx="67">
                  <c:v>176.4</c:v>
                </c:pt>
                <c:pt idx="68">
                  <c:v>171.5</c:v>
                </c:pt>
                <c:pt idx="69">
                  <c:v>173.7</c:v>
                </c:pt>
                <c:pt idx="70">
                  <c:v>168.3</c:v>
                </c:pt>
                <c:pt idx="71">
                  <c:v>167.5</c:v>
                </c:pt>
                <c:pt idx="72">
                  <c:v>166.1</c:v>
                </c:pt>
                <c:pt idx="73">
                  <c:v>159</c:v>
                </c:pt>
                <c:pt idx="74">
                  <c:v>161.4</c:v>
                </c:pt>
                <c:pt idx="75">
                  <c:v>158.80000000000001</c:v>
                </c:pt>
                <c:pt idx="76">
                  <c:v>158.19999999999999</c:v>
                </c:pt>
                <c:pt idx="77">
                  <c:v>148.30000000000001</c:v>
                </c:pt>
                <c:pt idx="78">
                  <c:v>143.69</c:v>
                </c:pt>
                <c:pt idx="79">
                  <c:v>128.56</c:v>
                </c:pt>
                <c:pt idx="80">
                  <c:v>119.96</c:v>
                </c:pt>
                <c:pt idx="81">
                  <c:v>108.66</c:v>
                </c:pt>
                <c:pt idx="82">
                  <c:v>100.79</c:v>
                </c:pt>
                <c:pt idx="83">
                  <c:v>96.63</c:v>
                </c:pt>
                <c:pt idx="84">
                  <c:v>90.03</c:v>
                </c:pt>
                <c:pt idx="85">
                  <c:v>84.93</c:v>
                </c:pt>
                <c:pt idx="86">
                  <c:v>81.36</c:v>
                </c:pt>
                <c:pt idx="87">
                  <c:v>78.42</c:v>
                </c:pt>
                <c:pt idx="88">
                  <c:v>74.790000000000006</c:v>
                </c:pt>
                <c:pt idx="89">
                  <c:v>72.37</c:v>
                </c:pt>
                <c:pt idx="90">
                  <c:v>69.08</c:v>
                </c:pt>
                <c:pt idx="91">
                  <c:v>67.91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03520"/>
        <c:axId val="48605440"/>
      </c:scatterChart>
      <c:valAx>
        <c:axId val="4860352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605440"/>
        <c:crosses val="autoZero"/>
        <c:crossBetween val="midCat"/>
      </c:valAx>
      <c:valAx>
        <c:axId val="48605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6035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Data'!$A$303</c:f>
          <c:strCache>
            <c:ptCount val="1"/>
            <c:pt idx="0">
              <c:v>Disk 30</c:v>
            </c:pt>
          </c:strCache>
        </c:strRef>
      </c:tx>
      <c:layout>
        <c:manualLayout>
          <c:xMode val="edge"/>
          <c:yMode val="edge"/>
          <c:x val="0.42800083989501353"/>
          <c:y val="3.63636700889420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2727272727272718"/>
          <c:w val="0.69600135937765506"/>
          <c:h val="0.69818181818181901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Regression!$E$3:$J$3</c:f>
              <c:numCache>
                <c:formatCode>0.0</c:formatCode>
                <c:ptCount val="6"/>
                <c:pt idx="0">
                  <c:v>1</c:v>
                </c:pt>
                <c:pt idx="1">
                  <c:v>0.68918594743938655</c:v>
                </c:pt>
                <c:pt idx="2">
                  <c:v>0.87573724656503082</c:v>
                </c:pt>
                <c:pt idx="3">
                  <c:v>0.92296238698310029</c:v>
                </c:pt>
                <c:pt idx="4">
                  <c:v>0.89634292615539868</c:v>
                </c:pt>
                <c:pt idx="5">
                  <c:v>0.94963975216934549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18496"/>
        <c:axId val="48698880"/>
      </c:scatterChart>
      <c:valAx>
        <c:axId val="48618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83989501332"/>
              <c:y val="0.887272659822115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698880"/>
        <c:crosses val="autoZero"/>
        <c:crossBetween val="midCat"/>
      </c:valAx>
      <c:valAx>
        <c:axId val="4869888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000000000000019E-2"/>
              <c:y val="0.3418183504447103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6184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Data'!$A$304</c:f>
          <c:strCache>
            <c:ptCount val="1"/>
            <c:pt idx="0">
              <c:v>Disk 31</c:v>
            </c:pt>
          </c:strCache>
        </c:strRef>
      </c:tx>
      <c:layout>
        <c:manualLayout>
          <c:xMode val="edge"/>
          <c:yMode val="edge"/>
          <c:x val="0.43137419587257558"/>
          <c:y val="3.623230194817201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2681204289813641"/>
          <c:w val="0.70196347259295566"/>
          <c:h val="0.69927783655258213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Regression!$E$4:$J$4</c:f>
              <c:numCache>
                <c:formatCode>0.0</c:formatCode>
                <c:ptCount val="6"/>
                <c:pt idx="0">
                  <c:v>1</c:v>
                </c:pt>
                <c:pt idx="1">
                  <c:v>1.5440717407344344</c:v>
                </c:pt>
                <c:pt idx="2">
                  <c:v>1.5101121894924041</c:v>
                </c:pt>
                <c:pt idx="3">
                  <c:v>1.5458501239192539</c:v>
                </c:pt>
                <c:pt idx="4">
                  <c:v>1.3889551052840685</c:v>
                </c:pt>
                <c:pt idx="5">
                  <c:v>1.4119794918364645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7168"/>
        <c:axId val="48729472"/>
      </c:scatterChart>
      <c:valAx>
        <c:axId val="48727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0175492782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29472"/>
        <c:crosses val="autoZero"/>
        <c:crossBetween val="midCat"/>
      </c:valAx>
      <c:valAx>
        <c:axId val="4872947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8379908401E-2"/>
              <c:y val="0.34058075487043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271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Data'!$A$305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313742618110244"/>
          <c:y val="3.623230194817201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2681204289813641"/>
          <c:w val="0.70196347259295566"/>
          <c:h val="0.69927783655258213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Regression!$E$5:$J$5</c:f>
              <c:numCache>
                <c:formatCode>0.0</c:formatCode>
                <c:ptCount val="6"/>
                <c:pt idx="0">
                  <c:v>1</c:v>
                </c:pt>
                <c:pt idx="1">
                  <c:v>0.87430478309232496</c:v>
                </c:pt>
                <c:pt idx="2">
                  <c:v>0.63236929922135721</c:v>
                </c:pt>
                <c:pt idx="3">
                  <c:v>0.7041156840934375</c:v>
                </c:pt>
                <c:pt idx="4">
                  <c:v>0.52892102335928814</c:v>
                </c:pt>
                <c:pt idx="5">
                  <c:v>0.57119021134594006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5472"/>
        <c:axId val="48760320"/>
      </c:scatterChart>
      <c:valAx>
        <c:axId val="4874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60320"/>
        <c:crosses val="autoZero"/>
        <c:crossBetween val="midCat"/>
      </c:valAx>
      <c:valAx>
        <c:axId val="4876032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4058075487043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454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Data'!$A$306</c:f>
          <c:strCache>
            <c:ptCount val="1"/>
            <c:pt idx="0">
              <c:v>Disk 33</c:v>
            </c:pt>
          </c:strCache>
        </c:strRef>
      </c:tx>
      <c:layout>
        <c:manualLayout>
          <c:xMode val="edge"/>
          <c:yMode val="edge"/>
          <c:x val="0.42800071677787327"/>
          <c:y val="3.623230194817201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2681204289813641"/>
          <c:w val="0.69600135937765506"/>
          <c:h val="0.69927783655258213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Regression!$E$6:$J$6</c:f>
              <c:numCache>
                <c:formatCode>0.0</c:formatCode>
                <c:ptCount val="6"/>
                <c:pt idx="0">
                  <c:v>1</c:v>
                </c:pt>
                <c:pt idx="1">
                  <c:v>0.87077519006150583</c:v>
                </c:pt>
                <c:pt idx="2">
                  <c:v>0.85185269205357161</c:v>
                </c:pt>
                <c:pt idx="3">
                  <c:v>0.85480180009017459</c:v>
                </c:pt>
                <c:pt idx="4">
                  <c:v>0.74855451170994391</c:v>
                </c:pt>
                <c:pt idx="5">
                  <c:v>0.75703886867678627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71840"/>
        <c:axId val="48774144"/>
      </c:scatterChart>
      <c:valAx>
        <c:axId val="48771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8854314898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74144"/>
        <c:crosses val="autoZero"/>
        <c:crossBetween val="midCat"/>
      </c:valAx>
      <c:valAx>
        <c:axId val="4877414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873509787173E-2"/>
              <c:y val="0.34058075487043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718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Data'!$A$307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2972056203817932"/>
          <c:y val="3.703695311467367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88440043141491"/>
          <c:y val="0.13333381558816401"/>
          <c:w val="0.69478184135699583"/>
          <c:h val="0.68889138053884824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Regression!$E$7:$J$7</c:f>
              <c:numCache>
                <c:formatCode>0.0</c:formatCode>
                <c:ptCount val="6"/>
                <c:pt idx="0">
                  <c:v>1</c:v>
                </c:pt>
                <c:pt idx="1">
                  <c:v>0.83579638752052532</c:v>
                </c:pt>
                <c:pt idx="2">
                  <c:v>0.92610837438423632</c:v>
                </c:pt>
                <c:pt idx="3">
                  <c:v>0.99384236453201957</c:v>
                </c:pt>
                <c:pt idx="4">
                  <c:v>1.0718390804597702</c:v>
                </c:pt>
                <c:pt idx="5">
                  <c:v>1.0270935960591132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6048"/>
        <c:axId val="48796800"/>
      </c:scatterChart>
      <c:valAx>
        <c:axId val="48786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176875480926331"/>
              <c:y val="0.885188164429086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96800"/>
        <c:crosses val="autoZero"/>
        <c:crossBetween val="midCat"/>
      </c:valAx>
      <c:valAx>
        <c:axId val="4879680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273514003520691E-2"/>
              <c:y val="0.34074208349855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7860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2913385826771655"/>
          <c:y val="3.71748296805859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53543307086651"/>
          <c:y val="0.1338289962825279"/>
          <c:w val="0.7007874015748039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Regression!$E$8:$J$8</c:f>
              <c:numCache>
                <c:formatCode>0.0</c:formatCode>
                <c:ptCount val="6"/>
                <c:pt idx="0">
                  <c:v>1</c:v>
                </c:pt>
                <c:pt idx="1">
                  <c:v>1.0690252286696442</c:v>
                </c:pt>
                <c:pt idx="2">
                  <c:v>1.2492992036209958</c:v>
                </c:pt>
                <c:pt idx="3">
                  <c:v>1.4526458813746754</c:v>
                </c:pt>
                <c:pt idx="4">
                  <c:v>1.4156815512674341</c:v>
                </c:pt>
                <c:pt idx="5">
                  <c:v>1.4128869381841873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25088"/>
        <c:axId val="48827392"/>
      </c:scatterChart>
      <c:valAx>
        <c:axId val="48825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27392"/>
        <c:crosses val="autoZero"/>
        <c:crossBetween val="midCat"/>
      </c:valAx>
      <c:valAx>
        <c:axId val="4882739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25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Data'!$A$309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Regression!$E$9:$J$9</c:f>
              <c:numCache>
                <c:formatCode>0.0</c:formatCode>
                <c:ptCount val="6"/>
                <c:pt idx="0">
                  <c:v>1</c:v>
                </c:pt>
                <c:pt idx="1">
                  <c:v>0.90617730386464479</c:v>
                </c:pt>
                <c:pt idx="2">
                  <c:v>0.89537808609870229</c:v>
                </c:pt>
                <c:pt idx="3">
                  <c:v>0.90184626906884646</c:v>
                </c:pt>
                <c:pt idx="4">
                  <c:v>0.82018451342999044</c:v>
                </c:pt>
                <c:pt idx="5">
                  <c:v>0.81915187369265163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1584"/>
        <c:axId val="48862336"/>
      </c:scatterChart>
      <c:valAx>
        <c:axId val="488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62336"/>
        <c:crosses val="autoZero"/>
        <c:crossBetween val="midCat"/>
      </c:valAx>
      <c:valAx>
        <c:axId val="4886233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515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Data'!$A$310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2857309502978841"/>
          <c:y val="3.69004412082898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25481404550334"/>
          <c:y val="0.13284156776401018"/>
          <c:w val="0.6984154049456105"/>
          <c:h val="0.69003814366305294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Regression!$E$10:$J$10</c:f>
              <c:numCache>
                <c:formatCode>0.0</c:formatCode>
                <c:ptCount val="6"/>
                <c:pt idx="0">
                  <c:v>1</c:v>
                </c:pt>
                <c:pt idx="1">
                  <c:v>0.95469512699594594</c:v>
                </c:pt>
                <c:pt idx="2">
                  <c:v>0.98633793883235432</c:v>
                </c:pt>
                <c:pt idx="3">
                  <c:v>1.0331320151126555</c:v>
                </c:pt>
                <c:pt idx="4">
                  <c:v>0.96070158021014318</c:v>
                </c:pt>
                <c:pt idx="5">
                  <c:v>0.95768456468382002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4240"/>
        <c:axId val="48876544"/>
      </c:scatterChart>
      <c:valAx>
        <c:axId val="4887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44611090280417"/>
              <c:y val="0.88561058899895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76544"/>
        <c:crosses val="autoZero"/>
        <c:crossBetween val="midCat"/>
      </c:valAx>
      <c:valAx>
        <c:axId val="4887654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460734074907394E-2"/>
              <c:y val="0.339484284894496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742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Data'!$A$311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2741942682265988"/>
          <c:y val="3.597122038066925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177419354838709"/>
          <c:y val="0.1294964028776982"/>
          <c:w val="0.69758064516129037"/>
          <c:h val="0.6978417266187064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Regression!$E$11:$J$11</c:f>
              <c:numCache>
                <c:formatCode>0.0</c:formatCode>
                <c:ptCount val="6"/>
                <c:pt idx="0">
                  <c:v>1</c:v>
                </c:pt>
                <c:pt idx="1">
                  <c:v>0.8272992273719636</c:v>
                </c:pt>
                <c:pt idx="2">
                  <c:v>0.81658564471121819</c:v>
                </c:pt>
                <c:pt idx="3">
                  <c:v>0.83426366779774874</c:v>
                </c:pt>
                <c:pt idx="4">
                  <c:v>0.74292072749597116</c:v>
                </c:pt>
                <c:pt idx="5">
                  <c:v>0.76750758225368942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2544"/>
        <c:axId val="48899200"/>
      </c:scatterChart>
      <c:valAx>
        <c:axId val="4889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4830140159579"/>
              <c:y val="0.88848925352862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99200"/>
        <c:crosses val="autoZero"/>
        <c:crossBetween val="midCat"/>
      </c:valAx>
      <c:valAx>
        <c:axId val="4889920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548354532606506E-2"/>
              <c:y val="0.345323862489217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8925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Data'!$A$312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41732283464566988"/>
          <c:y val="3.597122038066925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53543307086651"/>
          <c:y val="0.1294964028776982"/>
          <c:w val="0.7007874015748039"/>
          <c:h val="0.6978417266187064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Regression!$E$12:$J$12</c:f>
              <c:numCache>
                <c:formatCode>0.0</c:formatCode>
                <c:ptCount val="6"/>
                <c:pt idx="0">
                  <c:v>1</c:v>
                </c:pt>
                <c:pt idx="1">
                  <c:v>0.94092731555874509</c:v>
                </c:pt>
                <c:pt idx="2">
                  <c:v>0.96957050812025158</c:v>
                </c:pt>
                <c:pt idx="3">
                  <c:v>0.98354108488431957</c:v>
                </c:pt>
                <c:pt idx="4">
                  <c:v>0.91568511209223236</c:v>
                </c:pt>
                <c:pt idx="5">
                  <c:v>0.93127817906675614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15200"/>
        <c:axId val="48917504"/>
      </c:scatterChart>
      <c:valAx>
        <c:axId val="4891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848925352862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17504"/>
        <c:crosses val="autoZero"/>
        <c:crossBetween val="midCat"/>
      </c:valAx>
      <c:valAx>
        <c:axId val="4891750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5323862489217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152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Data'!$A$313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2023346303501946"/>
          <c:y val="3.597122038066925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00778210116764"/>
          <c:y val="0.1294964028776982"/>
          <c:w val="0.7042801556420234"/>
          <c:h val="0.6978417266187064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Regression!$E$13:$J$13</c:f>
              <c:numCache>
                <c:formatCode>0.0</c:formatCode>
                <c:ptCount val="6"/>
                <c:pt idx="0">
                  <c:v>1</c:v>
                </c:pt>
                <c:pt idx="1">
                  <c:v>0.68374032162001208</c:v>
                </c:pt>
                <c:pt idx="2">
                  <c:v>0.74657534246575363</c:v>
                </c:pt>
                <c:pt idx="3">
                  <c:v>0.5744490768314473</c:v>
                </c:pt>
                <c:pt idx="4">
                  <c:v>0.49017272185824912</c:v>
                </c:pt>
                <c:pt idx="5">
                  <c:v>0.47409172126265636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33504"/>
        <c:axId val="48956544"/>
      </c:scatterChart>
      <c:valAx>
        <c:axId val="48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7976653696496"/>
              <c:y val="0.88848925352862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56544"/>
        <c:crosses val="autoZero"/>
        <c:crossBetween val="midCat"/>
      </c:valAx>
      <c:valAx>
        <c:axId val="4895654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147859922178989E-2"/>
              <c:y val="0.345323862489217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335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41666833312502632"/>
          <c:y val="3.623193227607120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25481404550334"/>
          <c:y val="0.13043524412379759"/>
          <c:w val="0.6984154049456105"/>
          <c:h val="0.69565463532691962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Regression!$E$14:$J$14</c:f>
              <c:numCache>
                <c:formatCode>0.0</c:formatCode>
                <c:ptCount val="6"/>
                <c:pt idx="0">
                  <c:v>1</c:v>
                </c:pt>
                <c:pt idx="1">
                  <c:v>1.0216471092536035</c:v>
                </c:pt>
                <c:pt idx="2">
                  <c:v>0.99335583775384462</c:v>
                </c:pt>
                <c:pt idx="3">
                  <c:v>1.0485988319134116</c:v>
                </c:pt>
                <c:pt idx="4">
                  <c:v>1.009216096018861</c:v>
                </c:pt>
                <c:pt idx="5">
                  <c:v>1.0136633981674972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8448"/>
        <c:axId val="48970752"/>
      </c:scatterChart>
      <c:valAx>
        <c:axId val="4896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44611090280417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70752"/>
        <c:crosses val="autoZero"/>
        <c:crossBetween val="midCat"/>
      </c:valAx>
      <c:valAx>
        <c:axId val="4897075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460734074907394E-2"/>
              <c:y val="0.344203911130827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68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41700488658429935"/>
          <c:y val="3.571412948381456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267250496683813"/>
          <c:y val="0.13214308758211449"/>
          <c:w val="0.69635765189629439"/>
          <c:h val="0.69642978590573656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Regression!$E$15:$J$15</c:f>
              <c:numCache>
                <c:formatCode>0.0</c:formatCode>
                <c:ptCount val="6"/>
                <c:pt idx="0">
                  <c:v>1</c:v>
                </c:pt>
                <c:pt idx="1">
                  <c:v>0.94592914853946553</c:v>
                </c:pt>
                <c:pt idx="2">
                  <c:v>0.86140459912989442</c:v>
                </c:pt>
                <c:pt idx="3">
                  <c:v>0.65257924176507154</c:v>
                </c:pt>
                <c:pt idx="4">
                  <c:v>0.65071472964574273</c:v>
                </c:pt>
                <c:pt idx="5">
                  <c:v>0.81044126786824133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2656"/>
        <c:axId val="48989312"/>
      </c:scatterChart>
      <c:valAx>
        <c:axId val="4898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534494163839278"/>
              <c:y val="0.889287328667248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89312"/>
        <c:crosses val="autoZero"/>
        <c:crossBetween val="midCat"/>
      </c:valAx>
      <c:valAx>
        <c:axId val="4898931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825726052536201E-2"/>
              <c:y val="0.3464293525809273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89826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41732283464566988"/>
          <c:y val="3.58422270386933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53543307086651"/>
          <c:y val="0.12903270970790529"/>
          <c:w val="0.7007874015748039"/>
          <c:h val="0.69892717758448808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Regression!$E$16:$J$16</c:f>
              <c:numCache>
                <c:formatCode>0.0</c:formatCode>
                <c:ptCount val="6"/>
                <c:pt idx="0">
                  <c:v>1</c:v>
                </c:pt>
                <c:pt idx="1">
                  <c:v>0.73467361628195582</c:v>
                </c:pt>
                <c:pt idx="2">
                  <c:v>0.52494415487714075</c:v>
                </c:pt>
                <c:pt idx="3">
                  <c:v>0.57979647555224634</c:v>
                </c:pt>
                <c:pt idx="4">
                  <c:v>0.49317448498386696</c:v>
                </c:pt>
                <c:pt idx="5">
                  <c:v>0.51303052866716303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5792"/>
        <c:axId val="49028096"/>
      </c:scatterChart>
      <c:valAx>
        <c:axId val="4902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8892059224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028096"/>
        <c:crosses val="autoZero"/>
        <c:crossBetween val="midCat"/>
      </c:valAx>
      <c:valAx>
        <c:axId val="4902809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40869891263597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0257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42023346303501946"/>
          <c:y val="3.58422270386933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00778210116764"/>
          <c:y val="0.12903270970790529"/>
          <c:w val="0.7042801556420234"/>
          <c:h val="0.69892717758448808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Regression!$E$17:$J$17</c:f>
              <c:numCache>
                <c:formatCode>0.0</c:formatCode>
                <c:ptCount val="6"/>
                <c:pt idx="0">
                  <c:v>1</c:v>
                </c:pt>
                <c:pt idx="1">
                  <c:v>1.1018080465980522</c:v>
                </c:pt>
                <c:pt idx="2">
                  <c:v>1.2928850994293846</c:v>
                </c:pt>
                <c:pt idx="3">
                  <c:v>1.484489279548779</c:v>
                </c:pt>
                <c:pt idx="4">
                  <c:v>1.4225320559282053</c:v>
                </c:pt>
                <c:pt idx="5">
                  <c:v>1.4631010898356682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4096"/>
        <c:axId val="49071232"/>
      </c:scatterChart>
      <c:valAx>
        <c:axId val="49044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7976653696496"/>
              <c:y val="0.888892059224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071232"/>
        <c:crosses val="autoZero"/>
        <c:crossBetween val="midCat"/>
      </c:valAx>
      <c:valAx>
        <c:axId val="4907123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147859922178989E-2"/>
              <c:y val="0.3440869891263597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0440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Data'!$A$318</c:f>
          <c:strCache>
            <c:ptCount val="1"/>
            <c:pt idx="0">
              <c:v>Disk 45</c:v>
            </c:pt>
          </c:strCache>
        </c:strRef>
      </c:tx>
      <c:layout>
        <c:manualLayout>
          <c:xMode val="edge"/>
          <c:yMode val="edge"/>
          <c:x val="0.41600066923905527"/>
          <c:y val="3.58422270386933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2903270970790529"/>
          <c:w val="0.69600135937765506"/>
          <c:h val="0.69892717758448808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Regression!$E$18:$J$18</c:f>
              <c:numCache>
                <c:formatCode>0.0</c:formatCode>
                <c:ptCount val="6"/>
                <c:pt idx="0">
                  <c:v>1</c:v>
                </c:pt>
                <c:pt idx="1">
                  <c:v>0.91735499682309152</c:v>
                </c:pt>
                <c:pt idx="2">
                  <c:v>0.94476717799763987</c:v>
                </c:pt>
                <c:pt idx="3">
                  <c:v>1.0139330126168649</c:v>
                </c:pt>
                <c:pt idx="4">
                  <c:v>0.92184805300898609</c:v>
                </c:pt>
                <c:pt idx="5">
                  <c:v>0.97238358899882005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79040"/>
        <c:axId val="49081344"/>
      </c:scatterChart>
      <c:valAx>
        <c:axId val="49079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79472137699"/>
              <c:y val="0.888892059224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081344"/>
        <c:crosses val="autoZero"/>
        <c:crossBetween val="midCat"/>
      </c:valAx>
      <c:valAx>
        <c:axId val="4908134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707207913831E-2"/>
              <c:y val="0.3440869891263597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0790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Data'!$A$319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41532255836441573"/>
          <c:y val="3.546130871572094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177419354838709"/>
          <c:y val="0.13120612812405838"/>
          <c:w val="0.69758064516129037"/>
          <c:h val="0.69858397947133777"/>
        </c:manualLayout>
      </c:layout>
      <c:scatterChart>
        <c:scatterStyle val="lineMarker"/>
        <c:varyColors val="0"/>
        <c:ser>
          <c:idx val="3"/>
          <c:order val="2"/>
          <c:tx>
            <c:v>0.8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</c:dPt>
          <c:xVal>
            <c:numRef>
              <c:f>'TD Plts'!$B$102:$B$103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xVal>
          <c:yVal>
            <c:numRef>
              <c:f>'TD Plts'!$D$102:$D$103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yVal>
          <c:smooth val="0"/>
        </c:ser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Regression!$E$19:$J$19</c:f>
              <c:numCache>
                <c:formatCode>0.0</c:formatCode>
                <c:ptCount val="6"/>
                <c:pt idx="0">
                  <c:v>1</c:v>
                </c:pt>
                <c:pt idx="1">
                  <c:v>0.94389680138685872</c:v>
                </c:pt>
                <c:pt idx="2">
                  <c:v>0.95872565348924155</c:v>
                </c:pt>
                <c:pt idx="3">
                  <c:v>0.96167017913593245</c:v>
                </c:pt>
                <c:pt idx="4">
                  <c:v>0.88730072402189053</c:v>
                </c:pt>
                <c:pt idx="5">
                  <c:v>0.91088667187871786</c:v>
                </c:pt>
              </c:numCache>
            </c:numRef>
          </c:yVal>
          <c:smooth val="0"/>
        </c:ser>
        <c:ser>
          <c:idx val="0"/>
          <c:order val="1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'TD Plts'!$B$102:$B$103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xVal>
          <c:yVal>
            <c:numRef>
              <c:f>'TD Plts'!$C$102:$C$103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0000"/>
        <c:axId val="49121920"/>
      </c:scatterChart>
      <c:valAx>
        <c:axId val="49120000"/>
        <c:scaling>
          <c:orientation val="minMax"/>
          <c:max val="7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4830140159579"/>
              <c:y val="0.890074033849217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121920"/>
        <c:crosses val="autoZero"/>
        <c:crossBetween val="midCat"/>
      </c:valAx>
      <c:valAx>
        <c:axId val="4912192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548354532606506E-2"/>
              <c:y val="0.34751887048601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1200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Data'!$A$320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41732283464566988"/>
          <c:y val="3.53358407518648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53543307086651"/>
          <c:y val="0.13074227504947539"/>
          <c:w val="0.7007874015748039"/>
          <c:h val="0.69964785026476028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Regression!$E$20:$J$20</c:f>
              <c:numCache>
                <c:formatCode>0.0</c:formatCode>
                <c:ptCount val="6"/>
                <c:pt idx="0">
                  <c:v>1</c:v>
                </c:pt>
                <c:pt idx="1">
                  <c:v>0.923506270180662</c:v>
                </c:pt>
                <c:pt idx="2">
                  <c:v>0.92825890629574792</c:v>
                </c:pt>
                <c:pt idx="3">
                  <c:v>0.95449015864113773</c:v>
                </c:pt>
                <c:pt idx="4">
                  <c:v>0.85577141160509207</c:v>
                </c:pt>
                <c:pt idx="5">
                  <c:v>0.87332420607265238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48512"/>
        <c:axId val="49287936"/>
      </c:scatterChart>
      <c:valAx>
        <c:axId val="4924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90460805801335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287936"/>
        <c:crosses val="autoZero"/>
        <c:crossBetween val="midCat"/>
      </c:valAx>
      <c:valAx>
        <c:axId val="4928793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9824210118065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2485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Data'!$A$321</c:f>
          <c:strCache>
            <c:ptCount val="1"/>
            <c:pt idx="0">
              <c:v>Disk 48</c:v>
            </c:pt>
          </c:strCache>
        </c:strRef>
      </c:tx>
      <c:layout>
        <c:manualLayout>
          <c:xMode val="edge"/>
          <c:yMode val="edge"/>
          <c:x val="0.41860627886630458"/>
          <c:y val="3.546130871572094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17910148339664"/>
          <c:y val="0.13120612812405838"/>
          <c:w val="0.70542902672687635"/>
          <c:h val="0.6985839794713377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Regression!$E$21:$J$21</c:f>
              <c:numCache>
                <c:formatCode>0.0</c:formatCode>
                <c:ptCount val="6"/>
                <c:pt idx="0">
                  <c:v>1</c:v>
                </c:pt>
                <c:pt idx="1">
                  <c:v>1.0011289807221218</c:v>
                </c:pt>
                <c:pt idx="2">
                  <c:v>1.1418042390030887</c:v>
                </c:pt>
                <c:pt idx="3">
                  <c:v>1.3321759505804665</c:v>
                </c:pt>
                <c:pt idx="4">
                  <c:v>1.2941953349664501</c:v>
                </c:pt>
                <c:pt idx="5">
                  <c:v>1.3309617637661093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5376"/>
        <c:axId val="49367680"/>
      </c:scatterChart>
      <c:valAx>
        <c:axId val="493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573806181204134"/>
              <c:y val="0.890074033849217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367680"/>
        <c:crosses val="autoZero"/>
        <c:crossBetween val="midCat"/>
      </c:valAx>
      <c:valAx>
        <c:axId val="4936768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5891879794095512E-2"/>
              <c:y val="0.34751887048601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3653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Data'!$A$322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1600066923905527"/>
          <c:y val="3.546130871572094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3120612812405838"/>
          <c:w val="0.69600135937765506"/>
          <c:h val="0.6985839794713377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Regression!$E$22:$J$22</c:f>
              <c:numCache>
                <c:formatCode>0.0</c:formatCode>
                <c:ptCount val="6"/>
                <c:pt idx="0">
                  <c:v>1</c:v>
                </c:pt>
                <c:pt idx="1">
                  <c:v>0.60992659909122682</c:v>
                </c:pt>
                <c:pt idx="2">
                  <c:v>0.70814400559245017</c:v>
                </c:pt>
                <c:pt idx="3">
                  <c:v>0.63858790632645923</c:v>
                </c:pt>
                <c:pt idx="4">
                  <c:v>0.57532331352673893</c:v>
                </c:pt>
                <c:pt idx="5">
                  <c:v>0.61027612722824176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75488"/>
        <c:axId val="49378048"/>
      </c:scatterChart>
      <c:valAx>
        <c:axId val="49375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79472137699"/>
              <c:y val="0.890074033849217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378048"/>
        <c:crosses val="autoZero"/>
        <c:crossBetween val="midCat"/>
      </c:valAx>
      <c:valAx>
        <c:axId val="49378048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707207913831E-2"/>
              <c:y val="0.34751887048601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493754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18" Type="http://schemas.openxmlformats.org/officeDocument/2006/relationships/chart" Target="../charts/chart3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17" Type="http://schemas.openxmlformats.org/officeDocument/2006/relationships/chart" Target="../charts/chart37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20" Type="http://schemas.openxmlformats.org/officeDocument/2006/relationships/chart" Target="../charts/chart40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19" Type="http://schemas.openxmlformats.org/officeDocument/2006/relationships/chart" Target="../charts/chart39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13" Type="http://schemas.openxmlformats.org/officeDocument/2006/relationships/chart" Target="../charts/chart53.xml"/><Relationship Id="rId18" Type="http://schemas.openxmlformats.org/officeDocument/2006/relationships/chart" Target="../charts/chart5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17" Type="http://schemas.openxmlformats.org/officeDocument/2006/relationships/chart" Target="../charts/chart57.xml"/><Relationship Id="rId2" Type="http://schemas.openxmlformats.org/officeDocument/2006/relationships/chart" Target="../charts/chart42.xml"/><Relationship Id="rId16" Type="http://schemas.openxmlformats.org/officeDocument/2006/relationships/chart" Target="../charts/chart56.xml"/><Relationship Id="rId20" Type="http://schemas.openxmlformats.org/officeDocument/2006/relationships/chart" Target="../charts/chart60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5" Type="http://schemas.openxmlformats.org/officeDocument/2006/relationships/chart" Target="../charts/chart55.xml"/><Relationship Id="rId10" Type="http://schemas.openxmlformats.org/officeDocument/2006/relationships/chart" Target="../charts/chart50.xml"/><Relationship Id="rId19" Type="http://schemas.openxmlformats.org/officeDocument/2006/relationships/chart" Target="../charts/chart59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Relationship Id="rId14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4</xdr:col>
      <xdr:colOff>38100</xdr:colOff>
      <xdr:row>15</xdr:row>
      <xdr:rowOff>9525</xdr:rowOff>
    </xdr:to>
    <xdr:graphicFrame macro="">
      <xdr:nvGraphicFramePr>
        <xdr:cNvPr id="1622350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0</xdr:row>
      <xdr:rowOff>47625</xdr:rowOff>
    </xdr:from>
    <xdr:to>
      <xdr:col>7</xdr:col>
      <xdr:colOff>180975</xdr:colOff>
      <xdr:row>14</xdr:row>
      <xdr:rowOff>85725</xdr:rowOff>
    </xdr:to>
    <xdr:graphicFrame macro="">
      <xdr:nvGraphicFramePr>
        <xdr:cNvPr id="1622350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171450</xdr:colOff>
      <xdr:row>0</xdr:row>
      <xdr:rowOff>38100</xdr:rowOff>
    </xdr:from>
    <xdr:to>
      <xdr:col>10</xdr:col>
      <xdr:colOff>466725</xdr:colOff>
      <xdr:row>15</xdr:row>
      <xdr:rowOff>9525</xdr:rowOff>
    </xdr:to>
    <xdr:graphicFrame macro="">
      <xdr:nvGraphicFramePr>
        <xdr:cNvPr id="1622351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0</xdr:row>
      <xdr:rowOff>9525</xdr:rowOff>
    </xdr:from>
    <xdr:to>
      <xdr:col>13</xdr:col>
      <xdr:colOff>581025</xdr:colOff>
      <xdr:row>14</xdr:row>
      <xdr:rowOff>142875</xdr:rowOff>
    </xdr:to>
    <xdr:graphicFrame macro="">
      <xdr:nvGraphicFramePr>
        <xdr:cNvPr id="1622351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28575</xdr:rowOff>
    </xdr:from>
    <xdr:to>
      <xdr:col>4</xdr:col>
      <xdr:colOff>19050</xdr:colOff>
      <xdr:row>30</xdr:row>
      <xdr:rowOff>76200</xdr:rowOff>
    </xdr:to>
    <xdr:graphicFrame macro="">
      <xdr:nvGraphicFramePr>
        <xdr:cNvPr id="1622351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28575</xdr:colOff>
      <xdr:row>15</xdr:row>
      <xdr:rowOff>0</xdr:rowOff>
    </xdr:from>
    <xdr:to>
      <xdr:col>7</xdr:col>
      <xdr:colOff>200025</xdr:colOff>
      <xdr:row>30</xdr:row>
      <xdr:rowOff>28575</xdr:rowOff>
    </xdr:to>
    <xdr:graphicFrame macro="">
      <xdr:nvGraphicFramePr>
        <xdr:cNvPr id="1622351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200025</xdr:colOff>
      <xdr:row>15</xdr:row>
      <xdr:rowOff>28575</xdr:rowOff>
    </xdr:from>
    <xdr:to>
      <xdr:col>10</xdr:col>
      <xdr:colOff>476250</xdr:colOff>
      <xdr:row>30</xdr:row>
      <xdr:rowOff>57150</xdr:rowOff>
    </xdr:to>
    <xdr:graphicFrame macro="">
      <xdr:nvGraphicFramePr>
        <xdr:cNvPr id="1622351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495300</xdr:colOff>
      <xdr:row>15</xdr:row>
      <xdr:rowOff>19050</xdr:rowOff>
    </xdr:from>
    <xdr:to>
      <xdr:col>13</xdr:col>
      <xdr:colOff>600075</xdr:colOff>
      <xdr:row>30</xdr:row>
      <xdr:rowOff>47625</xdr:rowOff>
    </xdr:to>
    <xdr:graphicFrame macro="">
      <xdr:nvGraphicFramePr>
        <xdr:cNvPr id="162235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30</xdr:row>
      <xdr:rowOff>123825</xdr:rowOff>
    </xdr:from>
    <xdr:to>
      <xdr:col>4</xdr:col>
      <xdr:colOff>19050</xdr:colOff>
      <xdr:row>45</xdr:row>
      <xdr:rowOff>152400</xdr:rowOff>
    </xdr:to>
    <xdr:graphicFrame macro="">
      <xdr:nvGraphicFramePr>
        <xdr:cNvPr id="16223516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38100</xdr:colOff>
      <xdr:row>30</xdr:row>
      <xdr:rowOff>123825</xdr:rowOff>
    </xdr:from>
    <xdr:to>
      <xdr:col>7</xdr:col>
      <xdr:colOff>190500</xdr:colOff>
      <xdr:row>45</xdr:row>
      <xdr:rowOff>152400</xdr:rowOff>
    </xdr:to>
    <xdr:graphicFrame macro="">
      <xdr:nvGraphicFramePr>
        <xdr:cNvPr id="1622351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209550</xdr:colOff>
      <xdr:row>30</xdr:row>
      <xdr:rowOff>85725</xdr:rowOff>
    </xdr:from>
    <xdr:to>
      <xdr:col>10</xdr:col>
      <xdr:colOff>504825</xdr:colOff>
      <xdr:row>45</xdr:row>
      <xdr:rowOff>114300</xdr:rowOff>
    </xdr:to>
    <xdr:graphicFrame macro="">
      <xdr:nvGraphicFramePr>
        <xdr:cNvPr id="1622351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523875</xdr:colOff>
      <xdr:row>30</xdr:row>
      <xdr:rowOff>76200</xdr:rowOff>
    </xdr:from>
    <xdr:to>
      <xdr:col>13</xdr:col>
      <xdr:colOff>628650</xdr:colOff>
      <xdr:row>45</xdr:row>
      <xdr:rowOff>104775</xdr:rowOff>
    </xdr:to>
    <xdr:graphicFrame macro="">
      <xdr:nvGraphicFramePr>
        <xdr:cNvPr id="16223519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38100</xdr:colOff>
      <xdr:row>45</xdr:row>
      <xdr:rowOff>152400</xdr:rowOff>
    </xdr:from>
    <xdr:to>
      <xdr:col>4</xdr:col>
      <xdr:colOff>76200</xdr:colOff>
      <xdr:row>61</xdr:row>
      <xdr:rowOff>9525</xdr:rowOff>
    </xdr:to>
    <xdr:graphicFrame macro="">
      <xdr:nvGraphicFramePr>
        <xdr:cNvPr id="1622352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74519</xdr:colOff>
      <xdr:row>45</xdr:row>
      <xdr:rowOff>146237</xdr:rowOff>
    </xdr:from>
    <xdr:to>
      <xdr:col>7</xdr:col>
      <xdr:colOff>226919</xdr:colOff>
      <xdr:row>61</xdr:row>
      <xdr:rowOff>17930</xdr:rowOff>
    </xdr:to>
    <xdr:graphicFrame macro="">
      <xdr:nvGraphicFramePr>
        <xdr:cNvPr id="1622352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209550</xdr:colOff>
      <xdr:row>45</xdr:row>
      <xdr:rowOff>133350</xdr:rowOff>
    </xdr:from>
    <xdr:to>
      <xdr:col>10</xdr:col>
      <xdr:colOff>495300</xdr:colOff>
      <xdr:row>60</xdr:row>
      <xdr:rowOff>142875</xdr:rowOff>
    </xdr:to>
    <xdr:graphicFrame macro="">
      <xdr:nvGraphicFramePr>
        <xdr:cNvPr id="16223522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503145</xdr:colOff>
      <xdr:row>45</xdr:row>
      <xdr:rowOff>135032</xdr:rowOff>
    </xdr:from>
    <xdr:to>
      <xdr:col>13</xdr:col>
      <xdr:colOff>588870</xdr:colOff>
      <xdr:row>61</xdr:row>
      <xdr:rowOff>6725</xdr:rowOff>
    </xdr:to>
    <xdr:graphicFrame macro="">
      <xdr:nvGraphicFramePr>
        <xdr:cNvPr id="16223523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60</xdr:row>
      <xdr:rowOff>152400</xdr:rowOff>
    </xdr:from>
    <xdr:to>
      <xdr:col>4</xdr:col>
      <xdr:colOff>38100</xdr:colOff>
      <xdr:row>76</xdr:row>
      <xdr:rowOff>28575</xdr:rowOff>
    </xdr:to>
    <xdr:graphicFrame macro="">
      <xdr:nvGraphicFramePr>
        <xdr:cNvPr id="16223524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38100</xdr:colOff>
      <xdr:row>60</xdr:row>
      <xdr:rowOff>133350</xdr:rowOff>
    </xdr:from>
    <xdr:to>
      <xdr:col>7</xdr:col>
      <xdr:colOff>200025</xdr:colOff>
      <xdr:row>76</xdr:row>
      <xdr:rowOff>9525</xdr:rowOff>
    </xdr:to>
    <xdr:graphicFrame macro="">
      <xdr:nvGraphicFramePr>
        <xdr:cNvPr id="16223525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209549</xdr:colOff>
      <xdr:row>60</xdr:row>
      <xdr:rowOff>152400</xdr:rowOff>
    </xdr:from>
    <xdr:to>
      <xdr:col>10</xdr:col>
      <xdr:colOff>485774</xdr:colOff>
      <xdr:row>76</xdr:row>
      <xdr:rowOff>38100</xdr:rowOff>
    </xdr:to>
    <xdr:graphicFrame macro="">
      <xdr:nvGraphicFramePr>
        <xdr:cNvPr id="1622352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488576</xdr:colOff>
      <xdr:row>61</xdr:row>
      <xdr:rowOff>9525</xdr:rowOff>
    </xdr:from>
    <xdr:to>
      <xdr:col>13</xdr:col>
      <xdr:colOff>593351</xdr:colOff>
      <xdr:row>76</xdr:row>
      <xdr:rowOff>38100</xdr:rowOff>
    </xdr:to>
    <xdr:graphicFrame macro="">
      <xdr:nvGraphicFramePr>
        <xdr:cNvPr id="16223527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25400</xdr:rowOff>
    </xdr:from>
    <xdr:to>
      <xdr:col>7</xdr:col>
      <xdr:colOff>520700</xdr:colOff>
      <xdr:row>20</xdr:row>
      <xdr:rowOff>168275</xdr:rowOff>
    </xdr:to>
    <xdr:graphicFrame macro="">
      <xdr:nvGraphicFramePr>
        <xdr:cNvPr id="2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520700</xdr:colOff>
      <xdr:row>1</xdr:row>
      <xdr:rowOff>25400</xdr:rowOff>
    </xdr:from>
    <xdr:to>
      <xdr:col>11</xdr:col>
      <xdr:colOff>571500</xdr:colOff>
      <xdr:row>20</xdr:row>
      <xdr:rowOff>168275</xdr:rowOff>
    </xdr:to>
    <xdr:graphicFrame macro="">
      <xdr:nvGraphicFramePr>
        <xdr:cNvPr id="2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571500</xdr:colOff>
      <xdr:row>1</xdr:row>
      <xdr:rowOff>25400</xdr:rowOff>
    </xdr:from>
    <xdr:to>
      <xdr:col>15</xdr:col>
      <xdr:colOff>622300</xdr:colOff>
      <xdr:row>20</xdr:row>
      <xdr:rowOff>168275</xdr:rowOff>
    </xdr:to>
    <xdr:graphicFrame macro="">
      <xdr:nvGraphicFramePr>
        <xdr:cNvPr id="2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0</xdr:colOff>
      <xdr:row>40</xdr:row>
      <xdr:rowOff>155575</xdr:rowOff>
    </xdr:to>
    <xdr:graphicFrame macro="">
      <xdr:nvGraphicFramePr>
        <xdr:cNvPr id="2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20</xdr:row>
      <xdr:rowOff>165100</xdr:rowOff>
    </xdr:from>
    <xdr:to>
      <xdr:col>7</xdr:col>
      <xdr:colOff>520700</xdr:colOff>
      <xdr:row>40</xdr:row>
      <xdr:rowOff>155575</xdr:rowOff>
    </xdr:to>
    <xdr:graphicFrame macro="">
      <xdr:nvGraphicFramePr>
        <xdr:cNvPr id="2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520700</xdr:colOff>
      <xdr:row>20</xdr:row>
      <xdr:rowOff>165100</xdr:rowOff>
    </xdr:from>
    <xdr:to>
      <xdr:col>11</xdr:col>
      <xdr:colOff>571500</xdr:colOff>
      <xdr:row>40</xdr:row>
      <xdr:rowOff>155575</xdr:rowOff>
    </xdr:to>
    <xdr:graphicFrame macro="">
      <xdr:nvGraphicFramePr>
        <xdr:cNvPr id="2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571500</xdr:colOff>
      <xdr:row>20</xdr:row>
      <xdr:rowOff>165100</xdr:rowOff>
    </xdr:from>
    <xdr:to>
      <xdr:col>15</xdr:col>
      <xdr:colOff>622300</xdr:colOff>
      <xdr:row>40</xdr:row>
      <xdr:rowOff>155575</xdr:rowOff>
    </xdr:to>
    <xdr:graphicFrame macro="">
      <xdr:nvGraphicFramePr>
        <xdr:cNvPr id="2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</xdr:row>
      <xdr:rowOff>152400</xdr:rowOff>
    </xdr:from>
    <xdr:to>
      <xdr:col>4</xdr:col>
      <xdr:colOff>0</xdr:colOff>
      <xdr:row>61</xdr:row>
      <xdr:rowOff>15875</xdr:rowOff>
    </xdr:to>
    <xdr:graphicFrame macro="">
      <xdr:nvGraphicFramePr>
        <xdr:cNvPr id="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40</xdr:row>
      <xdr:rowOff>152400</xdr:rowOff>
    </xdr:from>
    <xdr:to>
      <xdr:col>7</xdr:col>
      <xdr:colOff>520700</xdr:colOff>
      <xdr:row>61</xdr:row>
      <xdr:rowOff>15875</xdr:rowOff>
    </xdr:to>
    <xdr:graphicFrame macro="">
      <xdr:nvGraphicFramePr>
        <xdr:cNvPr id="3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520700</xdr:colOff>
      <xdr:row>40</xdr:row>
      <xdr:rowOff>152400</xdr:rowOff>
    </xdr:from>
    <xdr:to>
      <xdr:col>11</xdr:col>
      <xdr:colOff>571500</xdr:colOff>
      <xdr:row>61</xdr:row>
      <xdr:rowOff>15875</xdr:rowOff>
    </xdr:to>
    <xdr:graphicFrame macro="">
      <xdr:nvGraphicFramePr>
        <xdr:cNvPr id="3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571500</xdr:colOff>
      <xdr:row>40</xdr:row>
      <xdr:rowOff>152400</xdr:rowOff>
    </xdr:from>
    <xdr:to>
      <xdr:col>15</xdr:col>
      <xdr:colOff>622300</xdr:colOff>
      <xdr:row>61</xdr:row>
      <xdr:rowOff>15875</xdr:rowOff>
    </xdr:to>
    <xdr:graphicFrame macro="">
      <xdr:nvGraphicFramePr>
        <xdr:cNvPr id="3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61</xdr:row>
      <xdr:rowOff>12700</xdr:rowOff>
    </xdr:from>
    <xdr:to>
      <xdr:col>4</xdr:col>
      <xdr:colOff>0</xdr:colOff>
      <xdr:row>81</xdr:row>
      <xdr:rowOff>117475</xdr:rowOff>
    </xdr:to>
    <xdr:graphicFrame macro="">
      <xdr:nvGraphicFramePr>
        <xdr:cNvPr id="3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61</xdr:row>
      <xdr:rowOff>12700</xdr:rowOff>
    </xdr:from>
    <xdr:to>
      <xdr:col>7</xdr:col>
      <xdr:colOff>520700</xdr:colOff>
      <xdr:row>81</xdr:row>
      <xdr:rowOff>117475</xdr:rowOff>
    </xdr:to>
    <xdr:graphicFrame macro="">
      <xdr:nvGraphicFramePr>
        <xdr:cNvPr id="3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520700</xdr:colOff>
      <xdr:row>61</xdr:row>
      <xdr:rowOff>12700</xdr:rowOff>
    </xdr:from>
    <xdr:to>
      <xdr:col>11</xdr:col>
      <xdr:colOff>571500</xdr:colOff>
      <xdr:row>81</xdr:row>
      <xdr:rowOff>117475</xdr:rowOff>
    </xdr:to>
    <xdr:graphicFrame macro="">
      <xdr:nvGraphicFramePr>
        <xdr:cNvPr id="4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571500</xdr:colOff>
      <xdr:row>61</xdr:row>
      <xdr:rowOff>12700</xdr:rowOff>
    </xdr:from>
    <xdr:to>
      <xdr:col>15</xdr:col>
      <xdr:colOff>622300</xdr:colOff>
      <xdr:row>81</xdr:row>
      <xdr:rowOff>117475</xdr:rowOff>
    </xdr:to>
    <xdr:graphicFrame macro="">
      <xdr:nvGraphicFramePr>
        <xdr:cNvPr id="4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81</xdr:row>
      <xdr:rowOff>114300</xdr:rowOff>
    </xdr:from>
    <xdr:to>
      <xdr:col>4</xdr:col>
      <xdr:colOff>0</xdr:colOff>
      <xdr:row>103</xdr:row>
      <xdr:rowOff>92075</xdr:rowOff>
    </xdr:to>
    <xdr:graphicFrame macro="">
      <xdr:nvGraphicFramePr>
        <xdr:cNvPr id="4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81</xdr:row>
      <xdr:rowOff>114300</xdr:rowOff>
    </xdr:from>
    <xdr:to>
      <xdr:col>7</xdr:col>
      <xdr:colOff>520700</xdr:colOff>
      <xdr:row>103</xdr:row>
      <xdr:rowOff>92075</xdr:rowOff>
    </xdr:to>
    <xdr:graphicFrame macro="">
      <xdr:nvGraphicFramePr>
        <xdr:cNvPr id="4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520700</xdr:colOff>
      <xdr:row>81</xdr:row>
      <xdr:rowOff>114300</xdr:rowOff>
    </xdr:from>
    <xdr:to>
      <xdr:col>11</xdr:col>
      <xdr:colOff>571500</xdr:colOff>
      <xdr:row>103</xdr:row>
      <xdr:rowOff>92075</xdr:rowOff>
    </xdr:to>
    <xdr:graphicFrame macro="">
      <xdr:nvGraphicFramePr>
        <xdr:cNvPr id="4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571500</xdr:colOff>
      <xdr:row>81</xdr:row>
      <xdr:rowOff>114300</xdr:rowOff>
    </xdr:from>
    <xdr:to>
      <xdr:col>15</xdr:col>
      <xdr:colOff>622300</xdr:colOff>
      <xdr:row>103</xdr:row>
      <xdr:rowOff>92075</xdr:rowOff>
    </xdr:to>
    <xdr:graphicFrame macro="">
      <xdr:nvGraphicFramePr>
        <xdr:cNvPr id="4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</xdr:row>
      <xdr:rowOff>25400</xdr:rowOff>
    </xdr:from>
    <xdr:to>
      <xdr:col>4</xdr:col>
      <xdr:colOff>0</xdr:colOff>
      <xdr:row>20</xdr:row>
      <xdr:rowOff>149225</xdr:rowOff>
    </xdr:to>
    <xdr:graphicFrame macro="">
      <xdr:nvGraphicFramePr>
        <xdr:cNvPr id="4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3</xdr:col>
      <xdr:colOff>333375</xdr:colOff>
      <xdr:row>17</xdr:row>
      <xdr:rowOff>28575</xdr:rowOff>
    </xdr:to>
    <xdr:graphicFrame macro="">
      <xdr:nvGraphicFramePr>
        <xdr:cNvPr id="162665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</xdr:row>
      <xdr:rowOff>0</xdr:rowOff>
    </xdr:from>
    <xdr:to>
      <xdr:col>7</xdr:col>
      <xdr:colOff>9525</xdr:colOff>
      <xdr:row>17</xdr:row>
      <xdr:rowOff>38100</xdr:rowOff>
    </xdr:to>
    <xdr:graphicFrame macro="">
      <xdr:nvGraphicFramePr>
        <xdr:cNvPr id="1626651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10</xdr:col>
      <xdr:colOff>381000</xdr:colOff>
      <xdr:row>17</xdr:row>
      <xdr:rowOff>38100</xdr:rowOff>
    </xdr:to>
    <xdr:graphicFrame macro="">
      <xdr:nvGraphicFramePr>
        <xdr:cNvPr id="1626651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</xdr:row>
      <xdr:rowOff>0</xdr:rowOff>
    </xdr:from>
    <xdr:to>
      <xdr:col>14</xdr:col>
      <xdr:colOff>9525</xdr:colOff>
      <xdr:row>17</xdr:row>
      <xdr:rowOff>38100</xdr:rowOff>
    </xdr:to>
    <xdr:graphicFrame macro="">
      <xdr:nvGraphicFramePr>
        <xdr:cNvPr id="1626651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17</xdr:row>
      <xdr:rowOff>28575</xdr:rowOff>
    </xdr:from>
    <xdr:to>
      <xdr:col>3</xdr:col>
      <xdr:colOff>323850</xdr:colOff>
      <xdr:row>33</xdr:row>
      <xdr:rowOff>95250</xdr:rowOff>
    </xdr:to>
    <xdr:graphicFrame macro="">
      <xdr:nvGraphicFramePr>
        <xdr:cNvPr id="1626652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323850</xdr:colOff>
      <xdr:row>17</xdr:row>
      <xdr:rowOff>38100</xdr:rowOff>
    </xdr:from>
    <xdr:to>
      <xdr:col>7</xdr:col>
      <xdr:colOff>0</xdr:colOff>
      <xdr:row>33</xdr:row>
      <xdr:rowOff>95250</xdr:rowOff>
    </xdr:to>
    <xdr:graphicFrame macro="">
      <xdr:nvGraphicFramePr>
        <xdr:cNvPr id="1626652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17</xdr:row>
      <xdr:rowOff>38100</xdr:rowOff>
    </xdr:from>
    <xdr:to>
      <xdr:col>10</xdr:col>
      <xdr:colOff>381000</xdr:colOff>
      <xdr:row>33</xdr:row>
      <xdr:rowOff>95250</xdr:rowOff>
    </xdr:to>
    <xdr:graphicFrame macro="">
      <xdr:nvGraphicFramePr>
        <xdr:cNvPr id="1626652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381000</xdr:colOff>
      <xdr:row>17</xdr:row>
      <xdr:rowOff>38100</xdr:rowOff>
    </xdr:from>
    <xdr:to>
      <xdr:col>14</xdr:col>
      <xdr:colOff>38100</xdr:colOff>
      <xdr:row>33</xdr:row>
      <xdr:rowOff>114300</xdr:rowOff>
    </xdr:to>
    <xdr:graphicFrame macro="">
      <xdr:nvGraphicFramePr>
        <xdr:cNvPr id="162665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33</xdr:row>
      <xdr:rowOff>95250</xdr:rowOff>
    </xdr:from>
    <xdr:to>
      <xdr:col>3</xdr:col>
      <xdr:colOff>333375</xdr:colOff>
      <xdr:row>50</xdr:row>
      <xdr:rowOff>85725</xdr:rowOff>
    </xdr:to>
    <xdr:graphicFrame macro="">
      <xdr:nvGraphicFramePr>
        <xdr:cNvPr id="1626652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323850</xdr:colOff>
      <xdr:row>33</xdr:row>
      <xdr:rowOff>95250</xdr:rowOff>
    </xdr:from>
    <xdr:to>
      <xdr:col>7</xdr:col>
      <xdr:colOff>0</xdr:colOff>
      <xdr:row>50</xdr:row>
      <xdr:rowOff>85725</xdr:rowOff>
    </xdr:to>
    <xdr:graphicFrame macro="">
      <xdr:nvGraphicFramePr>
        <xdr:cNvPr id="16266525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33</xdr:row>
      <xdr:rowOff>95250</xdr:rowOff>
    </xdr:from>
    <xdr:to>
      <xdr:col>10</xdr:col>
      <xdr:colOff>390525</xdr:colOff>
      <xdr:row>50</xdr:row>
      <xdr:rowOff>85725</xdr:rowOff>
    </xdr:to>
    <xdr:graphicFrame macro="">
      <xdr:nvGraphicFramePr>
        <xdr:cNvPr id="16266526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381000</xdr:colOff>
      <xdr:row>33</xdr:row>
      <xdr:rowOff>114300</xdr:rowOff>
    </xdr:from>
    <xdr:to>
      <xdr:col>14</xdr:col>
      <xdr:colOff>38100</xdr:colOff>
      <xdr:row>50</xdr:row>
      <xdr:rowOff>85725</xdr:rowOff>
    </xdr:to>
    <xdr:graphicFrame macro="">
      <xdr:nvGraphicFramePr>
        <xdr:cNvPr id="16266527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38100</xdr:colOff>
      <xdr:row>50</xdr:row>
      <xdr:rowOff>85725</xdr:rowOff>
    </xdr:from>
    <xdr:to>
      <xdr:col>3</xdr:col>
      <xdr:colOff>323850</xdr:colOff>
      <xdr:row>67</xdr:row>
      <xdr:rowOff>95250</xdr:rowOff>
    </xdr:to>
    <xdr:graphicFrame macro="">
      <xdr:nvGraphicFramePr>
        <xdr:cNvPr id="1626652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323850</xdr:colOff>
      <xdr:row>50</xdr:row>
      <xdr:rowOff>85725</xdr:rowOff>
    </xdr:from>
    <xdr:to>
      <xdr:col>7</xdr:col>
      <xdr:colOff>0</xdr:colOff>
      <xdr:row>67</xdr:row>
      <xdr:rowOff>85725</xdr:rowOff>
    </xdr:to>
    <xdr:graphicFrame macro="">
      <xdr:nvGraphicFramePr>
        <xdr:cNvPr id="1626652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0</xdr:colOff>
      <xdr:row>50</xdr:row>
      <xdr:rowOff>85725</xdr:rowOff>
    </xdr:from>
    <xdr:to>
      <xdr:col>10</xdr:col>
      <xdr:colOff>390525</xdr:colOff>
      <xdr:row>67</xdr:row>
      <xdr:rowOff>85725</xdr:rowOff>
    </xdr:to>
    <xdr:graphicFrame macro="">
      <xdr:nvGraphicFramePr>
        <xdr:cNvPr id="16266530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390525</xdr:colOff>
      <xdr:row>50</xdr:row>
      <xdr:rowOff>85725</xdr:rowOff>
    </xdr:from>
    <xdr:to>
      <xdr:col>14</xdr:col>
      <xdr:colOff>38100</xdr:colOff>
      <xdr:row>67</xdr:row>
      <xdr:rowOff>85725</xdr:rowOff>
    </xdr:to>
    <xdr:graphicFrame macro="">
      <xdr:nvGraphicFramePr>
        <xdr:cNvPr id="16266531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38100</xdr:colOff>
      <xdr:row>67</xdr:row>
      <xdr:rowOff>95250</xdr:rowOff>
    </xdr:from>
    <xdr:to>
      <xdr:col>3</xdr:col>
      <xdr:colOff>333375</xdr:colOff>
      <xdr:row>84</xdr:row>
      <xdr:rowOff>123825</xdr:rowOff>
    </xdr:to>
    <xdr:graphicFrame macro="">
      <xdr:nvGraphicFramePr>
        <xdr:cNvPr id="16266532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333375</xdr:colOff>
      <xdr:row>67</xdr:row>
      <xdr:rowOff>85725</xdr:rowOff>
    </xdr:from>
    <xdr:to>
      <xdr:col>7</xdr:col>
      <xdr:colOff>9525</xdr:colOff>
      <xdr:row>84</xdr:row>
      <xdr:rowOff>123825</xdr:rowOff>
    </xdr:to>
    <xdr:graphicFrame macro="">
      <xdr:nvGraphicFramePr>
        <xdr:cNvPr id="16266533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0</xdr:colOff>
      <xdr:row>67</xdr:row>
      <xdr:rowOff>85725</xdr:rowOff>
    </xdr:from>
    <xdr:to>
      <xdr:col>10</xdr:col>
      <xdr:colOff>400050</xdr:colOff>
      <xdr:row>84</xdr:row>
      <xdr:rowOff>114300</xdr:rowOff>
    </xdr:to>
    <xdr:graphicFrame macro="">
      <xdr:nvGraphicFramePr>
        <xdr:cNvPr id="16266534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390525</xdr:colOff>
      <xdr:row>67</xdr:row>
      <xdr:rowOff>85725</xdr:rowOff>
    </xdr:from>
    <xdr:to>
      <xdr:col>14</xdr:col>
      <xdr:colOff>38100</xdr:colOff>
      <xdr:row>84</xdr:row>
      <xdr:rowOff>114300</xdr:rowOff>
    </xdr:to>
    <xdr:graphicFrame macro="">
      <xdr:nvGraphicFramePr>
        <xdr:cNvPr id="16266535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322"/>
  <sheetViews>
    <sheetView zoomScaleNormal="100" workbookViewId="0">
      <selection activeCell="E6" sqref="E6"/>
    </sheetView>
  </sheetViews>
  <sheetFormatPr defaultColWidth="11.1640625" defaultRowHeight="12" x14ac:dyDescent="0.2"/>
  <cols>
    <col min="1" max="1" width="16" customWidth="1"/>
    <col min="2" max="2" width="14.33203125" customWidth="1"/>
    <col min="3" max="3" width="16.33203125" bestFit="1" customWidth="1"/>
    <col min="4" max="4" width="12.6640625" customWidth="1"/>
    <col min="5" max="6" width="11.1640625" customWidth="1"/>
    <col min="7" max="7" width="13" customWidth="1"/>
    <col min="8" max="8" width="12.1640625" customWidth="1"/>
    <col min="15" max="15" width="12.5" customWidth="1"/>
  </cols>
  <sheetData>
    <row r="1" spans="1:99" x14ac:dyDescent="0.2">
      <c r="A1" s="65" t="s">
        <v>23</v>
      </c>
      <c r="B1" s="429" t="s">
        <v>163</v>
      </c>
      <c r="C1" s="160" t="s">
        <v>127</v>
      </c>
      <c r="D1" s="167">
        <v>1</v>
      </c>
      <c r="E1" t="s">
        <v>160</v>
      </c>
      <c r="G1" s="67"/>
      <c r="J1" s="317" t="s">
        <v>153</v>
      </c>
      <c r="K1" s="318">
        <f>AVERAGE(Regression!AH3:AH22)</f>
        <v>10.300812693463614</v>
      </c>
      <c r="M1" s="62" t="s">
        <v>157</v>
      </c>
      <c r="N1" s="429" t="s">
        <v>166</v>
      </c>
      <c r="O1" s="344" t="s">
        <v>169</v>
      </c>
      <c r="P1" s="434" t="s">
        <v>170</v>
      </c>
      <c r="Q1" s="435"/>
      <c r="R1" s="74" t="s">
        <v>100</v>
      </c>
      <c r="S1" s="72">
        <v>7.5899999999999995E-2</v>
      </c>
      <c r="T1" s="72">
        <v>1.6999999999999999E-3</v>
      </c>
      <c r="U1" s="73" t="s">
        <v>101</v>
      </c>
      <c r="V1" s="5"/>
    </row>
    <row r="2" spans="1:99" x14ac:dyDescent="0.2">
      <c r="A2" s="66" t="s">
        <v>58</v>
      </c>
      <c r="B2" s="430">
        <v>41919</v>
      </c>
      <c r="C2" s="160" t="s">
        <v>55</v>
      </c>
      <c r="D2" s="166">
        <v>1</v>
      </c>
      <c r="E2" s="97"/>
      <c r="F2" s="34"/>
      <c r="J2" s="319" t="s">
        <v>154</v>
      </c>
      <c r="K2" s="320">
        <f>AVERAGE(Regression!AR3:AR22)</f>
        <v>161.56722724761659</v>
      </c>
      <c r="M2" s="62" t="s">
        <v>164</v>
      </c>
      <c r="N2" s="429" t="s">
        <v>168</v>
      </c>
      <c r="O2" s="134"/>
      <c r="P2" s="436"/>
      <c r="Q2" s="437"/>
      <c r="R2" s="81" t="s">
        <v>103</v>
      </c>
      <c r="S2" s="80">
        <v>41537</v>
      </c>
      <c r="T2" s="79"/>
      <c r="U2" s="82"/>
      <c r="AW2" s="4"/>
      <c r="AX2" s="3"/>
      <c r="AY2" s="3"/>
    </row>
    <row r="3" spans="1:99" x14ac:dyDescent="0.2">
      <c r="A3" s="76" t="s">
        <v>98</v>
      </c>
      <c r="B3" s="429" t="s">
        <v>171</v>
      </c>
      <c r="C3" s="429" t="s">
        <v>159</v>
      </c>
      <c r="D3" t="s">
        <v>135</v>
      </c>
      <c r="M3" s="78" t="s">
        <v>165</v>
      </c>
      <c r="N3" s="429" t="s">
        <v>167</v>
      </c>
      <c r="O3" s="428"/>
      <c r="P3" s="438"/>
      <c r="Q3" s="439"/>
      <c r="R3" s="386" t="s">
        <v>102</v>
      </c>
      <c r="S3" s="80">
        <f>B2</f>
        <v>41919</v>
      </c>
      <c r="T3" s="387">
        <f>$S$1*EXP(-0.0000675813*(VALUE($B$2)-VALUE($S$2)))</f>
        <v>7.3965637540913107E-2</v>
      </c>
      <c r="U3" s="82" t="s">
        <v>101</v>
      </c>
    </row>
    <row r="4" spans="1:99" s="385" customFormat="1" x14ac:dyDescent="0.2">
      <c r="A4" s="165" t="s">
        <v>2</v>
      </c>
      <c r="B4" s="284" t="s">
        <v>3</v>
      </c>
      <c r="C4" s="5"/>
      <c r="D4" s="191" t="s">
        <v>56</v>
      </c>
      <c r="E4" s="172" t="s">
        <v>57</v>
      </c>
      <c r="F4" s="391" t="s">
        <v>108</v>
      </c>
      <c r="G4" s="392">
        <v>0.1</v>
      </c>
      <c r="H4" s="171">
        <v>0.2</v>
      </c>
      <c r="I4" s="388">
        <v>0.3</v>
      </c>
      <c r="J4" s="171">
        <v>0.4</v>
      </c>
      <c r="K4" s="388">
        <v>0.5</v>
      </c>
      <c r="L4" s="171">
        <v>0.6</v>
      </c>
      <c r="M4" s="388">
        <v>0.7</v>
      </c>
      <c r="N4" s="171">
        <v>0.8</v>
      </c>
      <c r="O4" s="427">
        <v>0.9</v>
      </c>
      <c r="P4" s="268">
        <v>1</v>
      </c>
      <c r="Q4" s="388">
        <v>1.1000000000000001</v>
      </c>
      <c r="R4" s="171">
        <v>1.2</v>
      </c>
      <c r="S4" s="388">
        <v>1.3</v>
      </c>
      <c r="T4" s="171">
        <v>1.4</v>
      </c>
      <c r="U4" s="388">
        <v>1.5</v>
      </c>
      <c r="V4" s="171">
        <v>1.6</v>
      </c>
      <c r="W4" s="389">
        <v>1.7</v>
      </c>
      <c r="X4" s="389">
        <v>1.8</v>
      </c>
      <c r="Y4" s="389">
        <v>1.9</v>
      </c>
      <c r="Z4" s="389">
        <v>2</v>
      </c>
      <c r="AA4" s="389">
        <v>3</v>
      </c>
      <c r="AB4" s="389">
        <v>4</v>
      </c>
      <c r="AC4" s="389">
        <v>5</v>
      </c>
      <c r="AD4" s="389">
        <v>6</v>
      </c>
      <c r="AE4" s="389">
        <v>7</v>
      </c>
      <c r="AF4" s="389">
        <v>8</v>
      </c>
      <c r="AG4" s="389">
        <v>9</v>
      </c>
      <c r="AH4" s="389">
        <v>10</v>
      </c>
      <c r="AI4" s="389">
        <v>11</v>
      </c>
      <c r="AJ4" s="389">
        <v>12</v>
      </c>
      <c r="AK4" s="389">
        <v>13</v>
      </c>
      <c r="AL4" s="389">
        <v>14</v>
      </c>
      <c r="AM4" s="389">
        <v>15</v>
      </c>
      <c r="AN4" s="389">
        <v>16</v>
      </c>
      <c r="AO4" s="389">
        <v>17</v>
      </c>
      <c r="AP4" s="389">
        <v>18</v>
      </c>
      <c r="AQ4" s="389">
        <v>19</v>
      </c>
      <c r="AR4" s="389">
        <v>20</v>
      </c>
      <c r="AS4" s="389">
        <v>21</v>
      </c>
      <c r="AT4" s="389">
        <v>22</v>
      </c>
      <c r="AU4" s="389">
        <v>23</v>
      </c>
      <c r="AV4" s="389">
        <v>24</v>
      </c>
      <c r="AW4" s="389">
        <v>25</v>
      </c>
      <c r="AX4" s="389">
        <v>26</v>
      </c>
      <c r="AY4" s="389">
        <v>27</v>
      </c>
      <c r="AZ4" s="389">
        <v>28</v>
      </c>
      <c r="BA4" s="389">
        <v>29</v>
      </c>
      <c r="BB4" s="389">
        <v>30</v>
      </c>
      <c r="BC4" s="389">
        <v>31</v>
      </c>
      <c r="BD4" s="389">
        <v>32</v>
      </c>
      <c r="BE4" s="389">
        <v>33</v>
      </c>
      <c r="BF4" s="389">
        <v>34</v>
      </c>
      <c r="BG4" s="389">
        <v>35</v>
      </c>
      <c r="BH4" s="389">
        <v>36</v>
      </c>
      <c r="BI4" s="389">
        <v>37</v>
      </c>
      <c r="BJ4" s="389">
        <v>38</v>
      </c>
      <c r="BK4" s="389">
        <v>39</v>
      </c>
      <c r="BL4" s="389">
        <v>40</v>
      </c>
      <c r="BM4" s="389">
        <v>41</v>
      </c>
      <c r="BN4" s="389">
        <v>42</v>
      </c>
      <c r="BO4" s="389">
        <v>43</v>
      </c>
      <c r="BP4" s="389">
        <v>44</v>
      </c>
      <c r="BQ4" s="389">
        <v>45</v>
      </c>
      <c r="BR4" s="389">
        <v>46</v>
      </c>
      <c r="BS4" s="389">
        <v>47</v>
      </c>
      <c r="BT4" s="389">
        <v>48</v>
      </c>
      <c r="BU4" s="389">
        <v>49</v>
      </c>
      <c r="BV4" s="389">
        <v>50</v>
      </c>
      <c r="BW4" s="389">
        <v>51</v>
      </c>
      <c r="BX4" s="389">
        <v>52</v>
      </c>
      <c r="BY4" s="389">
        <v>53</v>
      </c>
      <c r="BZ4" s="389">
        <v>54</v>
      </c>
      <c r="CA4" s="389">
        <v>55</v>
      </c>
      <c r="CB4" s="389">
        <v>56</v>
      </c>
      <c r="CC4" s="389">
        <v>57</v>
      </c>
      <c r="CD4" s="389">
        <v>58</v>
      </c>
      <c r="CE4" s="389">
        <v>59</v>
      </c>
      <c r="CF4" s="389">
        <v>60</v>
      </c>
      <c r="CG4" s="389">
        <v>70</v>
      </c>
      <c r="CH4" s="389">
        <v>80</v>
      </c>
      <c r="CI4" s="389">
        <v>90</v>
      </c>
      <c r="CJ4" s="389">
        <v>100</v>
      </c>
      <c r="CK4" s="389">
        <v>110</v>
      </c>
      <c r="CL4" s="389">
        <v>120</v>
      </c>
      <c r="CM4" s="389">
        <v>130</v>
      </c>
      <c r="CN4" s="389">
        <v>140</v>
      </c>
      <c r="CO4" s="389">
        <v>150</v>
      </c>
      <c r="CP4" s="389">
        <v>160</v>
      </c>
      <c r="CQ4" s="389">
        <v>170</v>
      </c>
      <c r="CR4" s="389">
        <v>180</v>
      </c>
      <c r="CS4" s="389">
        <v>190</v>
      </c>
      <c r="CT4" s="390">
        <v>200</v>
      </c>
      <c r="CU4" s="384"/>
    </row>
    <row r="5" spans="1:99" s="86" customFormat="1" x14ac:dyDescent="0.2">
      <c r="A5" s="346">
        <v>3</v>
      </c>
      <c r="B5" s="346">
        <v>30</v>
      </c>
      <c r="C5" s="347" t="s">
        <v>155</v>
      </c>
      <c r="D5" s="348">
        <v>0</v>
      </c>
      <c r="E5" s="393">
        <f>MAX((SUM(G5:Z5)/2)-(SUM(CS5:CT5)/20),0.1)</f>
        <v>22262.15</v>
      </c>
      <c r="F5" s="163">
        <f>SQRT((STDEV(CP5:CT5)/SQRT(50)^2+(AVERAGE(G5:Z5)^(1/2))^2))</f>
        <v>48.479246174238881</v>
      </c>
      <c r="G5" s="85">
        <v>2344</v>
      </c>
      <c r="H5" s="85">
        <v>2390</v>
      </c>
      <c r="I5" s="85">
        <v>2346</v>
      </c>
      <c r="J5" s="85">
        <v>2424</v>
      </c>
      <c r="K5" s="85">
        <v>2346</v>
      </c>
      <c r="L5" s="85">
        <v>2354</v>
      </c>
      <c r="M5" s="85">
        <v>2287</v>
      </c>
      <c r="N5" s="85">
        <v>2343</v>
      </c>
      <c r="O5" s="85">
        <v>2363</v>
      </c>
      <c r="P5" s="85">
        <v>2346</v>
      </c>
      <c r="Q5" s="85">
        <v>2353</v>
      </c>
      <c r="R5" s="85">
        <v>2297</v>
      </c>
      <c r="S5" s="85">
        <v>2292</v>
      </c>
      <c r="T5" s="85">
        <v>2343</v>
      </c>
      <c r="U5" s="85">
        <v>2301</v>
      </c>
      <c r="V5" s="85">
        <v>2270</v>
      </c>
      <c r="W5" s="85">
        <v>2313</v>
      </c>
      <c r="X5" s="85">
        <v>2343</v>
      </c>
      <c r="Y5" s="85">
        <v>2310</v>
      </c>
      <c r="Z5" s="85">
        <v>2215</v>
      </c>
      <c r="AA5" s="85">
        <v>22485</v>
      </c>
      <c r="AB5" s="85">
        <v>21718</v>
      </c>
      <c r="AC5" s="85">
        <v>20884</v>
      </c>
      <c r="AD5" s="85">
        <v>20021</v>
      </c>
      <c r="AE5" s="85">
        <v>19124</v>
      </c>
      <c r="AF5" s="85">
        <v>18328</v>
      </c>
      <c r="AG5" s="85">
        <v>17419</v>
      </c>
      <c r="AH5" s="85">
        <v>16621</v>
      </c>
      <c r="AI5" s="85">
        <v>15802</v>
      </c>
      <c r="AJ5" s="85">
        <v>15206</v>
      </c>
      <c r="AK5" s="85">
        <v>14482</v>
      </c>
      <c r="AL5" s="85">
        <v>14139</v>
      </c>
      <c r="AM5" s="85">
        <v>13364</v>
      </c>
      <c r="AN5" s="85">
        <v>12825</v>
      </c>
      <c r="AO5" s="85">
        <v>12199</v>
      </c>
      <c r="AP5" s="85">
        <v>11556</v>
      </c>
      <c r="AQ5" s="85">
        <v>11324</v>
      </c>
      <c r="AR5" s="85">
        <v>10960</v>
      </c>
      <c r="AS5" s="85">
        <v>10466</v>
      </c>
      <c r="AT5" s="85">
        <v>10221</v>
      </c>
      <c r="AU5" s="85">
        <v>9663</v>
      </c>
      <c r="AV5" s="85">
        <v>9392</v>
      </c>
      <c r="AW5" s="85">
        <v>9003</v>
      </c>
      <c r="AX5" s="85">
        <v>8777</v>
      </c>
      <c r="AY5" s="85">
        <v>8523</v>
      </c>
      <c r="AZ5" s="85">
        <v>8268</v>
      </c>
      <c r="BA5" s="85">
        <v>7786</v>
      </c>
      <c r="BB5" s="85">
        <v>7628</v>
      </c>
      <c r="BC5" s="85">
        <v>7433</v>
      </c>
      <c r="BD5" s="85">
        <v>7203</v>
      </c>
      <c r="BE5" s="85">
        <v>7031</v>
      </c>
      <c r="BF5" s="85">
        <v>6689</v>
      </c>
      <c r="BG5" s="85">
        <v>6486</v>
      </c>
      <c r="BH5" s="85">
        <v>6480</v>
      </c>
      <c r="BI5" s="85">
        <v>6236</v>
      </c>
      <c r="BJ5" s="85">
        <v>6139</v>
      </c>
      <c r="BK5" s="85">
        <v>5799</v>
      </c>
      <c r="BL5" s="85">
        <v>5825</v>
      </c>
      <c r="BM5" s="85">
        <v>5511</v>
      </c>
      <c r="BN5" s="85">
        <v>5378</v>
      </c>
      <c r="BO5" s="85">
        <v>5356</v>
      </c>
      <c r="BP5" s="85">
        <v>5204</v>
      </c>
      <c r="BQ5" s="85">
        <v>4997</v>
      </c>
      <c r="BR5" s="85">
        <v>4943</v>
      </c>
      <c r="BS5" s="85">
        <v>4786</v>
      </c>
      <c r="BT5" s="85">
        <v>4645</v>
      </c>
      <c r="BU5" s="85">
        <v>4668</v>
      </c>
      <c r="BV5" s="85">
        <v>4561</v>
      </c>
      <c r="BW5" s="85">
        <v>4388</v>
      </c>
      <c r="BX5" s="85">
        <v>4309</v>
      </c>
      <c r="BY5" s="85">
        <v>4326</v>
      </c>
      <c r="BZ5" s="85">
        <v>4084</v>
      </c>
      <c r="CA5" s="85">
        <v>4042</v>
      </c>
      <c r="CB5" s="85">
        <v>3944</v>
      </c>
      <c r="CC5" s="85">
        <v>3867</v>
      </c>
      <c r="CD5" s="85">
        <v>3793</v>
      </c>
      <c r="CE5" s="85">
        <v>3733</v>
      </c>
      <c r="CF5" s="85">
        <v>3675</v>
      </c>
      <c r="CG5" s="85">
        <v>33366</v>
      </c>
      <c r="CH5" s="85">
        <v>28460</v>
      </c>
      <c r="CI5" s="85">
        <v>24443</v>
      </c>
      <c r="CJ5" s="85">
        <v>21546</v>
      </c>
      <c r="CK5" s="85">
        <v>19390</v>
      </c>
      <c r="CL5" s="85">
        <v>17581</v>
      </c>
      <c r="CM5" s="85">
        <v>15806</v>
      </c>
      <c r="CN5" s="85">
        <v>14656</v>
      </c>
      <c r="CO5" s="85">
        <v>13601</v>
      </c>
      <c r="CP5" s="85">
        <v>12650</v>
      </c>
      <c r="CQ5" s="85">
        <v>11982</v>
      </c>
      <c r="CR5" s="85">
        <v>11139</v>
      </c>
      <c r="CS5" s="85">
        <v>10519</v>
      </c>
      <c r="CT5" s="85">
        <v>10038</v>
      </c>
      <c r="CU5" s="382"/>
    </row>
    <row r="6" spans="1:99" s="86" customFormat="1" x14ac:dyDescent="0.2">
      <c r="A6" s="348">
        <v>7</v>
      </c>
      <c r="B6" s="348">
        <v>30</v>
      </c>
      <c r="C6" s="349" t="s">
        <v>156</v>
      </c>
      <c r="D6" s="348">
        <v>1515</v>
      </c>
      <c r="E6" s="164">
        <f t="shared" ref="E6:E69" si="0">MAX((SUM(G6:Z6)/2)-(SUM(CS6:CT6)/20),0.1)</f>
        <v>6044.45</v>
      </c>
      <c r="F6" s="394">
        <f t="shared" ref="F6:F69" si="1">SQRT((STDEV(CP6:CT6)/SQRT(50)^2+(AVERAGE(G6:Z6)^(1/2))^2))</f>
        <v>26.241570612284679</v>
      </c>
      <c r="G6" s="86">
        <v>693</v>
      </c>
      <c r="H6" s="86">
        <v>714</v>
      </c>
      <c r="I6" s="86">
        <v>680</v>
      </c>
      <c r="J6" s="86">
        <v>690</v>
      </c>
      <c r="K6" s="86">
        <v>713</v>
      </c>
      <c r="L6" s="86">
        <v>690</v>
      </c>
      <c r="M6" s="86">
        <v>676</v>
      </c>
      <c r="N6" s="86">
        <v>656</v>
      </c>
      <c r="O6" s="86">
        <v>716</v>
      </c>
      <c r="P6" s="86">
        <v>674</v>
      </c>
      <c r="Q6" s="86">
        <v>661</v>
      </c>
      <c r="R6" s="86">
        <v>678</v>
      </c>
      <c r="S6" s="86">
        <v>649</v>
      </c>
      <c r="T6" s="86">
        <v>686</v>
      </c>
      <c r="U6" s="86">
        <v>649</v>
      </c>
      <c r="V6" s="86">
        <v>690</v>
      </c>
      <c r="W6" s="86">
        <v>653</v>
      </c>
      <c r="X6" s="86">
        <v>653</v>
      </c>
      <c r="Y6" s="86">
        <v>668</v>
      </c>
      <c r="Z6" s="86">
        <v>699</v>
      </c>
      <c r="AA6" s="86">
        <v>6562</v>
      </c>
      <c r="AB6" s="86">
        <v>6457</v>
      </c>
      <c r="AC6" s="86">
        <v>6205</v>
      </c>
      <c r="AD6" s="86">
        <v>6005</v>
      </c>
      <c r="AE6" s="86">
        <v>5845</v>
      </c>
      <c r="AF6" s="86">
        <v>5657</v>
      </c>
      <c r="AG6" s="86">
        <v>5430</v>
      </c>
      <c r="AH6" s="86">
        <v>5234</v>
      </c>
      <c r="AI6" s="86">
        <v>5024</v>
      </c>
      <c r="AJ6" s="86">
        <v>4946</v>
      </c>
      <c r="AK6" s="86">
        <v>4605</v>
      </c>
      <c r="AL6" s="86">
        <v>4464</v>
      </c>
      <c r="AM6" s="86">
        <v>4361</v>
      </c>
      <c r="AN6" s="86">
        <v>4237</v>
      </c>
      <c r="AO6" s="86">
        <v>4106</v>
      </c>
      <c r="AP6" s="86">
        <v>3925</v>
      </c>
      <c r="AQ6" s="86">
        <v>3792</v>
      </c>
      <c r="AR6" s="86">
        <v>3672</v>
      </c>
      <c r="AS6" s="86">
        <v>3678</v>
      </c>
      <c r="AT6" s="86">
        <v>3542</v>
      </c>
      <c r="AU6" s="86">
        <v>3388</v>
      </c>
      <c r="AV6" s="86">
        <v>3268</v>
      </c>
      <c r="AW6" s="86">
        <v>3203</v>
      </c>
      <c r="AX6" s="86">
        <v>3121</v>
      </c>
      <c r="AY6" s="86">
        <v>3091</v>
      </c>
      <c r="AZ6" s="86">
        <v>3020</v>
      </c>
      <c r="BA6" s="86">
        <v>2848</v>
      </c>
      <c r="BB6" s="86">
        <v>2843</v>
      </c>
      <c r="BC6" s="86">
        <v>2776</v>
      </c>
      <c r="BD6" s="86">
        <v>2714</v>
      </c>
      <c r="BE6" s="86">
        <v>2666</v>
      </c>
      <c r="BF6" s="86">
        <v>2545</v>
      </c>
      <c r="BG6" s="86">
        <v>2510</v>
      </c>
      <c r="BH6" s="86">
        <v>2541</v>
      </c>
      <c r="BI6" s="86">
        <v>2491</v>
      </c>
      <c r="BJ6" s="86">
        <v>2380</v>
      </c>
      <c r="BK6" s="86">
        <v>2313</v>
      </c>
      <c r="BL6" s="86">
        <v>2269</v>
      </c>
      <c r="BM6" s="86">
        <v>2252</v>
      </c>
      <c r="BN6" s="86">
        <v>2235</v>
      </c>
      <c r="BO6" s="86">
        <v>2102</v>
      </c>
      <c r="BP6" s="86">
        <v>2128</v>
      </c>
      <c r="BQ6" s="86">
        <v>2039</v>
      </c>
      <c r="BR6" s="86">
        <v>2122</v>
      </c>
      <c r="BS6" s="86">
        <v>2039</v>
      </c>
      <c r="BT6" s="86">
        <v>2017</v>
      </c>
      <c r="BU6" s="86">
        <v>2016</v>
      </c>
      <c r="BV6" s="86">
        <v>2003</v>
      </c>
      <c r="BW6" s="86">
        <v>1885</v>
      </c>
      <c r="BX6" s="86">
        <v>1851</v>
      </c>
      <c r="BY6" s="86">
        <v>1881</v>
      </c>
      <c r="BZ6" s="86">
        <v>1761</v>
      </c>
      <c r="CA6" s="86">
        <v>1773</v>
      </c>
      <c r="CB6" s="86">
        <v>1802</v>
      </c>
      <c r="CC6" s="86">
        <v>1732</v>
      </c>
      <c r="CD6" s="86">
        <v>1788</v>
      </c>
      <c r="CE6" s="86">
        <v>1739</v>
      </c>
      <c r="CF6" s="86">
        <v>1710</v>
      </c>
      <c r="CG6" s="86">
        <v>15957</v>
      </c>
      <c r="CH6" s="86">
        <v>14296</v>
      </c>
      <c r="CI6" s="86">
        <v>12929</v>
      </c>
      <c r="CJ6" s="86">
        <v>12010</v>
      </c>
      <c r="CK6" s="86">
        <v>11056</v>
      </c>
      <c r="CL6" s="86">
        <v>10623</v>
      </c>
      <c r="CM6" s="86">
        <v>9917</v>
      </c>
      <c r="CN6" s="86">
        <v>9433</v>
      </c>
      <c r="CO6" s="86">
        <v>9069</v>
      </c>
      <c r="CP6" s="86">
        <v>8542</v>
      </c>
      <c r="CQ6" s="86">
        <v>8224</v>
      </c>
      <c r="CR6" s="86">
        <v>7995</v>
      </c>
      <c r="CS6" s="86">
        <v>7564</v>
      </c>
      <c r="CT6" s="86">
        <v>7427</v>
      </c>
      <c r="CU6" s="382"/>
    </row>
    <row r="7" spans="1:99" s="86" customFormat="1" x14ac:dyDescent="0.2">
      <c r="A7" s="348">
        <v>4</v>
      </c>
      <c r="B7" s="348">
        <v>30</v>
      </c>
      <c r="C7" s="349" t="s">
        <v>155</v>
      </c>
      <c r="D7" s="348">
        <v>3790</v>
      </c>
      <c r="E7" s="164">
        <f t="shared" si="0"/>
        <v>8107.9</v>
      </c>
      <c r="F7" s="394">
        <f t="shared" si="1"/>
        <v>29.460256647577612</v>
      </c>
      <c r="G7" s="86">
        <v>904</v>
      </c>
      <c r="H7" s="86">
        <v>861</v>
      </c>
      <c r="I7" s="86">
        <v>819</v>
      </c>
      <c r="J7" s="86">
        <v>857</v>
      </c>
      <c r="K7" s="86">
        <v>835</v>
      </c>
      <c r="L7" s="86">
        <v>867</v>
      </c>
      <c r="M7" s="86">
        <v>886</v>
      </c>
      <c r="N7" s="86">
        <v>885</v>
      </c>
      <c r="O7" s="86">
        <v>888</v>
      </c>
      <c r="P7" s="86">
        <v>895</v>
      </c>
      <c r="Q7" s="86">
        <v>881</v>
      </c>
      <c r="R7" s="86">
        <v>866</v>
      </c>
      <c r="S7" s="86">
        <v>852</v>
      </c>
      <c r="T7" s="86">
        <v>876</v>
      </c>
      <c r="U7" s="86">
        <v>831</v>
      </c>
      <c r="V7" s="86">
        <v>816</v>
      </c>
      <c r="W7" s="86">
        <v>852</v>
      </c>
      <c r="X7" s="86">
        <v>829</v>
      </c>
      <c r="Y7" s="86">
        <v>808</v>
      </c>
      <c r="Z7" s="86">
        <v>873</v>
      </c>
      <c r="AA7" s="86">
        <v>8348</v>
      </c>
      <c r="AB7" s="86">
        <v>7950</v>
      </c>
      <c r="AC7" s="86">
        <v>7618</v>
      </c>
      <c r="AD7" s="86">
        <v>7331</v>
      </c>
      <c r="AE7" s="86">
        <v>7007</v>
      </c>
      <c r="AF7" s="86">
        <v>6731</v>
      </c>
      <c r="AG7" s="86">
        <v>6583</v>
      </c>
      <c r="AH7" s="86">
        <v>6227</v>
      </c>
      <c r="AI7" s="86">
        <v>5863</v>
      </c>
      <c r="AJ7" s="86">
        <v>5658</v>
      </c>
      <c r="AK7" s="86">
        <v>5403</v>
      </c>
      <c r="AL7" s="86">
        <v>5247</v>
      </c>
      <c r="AM7" s="86">
        <v>5143</v>
      </c>
      <c r="AN7" s="86">
        <v>4872</v>
      </c>
      <c r="AO7" s="86">
        <v>4598</v>
      </c>
      <c r="AP7" s="86">
        <v>4448</v>
      </c>
      <c r="AQ7" s="86">
        <v>4372</v>
      </c>
      <c r="AR7" s="86">
        <v>4223</v>
      </c>
      <c r="AS7" s="86">
        <v>4033</v>
      </c>
      <c r="AT7" s="86">
        <v>3825</v>
      </c>
      <c r="AU7" s="86">
        <v>3656</v>
      </c>
      <c r="AV7" s="86">
        <v>3608</v>
      </c>
      <c r="AW7" s="86">
        <v>3501</v>
      </c>
      <c r="AX7" s="86">
        <v>3364</v>
      </c>
      <c r="AY7" s="86">
        <v>3253</v>
      </c>
      <c r="AZ7" s="86">
        <v>3180</v>
      </c>
      <c r="BA7" s="86">
        <v>3110</v>
      </c>
      <c r="BB7" s="86">
        <v>3020</v>
      </c>
      <c r="BC7" s="86">
        <v>2902</v>
      </c>
      <c r="BD7" s="86">
        <v>2824</v>
      </c>
      <c r="BE7" s="86">
        <v>2791</v>
      </c>
      <c r="BF7" s="86">
        <v>2671</v>
      </c>
      <c r="BG7" s="86">
        <v>2566</v>
      </c>
      <c r="BH7" s="86">
        <v>2509</v>
      </c>
      <c r="BI7" s="86">
        <v>2500</v>
      </c>
      <c r="BJ7" s="86">
        <v>2399</v>
      </c>
      <c r="BK7" s="86">
        <v>2327</v>
      </c>
      <c r="BL7" s="86">
        <v>2334</v>
      </c>
      <c r="BM7" s="86">
        <v>2233</v>
      </c>
      <c r="BN7" s="86">
        <v>2190</v>
      </c>
      <c r="BO7" s="86">
        <v>2164</v>
      </c>
      <c r="BP7" s="86">
        <v>2122</v>
      </c>
      <c r="BQ7" s="86">
        <v>2054</v>
      </c>
      <c r="BR7" s="86">
        <v>2024</v>
      </c>
      <c r="BS7" s="86">
        <v>1980</v>
      </c>
      <c r="BT7" s="86">
        <v>1872</v>
      </c>
      <c r="BU7" s="86">
        <v>1869</v>
      </c>
      <c r="BV7" s="86">
        <v>1804</v>
      </c>
      <c r="BW7" s="86">
        <v>1822</v>
      </c>
      <c r="BX7" s="86">
        <v>1817</v>
      </c>
      <c r="BY7" s="86">
        <v>1766</v>
      </c>
      <c r="BZ7" s="86">
        <v>1708</v>
      </c>
      <c r="CA7" s="86">
        <v>1718</v>
      </c>
      <c r="CB7" s="86">
        <v>1659</v>
      </c>
      <c r="CC7" s="86">
        <v>1592</v>
      </c>
      <c r="CD7" s="86">
        <v>1523</v>
      </c>
      <c r="CE7" s="86">
        <v>1623</v>
      </c>
      <c r="CF7" s="86">
        <v>1507</v>
      </c>
      <c r="CG7" s="86">
        <v>13839</v>
      </c>
      <c r="CH7" s="86">
        <v>12061</v>
      </c>
      <c r="CI7" s="86">
        <v>10447</v>
      </c>
      <c r="CJ7" s="86">
        <v>9472</v>
      </c>
      <c r="CK7" s="86">
        <v>8438</v>
      </c>
      <c r="CL7" s="86">
        <v>7854</v>
      </c>
      <c r="CM7" s="86">
        <v>7108</v>
      </c>
      <c r="CN7" s="86">
        <v>6640</v>
      </c>
      <c r="CO7" s="86">
        <v>6056</v>
      </c>
      <c r="CP7" s="86">
        <v>5810</v>
      </c>
      <c r="CQ7" s="86">
        <v>5517</v>
      </c>
      <c r="CR7" s="86">
        <v>5059</v>
      </c>
      <c r="CS7" s="86">
        <v>4905</v>
      </c>
      <c r="CT7" s="86">
        <v>4747</v>
      </c>
      <c r="CU7" s="382"/>
    </row>
    <row r="8" spans="1:99" s="86" customFormat="1" x14ac:dyDescent="0.2">
      <c r="A8" s="348">
        <v>8</v>
      </c>
      <c r="B8" s="348">
        <v>30</v>
      </c>
      <c r="C8" s="349" t="s">
        <v>156</v>
      </c>
      <c r="D8" s="348">
        <v>1516</v>
      </c>
      <c r="E8" s="164">
        <f t="shared" si="0"/>
        <v>4165.75</v>
      </c>
      <c r="F8" s="394">
        <f t="shared" si="1"/>
        <v>21.641657938926741</v>
      </c>
      <c r="G8" s="86">
        <v>471</v>
      </c>
      <c r="H8" s="86">
        <v>475</v>
      </c>
      <c r="I8" s="86">
        <v>486</v>
      </c>
      <c r="J8" s="86">
        <v>485</v>
      </c>
      <c r="K8" s="86">
        <v>485</v>
      </c>
      <c r="L8" s="86">
        <v>477</v>
      </c>
      <c r="M8" s="86">
        <v>486</v>
      </c>
      <c r="N8" s="86">
        <v>449</v>
      </c>
      <c r="O8" s="86">
        <v>445</v>
      </c>
      <c r="P8" s="86">
        <v>461</v>
      </c>
      <c r="Q8" s="86">
        <v>465</v>
      </c>
      <c r="R8" s="86">
        <v>457</v>
      </c>
      <c r="S8" s="86">
        <v>492</v>
      </c>
      <c r="T8" s="86">
        <v>454</v>
      </c>
      <c r="U8" s="86">
        <v>432</v>
      </c>
      <c r="V8" s="86">
        <v>460</v>
      </c>
      <c r="W8" s="86">
        <v>451</v>
      </c>
      <c r="X8" s="86">
        <v>426</v>
      </c>
      <c r="Y8" s="86">
        <v>448</v>
      </c>
      <c r="Z8" s="86">
        <v>435</v>
      </c>
      <c r="AA8" s="86">
        <v>4410</v>
      </c>
      <c r="AB8" s="86">
        <v>4234</v>
      </c>
      <c r="AC8" s="86">
        <v>4121</v>
      </c>
      <c r="AD8" s="86">
        <v>3997</v>
      </c>
      <c r="AE8" s="86">
        <v>3851</v>
      </c>
      <c r="AF8" s="86">
        <v>3747</v>
      </c>
      <c r="AG8" s="86">
        <v>3498</v>
      </c>
      <c r="AH8" s="86">
        <v>3393</v>
      </c>
      <c r="AI8" s="86">
        <v>3231</v>
      </c>
      <c r="AJ8" s="86">
        <v>3148</v>
      </c>
      <c r="AK8" s="86">
        <v>3056</v>
      </c>
      <c r="AL8" s="86">
        <v>2882</v>
      </c>
      <c r="AM8" s="86">
        <v>2790</v>
      </c>
      <c r="AN8" s="86">
        <v>2711</v>
      </c>
      <c r="AO8" s="86">
        <v>2668</v>
      </c>
      <c r="AP8" s="86">
        <v>2599</v>
      </c>
      <c r="AQ8" s="86">
        <v>2544</v>
      </c>
      <c r="AR8" s="86">
        <v>2358</v>
      </c>
      <c r="AS8" s="86">
        <v>2344</v>
      </c>
      <c r="AT8" s="86">
        <v>2214</v>
      </c>
      <c r="AU8" s="86">
        <v>2169</v>
      </c>
      <c r="AV8" s="86">
        <v>2137</v>
      </c>
      <c r="AW8" s="86">
        <v>2027</v>
      </c>
      <c r="AX8" s="86">
        <v>1988</v>
      </c>
      <c r="AY8" s="86">
        <v>1997</v>
      </c>
      <c r="AZ8" s="86">
        <v>1933</v>
      </c>
      <c r="BA8" s="86">
        <v>1919</v>
      </c>
      <c r="BB8" s="86">
        <v>1868</v>
      </c>
      <c r="BC8" s="86">
        <v>1757</v>
      </c>
      <c r="BD8" s="86">
        <v>1687</v>
      </c>
      <c r="BE8" s="86">
        <v>1639</v>
      </c>
      <c r="BF8" s="86">
        <v>1641</v>
      </c>
      <c r="BG8" s="86">
        <v>1577</v>
      </c>
      <c r="BH8" s="86">
        <v>1572</v>
      </c>
      <c r="BI8" s="86">
        <v>1580</v>
      </c>
      <c r="BJ8" s="86">
        <v>1498</v>
      </c>
      <c r="BK8" s="86">
        <v>1487</v>
      </c>
      <c r="BL8" s="86">
        <v>1481</v>
      </c>
      <c r="BM8" s="86">
        <v>1410</v>
      </c>
      <c r="BN8" s="86">
        <v>1392</v>
      </c>
      <c r="BO8" s="86">
        <v>1396</v>
      </c>
      <c r="BP8" s="86">
        <v>1354</v>
      </c>
      <c r="BQ8" s="86">
        <v>1372</v>
      </c>
      <c r="BR8" s="86">
        <v>1263</v>
      </c>
      <c r="BS8" s="86">
        <v>1294</v>
      </c>
      <c r="BT8" s="86">
        <v>1249</v>
      </c>
      <c r="BU8" s="86">
        <v>1279</v>
      </c>
      <c r="BV8" s="86">
        <v>1198</v>
      </c>
      <c r="BW8" s="86">
        <v>1169</v>
      </c>
      <c r="BX8" s="86">
        <v>1168</v>
      </c>
      <c r="BY8" s="86">
        <v>1211</v>
      </c>
      <c r="BZ8" s="86">
        <v>1145</v>
      </c>
      <c r="CA8" s="86">
        <v>1126</v>
      </c>
      <c r="CB8" s="86">
        <v>1160</v>
      </c>
      <c r="CC8" s="86">
        <v>1069</v>
      </c>
      <c r="CD8" s="86">
        <v>1082</v>
      </c>
      <c r="CE8" s="86">
        <v>1092</v>
      </c>
      <c r="CF8" s="86">
        <v>1040</v>
      </c>
      <c r="CG8" s="86">
        <v>9688</v>
      </c>
      <c r="CH8" s="86">
        <v>8729</v>
      </c>
      <c r="CI8" s="86">
        <v>8005</v>
      </c>
      <c r="CJ8" s="86">
        <v>7307</v>
      </c>
      <c r="CK8" s="86">
        <v>6903</v>
      </c>
      <c r="CL8" s="86">
        <v>6422</v>
      </c>
      <c r="CM8" s="86">
        <v>5931</v>
      </c>
      <c r="CN8" s="86">
        <v>5656</v>
      </c>
      <c r="CO8" s="86">
        <v>5430</v>
      </c>
      <c r="CP8" s="86">
        <v>5113</v>
      </c>
      <c r="CQ8" s="86">
        <v>5203</v>
      </c>
      <c r="CR8" s="86">
        <v>4705</v>
      </c>
      <c r="CS8" s="86">
        <v>4592</v>
      </c>
      <c r="CT8" s="86">
        <v>4493</v>
      </c>
      <c r="CU8" s="382"/>
    </row>
    <row r="9" spans="1:99" s="86" customFormat="1" x14ac:dyDescent="0.2">
      <c r="A9" s="348">
        <v>13</v>
      </c>
      <c r="B9" s="348">
        <v>30</v>
      </c>
      <c r="C9" s="349" t="s">
        <v>155</v>
      </c>
      <c r="D9" s="348">
        <v>7580</v>
      </c>
      <c r="E9" s="164">
        <f t="shared" si="0"/>
        <v>18731.8</v>
      </c>
      <c r="F9" s="394">
        <f t="shared" si="1"/>
        <v>44.754879406366619</v>
      </c>
      <c r="G9" s="86">
        <v>2011</v>
      </c>
      <c r="H9" s="86">
        <v>1999</v>
      </c>
      <c r="I9" s="86">
        <v>2025</v>
      </c>
      <c r="J9" s="86">
        <v>2079</v>
      </c>
      <c r="K9" s="86">
        <v>2040</v>
      </c>
      <c r="L9" s="86">
        <v>2005</v>
      </c>
      <c r="M9" s="86">
        <v>1963</v>
      </c>
      <c r="N9" s="86">
        <v>2020</v>
      </c>
      <c r="O9" s="86">
        <v>2033</v>
      </c>
      <c r="P9" s="86">
        <v>2048</v>
      </c>
      <c r="Q9" s="86">
        <v>1981</v>
      </c>
      <c r="R9" s="86">
        <v>1992</v>
      </c>
      <c r="S9" s="86">
        <v>1955</v>
      </c>
      <c r="T9" s="86">
        <v>2026</v>
      </c>
      <c r="U9" s="86">
        <v>1942</v>
      </c>
      <c r="V9" s="86">
        <v>1961</v>
      </c>
      <c r="W9" s="86">
        <v>1741</v>
      </c>
      <c r="X9" s="86">
        <v>1940</v>
      </c>
      <c r="Y9" s="86">
        <v>1952</v>
      </c>
      <c r="Z9" s="86">
        <v>1943</v>
      </c>
      <c r="AA9" s="86">
        <v>19340</v>
      </c>
      <c r="AB9" s="86">
        <v>18566</v>
      </c>
      <c r="AC9" s="86">
        <v>17767</v>
      </c>
      <c r="AD9" s="86">
        <v>17089</v>
      </c>
      <c r="AE9" s="86">
        <v>16518</v>
      </c>
      <c r="AF9" s="86">
        <v>15846</v>
      </c>
      <c r="AG9" s="86">
        <v>15176</v>
      </c>
      <c r="AH9" s="86">
        <v>14473</v>
      </c>
      <c r="AI9" s="86">
        <v>14006</v>
      </c>
      <c r="AJ9" s="86">
        <v>13477</v>
      </c>
      <c r="AK9" s="86">
        <v>12736</v>
      </c>
      <c r="AL9" s="86">
        <v>12265</v>
      </c>
      <c r="AM9" s="86">
        <v>11754</v>
      </c>
      <c r="AN9" s="86">
        <v>11317</v>
      </c>
      <c r="AO9" s="86">
        <v>10793</v>
      </c>
      <c r="AP9" s="86">
        <v>10488</v>
      </c>
      <c r="AQ9" s="86">
        <v>10143</v>
      </c>
      <c r="AR9" s="86">
        <v>9697</v>
      </c>
      <c r="AS9" s="86">
        <v>9385</v>
      </c>
      <c r="AT9" s="86">
        <v>9072</v>
      </c>
      <c r="AU9" s="86">
        <v>8686</v>
      </c>
      <c r="AV9" s="86">
        <v>8439</v>
      </c>
      <c r="AW9" s="86">
        <v>8139</v>
      </c>
      <c r="AX9" s="86">
        <v>7913</v>
      </c>
      <c r="AY9" s="86">
        <v>7653</v>
      </c>
      <c r="AZ9" s="86">
        <v>7571</v>
      </c>
      <c r="BA9" s="86">
        <v>7267</v>
      </c>
      <c r="BB9" s="86">
        <v>6951</v>
      </c>
      <c r="BC9" s="86">
        <v>6873</v>
      </c>
      <c r="BD9" s="86">
        <v>6672</v>
      </c>
      <c r="BE9" s="86">
        <v>6381</v>
      </c>
      <c r="BF9" s="86">
        <v>6199</v>
      </c>
      <c r="BG9" s="86">
        <v>6106</v>
      </c>
      <c r="BH9" s="86">
        <v>5867</v>
      </c>
      <c r="BI9" s="86">
        <v>5712</v>
      </c>
      <c r="BJ9" s="86">
        <v>5622</v>
      </c>
      <c r="BK9" s="86">
        <v>5605</v>
      </c>
      <c r="BL9" s="86">
        <v>5348</v>
      </c>
      <c r="BM9" s="86">
        <v>5194</v>
      </c>
      <c r="BN9" s="86">
        <v>5126</v>
      </c>
      <c r="BO9" s="86">
        <v>4934</v>
      </c>
      <c r="BP9" s="86">
        <v>4950</v>
      </c>
      <c r="BQ9" s="86">
        <v>4853</v>
      </c>
      <c r="BR9" s="86">
        <v>4670</v>
      </c>
      <c r="BS9" s="86">
        <v>4526</v>
      </c>
      <c r="BT9" s="86">
        <v>4420</v>
      </c>
      <c r="BU9" s="86">
        <v>4401</v>
      </c>
      <c r="BV9" s="86">
        <v>4257</v>
      </c>
      <c r="BW9" s="86">
        <v>4185</v>
      </c>
      <c r="BX9" s="86">
        <v>4129</v>
      </c>
      <c r="BY9" s="86">
        <v>4002</v>
      </c>
      <c r="BZ9" s="86">
        <v>3913</v>
      </c>
      <c r="CA9" s="86">
        <v>3838</v>
      </c>
      <c r="CB9" s="86">
        <v>3793</v>
      </c>
      <c r="CC9" s="86">
        <v>3755</v>
      </c>
      <c r="CD9" s="86">
        <v>3678</v>
      </c>
      <c r="CE9" s="86">
        <v>3518</v>
      </c>
      <c r="CF9" s="86">
        <v>3529</v>
      </c>
      <c r="CG9" s="86">
        <v>32407</v>
      </c>
      <c r="CH9" s="86">
        <v>27754</v>
      </c>
      <c r="CI9" s="86">
        <v>24512</v>
      </c>
      <c r="CJ9" s="86">
        <v>21963</v>
      </c>
      <c r="CK9" s="86">
        <v>19581</v>
      </c>
      <c r="CL9" s="86">
        <v>17741</v>
      </c>
      <c r="CM9" s="86">
        <v>16402</v>
      </c>
      <c r="CN9" s="86">
        <v>14794</v>
      </c>
      <c r="CO9" s="86">
        <v>13924</v>
      </c>
      <c r="CP9" s="86">
        <v>13265</v>
      </c>
      <c r="CQ9" s="86">
        <v>12457</v>
      </c>
      <c r="CR9" s="86">
        <v>11957</v>
      </c>
      <c r="CS9" s="86">
        <v>11232</v>
      </c>
      <c r="CT9" s="86">
        <v>10692</v>
      </c>
      <c r="CU9" s="382"/>
    </row>
    <row r="10" spans="1:99" s="86" customFormat="1" x14ac:dyDescent="0.2">
      <c r="A10" s="348">
        <v>17</v>
      </c>
      <c r="B10" s="348">
        <v>30</v>
      </c>
      <c r="C10" s="349" t="s">
        <v>156</v>
      </c>
      <c r="D10" s="348">
        <v>1516</v>
      </c>
      <c r="E10" s="164">
        <f t="shared" si="0"/>
        <v>5293.35</v>
      </c>
      <c r="F10" s="394">
        <f t="shared" si="1"/>
        <v>24.800364910594556</v>
      </c>
      <c r="G10" s="86">
        <v>647</v>
      </c>
      <c r="H10" s="86">
        <v>604</v>
      </c>
      <c r="I10" s="86">
        <v>663</v>
      </c>
      <c r="J10" s="86">
        <v>603</v>
      </c>
      <c r="K10" s="86">
        <v>595</v>
      </c>
      <c r="L10" s="86">
        <v>610</v>
      </c>
      <c r="M10" s="86">
        <v>634</v>
      </c>
      <c r="N10" s="86">
        <v>608</v>
      </c>
      <c r="O10" s="86">
        <v>625</v>
      </c>
      <c r="P10" s="86">
        <v>610</v>
      </c>
      <c r="Q10" s="86">
        <v>600</v>
      </c>
      <c r="R10" s="86">
        <v>608</v>
      </c>
      <c r="S10" s="86">
        <v>577</v>
      </c>
      <c r="T10" s="86">
        <v>572</v>
      </c>
      <c r="U10" s="86">
        <v>619</v>
      </c>
      <c r="V10" s="86">
        <v>564</v>
      </c>
      <c r="W10" s="86">
        <v>628</v>
      </c>
      <c r="X10" s="86">
        <v>573</v>
      </c>
      <c r="Y10" s="86">
        <v>585</v>
      </c>
      <c r="Z10" s="86">
        <v>590</v>
      </c>
      <c r="AA10" s="86">
        <v>5856</v>
      </c>
      <c r="AB10" s="86">
        <v>5727</v>
      </c>
      <c r="AC10" s="86">
        <v>5621</v>
      </c>
      <c r="AD10" s="86">
        <v>5403</v>
      </c>
      <c r="AE10" s="86">
        <v>5172</v>
      </c>
      <c r="AF10" s="86">
        <v>5100</v>
      </c>
      <c r="AG10" s="86">
        <v>4939</v>
      </c>
      <c r="AH10" s="86">
        <v>4718</v>
      </c>
      <c r="AI10" s="86">
        <v>4493</v>
      </c>
      <c r="AJ10" s="86">
        <v>4342</v>
      </c>
      <c r="AK10" s="86">
        <v>4248</v>
      </c>
      <c r="AL10" s="86">
        <v>4039</v>
      </c>
      <c r="AM10" s="86">
        <v>3906</v>
      </c>
      <c r="AN10" s="86">
        <v>3818</v>
      </c>
      <c r="AO10" s="86">
        <v>3711</v>
      </c>
      <c r="AP10" s="86">
        <v>3519</v>
      </c>
      <c r="AQ10" s="86">
        <v>3503</v>
      </c>
      <c r="AR10" s="86">
        <v>3395</v>
      </c>
      <c r="AS10" s="86">
        <v>3342</v>
      </c>
      <c r="AT10" s="86">
        <v>3203</v>
      </c>
      <c r="AU10" s="86">
        <v>3089</v>
      </c>
      <c r="AV10" s="86">
        <v>3037</v>
      </c>
      <c r="AW10" s="86">
        <v>2944</v>
      </c>
      <c r="AX10" s="86">
        <v>2957</v>
      </c>
      <c r="AY10" s="86">
        <v>2839</v>
      </c>
      <c r="AZ10" s="86">
        <v>2763</v>
      </c>
      <c r="BA10" s="86">
        <v>2667</v>
      </c>
      <c r="BB10" s="86">
        <v>2621</v>
      </c>
      <c r="BC10" s="86">
        <v>2548</v>
      </c>
      <c r="BD10" s="86">
        <v>2517</v>
      </c>
      <c r="BE10" s="86">
        <v>2509</v>
      </c>
      <c r="BF10" s="86">
        <v>2402</v>
      </c>
      <c r="BG10" s="86">
        <v>2297</v>
      </c>
      <c r="BH10" s="86">
        <v>2304</v>
      </c>
      <c r="BI10" s="86">
        <v>2295</v>
      </c>
      <c r="BJ10" s="86">
        <v>2260</v>
      </c>
      <c r="BK10" s="86">
        <v>2181</v>
      </c>
      <c r="BL10" s="86">
        <v>2142</v>
      </c>
      <c r="BM10" s="86">
        <v>2052</v>
      </c>
      <c r="BN10" s="86">
        <v>2057</v>
      </c>
      <c r="BO10" s="86">
        <v>2041</v>
      </c>
      <c r="BP10" s="86">
        <v>1986</v>
      </c>
      <c r="BQ10" s="86">
        <v>1979</v>
      </c>
      <c r="BR10" s="86">
        <v>1964</v>
      </c>
      <c r="BS10" s="86">
        <v>1933</v>
      </c>
      <c r="BT10" s="86">
        <v>1923</v>
      </c>
      <c r="BU10" s="86">
        <v>1926</v>
      </c>
      <c r="BV10" s="86">
        <v>1881</v>
      </c>
      <c r="BW10" s="86">
        <v>1836</v>
      </c>
      <c r="BX10" s="86">
        <v>1780</v>
      </c>
      <c r="BY10" s="86">
        <v>1800</v>
      </c>
      <c r="BZ10" s="86">
        <v>1761</v>
      </c>
      <c r="CA10" s="86">
        <v>1721</v>
      </c>
      <c r="CB10" s="86">
        <v>1669</v>
      </c>
      <c r="CC10" s="86">
        <v>1669</v>
      </c>
      <c r="CD10" s="86">
        <v>1653</v>
      </c>
      <c r="CE10" s="86">
        <v>1655</v>
      </c>
      <c r="CF10" s="86">
        <v>1677</v>
      </c>
      <c r="CG10" s="86">
        <v>15238</v>
      </c>
      <c r="CH10" s="86">
        <v>13737</v>
      </c>
      <c r="CI10" s="86">
        <v>12689</v>
      </c>
      <c r="CJ10" s="86">
        <v>11786</v>
      </c>
      <c r="CK10" s="86">
        <v>11089</v>
      </c>
      <c r="CL10" s="86">
        <v>10287</v>
      </c>
      <c r="CM10" s="86">
        <v>9863</v>
      </c>
      <c r="CN10" s="86">
        <v>9382</v>
      </c>
      <c r="CO10" s="86">
        <v>9001</v>
      </c>
      <c r="CP10" s="86">
        <v>8683</v>
      </c>
      <c r="CQ10" s="86">
        <v>8301</v>
      </c>
      <c r="CR10" s="86">
        <v>8041</v>
      </c>
      <c r="CS10" s="86">
        <v>7828</v>
      </c>
      <c r="CT10" s="86">
        <v>7455</v>
      </c>
      <c r="CU10" s="382"/>
    </row>
    <row r="11" spans="1:99" s="86" customFormat="1" x14ac:dyDescent="0.2">
      <c r="A11" s="348">
        <v>22</v>
      </c>
      <c r="B11" s="348">
        <v>30</v>
      </c>
      <c r="C11" s="349" t="s">
        <v>155</v>
      </c>
      <c r="D11" s="348">
        <v>11369</v>
      </c>
      <c r="E11" s="164">
        <f t="shared" si="0"/>
        <v>28605</v>
      </c>
      <c r="F11" s="394">
        <f t="shared" si="1"/>
        <v>55.220018133742698</v>
      </c>
      <c r="G11" s="86">
        <v>3080</v>
      </c>
      <c r="H11" s="86">
        <v>3007</v>
      </c>
      <c r="I11" s="86">
        <v>3132</v>
      </c>
      <c r="J11" s="86">
        <v>3080</v>
      </c>
      <c r="K11" s="86">
        <v>3076</v>
      </c>
      <c r="L11" s="86">
        <v>3013</v>
      </c>
      <c r="M11" s="86">
        <v>3010</v>
      </c>
      <c r="N11" s="86">
        <v>3043</v>
      </c>
      <c r="O11" s="86">
        <v>3040</v>
      </c>
      <c r="P11" s="86">
        <v>3050</v>
      </c>
      <c r="Q11" s="86">
        <v>3086</v>
      </c>
      <c r="R11" s="86">
        <v>3020</v>
      </c>
      <c r="S11" s="86">
        <v>3013</v>
      </c>
      <c r="T11" s="86">
        <v>3057</v>
      </c>
      <c r="U11" s="86">
        <v>2964</v>
      </c>
      <c r="V11" s="86">
        <v>2955</v>
      </c>
      <c r="W11" s="86">
        <v>3027</v>
      </c>
      <c r="X11" s="86">
        <v>2976</v>
      </c>
      <c r="Y11" s="86">
        <v>2903</v>
      </c>
      <c r="Z11" s="86">
        <v>2859</v>
      </c>
      <c r="AA11" s="86">
        <v>29096</v>
      </c>
      <c r="AB11" s="86">
        <v>27951</v>
      </c>
      <c r="AC11" s="86">
        <v>27010</v>
      </c>
      <c r="AD11" s="86">
        <v>25875</v>
      </c>
      <c r="AE11" s="86">
        <v>24514</v>
      </c>
      <c r="AF11" s="86">
        <v>23681</v>
      </c>
      <c r="AG11" s="86">
        <v>22594</v>
      </c>
      <c r="AH11" s="86">
        <v>21460</v>
      </c>
      <c r="AI11" s="86">
        <v>20703</v>
      </c>
      <c r="AJ11" s="86">
        <v>19982</v>
      </c>
      <c r="AK11" s="86">
        <v>18773</v>
      </c>
      <c r="AL11" s="86">
        <v>18382</v>
      </c>
      <c r="AM11" s="86">
        <v>17328</v>
      </c>
      <c r="AN11" s="86">
        <v>16682</v>
      </c>
      <c r="AO11" s="86">
        <v>16166</v>
      </c>
      <c r="AP11" s="86">
        <v>15443</v>
      </c>
      <c r="AQ11" s="86">
        <v>14977</v>
      </c>
      <c r="AR11" s="86">
        <v>14483</v>
      </c>
      <c r="AS11" s="86">
        <v>13978</v>
      </c>
      <c r="AT11" s="86">
        <v>13493</v>
      </c>
      <c r="AU11" s="86">
        <v>13008</v>
      </c>
      <c r="AV11" s="86">
        <v>12583</v>
      </c>
      <c r="AW11" s="86">
        <v>12228</v>
      </c>
      <c r="AX11" s="86">
        <v>11667</v>
      </c>
      <c r="AY11" s="86">
        <v>11427</v>
      </c>
      <c r="AZ11" s="86">
        <v>11003</v>
      </c>
      <c r="BA11" s="86">
        <v>10647</v>
      </c>
      <c r="BB11" s="86">
        <v>10256</v>
      </c>
      <c r="BC11" s="86">
        <v>10141</v>
      </c>
      <c r="BD11" s="86">
        <v>9770</v>
      </c>
      <c r="BE11" s="86">
        <v>9500</v>
      </c>
      <c r="BF11" s="86">
        <v>9063</v>
      </c>
      <c r="BG11" s="86">
        <v>8971</v>
      </c>
      <c r="BH11" s="86">
        <v>8927</v>
      </c>
      <c r="BI11" s="86">
        <v>8428</v>
      </c>
      <c r="BJ11" s="86">
        <v>8300</v>
      </c>
      <c r="BK11" s="86">
        <v>8061</v>
      </c>
      <c r="BL11" s="86">
        <v>7866</v>
      </c>
      <c r="BM11" s="86">
        <v>7779</v>
      </c>
      <c r="BN11" s="86">
        <v>7475</v>
      </c>
      <c r="BO11" s="86">
        <v>7348</v>
      </c>
      <c r="BP11" s="86">
        <v>7163</v>
      </c>
      <c r="BQ11" s="86">
        <v>6974</v>
      </c>
      <c r="BR11" s="86">
        <v>6832</v>
      </c>
      <c r="BS11" s="86">
        <v>6685</v>
      </c>
      <c r="BT11" s="86">
        <v>6514</v>
      </c>
      <c r="BU11" s="86">
        <v>6370</v>
      </c>
      <c r="BV11" s="86">
        <v>6310</v>
      </c>
      <c r="BW11" s="86">
        <v>6190</v>
      </c>
      <c r="BX11" s="86">
        <v>6049</v>
      </c>
      <c r="BY11" s="86">
        <v>5895</v>
      </c>
      <c r="BZ11" s="86">
        <v>5759</v>
      </c>
      <c r="CA11" s="86">
        <v>5648</v>
      </c>
      <c r="CB11" s="86">
        <v>5541</v>
      </c>
      <c r="CC11" s="86">
        <v>5417</v>
      </c>
      <c r="CD11" s="86">
        <v>5393</v>
      </c>
      <c r="CE11" s="86">
        <v>5324</v>
      </c>
      <c r="CF11" s="86">
        <v>5193</v>
      </c>
      <c r="CG11" s="86">
        <v>47230</v>
      </c>
      <c r="CH11" s="86">
        <v>40619</v>
      </c>
      <c r="CI11" s="86">
        <v>35608</v>
      </c>
      <c r="CJ11" s="86">
        <v>31587</v>
      </c>
      <c r="CK11" s="86">
        <v>28551</v>
      </c>
      <c r="CL11" s="86">
        <v>26017</v>
      </c>
      <c r="CM11" s="86">
        <v>23738</v>
      </c>
      <c r="CN11" s="86">
        <v>22014</v>
      </c>
      <c r="CO11" s="86">
        <v>20623</v>
      </c>
      <c r="CP11" s="86">
        <v>19334</v>
      </c>
      <c r="CQ11" s="86">
        <v>17959</v>
      </c>
      <c r="CR11" s="86">
        <v>16965</v>
      </c>
      <c r="CS11" s="86">
        <v>16281</v>
      </c>
      <c r="CT11" s="86">
        <v>15529</v>
      </c>
      <c r="CU11" s="382"/>
    </row>
    <row r="12" spans="1:99" s="86" customFormat="1" x14ac:dyDescent="0.2">
      <c r="A12" s="348">
        <v>26</v>
      </c>
      <c r="B12" s="348">
        <v>30</v>
      </c>
      <c r="C12" s="349" t="s">
        <v>156</v>
      </c>
      <c r="D12" s="348">
        <v>1516</v>
      </c>
      <c r="E12" s="164">
        <f t="shared" si="0"/>
        <v>5578.8</v>
      </c>
      <c r="F12" s="394">
        <f t="shared" si="1"/>
        <v>25.849969687349947</v>
      </c>
      <c r="G12" s="86">
        <v>654</v>
      </c>
      <c r="H12" s="86">
        <v>667</v>
      </c>
      <c r="I12" s="86">
        <v>679</v>
      </c>
      <c r="J12" s="86">
        <v>671</v>
      </c>
      <c r="K12" s="86">
        <v>679</v>
      </c>
      <c r="L12" s="86">
        <v>635</v>
      </c>
      <c r="M12" s="86">
        <v>675</v>
      </c>
      <c r="N12" s="86">
        <v>660</v>
      </c>
      <c r="O12" s="86">
        <v>666</v>
      </c>
      <c r="P12" s="86">
        <v>669</v>
      </c>
      <c r="Q12" s="86">
        <v>673</v>
      </c>
      <c r="R12" s="86">
        <v>693</v>
      </c>
      <c r="S12" s="86">
        <v>669</v>
      </c>
      <c r="T12" s="86">
        <v>654</v>
      </c>
      <c r="U12" s="86">
        <v>696</v>
      </c>
      <c r="V12" s="86">
        <v>672</v>
      </c>
      <c r="W12" s="86">
        <v>655</v>
      </c>
      <c r="X12" s="86">
        <v>445</v>
      </c>
      <c r="Y12" s="86">
        <v>649</v>
      </c>
      <c r="Z12" s="86">
        <v>671</v>
      </c>
      <c r="AA12" s="86">
        <v>6664</v>
      </c>
      <c r="AB12" s="86">
        <v>6459</v>
      </c>
      <c r="AC12" s="86">
        <v>6395</v>
      </c>
      <c r="AD12" s="86">
        <v>6225</v>
      </c>
      <c r="AE12" s="86">
        <v>6062</v>
      </c>
      <c r="AF12" s="86">
        <v>5864</v>
      </c>
      <c r="AG12" s="86">
        <v>5723</v>
      </c>
      <c r="AH12" s="86">
        <v>5408</v>
      </c>
      <c r="AI12" s="86">
        <v>5276</v>
      </c>
      <c r="AJ12" s="86">
        <v>5155</v>
      </c>
      <c r="AK12" s="86">
        <v>5070</v>
      </c>
      <c r="AL12" s="86">
        <v>4815</v>
      </c>
      <c r="AM12" s="86">
        <v>4665</v>
      </c>
      <c r="AN12" s="86">
        <v>4525</v>
      </c>
      <c r="AO12" s="86">
        <v>4396</v>
      </c>
      <c r="AP12" s="86">
        <v>4250</v>
      </c>
      <c r="AQ12" s="86">
        <v>4236</v>
      </c>
      <c r="AR12" s="86">
        <v>4011</v>
      </c>
      <c r="AS12" s="86">
        <v>3998</v>
      </c>
      <c r="AT12" s="86">
        <v>3870</v>
      </c>
      <c r="AU12" s="86">
        <v>3727</v>
      </c>
      <c r="AV12" s="86">
        <v>3638</v>
      </c>
      <c r="AW12" s="86">
        <v>3545</v>
      </c>
      <c r="AX12" s="86">
        <v>3502</v>
      </c>
      <c r="AY12" s="86">
        <v>3441</v>
      </c>
      <c r="AZ12" s="86">
        <v>3234</v>
      </c>
      <c r="BA12" s="86">
        <v>3246</v>
      </c>
      <c r="BB12" s="86">
        <v>3173</v>
      </c>
      <c r="BC12" s="86">
        <v>3106</v>
      </c>
      <c r="BD12" s="86">
        <v>3018</v>
      </c>
      <c r="BE12" s="86">
        <v>3020</v>
      </c>
      <c r="BF12" s="86">
        <v>2951</v>
      </c>
      <c r="BG12" s="86">
        <v>2891</v>
      </c>
      <c r="BH12" s="86">
        <v>2841</v>
      </c>
      <c r="BI12" s="86">
        <v>2797</v>
      </c>
      <c r="BJ12" s="86">
        <v>2736</v>
      </c>
      <c r="BK12" s="86">
        <v>2654</v>
      </c>
      <c r="BL12" s="86">
        <v>2636</v>
      </c>
      <c r="BM12" s="86">
        <v>2632</v>
      </c>
      <c r="BN12" s="86">
        <v>2583</v>
      </c>
      <c r="BO12" s="86">
        <v>2501</v>
      </c>
      <c r="BP12" s="86">
        <v>2444</v>
      </c>
      <c r="BQ12" s="86">
        <v>2489</v>
      </c>
      <c r="BR12" s="86">
        <v>2405</v>
      </c>
      <c r="BS12" s="86">
        <v>2447</v>
      </c>
      <c r="BT12" s="86">
        <v>2409</v>
      </c>
      <c r="BU12" s="86">
        <v>2313</v>
      </c>
      <c r="BV12" s="86">
        <v>2220</v>
      </c>
      <c r="BW12" s="86">
        <v>2270</v>
      </c>
      <c r="BX12" s="86">
        <v>2284</v>
      </c>
      <c r="BY12" s="86">
        <v>2176</v>
      </c>
      <c r="BZ12" s="86">
        <v>2160</v>
      </c>
      <c r="CA12" s="86">
        <v>2137</v>
      </c>
      <c r="CB12" s="86">
        <v>2093</v>
      </c>
      <c r="CC12" s="86">
        <v>2082</v>
      </c>
      <c r="CD12" s="86">
        <v>2042</v>
      </c>
      <c r="CE12" s="86">
        <v>1971</v>
      </c>
      <c r="CF12" s="86">
        <v>2085</v>
      </c>
      <c r="CG12" s="86">
        <v>18953</v>
      </c>
      <c r="CH12" s="86">
        <v>17182</v>
      </c>
      <c r="CI12" s="86">
        <v>16059</v>
      </c>
      <c r="CJ12" s="86">
        <v>14873</v>
      </c>
      <c r="CK12" s="86">
        <v>14148</v>
      </c>
      <c r="CL12" s="86">
        <v>13351</v>
      </c>
      <c r="CM12" s="86">
        <v>12644</v>
      </c>
      <c r="CN12" s="86">
        <v>11953</v>
      </c>
      <c r="CO12" s="86">
        <v>11647</v>
      </c>
      <c r="CP12" s="86">
        <v>11118</v>
      </c>
      <c r="CQ12" s="86">
        <v>10864</v>
      </c>
      <c r="CR12" s="86">
        <v>10360</v>
      </c>
      <c r="CS12" s="86">
        <v>10048</v>
      </c>
      <c r="CT12" s="86">
        <v>9696</v>
      </c>
      <c r="CU12" s="382"/>
    </row>
    <row r="13" spans="1:99" s="86" customFormat="1" x14ac:dyDescent="0.2">
      <c r="A13" s="348">
        <v>31</v>
      </c>
      <c r="B13" s="348">
        <v>30</v>
      </c>
      <c r="C13" s="349" t="s">
        <v>155</v>
      </c>
      <c r="D13" s="348">
        <v>0</v>
      </c>
      <c r="E13" s="164">
        <f t="shared" si="0"/>
        <v>0.1</v>
      </c>
      <c r="F13" s="394">
        <f t="shared" si="1"/>
        <v>4.8098357821855862</v>
      </c>
      <c r="G13" s="86">
        <v>24</v>
      </c>
      <c r="H13" s="86">
        <v>20</v>
      </c>
      <c r="I13" s="86">
        <v>23</v>
      </c>
      <c r="J13" s="86">
        <v>27</v>
      </c>
      <c r="K13" s="86">
        <v>23</v>
      </c>
      <c r="L13" s="86">
        <v>21</v>
      </c>
      <c r="M13" s="86">
        <v>24</v>
      </c>
      <c r="N13" s="86">
        <v>14</v>
      </c>
      <c r="O13" s="86">
        <v>24</v>
      </c>
      <c r="P13" s="86">
        <v>22</v>
      </c>
      <c r="Q13" s="86">
        <v>18</v>
      </c>
      <c r="R13" s="86">
        <v>27</v>
      </c>
      <c r="S13" s="86">
        <v>24</v>
      </c>
      <c r="T13" s="86">
        <v>20</v>
      </c>
      <c r="U13" s="86">
        <v>20</v>
      </c>
      <c r="V13" s="86">
        <v>25</v>
      </c>
      <c r="W13" s="86">
        <v>24</v>
      </c>
      <c r="X13" s="86">
        <v>22</v>
      </c>
      <c r="Y13" s="86">
        <v>23</v>
      </c>
      <c r="Z13" s="86">
        <v>23</v>
      </c>
      <c r="AA13" s="86">
        <v>258</v>
      </c>
      <c r="AB13" s="86">
        <v>258</v>
      </c>
      <c r="AC13" s="86">
        <v>248</v>
      </c>
      <c r="AD13" s="86">
        <v>296</v>
      </c>
      <c r="AE13" s="86">
        <v>298</v>
      </c>
      <c r="AF13" s="86">
        <v>296</v>
      </c>
      <c r="AG13" s="86">
        <v>304</v>
      </c>
      <c r="AH13" s="86">
        <v>281</v>
      </c>
      <c r="AI13" s="86">
        <v>316</v>
      </c>
      <c r="AJ13" s="86">
        <v>324</v>
      </c>
      <c r="AK13" s="86">
        <v>286</v>
      </c>
      <c r="AL13" s="86">
        <v>313</v>
      </c>
      <c r="AM13" s="86">
        <v>310</v>
      </c>
      <c r="AN13" s="86">
        <v>305</v>
      </c>
      <c r="AO13" s="86">
        <v>304</v>
      </c>
      <c r="AP13" s="86">
        <v>299</v>
      </c>
      <c r="AQ13" s="86">
        <v>283</v>
      </c>
      <c r="AR13" s="86">
        <v>307</v>
      </c>
      <c r="AS13" s="86">
        <v>324</v>
      </c>
      <c r="AT13" s="86">
        <v>310</v>
      </c>
      <c r="AU13" s="86">
        <v>284</v>
      </c>
      <c r="AV13" s="86">
        <v>300</v>
      </c>
      <c r="AW13" s="86">
        <v>296</v>
      </c>
      <c r="AX13" s="86">
        <v>311</v>
      </c>
      <c r="AY13" s="86">
        <v>294</v>
      </c>
      <c r="AZ13" s="86">
        <v>308</v>
      </c>
      <c r="BA13" s="86">
        <v>301</v>
      </c>
      <c r="BB13" s="86">
        <v>285</v>
      </c>
      <c r="BC13" s="86">
        <v>287</v>
      </c>
      <c r="BD13" s="86">
        <v>282</v>
      </c>
      <c r="BE13" s="86">
        <v>288</v>
      </c>
      <c r="BF13" s="86">
        <v>269</v>
      </c>
      <c r="BG13" s="86">
        <v>305</v>
      </c>
      <c r="BH13" s="86">
        <v>276</v>
      </c>
      <c r="BI13" s="86">
        <v>303</v>
      </c>
      <c r="BJ13" s="86">
        <v>304</v>
      </c>
      <c r="BK13" s="86">
        <v>238</v>
      </c>
      <c r="BL13" s="86">
        <v>304</v>
      </c>
      <c r="BM13" s="86">
        <v>296</v>
      </c>
      <c r="BN13" s="86">
        <v>271</v>
      </c>
      <c r="BO13" s="86">
        <v>269</v>
      </c>
      <c r="BP13" s="86">
        <v>293</v>
      </c>
      <c r="BQ13" s="86">
        <v>275</v>
      </c>
      <c r="BR13" s="86">
        <v>286</v>
      </c>
      <c r="BS13" s="86">
        <v>255</v>
      </c>
      <c r="BT13" s="86">
        <v>298</v>
      </c>
      <c r="BU13" s="86">
        <v>262</v>
      </c>
      <c r="BV13" s="86">
        <v>284</v>
      </c>
      <c r="BW13" s="86">
        <v>265</v>
      </c>
      <c r="BX13" s="86">
        <v>270</v>
      </c>
      <c r="BY13" s="86">
        <v>261</v>
      </c>
      <c r="BZ13" s="86">
        <v>282</v>
      </c>
      <c r="CA13" s="86">
        <v>284</v>
      </c>
      <c r="CB13" s="86">
        <v>270</v>
      </c>
      <c r="CC13" s="86">
        <v>275</v>
      </c>
      <c r="CD13" s="86">
        <v>256</v>
      </c>
      <c r="CE13" s="86">
        <v>289</v>
      </c>
      <c r="CF13" s="86">
        <v>251</v>
      </c>
      <c r="CG13" s="86">
        <v>2734</v>
      </c>
      <c r="CH13" s="86">
        <v>2626</v>
      </c>
      <c r="CI13" s="86">
        <v>2592</v>
      </c>
      <c r="CJ13" s="86">
        <v>2598</v>
      </c>
      <c r="CK13" s="86">
        <v>2619</v>
      </c>
      <c r="CL13" s="86">
        <v>2470</v>
      </c>
      <c r="CM13" s="86">
        <v>2461</v>
      </c>
      <c r="CN13" s="86">
        <v>2490</v>
      </c>
      <c r="CO13" s="86">
        <v>2484</v>
      </c>
      <c r="CP13" s="86">
        <v>2456</v>
      </c>
      <c r="CQ13" s="86">
        <v>2437</v>
      </c>
      <c r="CR13" s="86">
        <v>2450</v>
      </c>
      <c r="CS13" s="86">
        <v>2386</v>
      </c>
      <c r="CT13" s="86">
        <v>2378</v>
      </c>
      <c r="CU13" s="382"/>
    </row>
    <row r="14" spans="1:99" s="86" customFormat="1" x14ac:dyDescent="0.2">
      <c r="A14" s="348">
        <v>35</v>
      </c>
      <c r="B14" s="348">
        <v>30</v>
      </c>
      <c r="C14" s="349" t="s">
        <v>156</v>
      </c>
      <c r="D14" s="348">
        <v>1516</v>
      </c>
      <c r="E14" s="164">
        <f t="shared" si="0"/>
        <v>5417.9</v>
      </c>
      <c r="F14" s="394">
        <f t="shared" si="1"/>
        <v>24.463169561437141</v>
      </c>
      <c r="G14" s="86">
        <v>614</v>
      </c>
      <c r="H14" s="86">
        <v>601</v>
      </c>
      <c r="I14" s="86">
        <v>580</v>
      </c>
      <c r="J14" s="86">
        <v>610</v>
      </c>
      <c r="K14" s="86">
        <v>592</v>
      </c>
      <c r="L14" s="86">
        <v>592</v>
      </c>
      <c r="M14" s="86">
        <v>590</v>
      </c>
      <c r="N14" s="86">
        <v>582</v>
      </c>
      <c r="O14" s="86">
        <v>582</v>
      </c>
      <c r="P14" s="86">
        <v>578</v>
      </c>
      <c r="Q14" s="86">
        <v>598</v>
      </c>
      <c r="R14" s="86">
        <v>591</v>
      </c>
      <c r="S14" s="86">
        <v>614</v>
      </c>
      <c r="T14" s="86">
        <v>589</v>
      </c>
      <c r="U14" s="86">
        <v>592</v>
      </c>
      <c r="V14" s="86">
        <v>589</v>
      </c>
      <c r="W14" s="86">
        <v>597</v>
      </c>
      <c r="X14" s="86">
        <v>587</v>
      </c>
      <c r="Y14" s="86">
        <v>570</v>
      </c>
      <c r="Z14" s="86">
        <v>575</v>
      </c>
      <c r="AA14" s="86">
        <v>5737</v>
      </c>
      <c r="AB14" s="86">
        <v>5666</v>
      </c>
      <c r="AC14" s="86">
        <v>5376</v>
      </c>
      <c r="AD14" s="86">
        <v>5183</v>
      </c>
      <c r="AE14" s="86">
        <v>5021</v>
      </c>
      <c r="AF14" s="86">
        <v>4698</v>
      </c>
      <c r="AG14" s="86">
        <v>4620</v>
      </c>
      <c r="AH14" s="86">
        <v>4460</v>
      </c>
      <c r="AI14" s="86">
        <v>4248</v>
      </c>
      <c r="AJ14" s="86">
        <v>4009</v>
      </c>
      <c r="AK14" s="86">
        <v>3980</v>
      </c>
      <c r="AL14" s="86">
        <v>3795</v>
      </c>
      <c r="AM14" s="86">
        <v>3673</v>
      </c>
      <c r="AN14" s="86">
        <v>3487</v>
      </c>
      <c r="AO14" s="86">
        <v>3398</v>
      </c>
      <c r="AP14" s="86">
        <v>3270</v>
      </c>
      <c r="AQ14" s="86">
        <v>3130</v>
      </c>
      <c r="AR14" s="86">
        <v>2994</v>
      </c>
      <c r="AS14" s="86">
        <v>3018</v>
      </c>
      <c r="AT14" s="86">
        <v>2848</v>
      </c>
      <c r="AU14" s="86">
        <v>2759</v>
      </c>
      <c r="AV14" s="86">
        <v>2778</v>
      </c>
      <c r="AW14" s="86">
        <v>2585</v>
      </c>
      <c r="AX14" s="86">
        <v>2514</v>
      </c>
      <c r="AY14" s="86">
        <v>2547</v>
      </c>
      <c r="AZ14" s="86">
        <v>2407</v>
      </c>
      <c r="BA14" s="86">
        <v>2372</v>
      </c>
      <c r="BB14" s="86">
        <v>2274</v>
      </c>
      <c r="BC14" s="86">
        <v>2177</v>
      </c>
      <c r="BD14" s="86">
        <v>2163</v>
      </c>
      <c r="BE14" s="86">
        <v>2059</v>
      </c>
      <c r="BF14" s="86">
        <v>2038</v>
      </c>
      <c r="BG14" s="86">
        <v>2042</v>
      </c>
      <c r="BH14" s="86">
        <v>1975</v>
      </c>
      <c r="BI14" s="86">
        <v>1953</v>
      </c>
      <c r="BJ14" s="86">
        <v>1889</v>
      </c>
      <c r="BK14" s="86">
        <v>1831</v>
      </c>
      <c r="BL14" s="86">
        <v>1761</v>
      </c>
      <c r="BM14" s="86">
        <v>1716</v>
      </c>
      <c r="BN14" s="86">
        <v>1715</v>
      </c>
      <c r="BO14" s="86">
        <v>1707</v>
      </c>
      <c r="BP14" s="86">
        <v>1701</v>
      </c>
      <c r="BQ14" s="86">
        <v>1561</v>
      </c>
      <c r="BR14" s="86">
        <v>1576</v>
      </c>
      <c r="BS14" s="86">
        <v>1569</v>
      </c>
      <c r="BT14" s="86">
        <v>1472</v>
      </c>
      <c r="BU14" s="86">
        <v>1489</v>
      </c>
      <c r="BV14" s="86">
        <v>1452</v>
      </c>
      <c r="BW14" s="86">
        <v>1447</v>
      </c>
      <c r="BX14" s="86">
        <v>1450</v>
      </c>
      <c r="BY14" s="86">
        <v>1398</v>
      </c>
      <c r="BZ14" s="86">
        <v>1347</v>
      </c>
      <c r="CA14" s="86">
        <v>1399</v>
      </c>
      <c r="CB14" s="86">
        <v>1350</v>
      </c>
      <c r="CC14" s="86">
        <v>1276</v>
      </c>
      <c r="CD14" s="86">
        <v>1319</v>
      </c>
      <c r="CE14" s="86">
        <v>1276</v>
      </c>
      <c r="CF14" s="86">
        <v>1232</v>
      </c>
      <c r="CG14" s="86">
        <v>11846</v>
      </c>
      <c r="CH14" s="86">
        <v>10075</v>
      </c>
      <c r="CI14" s="86">
        <v>9058</v>
      </c>
      <c r="CJ14" s="86">
        <v>8220</v>
      </c>
      <c r="CK14" s="86">
        <v>7689</v>
      </c>
      <c r="CL14" s="86">
        <v>7125</v>
      </c>
      <c r="CM14" s="86">
        <v>6652</v>
      </c>
      <c r="CN14" s="86">
        <v>6259</v>
      </c>
      <c r="CO14" s="86">
        <v>5992</v>
      </c>
      <c r="CP14" s="86">
        <v>5736</v>
      </c>
      <c r="CQ14" s="86">
        <v>5467</v>
      </c>
      <c r="CR14" s="86">
        <v>5217</v>
      </c>
      <c r="CS14" s="86">
        <v>5096</v>
      </c>
      <c r="CT14" s="86">
        <v>4776</v>
      </c>
      <c r="CU14" s="382"/>
    </row>
    <row r="15" spans="1:99" s="86" customFormat="1" x14ac:dyDescent="0.2">
      <c r="A15" s="348">
        <v>40</v>
      </c>
      <c r="B15" s="348">
        <v>30</v>
      </c>
      <c r="C15" s="349" t="s">
        <v>155</v>
      </c>
      <c r="D15" s="348">
        <v>3790</v>
      </c>
      <c r="E15" s="164">
        <f t="shared" si="0"/>
        <v>12334.2</v>
      </c>
      <c r="F15" s="394">
        <f t="shared" si="1"/>
        <v>36.443745370517277</v>
      </c>
      <c r="G15" s="86">
        <v>1302</v>
      </c>
      <c r="H15" s="86">
        <v>1325</v>
      </c>
      <c r="I15" s="86">
        <v>1327</v>
      </c>
      <c r="J15" s="86">
        <v>1352</v>
      </c>
      <c r="K15" s="86">
        <v>1335</v>
      </c>
      <c r="L15" s="86">
        <v>1319</v>
      </c>
      <c r="M15" s="86">
        <v>1283</v>
      </c>
      <c r="N15" s="86">
        <v>1322</v>
      </c>
      <c r="O15" s="86">
        <v>1338</v>
      </c>
      <c r="P15" s="86">
        <v>1319</v>
      </c>
      <c r="Q15" s="86">
        <v>1325</v>
      </c>
      <c r="R15" s="86">
        <v>1324</v>
      </c>
      <c r="S15" s="86">
        <v>1296</v>
      </c>
      <c r="T15" s="86">
        <v>1302</v>
      </c>
      <c r="U15" s="86">
        <v>1333</v>
      </c>
      <c r="V15" s="86">
        <v>1295</v>
      </c>
      <c r="W15" s="86">
        <v>1317</v>
      </c>
      <c r="X15" s="86">
        <v>1324</v>
      </c>
      <c r="Y15" s="86">
        <v>1276</v>
      </c>
      <c r="Z15" s="86">
        <v>1253</v>
      </c>
      <c r="AA15" s="86">
        <v>12800</v>
      </c>
      <c r="AB15" s="86">
        <v>12221</v>
      </c>
      <c r="AC15" s="86">
        <v>11885</v>
      </c>
      <c r="AD15" s="86">
        <v>11383</v>
      </c>
      <c r="AE15" s="86">
        <v>10999</v>
      </c>
      <c r="AF15" s="86">
        <v>10536</v>
      </c>
      <c r="AG15" s="86">
        <v>9949</v>
      </c>
      <c r="AH15" s="86">
        <v>9632</v>
      </c>
      <c r="AI15" s="86">
        <v>9139</v>
      </c>
      <c r="AJ15" s="86">
        <v>8868</v>
      </c>
      <c r="AK15" s="86">
        <v>8491</v>
      </c>
      <c r="AL15" s="86">
        <v>8247</v>
      </c>
      <c r="AM15" s="86">
        <v>7905</v>
      </c>
      <c r="AN15" s="86">
        <v>7586</v>
      </c>
      <c r="AO15" s="86">
        <v>7260</v>
      </c>
      <c r="AP15" s="86">
        <v>7021</v>
      </c>
      <c r="AQ15" s="86">
        <v>6696</v>
      </c>
      <c r="AR15" s="86">
        <v>6560</v>
      </c>
      <c r="AS15" s="86">
        <v>6246</v>
      </c>
      <c r="AT15" s="86">
        <v>6124</v>
      </c>
      <c r="AU15" s="86">
        <v>5853</v>
      </c>
      <c r="AV15" s="86">
        <v>5687</v>
      </c>
      <c r="AW15" s="86">
        <v>5489</v>
      </c>
      <c r="AX15" s="86">
        <v>5459</v>
      </c>
      <c r="AY15" s="86">
        <v>5210</v>
      </c>
      <c r="AZ15" s="86">
        <v>5055</v>
      </c>
      <c r="BA15" s="86">
        <v>4848</v>
      </c>
      <c r="BB15" s="86">
        <v>4737</v>
      </c>
      <c r="BC15" s="86">
        <v>4546</v>
      </c>
      <c r="BD15" s="86">
        <v>4444</v>
      </c>
      <c r="BE15" s="86">
        <v>4348</v>
      </c>
      <c r="BF15" s="86">
        <v>4211</v>
      </c>
      <c r="BG15" s="86">
        <v>4114</v>
      </c>
      <c r="BH15" s="86">
        <v>3986</v>
      </c>
      <c r="BI15" s="86">
        <v>3906</v>
      </c>
      <c r="BJ15" s="86">
        <v>3823</v>
      </c>
      <c r="BK15" s="86">
        <v>3692</v>
      </c>
      <c r="BL15" s="86">
        <v>3604</v>
      </c>
      <c r="BM15" s="86">
        <v>3605</v>
      </c>
      <c r="BN15" s="86">
        <v>3403</v>
      </c>
      <c r="BO15" s="86">
        <v>3369</v>
      </c>
      <c r="BP15" s="86">
        <v>3363</v>
      </c>
      <c r="BQ15" s="86">
        <v>3233</v>
      </c>
      <c r="BR15" s="86">
        <v>3199</v>
      </c>
      <c r="BS15" s="86">
        <v>3144</v>
      </c>
      <c r="BT15" s="86">
        <v>3088</v>
      </c>
      <c r="BU15" s="86">
        <v>2939</v>
      </c>
      <c r="BV15" s="86">
        <v>2923</v>
      </c>
      <c r="BW15" s="86">
        <v>2878</v>
      </c>
      <c r="BX15" s="86">
        <v>2851</v>
      </c>
      <c r="BY15" s="86">
        <v>2755</v>
      </c>
      <c r="BZ15" s="86">
        <v>2648</v>
      </c>
      <c r="CA15" s="86">
        <v>2584</v>
      </c>
      <c r="CB15" s="86">
        <v>2607</v>
      </c>
      <c r="CC15" s="86">
        <v>2586</v>
      </c>
      <c r="CD15" s="86">
        <v>2426</v>
      </c>
      <c r="CE15" s="86">
        <v>2390</v>
      </c>
      <c r="CF15" s="86">
        <v>2413</v>
      </c>
      <c r="CG15" s="86">
        <v>22404</v>
      </c>
      <c r="CH15" s="86">
        <v>19228</v>
      </c>
      <c r="CI15" s="86">
        <v>17044</v>
      </c>
      <c r="CJ15" s="86">
        <v>15257</v>
      </c>
      <c r="CK15" s="86">
        <v>13849</v>
      </c>
      <c r="CL15" s="86">
        <v>12404</v>
      </c>
      <c r="CM15" s="86">
        <v>11743</v>
      </c>
      <c r="CN15" s="86">
        <v>10941</v>
      </c>
      <c r="CO15" s="86">
        <v>10053</v>
      </c>
      <c r="CP15" s="86">
        <v>9654</v>
      </c>
      <c r="CQ15" s="86">
        <v>9215</v>
      </c>
      <c r="CR15" s="86">
        <v>8694</v>
      </c>
      <c r="CS15" s="86">
        <v>8079</v>
      </c>
      <c r="CT15" s="86">
        <v>7907</v>
      </c>
      <c r="CU15" s="382"/>
    </row>
    <row r="16" spans="1:99" s="86" customFormat="1" x14ac:dyDescent="0.2">
      <c r="A16" s="350">
        <v>44</v>
      </c>
      <c r="B16" s="350">
        <v>30</v>
      </c>
      <c r="C16" s="351" t="s">
        <v>156</v>
      </c>
      <c r="D16" s="350">
        <v>1516</v>
      </c>
      <c r="E16" s="381">
        <f t="shared" si="0"/>
        <v>5740.05</v>
      </c>
      <c r="F16" s="395">
        <f t="shared" si="1"/>
        <v>25.51564525966138</v>
      </c>
      <c r="G16" s="87">
        <v>633</v>
      </c>
      <c r="H16" s="87">
        <v>676</v>
      </c>
      <c r="I16" s="87">
        <v>647</v>
      </c>
      <c r="J16" s="87">
        <v>659</v>
      </c>
      <c r="K16" s="87">
        <v>670</v>
      </c>
      <c r="L16" s="87">
        <v>639</v>
      </c>
      <c r="M16" s="87">
        <v>665</v>
      </c>
      <c r="N16" s="87">
        <v>652</v>
      </c>
      <c r="O16" s="87">
        <v>635</v>
      </c>
      <c r="P16" s="87">
        <v>631</v>
      </c>
      <c r="Q16" s="87">
        <v>652</v>
      </c>
      <c r="R16" s="87">
        <v>631</v>
      </c>
      <c r="S16" s="87">
        <v>647</v>
      </c>
      <c r="T16" s="87">
        <v>630</v>
      </c>
      <c r="U16" s="87">
        <v>628</v>
      </c>
      <c r="V16" s="87">
        <v>631</v>
      </c>
      <c r="W16" s="87">
        <v>637</v>
      </c>
      <c r="X16" s="87">
        <v>630</v>
      </c>
      <c r="Y16" s="87">
        <v>662</v>
      </c>
      <c r="Z16" s="87">
        <v>595</v>
      </c>
      <c r="AA16" s="87">
        <v>6337</v>
      </c>
      <c r="AB16" s="87">
        <v>6117</v>
      </c>
      <c r="AC16" s="87">
        <v>5911</v>
      </c>
      <c r="AD16" s="87">
        <v>5655</v>
      </c>
      <c r="AE16" s="87">
        <v>5433</v>
      </c>
      <c r="AF16" s="87">
        <v>5240</v>
      </c>
      <c r="AG16" s="87">
        <v>5026</v>
      </c>
      <c r="AH16" s="87">
        <v>4858</v>
      </c>
      <c r="AI16" s="87">
        <v>4766</v>
      </c>
      <c r="AJ16" s="87">
        <v>4400</v>
      </c>
      <c r="AK16" s="87">
        <v>4279</v>
      </c>
      <c r="AL16" s="87">
        <v>4145</v>
      </c>
      <c r="AM16" s="87">
        <v>3991</v>
      </c>
      <c r="AN16" s="87">
        <v>3967</v>
      </c>
      <c r="AO16" s="87">
        <v>3778</v>
      </c>
      <c r="AP16" s="87">
        <v>3657</v>
      </c>
      <c r="AQ16" s="87">
        <v>3573</v>
      </c>
      <c r="AR16" s="87">
        <v>3431</v>
      </c>
      <c r="AS16" s="87">
        <v>3387</v>
      </c>
      <c r="AT16" s="87">
        <v>3194</v>
      </c>
      <c r="AU16" s="87">
        <v>3169</v>
      </c>
      <c r="AV16" s="87">
        <v>3110</v>
      </c>
      <c r="AW16" s="87">
        <v>3011</v>
      </c>
      <c r="AX16" s="87">
        <v>3014</v>
      </c>
      <c r="AY16" s="87">
        <v>2812</v>
      </c>
      <c r="AZ16" s="87">
        <v>2738</v>
      </c>
      <c r="BA16" s="87">
        <v>2698</v>
      </c>
      <c r="BB16" s="87">
        <v>2635</v>
      </c>
      <c r="BC16" s="87">
        <v>2532</v>
      </c>
      <c r="BD16" s="87">
        <v>2461</v>
      </c>
      <c r="BE16" s="87">
        <v>2472</v>
      </c>
      <c r="BF16" s="87">
        <v>2382</v>
      </c>
      <c r="BG16" s="87">
        <v>2377</v>
      </c>
      <c r="BH16" s="87">
        <v>2313</v>
      </c>
      <c r="BI16" s="87">
        <v>2225</v>
      </c>
      <c r="BJ16" s="87">
        <v>2263</v>
      </c>
      <c r="BK16" s="87">
        <v>2130</v>
      </c>
      <c r="BL16" s="87">
        <v>2168</v>
      </c>
      <c r="BM16" s="87">
        <v>2097</v>
      </c>
      <c r="BN16" s="87">
        <v>2016</v>
      </c>
      <c r="BO16" s="87">
        <v>2030</v>
      </c>
      <c r="BP16" s="87">
        <v>1972</v>
      </c>
      <c r="BQ16" s="87">
        <v>1929</v>
      </c>
      <c r="BR16" s="87">
        <v>1920</v>
      </c>
      <c r="BS16" s="87">
        <v>1851</v>
      </c>
      <c r="BT16" s="87">
        <v>1824</v>
      </c>
      <c r="BU16" s="87">
        <v>1747</v>
      </c>
      <c r="BV16" s="87">
        <v>1764</v>
      </c>
      <c r="BW16" s="87">
        <v>1715</v>
      </c>
      <c r="BX16" s="87">
        <v>1737</v>
      </c>
      <c r="BY16" s="87">
        <v>1683</v>
      </c>
      <c r="BZ16" s="87">
        <v>1675</v>
      </c>
      <c r="CA16" s="87">
        <v>1661</v>
      </c>
      <c r="CB16" s="87">
        <v>1590</v>
      </c>
      <c r="CC16" s="87">
        <v>1614</v>
      </c>
      <c r="CD16" s="87">
        <v>1588</v>
      </c>
      <c r="CE16" s="87">
        <v>1582</v>
      </c>
      <c r="CF16" s="87">
        <v>1483</v>
      </c>
      <c r="CG16" s="87">
        <v>14369</v>
      </c>
      <c r="CH16" s="87">
        <v>12856</v>
      </c>
      <c r="CI16" s="87">
        <v>11996</v>
      </c>
      <c r="CJ16" s="87">
        <v>10866</v>
      </c>
      <c r="CK16" s="87">
        <v>10079</v>
      </c>
      <c r="CL16" s="87">
        <v>9663</v>
      </c>
      <c r="CM16" s="87">
        <v>9003</v>
      </c>
      <c r="CN16" s="87">
        <v>8493</v>
      </c>
      <c r="CO16" s="87">
        <v>8136</v>
      </c>
      <c r="CP16" s="87">
        <v>7842</v>
      </c>
      <c r="CQ16" s="87">
        <v>7479</v>
      </c>
      <c r="CR16" s="87">
        <v>7237</v>
      </c>
      <c r="CS16" s="87">
        <v>6908</v>
      </c>
      <c r="CT16" s="87">
        <v>6791</v>
      </c>
      <c r="CU16" s="382"/>
    </row>
    <row r="17" spans="1:99" s="86" customFormat="1" x14ac:dyDescent="0.2">
      <c r="A17" s="348">
        <v>11</v>
      </c>
      <c r="B17" s="348">
        <v>31</v>
      </c>
      <c r="C17" s="349" t="s">
        <v>155</v>
      </c>
      <c r="D17" s="374">
        <v>0</v>
      </c>
      <c r="E17" s="164">
        <f t="shared" si="0"/>
        <v>13644.35</v>
      </c>
      <c r="F17" s="394">
        <f t="shared" si="1"/>
        <v>38.521900300862121</v>
      </c>
      <c r="G17" s="83">
        <v>1595</v>
      </c>
      <c r="H17" s="83">
        <v>1565</v>
      </c>
      <c r="I17" s="83">
        <v>1496</v>
      </c>
      <c r="J17" s="83">
        <v>1532</v>
      </c>
      <c r="K17" s="83">
        <v>1505</v>
      </c>
      <c r="L17" s="83">
        <v>1470</v>
      </c>
      <c r="M17" s="83">
        <v>1488</v>
      </c>
      <c r="N17" s="83">
        <v>1470</v>
      </c>
      <c r="O17" s="83">
        <v>1495</v>
      </c>
      <c r="P17" s="83">
        <v>1498</v>
      </c>
      <c r="Q17" s="83">
        <v>1464</v>
      </c>
      <c r="R17" s="83">
        <v>1480</v>
      </c>
      <c r="S17" s="83">
        <v>1432</v>
      </c>
      <c r="T17" s="83">
        <v>1477</v>
      </c>
      <c r="U17" s="83">
        <v>1405</v>
      </c>
      <c r="V17" s="83">
        <v>1442</v>
      </c>
      <c r="W17" s="83">
        <v>1418</v>
      </c>
      <c r="X17" s="83">
        <v>1422</v>
      </c>
      <c r="Y17" s="83">
        <v>1402</v>
      </c>
      <c r="Z17" s="83">
        <v>1387</v>
      </c>
      <c r="AA17" s="83">
        <v>13663</v>
      </c>
      <c r="AB17" s="83">
        <v>12947</v>
      </c>
      <c r="AC17" s="83">
        <v>12279</v>
      </c>
      <c r="AD17" s="83">
        <v>11414</v>
      </c>
      <c r="AE17" s="83">
        <v>10986</v>
      </c>
      <c r="AF17" s="83">
        <v>10596</v>
      </c>
      <c r="AG17" s="83">
        <v>10163</v>
      </c>
      <c r="AH17" s="83">
        <v>9546</v>
      </c>
      <c r="AI17" s="83">
        <v>9272</v>
      </c>
      <c r="AJ17" s="83">
        <v>8803</v>
      </c>
      <c r="AK17" s="83">
        <v>8498</v>
      </c>
      <c r="AL17" s="83">
        <v>8265</v>
      </c>
      <c r="AM17" s="83">
        <v>7882</v>
      </c>
      <c r="AN17" s="83">
        <v>7550</v>
      </c>
      <c r="AO17" s="83">
        <v>7189</v>
      </c>
      <c r="AP17" s="83">
        <v>6989</v>
      </c>
      <c r="AQ17" s="83">
        <v>6802</v>
      </c>
      <c r="AR17" s="83">
        <v>6522</v>
      </c>
      <c r="AS17" s="83">
        <v>6403</v>
      </c>
      <c r="AT17" s="83">
        <v>6109</v>
      </c>
      <c r="AU17" s="83">
        <v>6008</v>
      </c>
      <c r="AV17" s="83">
        <v>5738</v>
      </c>
      <c r="AW17" s="83">
        <v>5636</v>
      </c>
      <c r="AX17" s="83">
        <v>5419</v>
      </c>
      <c r="AY17" s="83">
        <v>5282</v>
      </c>
      <c r="AZ17" s="83">
        <v>5117</v>
      </c>
      <c r="BA17" s="83">
        <v>4929</v>
      </c>
      <c r="BB17" s="83">
        <v>4799</v>
      </c>
      <c r="BC17" s="83">
        <v>4687</v>
      </c>
      <c r="BD17" s="83">
        <v>4598</v>
      </c>
      <c r="BE17" s="83">
        <v>4406</v>
      </c>
      <c r="BF17" s="83">
        <v>4254</v>
      </c>
      <c r="BG17" s="83">
        <v>4265</v>
      </c>
      <c r="BH17" s="83">
        <v>4089</v>
      </c>
      <c r="BI17" s="83">
        <v>3980</v>
      </c>
      <c r="BJ17" s="83">
        <v>3910</v>
      </c>
      <c r="BK17" s="83">
        <v>3879</v>
      </c>
      <c r="BL17" s="83">
        <v>3793</v>
      </c>
      <c r="BM17" s="83">
        <v>3618</v>
      </c>
      <c r="BN17" s="83">
        <v>3612</v>
      </c>
      <c r="BO17" s="83">
        <v>3536</v>
      </c>
      <c r="BP17" s="83">
        <v>3464</v>
      </c>
      <c r="BQ17" s="83">
        <v>3348</v>
      </c>
      <c r="BR17" s="83">
        <v>3351</v>
      </c>
      <c r="BS17" s="83">
        <v>3235</v>
      </c>
      <c r="BT17" s="83">
        <v>3183</v>
      </c>
      <c r="BU17" s="83">
        <v>3205</v>
      </c>
      <c r="BV17" s="83">
        <v>3042</v>
      </c>
      <c r="BW17" s="83">
        <v>3028</v>
      </c>
      <c r="BX17" s="83">
        <v>2951</v>
      </c>
      <c r="BY17" s="83">
        <v>2940</v>
      </c>
      <c r="BZ17" s="83">
        <v>2941</v>
      </c>
      <c r="CA17" s="83">
        <v>2834</v>
      </c>
      <c r="CB17" s="83">
        <v>2782</v>
      </c>
      <c r="CC17" s="83">
        <v>2794</v>
      </c>
      <c r="CD17" s="83">
        <v>2647</v>
      </c>
      <c r="CE17" s="83">
        <v>2630</v>
      </c>
      <c r="CF17" s="83">
        <v>2578</v>
      </c>
      <c r="CG17" s="83">
        <v>24224</v>
      </c>
      <c r="CH17" s="83">
        <v>21324</v>
      </c>
      <c r="CI17" s="83">
        <v>18954</v>
      </c>
      <c r="CJ17" s="83">
        <v>17383</v>
      </c>
      <c r="CK17" s="83">
        <v>15944</v>
      </c>
      <c r="CL17" s="83">
        <v>15042</v>
      </c>
      <c r="CM17" s="83">
        <v>14294</v>
      </c>
      <c r="CN17" s="83">
        <v>13309</v>
      </c>
      <c r="CO17" s="83">
        <v>12920</v>
      </c>
      <c r="CP17" s="83">
        <v>12178</v>
      </c>
      <c r="CQ17" s="83">
        <v>11514</v>
      </c>
      <c r="CR17" s="83">
        <v>11268</v>
      </c>
      <c r="CS17" s="83">
        <v>10852</v>
      </c>
      <c r="CT17" s="83">
        <v>10691</v>
      </c>
      <c r="CU17" s="382"/>
    </row>
    <row r="18" spans="1:99" s="86" customFormat="1" x14ac:dyDescent="0.2">
      <c r="A18" s="348">
        <v>15</v>
      </c>
      <c r="B18" s="348">
        <v>31</v>
      </c>
      <c r="C18" s="349" t="s">
        <v>156</v>
      </c>
      <c r="D18" s="374">
        <v>1515</v>
      </c>
      <c r="E18" s="164">
        <f t="shared" si="0"/>
        <v>2642.85</v>
      </c>
      <c r="F18" s="394">
        <f t="shared" si="1"/>
        <v>18.355297784589915</v>
      </c>
      <c r="G18" s="83">
        <v>392</v>
      </c>
      <c r="H18" s="83">
        <v>348</v>
      </c>
      <c r="I18" s="83">
        <v>318</v>
      </c>
      <c r="J18" s="83">
        <v>343</v>
      </c>
      <c r="K18" s="83">
        <v>355</v>
      </c>
      <c r="L18" s="83">
        <v>356</v>
      </c>
      <c r="M18" s="83">
        <v>352</v>
      </c>
      <c r="N18" s="83">
        <v>322</v>
      </c>
      <c r="O18" s="83">
        <v>319</v>
      </c>
      <c r="P18" s="83">
        <v>342</v>
      </c>
      <c r="Q18" s="83">
        <v>340</v>
      </c>
      <c r="R18" s="83">
        <v>334</v>
      </c>
      <c r="S18" s="83">
        <v>320</v>
      </c>
      <c r="T18" s="83">
        <v>346</v>
      </c>
      <c r="U18" s="83">
        <v>299</v>
      </c>
      <c r="V18" s="83">
        <v>311</v>
      </c>
      <c r="W18" s="83">
        <v>326</v>
      </c>
      <c r="X18" s="83">
        <v>313</v>
      </c>
      <c r="Y18" s="83">
        <v>334</v>
      </c>
      <c r="Z18" s="83">
        <v>283</v>
      </c>
      <c r="AA18" s="83">
        <v>3190</v>
      </c>
      <c r="AB18" s="83">
        <v>3034</v>
      </c>
      <c r="AC18" s="83">
        <v>2890</v>
      </c>
      <c r="AD18" s="83">
        <v>2740</v>
      </c>
      <c r="AE18" s="83">
        <v>2680</v>
      </c>
      <c r="AF18" s="83">
        <v>2580</v>
      </c>
      <c r="AG18" s="83">
        <v>2531</v>
      </c>
      <c r="AH18" s="83">
        <v>2426</v>
      </c>
      <c r="AI18" s="83">
        <v>2414</v>
      </c>
      <c r="AJ18" s="83">
        <v>2280</v>
      </c>
      <c r="AK18" s="83">
        <v>2241</v>
      </c>
      <c r="AL18" s="83">
        <v>2156</v>
      </c>
      <c r="AM18" s="83">
        <v>2145</v>
      </c>
      <c r="AN18" s="83">
        <v>2142</v>
      </c>
      <c r="AO18" s="83">
        <v>2017</v>
      </c>
      <c r="AP18" s="83">
        <v>1989</v>
      </c>
      <c r="AQ18" s="83">
        <v>1922</v>
      </c>
      <c r="AR18" s="83">
        <v>1886</v>
      </c>
      <c r="AS18" s="83">
        <v>1803</v>
      </c>
      <c r="AT18" s="83">
        <v>1798</v>
      </c>
      <c r="AU18" s="83">
        <v>1718</v>
      </c>
      <c r="AV18" s="83">
        <v>1761</v>
      </c>
      <c r="AW18" s="83">
        <v>1642</v>
      </c>
      <c r="AX18" s="83">
        <v>1625</v>
      </c>
      <c r="AY18" s="83">
        <v>1605</v>
      </c>
      <c r="AZ18" s="83">
        <v>1583</v>
      </c>
      <c r="BA18" s="83">
        <v>1553</v>
      </c>
      <c r="BB18" s="83">
        <v>1549</v>
      </c>
      <c r="BC18" s="83">
        <v>1539</v>
      </c>
      <c r="BD18" s="83">
        <v>1457</v>
      </c>
      <c r="BE18" s="83">
        <v>1468</v>
      </c>
      <c r="BF18" s="83">
        <v>1473</v>
      </c>
      <c r="BG18" s="83">
        <v>1400</v>
      </c>
      <c r="BH18" s="83">
        <v>1445</v>
      </c>
      <c r="BI18" s="83">
        <v>1368</v>
      </c>
      <c r="BJ18" s="83">
        <v>1366</v>
      </c>
      <c r="BK18" s="83">
        <v>1329</v>
      </c>
      <c r="BL18" s="83">
        <v>1309</v>
      </c>
      <c r="BM18" s="83">
        <v>1343</v>
      </c>
      <c r="BN18" s="83">
        <v>1281</v>
      </c>
      <c r="BO18" s="83">
        <v>1317</v>
      </c>
      <c r="BP18" s="83">
        <v>1276</v>
      </c>
      <c r="BQ18" s="83">
        <v>1257</v>
      </c>
      <c r="BR18" s="83">
        <v>1231</v>
      </c>
      <c r="BS18" s="83">
        <v>1248</v>
      </c>
      <c r="BT18" s="83">
        <v>1212</v>
      </c>
      <c r="BU18" s="83">
        <v>1209</v>
      </c>
      <c r="BV18" s="83">
        <v>1239</v>
      </c>
      <c r="BW18" s="83">
        <v>1178</v>
      </c>
      <c r="BX18" s="83">
        <v>1185</v>
      </c>
      <c r="BY18" s="83">
        <v>1189</v>
      </c>
      <c r="BZ18" s="83">
        <v>1164</v>
      </c>
      <c r="CA18" s="83">
        <v>1122</v>
      </c>
      <c r="CB18" s="83">
        <v>1144</v>
      </c>
      <c r="CC18" s="83">
        <v>1094</v>
      </c>
      <c r="CD18" s="83">
        <v>1127</v>
      </c>
      <c r="CE18" s="83">
        <v>1075</v>
      </c>
      <c r="CF18" s="83">
        <v>1091</v>
      </c>
      <c r="CG18" s="83">
        <v>10476</v>
      </c>
      <c r="CH18" s="83">
        <v>9846</v>
      </c>
      <c r="CI18" s="83">
        <v>9102</v>
      </c>
      <c r="CJ18" s="83">
        <v>8804</v>
      </c>
      <c r="CK18" s="83">
        <v>8457</v>
      </c>
      <c r="CL18" s="83">
        <v>8191</v>
      </c>
      <c r="CM18" s="83">
        <v>7971</v>
      </c>
      <c r="CN18" s="83">
        <v>7667</v>
      </c>
      <c r="CO18" s="83">
        <v>7615</v>
      </c>
      <c r="CP18" s="83">
        <v>7267</v>
      </c>
      <c r="CQ18" s="83">
        <v>7182</v>
      </c>
      <c r="CR18" s="83">
        <v>7156</v>
      </c>
      <c r="CS18" s="83">
        <v>6924</v>
      </c>
      <c r="CT18" s="83">
        <v>6749</v>
      </c>
      <c r="CU18" s="382"/>
    </row>
    <row r="19" spans="1:99" s="86" customFormat="1" x14ac:dyDescent="0.2">
      <c r="A19" s="348">
        <v>49</v>
      </c>
      <c r="B19" s="348">
        <v>31</v>
      </c>
      <c r="C19" s="349" t="s">
        <v>155</v>
      </c>
      <c r="D19" s="374">
        <v>3790</v>
      </c>
      <c r="E19" s="164">
        <f t="shared" si="0"/>
        <v>8780.75</v>
      </c>
      <c r="F19" s="394">
        <f t="shared" si="1"/>
        <v>30.839469550263395</v>
      </c>
      <c r="G19" s="83">
        <v>987</v>
      </c>
      <c r="H19" s="83">
        <v>1037</v>
      </c>
      <c r="I19" s="83">
        <v>1062</v>
      </c>
      <c r="J19" s="83">
        <v>981</v>
      </c>
      <c r="K19" s="83">
        <v>992</v>
      </c>
      <c r="L19" s="83">
        <v>957</v>
      </c>
      <c r="M19" s="83">
        <v>952</v>
      </c>
      <c r="N19" s="83">
        <v>975</v>
      </c>
      <c r="O19" s="83">
        <v>951</v>
      </c>
      <c r="P19" s="83">
        <v>983</v>
      </c>
      <c r="Q19" s="83">
        <v>913</v>
      </c>
      <c r="R19" s="83">
        <v>885</v>
      </c>
      <c r="S19" s="83">
        <v>933</v>
      </c>
      <c r="T19" s="83">
        <v>883</v>
      </c>
      <c r="U19" s="83">
        <v>897</v>
      </c>
      <c r="V19" s="83">
        <v>909</v>
      </c>
      <c r="W19" s="83">
        <v>898</v>
      </c>
      <c r="X19" s="83">
        <v>893</v>
      </c>
      <c r="Y19" s="83">
        <v>860</v>
      </c>
      <c r="Z19" s="83">
        <v>903</v>
      </c>
      <c r="AA19" s="83">
        <v>8426</v>
      </c>
      <c r="AB19" s="83">
        <v>7970</v>
      </c>
      <c r="AC19" s="83">
        <v>7635</v>
      </c>
      <c r="AD19" s="83">
        <v>6946</v>
      </c>
      <c r="AE19" s="83">
        <v>6806</v>
      </c>
      <c r="AF19" s="83">
        <v>6333</v>
      </c>
      <c r="AG19" s="83">
        <v>6225</v>
      </c>
      <c r="AH19" s="83">
        <v>5719</v>
      </c>
      <c r="AI19" s="83">
        <v>5557</v>
      </c>
      <c r="AJ19" s="83">
        <v>5203</v>
      </c>
      <c r="AK19" s="83">
        <v>4989</v>
      </c>
      <c r="AL19" s="83">
        <v>4849</v>
      </c>
      <c r="AM19" s="83">
        <v>4634</v>
      </c>
      <c r="AN19" s="83">
        <v>4455</v>
      </c>
      <c r="AO19" s="83">
        <v>4267</v>
      </c>
      <c r="AP19" s="83">
        <v>4092</v>
      </c>
      <c r="AQ19" s="83">
        <v>3917</v>
      </c>
      <c r="AR19" s="83">
        <v>3697</v>
      </c>
      <c r="AS19" s="83">
        <v>3653</v>
      </c>
      <c r="AT19" s="83">
        <v>3542</v>
      </c>
      <c r="AU19" s="83">
        <v>3456</v>
      </c>
      <c r="AV19" s="83">
        <v>3219</v>
      </c>
      <c r="AW19" s="83">
        <v>3150</v>
      </c>
      <c r="AX19" s="83">
        <v>3114</v>
      </c>
      <c r="AY19" s="83">
        <v>2972</v>
      </c>
      <c r="AZ19" s="83">
        <v>2864</v>
      </c>
      <c r="BA19" s="83">
        <v>2895</v>
      </c>
      <c r="BB19" s="83">
        <v>2749</v>
      </c>
      <c r="BC19" s="83">
        <v>2650</v>
      </c>
      <c r="BD19" s="83">
        <v>2581</v>
      </c>
      <c r="BE19" s="83">
        <v>2545</v>
      </c>
      <c r="BF19" s="83">
        <v>2477</v>
      </c>
      <c r="BG19" s="83">
        <v>2468</v>
      </c>
      <c r="BH19" s="83">
        <v>2317</v>
      </c>
      <c r="BI19" s="83">
        <v>2294</v>
      </c>
      <c r="BJ19" s="83">
        <v>2310</v>
      </c>
      <c r="BK19" s="83">
        <v>2231</v>
      </c>
      <c r="BL19" s="83">
        <v>2173</v>
      </c>
      <c r="BM19" s="83">
        <v>2111</v>
      </c>
      <c r="BN19" s="83">
        <v>2057</v>
      </c>
      <c r="BO19" s="83">
        <v>1979</v>
      </c>
      <c r="BP19" s="83">
        <v>2011</v>
      </c>
      <c r="BQ19" s="83">
        <v>1916</v>
      </c>
      <c r="BR19" s="83">
        <v>1875</v>
      </c>
      <c r="BS19" s="83">
        <v>1857</v>
      </c>
      <c r="BT19" s="83">
        <v>1828</v>
      </c>
      <c r="BU19" s="83">
        <v>1785</v>
      </c>
      <c r="BV19" s="83">
        <v>1776</v>
      </c>
      <c r="BW19" s="83">
        <v>1751</v>
      </c>
      <c r="BX19" s="83">
        <v>1664</v>
      </c>
      <c r="BY19" s="83">
        <v>1663</v>
      </c>
      <c r="BZ19" s="83">
        <v>1645</v>
      </c>
      <c r="CA19" s="83">
        <v>1579</v>
      </c>
      <c r="CB19" s="83">
        <v>1595</v>
      </c>
      <c r="CC19" s="83">
        <v>1575</v>
      </c>
      <c r="CD19" s="83">
        <v>1520</v>
      </c>
      <c r="CE19" s="83">
        <v>1484</v>
      </c>
      <c r="CF19" s="83">
        <v>1515</v>
      </c>
      <c r="CG19" s="83">
        <v>13923</v>
      </c>
      <c r="CH19" s="83">
        <v>12549</v>
      </c>
      <c r="CI19" s="83">
        <v>11066</v>
      </c>
      <c r="CJ19" s="83">
        <v>10233</v>
      </c>
      <c r="CK19" s="83">
        <v>9496</v>
      </c>
      <c r="CL19" s="83">
        <v>8833</v>
      </c>
      <c r="CM19" s="83">
        <v>8326</v>
      </c>
      <c r="CN19" s="83">
        <v>7968</v>
      </c>
      <c r="CO19" s="83">
        <v>7564</v>
      </c>
      <c r="CP19" s="83">
        <v>7419</v>
      </c>
      <c r="CQ19" s="83">
        <v>7103</v>
      </c>
      <c r="CR19" s="83">
        <v>6775</v>
      </c>
      <c r="CS19" s="83">
        <v>6517</v>
      </c>
      <c r="CT19" s="83">
        <v>6378</v>
      </c>
      <c r="CU19" s="382"/>
    </row>
    <row r="20" spans="1:99" s="86" customFormat="1" x14ac:dyDescent="0.2">
      <c r="A20" s="348">
        <v>53</v>
      </c>
      <c r="B20" s="348">
        <v>31</v>
      </c>
      <c r="C20" s="349" t="s">
        <v>156</v>
      </c>
      <c r="D20" s="374">
        <v>1516</v>
      </c>
      <c r="E20" s="164">
        <f t="shared" si="0"/>
        <v>4080.75</v>
      </c>
      <c r="F20" s="394">
        <f t="shared" si="1"/>
        <v>21.587223564903372</v>
      </c>
      <c r="G20" s="83">
        <v>493</v>
      </c>
      <c r="H20" s="83">
        <v>508</v>
      </c>
      <c r="I20" s="83">
        <v>488</v>
      </c>
      <c r="J20" s="83">
        <v>478</v>
      </c>
      <c r="K20" s="83">
        <v>498</v>
      </c>
      <c r="L20" s="83">
        <v>456</v>
      </c>
      <c r="M20" s="83">
        <v>451</v>
      </c>
      <c r="N20" s="83">
        <v>478</v>
      </c>
      <c r="O20" s="83">
        <v>473</v>
      </c>
      <c r="P20" s="83">
        <v>449</v>
      </c>
      <c r="Q20" s="83">
        <v>461</v>
      </c>
      <c r="R20" s="83">
        <v>473</v>
      </c>
      <c r="S20" s="83">
        <v>469</v>
      </c>
      <c r="T20" s="83">
        <v>460</v>
      </c>
      <c r="U20" s="83">
        <v>442</v>
      </c>
      <c r="V20" s="83">
        <v>422</v>
      </c>
      <c r="W20" s="83">
        <v>444</v>
      </c>
      <c r="X20" s="83">
        <v>412</v>
      </c>
      <c r="Y20" s="83">
        <v>419</v>
      </c>
      <c r="Z20" s="83">
        <v>446</v>
      </c>
      <c r="AA20" s="83">
        <v>4197</v>
      </c>
      <c r="AB20" s="83">
        <v>4175</v>
      </c>
      <c r="AC20" s="83">
        <v>3737</v>
      </c>
      <c r="AD20" s="83">
        <v>3571</v>
      </c>
      <c r="AE20" s="83">
        <v>3405</v>
      </c>
      <c r="AF20" s="83">
        <v>3216</v>
      </c>
      <c r="AG20" s="83">
        <v>3180</v>
      </c>
      <c r="AH20" s="83">
        <v>2989</v>
      </c>
      <c r="AI20" s="83">
        <v>2834</v>
      </c>
      <c r="AJ20" s="83">
        <v>2720</v>
      </c>
      <c r="AK20" s="83">
        <v>2662</v>
      </c>
      <c r="AL20" s="83">
        <v>2539</v>
      </c>
      <c r="AM20" s="83">
        <v>2410</v>
      </c>
      <c r="AN20" s="83">
        <v>2348</v>
      </c>
      <c r="AO20" s="83">
        <v>2248</v>
      </c>
      <c r="AP20" s="83">
        <v>2208</v>
      </c>
      <c r="AQ20" s="83">
        <v>2157</v>
      </c>
      <c r="AR20" s="83">
        <v>2079</v>
      </c>
      <c r="AS20" s="83">
        <v>1979</v>
      </c>
      <c r="AT20" s="83">
        <v>1954</v>
      </c>
      <c r="AU20" s="83">
        <v>1882</v>
      </c>
      <c r="AV20" s="83">
        <v>1831</v>
      </c>
      <c r="AW20" s="83">
        <v>1839</v>
      </c>
      <c r="AX20" s="83">
        <v>1780</v>
      </c>
      <c r="AY20" s="83">
        <v>1661</v>
      </c>
      <c r="AZ20" s="83">
        <v>1654</v>
      </c>
      <c r="BA20" s="83">
        <v>1617</v>
      </c>
      <c r="BB20" s="83">
        <v>1617</v>
      </c>
      <c r="BC20" s="83">
        <v>1577</v>
      </c>
      <c r="BD20" s="83">
        <v>1509</v>
      </c>
      <c r="BE20" s="83">
        <v>1490</v>
      </c>
      <c r="BF20" s="83">
        <v>1475</v>
      </c>
      <c r="BG20" s="83">
        <v>1391</v>
      </c>
      <c r="BH20" s="83">
        <v>1398</v>
      </c>
      <c r="BI20" s="83">
        <v>1366</v>
      </c>
      <c r="BJ20" s="83">
        <v>1310</v>
      </c>
      <c r="BK20" s="83">
        <v>1319</v>
      </c>
      <c r="BL20" s="83">
        <v>1327</v>
      </c>
      <c r="BM20" s="83">
        <v>1231</v>
      </c>
      <c r="BN20" s="83">
        <v>1247</v>
      </c>
      <c r="BO20" s="83">
        <v>1256</v>
      </c>
      <c r="BP20" s="83">
        <v>1200</v>
      </c>
      <c r="BQ20" s="83">
        <v>1208</v>
      </c>
      <c r="BR20" s="83">
        <v>1197</v>
      </c>
      <c r="BS20" s="83">
        <v>1194</v>
      </c>
      <c r="BT20" s="83">
        <v>1151</v>
      </c>
      <c r="BU20" s="83">
        <v>1117</v>
      </c>
      <c r="BV20" s="83">
        <v>1124</v>
      </c>
      <c r="BW20" s="83">
        <v>1129</v>
      </c>
      <c r="BX20" s="83">
        <v>1071</v>
      </c>
      <c r="BY20" s="83">
        <v>1062</v>
      </c>
      <c r="BZ20" s="83">
        <v>1034</v>
      </c>
      <c r="CA20" s="83">
        <v>997</v>
      </c>
      <c r="CB20" s="83">
        <v>1048</v>
      </c>
      <c r="CC20" s="83">
        <v>1019</v>
      </c>
      <c r="CD20" s="83">
        <v>988</v>
      </c>
      <c r="CE20" s="83">
        <v>962</v>
      </c>
      <c r="CF20" s="83">
        <v>993</v>
      </c>
      <c r="CG20" s="83">
        <v>9244</v>
      </c>
      <c r="CH20" s="83">
        <v>8502</v>
      </c>
      <c r="CI20" s="83">
        <v>7929</v>
      </c>
      <c r="CJ20" s="83">
        <v>7388</v>
      </c>
      <c r="CK20" s="83">
        <v>6956</v>
      </c>
      <c r="CL20" s="83">
        <v>6630</v>
      </c>
      <c r="CM20" s="83">
        <v>6442</v>
      </c>
      <c r="CN20" s="83">
        <v>6206</v>
      </c>
      <c r="CO20" s="83">
        <v>6122</v>
      </c>
      <c r="CP20" s="83">
        <v>5781</v>
      </c>
      <c r="CQ20" s="83">
        <v>5613</v>
      </c>
      <c r="CR20" s="83">
        <v>5782</v>
      </c>
      <c r="CS20" s="83">
        <v>5352</v>
      </c>
      <c r="CT20" s="83">
        <v>5233</v>
      </c>
      <c r="CU20" s="382"/>
    </row>
    <row r="21" spans="1:99" s="86" customFormat="1" x14ac:dyDescent="0.2">
      <c r="A21" s="348">
        <v>58</v>
      </c>
      <c r="B21" s="348">
        <v>31</v>
      </c>
      <c r="C21" s="349" t="s">
        <v>155</v>
      </c>
      <c r="D21" s="374">
        <v>7580</v>
      </c>
      <c r="E21" s="164">
        <f t="shared" si="0"/>
        <v>14677.15</v>
      </c>
      <c r="F21" s="394">
        <f t="shared" si="1"/>
        <v>39.384521516590517</v>
      </c>
      <c r="G21" s="83">
        <v>1700</v>
      </c>
      <c r="H21" s="83">
        <v>1656</v>
      </c>
      <c r="I21" s="83">
        <v>1659</v>
      </c>
      <c r="J21" s="83">
        <v>1591</v>
      </c>
      <c r="K21" s="83">
        <v>1679</v>
      </c>
      <c r="L21" s="83">
        <v>1603</v>
      </c>
      <c r="M21" s="83">
        <v>1578</v>
      </c>
      <c r="N21" s="83">
        <v>1570</v>
      </c>
      <c r="O21" s="83">
        <v>1563</v>
      </c>
      <c r="P21" s="83">
        <v>1540</v>
      </c>
      <c r="Q21" s="83">
        <v>1559</v>
      </c>
      <c r="R21" s="83">
        <v>1502</v>
      </c>
      <c r="S21" s="83">
        <v>1496</v>
      </c>
      <c r="T21" s="83">
        <v>1471</v>
      </c>
      <c r="U21" s="83">
        <v>1468</v>
      </c>
      <c r="V21" s="83">
        <v>1470</v>
      </c>
      <c r="W21" s="83">
        <v>1432</v>
      </c>
      <c r="X21" s="83">
        <v>1476</v>
      </c>
      <c r="Y21" s="83">
        <v>1421</v>
      </c>
      <c r="Z21" s="83">
        <v>1378</v>
      </c>
      <c r="AA21" s="83">
        <v>13603</v>
      </c>
      <c r="AB21" s="83">
        <v>12896</v>
      </c>
      <c r="AC21" s="83">
        <v>12098</v>
      </c>
      <c r="AD21" s="83">
        <v>11285</v>
      </c>
      <c r="AE21" s="83">
        <v>10536</v>
      </c>
      <c r="AF21" s="83">
        <v>10249</v>
      </c>
      <c r="AG21" s="83">
        <v>9602</v>
      </c>
      <c r="AH21" s="83">
        <v>9082</v>
      </c>
      <c r="AI21" s="83">
        <v>8602</v>
      </c>
      <c r="AJ21" s="83">
        <v>8305</v>
      </c>
      <c r="AK21" s="83">
        <v>7869</v>
      </c>
      <c r="AL21" s="83">
        <v>7469</v>
      </c>
      <c r="AM21" s="83">
        <v>7256</v>
      </c>
      <c r="AN21" s="83">
        <v>6795</v>
      </c>
      <c r="AO21" s="83">
        <v>6557</v>
      </c>
      <c r="AP21" s="83">
        <v>6211</v>
      </c>
      <c r="AQ21" s="83">
        <v>6084</v>
      </c>
      <c r="AR21" s="83">
        <v>5865</v>
      </c>
      <c r="AS21" s="83">
        <v>5623</v>
      </c>
      <c r="AT21" s="83">
        <v>5318</v>
      </c>
      <c r="AU21" s="83">
        <v>5211</v>
      </c>
      <c r="AV21" s="83">
        <v>5132</v>
      </c>
      <c r="AW21" s="83">
        <v>4776</v>
      </c>
      <c r="AX21" s="83">
        <v>4787</v>
      </c>
      <c r="AY21" s="83">
        <v>4510</v>
      </c>
      <c r="AZ21" s="83">
        <v>4383</v>
      </c>
      <c r="BA21" s="83">
        <v>4219</v>
      </c>
      <c r="BB21" s="83">
        <v>4149</v>
      </c>
      <c r="BC21" s="83">
        <v>4032</v>
      </c>
      <c r="BD21" s="83">
        <v>3935</v>
      </c>
      <c r="BE21" s="83">
        <v>3760</v>
      </c>
      <c r="BF21" s="83">
        <v>3611</v>
      </c>
      <c r="BG21" s="83">
        <v>3595</v>
      </c>
      <c r="BH21" s="83">
        <v>3494</v>
      </c>
      <c r="BI21" s="83">
        <v>3349</v>
      </c>
      <c r="BJ21" s="83">
        <v>3299</v>
      </c>
      <c r="BK21" s="83">
        <v>3211</v>
      </c>
      <c r="BL21" s="83">
        <v>3193</v>
      </c>
      <c r="BM21" s="83">
        <v>3083</v>
      </c>
      <c r="BN21" s="83">
        <v>2964</v>
      </c>
      <c r="BO21" s="83">
        <v>2977</v>
      </c>
      <c r="BP21" s="83">
        <v>2822</v>
      </c>
      <c r="BQ21" s="83">
        <v>2767</v>
      </c>
      <c r="BR21" s="83">
        <v>2765</v>
      </c>
      <c r="BS21" s="83">
        <v>2711</v>
      </c>
      <c r="BT21" s="83">
        <v>2651</v>
      </c>
      <c r="BU21" s="83">
        <v>2592</v>
      </c>
      <c r="BV21" s="83">
        <v>2524</v>
      </c>
      <c r="BW21" s="83">
        <v>2392</v>
      </c>
      <c r="BX21" s="83">
        <v>2404</v>
      </c>
      <c r="BY21" s="83">
        <v>2331</v>
      </c>
      <c r="BZ21" s="83">
        <v>2327</v>
      </c>
      <c r="CA21" s="83">
        <v>2313</v>
      </c>
      <c r="CB21" s="83">
        <v>2203</v>
      </c>
      <c r="CC21" s="83">
        <v>2190</v>
      </c>
      <c r="CD21" s="83">
        <v>2171</v>
      </c>
      <c r="CE21" s="83">
        <v>2063</v>
      </c>
      <c r="CF21" s="83">
        <v>2092</v>
      </c>
      <c r="CG21" s="83">
        <v>18951</v>
      </c>
      <c r="CH21" s="83">
        <v>16428</v>
      </c>
      <c r="CI21" s="83">
        <v>14485</v>
      </c>
      <c r="CJ21" s="83">
        <v>13061</v>
      </c>
      <c r="CK21" s="83">
        <v>12021</v>
      </c>
      <c r="CL21" s="83">
        <v>10955</v>
      </c>
      <c r="CM21" s="83">
        <v>10214</v>
      </c>
      <c r="CN21" s="83">
        <v>9589</v>
      </c>
      <c r="CO21" s="83">
        <v>9041</v>
      </c>
      <c r="CP21" s="83">
        <v>8444</v>
      </c>
      <c r="CQ21" s="83">
        <v>8144</v>
      </c>
      <c r="CR21" s="83">
        <v>7696</v>
      </c>
      <c r="CS21" s="83">
        <v>7443</v>
      </c>
      <c r="CT21" s="83">
        <v>7134</v>
      </c>
      <c r="CU21" s="382"/>
    </row>
    <row r="22" spans="1:99" s="86" customFormat="1" x14ac:dyDescent="0.2">
      <c r="A22" s="348">
        <v>62</v>
      </c>
      <c r="B22" s="348">
        <v>31</v>
      </c>
      <c r="C22" s="349" t="s">
        <v>156</v>
      </c>
      <c r="D22" s="374">
        <v>1516</v>
      </c>
      <c r="E22" s="164">
        <f t="shared" si="0"/>
        <v>3991</v>
      </c>
      <c r="F22" s="394">
        <f t="shared" si="1"/>
        <v>21.353457321611209</v>
      </c>
      <c r="G22" s="83">
        <v>486</v>
      </c>
      <c r="H22" s="83">
        <v>492</v>
      </c>
      <c r="I22" s="83">
        <v>503</v>
      </c>
      <c r="J22" s="83">
        <v>458</v>
      </c>
      <c r="K22" s="83">
        <v>454</v>
      </c>
      <c r="L22" s="83">
        <v>454</v>
      </c>
      <c r="M22" s="83">
        <v>456</v>
      </c>
      <c r="N22" s="83">
        <v>440</v>
      </c>
      <c r="O22" s="83">
        <v>437</v>
      </c>
      <c r="P22" s="83">
        <v>457</v>
      </c>
      <c r="Q22" s="83">
        <v>472</v>
      </c>
      <c r="R22" s="83">
        <v>423</v>
      </c>
      <c r="S22" s="83">
        <v>431</v>
      </c>
      <c r="T22" s="83">
        <v>442</v>
      </c>
      <c r="U22" s="83">
        <v>464</v>
      </c>
      <c r="V22" s="83">
        <v>423</v>
      </c>
      <c r="W22" s="83">
        <v>427</v>
      </c>
      <c r="X22" s="83">
        <v>440</v>
      </c>
      <c r="Y22" s="83">
        <v>457</v>
      </c>
      <c r="Z22" s="83">
        <v>416</v>
      </c>
      <c r="AA22" s="83">
        <v>4080</v>
      </c>
      <c r="AB22" s="83">
        <v>3843</v>
      </c>
      <c r="AC22" s="83">
        <v>3677</v>
      </c>
      <c r="AD22" s="83">
        <v>3514</v>
      </c>
      <c r="AE22" s="83">
        <v>3312</v>
      </c>
      <c r="AF22" s="83">
        <v>3205</v>
      </c>
      <c r="AG22" s="83">
        <v>3086</v>
      </c>
      <c r="AH22" s="83">
        <v>2867</v>
      </c>
      <c r="AI22" s="83">
        <v>2834</v>
      </c>
      <c r="AJ22" s="83">
        <v>2650</v>
      </c>
      <c r="AK22" s="83">
        <v>2568</v>
      </c>
      <c r="AL22" s="83">
        <v>2444</v>
      </c>
      <c r="AM22" s="83">
        <v>2439</v>
      </c>
      <c r="AN22" s="83">
        <v>2286</v>
      </c>
      <c r="AO22" s="83">
        <v>2281</v>
      </c>
      <c r="AP22" s="83">
        <v>2130</v>
      </c>
      <c r="AQ22" s="83">
        <v>2106</v>
      </c>
      <c r="AR22" s="83">
        <v>2000</v>
      </c>
      <c r="AS22" s="83">
        <v>1973</v>
      </c>
      <c r="AT22" s="83">
        <v>1956</v>
      </c>
      <c r="AU22" s="83">
        <v>1879</v>
      </c>
      <c r="AV22" s="83">
        <v>1883</v>
      </c>
      <c r="AW22" s="83">
        <v>1774</v>
      </c>
      <c r="AX22" s="83">
        <v>1736</v>
      </c>
      <c r="AY22" s="83">
        <v>1740</v>
      </c>
      <c r="AZ22" s="83">
        <v>1654</v>
      </c>
      <c r="BA22" s="83">
        <v>1639</v>
      </c>
      <c r="BB22" s="83">
        <v>1586</v>
      </c>
      <c r="BC22" s="83">
        <v>1623</v>
      </c>
      <c r="BD22" s="83">
        <v>1567</v>
      </c>
      <c r="BE22" s="83">
        <v>1422</v>
      </c>
      <c r="BF22" s="83">
        <v>1448</v>
      </c>
      <c r="BG22" s="83">
        <v>1383</v>
      </c>
      <c r="BH22" s="83">
        <v>1386</v>
      </c>
      <c r="BI22" s="83">
        <v>1313</v>
      </c>
      <c r="BJ22" s="83">
        <v>1339</v>
      </c>
      <c r="BK22" s="83">
        <v>1254</v>
      </c>
      <c r="BL22" s="83">
        <v>1305</v>
      </c>
      <c r="BM22" s="83">
        <v>1294</v>
      </c>
      <c r="BN22" s="83">
        <v>1273</v>
      </c>
      <c r="BO22" s="83">
        <v>1287</v>
      </c>
      <c r="BP22" s="83">
        <v>1177</v>
      </c>
      <c r="BQ22" s="83">
        <v>1200</v>
      </c>
      <c r="BR22" s="83">
        <v>1168</v>
      </c>
      <c r="BS22" s="83">
        <v>1171</v>
      </c>
      <c r="BT22" s="83">
        <v>1087</v>
      </c>
      <c r="BU22" s="83">
        <v>1108</v>
      </c>
      <c r="BV22" s="83">
        <v>1114</v>
      </c>
      <c r="BW22" s="83">
        <v>1122</v>
      </c>
      <c r="BX22" s="83">
        <v>1066</v>
      </c>
      <c r="BY22" s="83">
        <v>1063</v>
      </c>
      <c r="BZ22" s="83">
        <v>1075</v>
      </c>
      <c r="CA22" s="83">
        <v>1078</v>
      </c>
      <c r="CB22" s="83">
        <v>1020</v>
      </c>
      <c r="CC22" s="83">
        <v>1001</v>
      </c>
      <c r="CD22" s="83">
        <v>990</v>
      </c>
      <c r="CE22" s="83">
        <v>1034</v>
      </c>
      <c r="CF22" s="83">
        <v>995</v>
      </c>
      <c r="CG22" s="83">
        <v>9253</v>
      </c>
      <c r="CH22" s="83">
        <v>8442</v>
      </c>
      <c r="CI22" s="83">
        <v>7714</v>
      </c>
      <c r="CJ22" s="83">
        <v>7417</v>
      </c>
      <c r="CK22" s="83">
        <v>7048</v>
      </c>
      <c r="CL22" s="83">
        <v>6662</v>
      </c>
      <c r="CM22" s="83">
        <v>6473</v>
      </c>
      <c r="CN22" s="83">
        <v>6114</v>
      </c>
      <c r="CO22" s="83">
        <v>5995</v>
      </c>
      <c r="CP22" s="83">
        <v>5746</v>
      </c>
      <c r="CQ22" s="83">
        <v>5578</v>
      </c>
      <c r="CR22" s="83">
        <v>5484</v>
      </c>
      <c r="CS22" s="83">
        <v>5307</v>
      </c>
      <c r="CT22" s="83">
        <v>5193</v>
      </c>
      <c r="CU22" s="382"/>
    </row>
    <row r="23" spans="1:99" s="86" customFormat="1" x14ac:dyDescent="0.2">
      <c r="A23" s="348">
        <v>67</v>
      </c>
      <c r="B23" s="348">
        <v>31</v>
      </c>
      <c r="C23" s="349" t="s">
        <v>155</v>
      </c>
      <c r="D23" s="374">
        <v>11369</v>
      </c>
      <c r="E23" s="164">
        <f t="shared" si="0"/>
        <v>19344.95</v>
      </c>
      <c r="F23" s="394">
        <f t="shared" si="1"/>
        <v>45.061025605536074</v>
      </c>
      <c r="G23" s="83">
        <v>2157</v>
      </c>
      <c r="H23" s="83">
        <v>2223</v>
      </c>
      <c r="I23" s="83">
        <v>2191</v>
      </c>
      <c r="J23" s="83">
        <v>2170</v>
      </c>
      <c r="K23" s="83">
        <v>2094</v>
      </c>
      <c r="L23" s="83">
        <v>2140</v>
      </c>
      <c r="M23" s="83">
        <v>2015</v>
      </c>
      <c r="N23" s="83">
        <v>2046</v>
      </c>
      <c r="O23" s="83">
        <v>2022</v>
      </c>
      <c r="P23" s="83">
        <v>2007</v>
      </c>
      <c r="Q23" s="83">
        <v>1965</v>
      </c>
      <c r="R23" s="83">
        <v>1960</v>
      </c>
      <c r="S23" s="83">
        <v>1975</v>
      </c>
      <c r="T23" s="83">
        <v>1896</v>
      </c>
      <c r="U23" s="83">
        <v>1940</v>
      </c>
      <c r="V23" s="83">
        <v>1911</v>
      </c>
      <c r="W23" s="83">
        <v>1917</v>
      </c>
      <c r="X23" s="83">
        <v>1947</v>
      </c>
      <c r="Y23" s="83">
        <v>1888</v>
      </c>
      <c r="Z23" s="83">
        <v>1879</v>
      </c>
      <c r="AA23" s="83">
        <v>17688</v>
      </c>
      <c r="AB23" s="83">
        <v>16594</v>
      </c>
      <c r="AC23" s="83">
        <v>15545</v>
      </c>
      <c r="AD23" s="83">
        <v>14610</v>
      </c>
      <c r="AE23" s="83">
        <v>13880</v>
      </c>
      <c r="AF23" s="83">
        <v>13013</v>
      </c>
      <c r="AG23" s="83">
        <v>12330</v>
      </c>
      <c r="AH23" s="83">
        <v>11806</v>
      </c>
      <c r="AI23" s="83">
        <v>11179</v>
      </c>
      <c r="AJ23" s="83">
        <v>10665</v>
      </c>
      <c r="AK23" s="83">
        <v>10052</v>
      </c>
      <c r="AL23" s="83">
        <v>9742</v>
      </c>
      <c r="AM23" s="83">
        <v>9097</v>
      </c>
      <c r="AN23" s="83">
        <v>8783</v>
      </c>
      <c r="AO23" s="83">
        <v>8439</v>
      </c>
      <c r="AP23" s="83">
        <v>8146</v>
      </c>
      <c r="AQ23" s="83">
        <v>7827</v>
      </c>
      <c r="AR23" s="83">
        <v>7516</v>
      </c>
      <c r="AS23" s="83">
        <v>7125</v>
      </c>
      <c r="AT23" s="83">
        <v>6735</v>
      </c>
      <c r="AU23" s="83">
        <v>6618</v>
      </c>
      <c r="AV23" s="83">
        <v>6354</v>
      </c>
      <c r="AW23" s="83">
        <v>6211</v>
      </c>
      <c r="AX23" s="83">
        <v>6023</v>
      </c>
      <c r="AY23" s="83">
        <v>5670</v>
      </c>
      <c r="AZ23" s="83">
        <v>5616</v>
      </c>
      <c r="BA23" s="83">
        <v>5360</v>
      </c>
      <c r="BB23" s="83">
        <v>5220</v>
      </c>
      <c r="BC23" s="83">
        <v>5001</v>
      </c>
      <c r="BD23" s="83">
        <v>4611</v>
      </c>
      <c r="BE23" s="83">
        <v>4744</v>
      </c>
      <c r="BF23" s="83">
        <v>4726</v>
      </c>
      <c r="BG23" s="83">
        <v>4461</v>
      </c>
      <c r="BH23" s="83">
        <v>4350</v>
      </c>
      <c r="BI23" s="83">
        <v>4231</v>
      </c>
      <c r="BJ23" s="83">
        <v>4159</v>
      </c>
      <c r="BK23" s="83">
        <v>3993</v>
      </c>
      <c r="BL23" s="83">
        <v>3976</v>
      </c>
      <c r="BM23" s="83">
        <v>3819</v>
      </c>
      <c r="BN23" s="83">
        <v>3684</v>
      </c>
      <c r="BO23" s="83">
        <v>3617</v>
      </c>
      <c r="BP23" s="83">
        <v>3635</v>
      </c>
      <c r="BQ23" s="83">
        <v>3478</v>
      </c>
      <c r="BR23" s="83">
        <v>3444</v>
      </c>
      <c r="BS23" s="83">
        <v>3317</v>
      </c>
      <c r="BT23" s="83">
        <v>3284</v>
      </c>
      <c r="BU23" s="83">
        <v>3175</v>
      </c>
      <c r="BV23" s="83">
        <v>3139</v>
      </c>
      <c r="BW23" s="83">
        <v>3097</v>
      </c>
      <c r="BX23" s="83">
        <v>2973</v>
      </c>
      <c r="BY23" s="83">
        <v>2934</v>
      </c>
      <c r="BZ23" s="83">
        <v>2735</v>
      </c>
      <c r="CA23" s="83">
        <v>2801</v>
      </c>
      <c r="CB23" s="83">
        <v>2688</v>
      </c>
      <c r="CC23" s="83">
        <v>2727</v>
      </c>
      <c r="CD23" s="83">
        <v>2595</v>
      </c>
      <c r="CE23" s="83">
        <v>2628</v>
      </c>
      <c r="CF23" s="83">
        <v>2568</v>
      </c>
      <c r="CG23" s="83">
        <v>23259</v>
      </c>
      <c r="CH23" s="83">
        <v>19942</v>
      </c>
      <c r="CI23" s="83">
        <v>17683</v>
      </c>
      <c r="CJ23" s="83">
        <v>15575</v>
      </c>
      <c r="CK23" s="83">
        <v>14149</v>
      </c>
      <c r="CL23" s="83">
        <v>12972</v>
      </c>
      <c r="CM23" s="83">
        <v>11874</v>
      </c>
      <c r="CN23" s="83">
        <v>11271</v>
      </c>
      <c r="CO23" s="83">
        <v>10556</v>
      </c>
      <c r="CP23" s="83">
        <v>9767</v>
      </c>
      <c r="CQ23" s="83">
        <v>9343</v>
      </c>
      <c r="CR23" s="83">
        <v>8863</v>
      </c>
      <c r="CS23" s="83">
        <v>8381</v>
      </c>
      <c r="CT23" s="83">
        <v>8150</v>
      </c>
      <c r="CU23" s="382"/>
    </row>
    <row r="24" spans="1:99" s="86" customFormat="1" x14ac:dyDescent="0.2">
      <c r="A24" s="348">
        <v>71</v>
      </c>
      <c r="B24" s="348">
        <v>31</v>
      </c>
      <c r="C24" s="349" t="s">
        <v>156</v>
      </c>
      <c r="D24" s="374">
        <v>1516</v>
      </c>
      <c r="E24" s="164">
        <f t="shared" si="0"/>
        <v>4085.45</v>
      </c>
      <c r="F24" s="394">
        <f t="shared" si="1"/>
        <v>21.647817646197709</v>
      </c>
      <c r="G24" s="83">
        <v>489</v>
      </c>
      <c r="H24" s="83">
        <v>514</v>
      </c>
      <c r="I24" s="83">
        <v>505</v>
      </c>
      <c r="J24" s="83">
        <v>475</v>
      </c>
      <c r="K24" s="83">
        <v>508</v>
      </c>
      <c r="L24" s="83">
        <v>488</v>
      </c>
      <c r="M24" s="83">
        <v>481</v>
      </c>
      <c r="N24" s="83">
        <v>460</v>
      </c>
      <c r="O24" s="83">
        <v>467</v>
      </c>
      <c r="P24" s="83">
        <v>444</v>
      </c>
      <c r="Q24" s="83">
        <v>483</v>
      </c>
      <c r="R24" s="83">
        <v>460</v>
      </c>
      <c r="S24" s="83">
        <v>441</v>
      </c>
      <c r="T24" s="83">
        <v>442</v>
      </c>
      <c r="U24" s="83">
        <v>434</v>
      </c>
      <c r="V24" s="83">
        <v>457</v>
      </c>
      <c r="W24" s="83">
        <v>432</v>
      </c>
      <c r="X24" s="83">
        <v>421</v>
      </c>
      <c r="Y24" s="83">
        <v>436</v>
      </c>
      <c r="Z24" s="83">
        <v>427</v>
      </c>
      <c r="AA24" s="83">
        <v>4214</v>
      </c>
      <c r="AB24" s="83">
        <v>4060</v>
      </c>
      <c r="AC24" s="83">
        <v>3819</v>
      </c>
      <c r="AD24" s="83">
        <v>3561</v>
      </c>
      <c r="AE24" s="83">
        <v>3401</v>
      </c>
      <c r="AF24" s="83">
        <v>3263</v>
      </c>
      <c r="AG24" s="83">
        <v>3158</v>
      </c>
      <c r="AH24" s="83">
        <v>3044</v>
      </c>
      <c r="AI24" s="83">
        <v>2894</v>
      </c>
      <c r="AJ24" s="83">
        <v>2809</v>
      </c>
      <c r="AK24" s="83">
        <v>2689</v>
      </c>
      <c r="AL24" s="83">
        <v>2551</v>
      </c>
      <c r="AM24" s="83">
        <v>2475</v>
      </c>
      <c r="AN24" s="83">
        <v>2406</v>
      </c>
      <c r="AO24" s="83">
        <v>2324</v>
      </c>
      <c r="AP24" s="83">
        <v>2295</v>
      </c>
      <c r="AQ24" s="83">
        <v>2250</v>
      </c>
      <c r="AR24" s="83">
        <v>2122</v>
      </c>
      <c r="AS24" s="83">
        <v>2037</v>
      </c>
      <c r="AT24" s="83">
        <v>1930</v>
      </c>
      <c r="AU24" s="83">
        <v>1973</v>
      </c>
      <c r="AV24" s="83">
        <v>1893</v>
      </c>
      <c r="AW24" s="83">
        <v>1822</v>
      </c>
      <c r="AX24" s="83">
        <v>1780</v>
      </c>
      <c r="AY24" s="83">
        <v>1752</v>
      </c>
      <c r="AZ24" s="83">
        <v>1709</v>
      </c>
      <c r="BA24" s="83">
        <v>1656</v>
      </c>
      <c r="BB24" s="83">
        <v>1655</v>
      </c>
      <c r="BC24" s="83">
        <v>1622</v>
      </c>
      <c r="BD24" s="83">
        <v>1582</v>
      </c>
      <c r="BE24" s="83">
        <v>1577</v>
      </c>
      <c r="BF24" s="83">
        <v>1490</v>
      </c>
      <c r="BG24" s="83">
        <v>1461</v>
      </c>
      <c r="BH24" s="83">
        <v>1461</v>
      </c>
      <c r="BI24" s="83">
        <v>1466</v>
      </c>
      <c r="BJ24" s="83">
        <v>1448</v>
      </c>
      <c r="BK24" s="83">
        <v>1401</v>
      </c>
      <c r="BL24" s="83">
        <v>1349</v>
      </c>
      <c r="BM24" s="83">
        <v>1370</v>
      </c>
      <c r="BN24" s="83">
        <v>1259</v>
      </c>
      <c r="BO24" s="83">
        <v>1277</v>
      </c>
      <c r="BP24" s="83">
        <v>1253</v>
      </c>
      <c r="BQ24" s="83">
        <v>1272</v>
      </c>
      <c r="BR24" s="83">
        <v>1204</v>
      </c>
      <c r="BS24" s="83">
        <v>1174</v>
      </c>
      <c r="BT24" s="83">
        <v>1226</v>
      </c>
      <c r="BU24" s="83">
        <v>1189</v>
      </c>
      <c r="BV24" s="83">
        <v>1186</v>
      </c>
      <c r="BW24" s="83">
        <v>1124</v>
      </c>
      <c r="BX24" s="83">
        <v>1154</v>
      </c>
      <c r="BY24" s="83">
        <v>1093</v>
      </c>
      <c r="BZ24" s="83">
        <v>1115</v>
      </c>
      <c r="CA24" s="83">
        <v>1083</v>
      </c>
      <c r="CB24" s="83">
        <v>1099</v>
      </c>
      <c r="CC24" s="83">
        <v>1114</v>
      </c>
      <c r="CD24" s="83">
        <v>1042</v>
      </c>
      <c r="CE24" s="83">
        <v>1060</v>
      </c>
      <c r="CF24" s="83">
        <v>1000</v>
      </c>
      <c r="CG24" s="83">
        <v>9673</v>
      </c>
      <c r="CH24" s="83">
        <v>8893</v>
      </c>
      <c r="CI24" s="83">
        <v>8355</v>
      </c>
      <c r="CJ24" s="83">
        <v>7866</v>
      </c>
      <c r="CK24" s="83">
        <v>7370</v>
      </c>
      <c r="CL24" s="83">
        <v>7114</v>
      </c>
      <c r="CM24" s="83">
        <v>6608</v>
      </c>
      <c r="CN24" s="83">
        <v>6490</v>
      </c>
      <c r="CO24" s="83">
        <v>6194</v>
      </c>
      <c r="CP24" s="83">
        <v>6094</v>
      </c>
      <c r="CQ24" s="83">
        <v>5876</v>
      </c>
      <c r="CR24" s="83">
        <v>5700</v>
      </c>
      <c r="CS24" s="83">
        <v>5481</v>
      </c>
      <c r="CT24" s="83">
        <v>5450</v>
      </c>
      <c r="CU24" s="382"/>
    </row>
    <row r="25" spans="1:99" s="86" customFormat="1" x14ac:dyDescent="0.2">
      <c r="A25" s="348">
        <v>76</v>
      </c>
      <c r="B25" s="348">
        <v>31</v>
      </c>
      <c r="C25" s="349" t="s">
        <v>155</v>
      </c>
      <c r="D25" s="374">
        <v>0</v>
      </c>
      <c r="E25" s="164">
        <f t="shared" si="0"/>
        <v>85.800000000000011</v>
      </c>
      <c r="F25" s="394">
        <f t="shared" si="1"/>
        <v>5.4895429754668061</v>
      </c>
      <c r="G25" s="83">
        <v>31</v>
      </c>
      <c r="H25" s="83">
        <v>23</v>
      </c>
      <c r="I25" s="83">
        <v>33</v>
      </c>
      <c r="J25" s="83">
        <v>26</v>
      </c>
      <c r="K25" s="83">
        <v>29</v>
      </c>
      <c r="L25" s="83">
        <v>20</v>
      </c>
      <c r="M25" s="83">
        <v>41</v>
      </c>
      <c r="N25" s="83">
        <v>31</v>
      </c>
      <c r="O25" s="83">
        <v>25</v>
      </c>
      <c r="P25" s="83">
        <v>20</v>
      </c>
      <c r="Q25" s="83">
        <v>32</v>
      </c>
      <c r="R25" s="83">
        <v>30</v>
      </c>
      <c r="S25" s="83">
        <v>34</v>
      </c>
      <c r="T25" s="83">
        <v>34</v>
      </c>
      <c r="U25" s="83">
        <v>36</v>
      </c>
      <c r="V25" s="83">
        <v>27</v>
      </c>
      <c r="W25" s="83">
        <v>34</v>
      </c>
      <c r="X25" s="83">
        <v>31</v>
      </c>
      <c r="Y25" s="83">
        <v>33</v>
      </c>
      <c r="Z25" s="83">
        <v>26</v>
      </c>
      <c r="AA25" s="83">
        <v>314</v>
      </c>
      <c r="AB25" s="83">
        <v>312</v>
      </c>
      <c r="AC25" s="83">
        <v>286</v>
      </c>
      <c r="AD25" s="83">
        <v>288</v>
      </c>
      <c r="AE25" s="83">
        <v>291</v>
      </c>
      <c r="AF25" s="83">
        <v>300</v>
      </c>
      <c r="AG25" s="83">
        <v>298</v>
      </c>
      <c r="AH25" s="83">
        <v>324</v>
      </c>
      <c r="AI25" s="83">
        <v>271</v>
      </c>
      <c r="AJ25" s="83">
        <v>298</v>
      </c>
      <c r="AK25" s="83">
        <v>289</v>
      </c>
      <c r="AL25" s="83">
        <v>290</v>
      </c>
      <c r="AM25" s="83">
        <v>296</v>
      </c>
      <c r="AN25" s="83">
        <v>277</v>
      </c>
      <c r="AO25" s="83">
        <v>280</v>
      </c>
      <c r="AP25" s="83">
        <v>294</v>
      </c>
      <c r="AQ25" s="83">
        <v>285</v>
      </c>
      <c r="AR25" s="83">
        <v>274</v>
      </c>
      <c r="AS25" s="83">
        <v>282</v>
      </c>
      <c r="AT25" s="83">
        <v>294</v>
      </c>
      <c r="AU25" s="83">
        <v>274</v>
      </c>
      <c r="AV25" s="83">
        <v>265</v>
      </c>
      <c r="AW25" s="83">
        <v>246</v>
      </c>
      <c r="AX25" s="83">
        <v>263</v>
      </c>
      <c r="AY25" s="83">
        <v>284</v>
      </c>
      <c r="AZ25" s="83">
        <v>255</v>
      </c>
      <c r="BA25" s="83">
        <v>280</v>
      </c>
      <c r="BB25" s="83">
        <v>255</v>
      </c>
      <c r="BC25" s="83">
        <v>261</v>
      </c>
      <c r="BD25" s="83">
        <v>259</v>
      </c>
      <c r="BE25" s="83">
        <v>241</v>
      </c>
      <c r="BF25" s="83">
        <v>262</v>
      </c>
      <c r="BG25" s="83">
        <v>269</v>
      </c>
      <c r="BH25" s="83">
        <v>261</v>
      </c>
      <c r="BI25" s="83">
        <v>246</v>
      </c>
      <c r="BJ25" s="83">
        <v>253</v>
      </c>
      <c r="BK25" s="83">
        <v>270</v>
      </c>
      <c r="BL25" s="83">
        <v>242</v>
      </c>
      <c r="BM25" s="83">
        <v>236</v>
      </c>
      <c r="BN25" s="83">
        <v>247</v>
      </c>
      <c r="BO25" s="83">
        <v>250</v>
      </c>
      <c r="BP25" s="83">
        <v>247</v>
      </c>
      <c r="BQ25" s="83">
        <v>241</v>
      </c>
      <c r="BR25" s="83">
        <v>255</v>
      </c>
      <c r="BS25" s="83">
        <v>256</v>
      </c>
      <c r="BT25" s="83">
        <v>240</v>
      </c>
      <c r="BU25" s="83">
        <v>258</v>
      </c>
      <c r="BV25" s="83">
        <v>251</v>
      </c>
      <c r="BW25" s="83">
        <v>249</v>
      </c>
      <c r="BX25" s="83">
        <v>239</v>
      </c>
      <c r="BY25" s="83">
        <v>227</v>
      </c>
      <c r="BZ25" s="83">
        <v>219</v>
      </c>
      <c r="CA25" s="83">
        <v>215</v>
      </c>
      <c r="CB25" s="83">
        <v>215</v>
      </c>
      <c r="CC25" s="83">
        <v>253</v>
      </c>
      <c r="CD25" s="83">
        <v>224</v>
      </c>
      <c r="CE25" s="83">
        <v>228</v>
      </c>
      <c r="CF25" s="83">
        <v>231</v>
      </c>
      <c r="CG25" s="83">
        <v>2329</v>
      </c>
      <c r="CH25" s="83">
        <v>2348</v>
      </c>
      <c r="CI25" s="83">
        <v>2256</v>
      </c>
      <c r="CJ25" s="83">
        <v>2245</v>
      </c>
      <c r="CK25" s="83">
        <v>2203</v>
      </c>
      <c r="CL25" s="83">
        <v>2214</v>
      </c>
      <c r="CM25" s="83">
        <v>2261</v>
      </c>
      <c r="CN25" s="83">
        <v>2199</v>
      </c>
      <c r="CO25" s="83">
        <v>2188</v>
      </c>
      <c r="CP25" s="83">
        <v>2105</v>
      </c>
      <c r="CQ25" s="83">
        <v>2147</v>
      </c>
      <c r="CR25" s="83">
        <v>2113</v>
      </c>
      <c r="CS25" s="83">
        <v>2130</v>
      </c>
      <c r="CT25" s="83">
        <v>2114</v>
      </c>
      <c r="CU25" s="382"/>
    </row>
    <row r="26" spans="1:99" s="86" customFormat="1" x14ac:dyDescent="0.2">
      <c r="A26" s="348">
        <v>80</v>
      </c>
      <c r="B26" s="348">
        <v>31</v>
      </c>
      <c r="C26" s="349" t="s">
        <v>156</v>
      </c>
      <c r="D26" s="374">
        <v>1516</v>
      </c>
      <c r="E26" s="164">
        <f t="shared" si="0"/>
        <v>3670.8</v>
      </c>
      <c r="F26" s="394">
        <f t="shared" si="1"/>
        <v>20.055701103546216</v>
      </c>
      <c r="G26" s="83">
        <v>446</v>
      </c>
      <c r="H26" s="83">
        <v>426</v>
      </c>
      <c r="I26" s="83">
        <v>464</v>
      </c>
      <c r="J26" s="83">
        <v>426</v>
      </c>
      <c r="K26" s="83">
        <v>425</v>
      </c>
      <c r="L26" s="83">
        <v>392</v>
      </c>
      <c r="M26" s="83">
        <v>415</v>
      </c>
      <c r="N26" s="83">
        <v>413</v>
      </c>
      <c r="O26" s="83">
        <v>386</v>
      </c>
      <c r="P26" s="83">
        <v>384</v>
      </c>
      <c r="Q26" s="83">
        <v>399</v>
      </c>
      <c r="R26" s="83">
        <v>389</v>
      </c>
      <c r="S26" s="83">
        <v>396</v>
      </c>
      <c r="T26" s="83">
        <v>385</v>
      </c>
      <c r="U26" s="83">
        <v>396</v>
      </c>
      <c r="V26" s="83">
        <v>366</v>
      </c>
      <c r="W26" s="83">
        <v>393</v>
      </c>
      <c r="X26" s="83">
        <v>358</v>
      </c>
      <c r="Y26" s="83">
        <v>364</v>
      </c>
      <c r="Z26" s="83">
        <v>359</v>
      </c>
      <c r="AA26" s="83">
        <v>3596</v>
      </c>
      <c r="AB26" s="83">
        <v>3324</v>
      </c>
      <c r="AC26" s="83">
        <v>3175</v>
      </c>
      <c r="AD26" s="83">
        <v>3047</v>
      </c>
      <c r="AE26" s="83">
        <v>2895</v>
      </c>
      <c r="AF26" s="83">
        <v>2660</v>
      </c>
      <c r="AG26" s="83">
        <v>2580</v>
      </c>
      <c r="AH26" s="83">
        <v>2473</v>
      </c>
      <c r="AI26" s="83">
        <v>2350</v>
      </c>
      <c r="AJ26" s="83">
        <v>2271</v>
      </c>
      <c r="AK26" s="83">
        <v>2079</v>
      </c>
      <c r="AL26" s="83">
        <v>2026</v>
      </c>
      <c r="AM26" s="83">
        <v>1997</v>
      </c>
      <c r="AN26" s="83">
        <v>1913</v>
      </c>
      <c r="AO26" s="83">
        <v>1812</v>
      </c>
      <c r="AP26" s="83">
        <v>1751</v>
      </c>
      <c r="AQ26" s="83">
        <v>1642</v>
      </c>
      <c r="AR26" s="83">
        <v>1610</v>
      </c>
      <c r="AS26" s="83">
        <v>1560</v>
      </c>
      <c r="AT26" s="83">
        <v>1530</v>
      </c>
      <c r="AU26" s="83">
        <v>1507</v>
      </c>
      <c r="AV26" s="83">
        <v>1421</v>
      </c>
      <c r="AW26" s="83">
        <v>1400</v>
      </c>
      <c r="AX26" s="83">
        <v>1393</v>
      </c>
      <c r="AY26" s="83">
        <v>1320</v>
      </c>
      <c r="AZ26" s="83">
        <v>1284</v>
      </c>
      <c r="BA26" s="83">
        <v>1238</v>
      </c>
      <c r="BB26" s="83">
        <v>1194</v>
      </c>
      <c r="BC26" s="83">
        <v>1189</v>
      </c>
      <c r="BD26" s="83">
        <v>1167</v>
      </c>
      <c r="BE26" s="83">
        <v>1125</v>
      </c>
      <c r="BF26" s="83">
        <v>1099</v>
      </c>
      <c r="BG26" s="83">
        <v>1082</v>
      </c>
      <c r="BH26" s="83">
        <v>1018</v>
      </c>
      <c r="BI26" s="83">
        <v>1022</v>
      </c>
      <c r="BJ26" s="83">
        <v>990</v>
      </c>
      <c r="BK26" s="83">
        <v>983</v>
      </c>
      <c r="BL26" s="83">
        <v>943</v>
      </c>
      <c r="BM26" s="83">
        <v>958</v>
      </c>
      <c r="BN26" s="83">
        <v>877</v>
      </c>
      <c r="BO26" s="83">
        <v>915</v>
      </c>
      <c r="BP26" s="83">
        <v>881</v>
      </c>
      <c r="BQ26" s="83">
        <v>880</v>
      </c>
      <c r="BR26" s="83">
        <v>844</v>
      </c>
      <c r="BS26" s="83">
        <v>824</v>
      </c>
      <c r="BT26" s="83">
        <v>791</v>
      </c>
      <c r="BU26" s="83">
        <v>801</v>
      </c>
      <c r="BV26" s="83">
        <v>778</v>
      </c>
      <c r="BW26" s="83">
        <v>786</v>
      </c>
      <c r="BX26" s="83">
        <v>745</v>
      </c>
      <c r="BY26" s="83">
        <v>724</v>
      </c>
      <c r="BZ26" s="83">
        <v>723</v>
      </c>
      <c r="CA26" s="83">
        <v>755</v>
      </c>
      <c r="CB26" s="83">
        <v>721</v>
      </c>
      <c r="CC26" s="83">
        <v>701</v>
      </c>
      <c r="CD26" s="83">
        <v>710</v>
      </c>
      <c r="CE26" s="83">
        <v>679</v>
      </c>
      <c r="CF26" s="83">
        <v>649</v>
      </c>
      <c r="CG26" s="83">
        <v>6297</v>
      </c>
      <c r="CH26" s="83">
        <v>5675</v>
      </c>
      <c r="CI26" s="83">
        <v>5178</v>
      </c>
      <c r="CJ26" s="83">
        <v>4733</v>
      </c>
      <c r="CK26" s="83">
        <v>4516</v>
      </c>
      <c r="CL26" s="83">
        <v>4214</v>
      </c>
      <c r="CM26" s="83">
        <v>4070</v>
      </c>
      <c r="CN26" s="83">
        <v>3812</v>
      </c>
      <c r="CO26" s="83">
        <v>3613</v>
      </c>
      <c r="CP26" s="83">
        <v>3550</v>
      </c>
      <c r="CQ26" s="83">
        <v>3438</v>
      </c>
      <c r="CR26" s="83">
        <v>3377</v>
      </c>
      <c r="CS26" s="83">
        <v>3256</v>
      </c>
      <c r="CT26" s="83">
        <v>3148</v>
      </c>
      <c r="CU26" s="382"/>
    </row>
    <row r="27" spans="1:99" s="86" customFormat="1" x14ac:dyDescent="0.2">
      <c r="A27" s="348">
        <v>85</v>
      </c>
      <c r="B27" s="348">
        <v>31</v>
      </c>
      <c r="C27" s="349" t="s">
        <v>155</v>
      </c>
      <c r="D27" s="374">
        <v>3790</v>
      </c>
      <c r="E27" s="164">
        <f t="shared" si="0"/>
        <v>7935.65</v>
      </c>
      <c r="F27" s="394">
        <f t="shared" si="1"/>
        <v>29.042851631905606</v>
      </c>
      <c r="G27" s="83">
        <v>848</v>
      </c>
      <c r="H27" s="83">
        <v>921</v>
      </c>
      <c r="I27" s="83">
        <v>918</v>
      </c>
      <c r="J27" s="83">
        <v>863</v>
      </c>
      <c r="K27" s="83">
        <v>897</v>
      </c>
      <c r="L27" s="83">
        <v>872</v>
      </c>
      <c r="M27" s="83">
        <v>876</v>
      </c>
      <c r="N27" s="83">
        <v>865</v>
      </c>
      <c r="O27" s="83">
        <v>853</v>
      </c>
      <c r="P27" s="83">
        <v>693</v>
      </c>
      <c r="Q27" s="83">
        <v>853</v>
      </c>
      <c r="R27" s="83">
        <v>815</v>
      </c>
      <c r="S27" s="83">
        <v>834</v>
      </c>
      <c r="T27" s="83">
        <v>801</v>
      </c>
      <c r="U27" s="83">
        <v>827</v>
      </c>
      <c r="V27" s="83">
        <v>825</v>
      </c>
      <c r="W27" s="83">
        <v>838</v>
      </c>
      <c r="X27" s="83">
        <v>789</v>
      </c>
      <c r="Y27" s="83">
        <v>802</v>
      </c>
      <c r="Z27" s="83">
        <v>771</v>
      </c>
      <c r="AA27" s="83">
        <v>7604</v>
      </c>
      <c r="AB27" s="83">
        <v>6952</v>
      </c>
      <c r="AC27" s="83">
        <v>6549</v>
      </c>
      <c r="AD27" s="83">
        <v>6200</v>
      </c>
      <c r="AE27" s="83">
        <v>5794</v>
      </c>
      <c r="AF27" s="83">
        <v>5505</v>
      </c>
      <c r="AG27" s="83">
        <v>5333</v>
      </c>
      <c r="AH27" s="83">
        <v>4995</v>
      </c>
      <c r="AI27" s="83">
        <v>4817</v>
      </c>
      <c r="AJ27" s="83">
        <v>4524</v>
      </c>
      <c r="AK27" s="83">
        <v>4337</v>
      </c>
      <c r="AL27" s="83">
        <v>4187</v>
      </c>
      <c r="AM27" s="83">
        <v>3984</v>
      </c>
      <c r="AN27" s="83">
        <v>3792</v>
      </c>
      <c r="AO27" s="83">
        <v>3623</v>
      </c>
      <c r="AP27" s="83">
        <v>3523</v>
      </c>
      <c r="AQ27" s="83">
        <v>3284</v>
      </c>
      <c r="AR27" s="83">
        <v>3205</v>
      </c>
      <c r="AS27" s="83">
        <v>3391</v>
      </c>
      <c r="AT27" s="83">
        <v>3040</v>
      </c>
      <c r="AU27" s="83">
        <v>2907</v>
      </c>
      <c r="AV27" s="83">
        <v>2874</v>
      </c>
      <c r="AW27" s="83">
        <v>2750</v>
      </c>
      <c r="AX27" s="83">
        <v>2618</v>
      </c>
      <c r="AY27" s="83">
        <v>2574</v>
      </c>
      <c r="AZ27" s="83">
        <v>2418</v>
      </c>
      <c r="BA27" s="83">
        <v>2405</v>
      </c>
      <c r="BB27" s="83">
        <v>2289</v>
      </c>
      <c r="BC27" s="83">
        <v>2220</v>
      </c>
      <c r="BD27" s="83">
        <v>2201</v>
      </c>
      <c r="BE27" s="83">
        <v>2101</v>
      </c>
      <c r="BF27" s="83">
        <v>2061</v>
      </c>
      <c r="BG27" s="83">
        <v>2030</v>
      </c>
      <c r="BH27" s="83">
        <v>1915</v>
      </c>
      <c r="BI27" s="83">
        <v>1926</v>
      </c>
      <c r="BJ27" s="83">
        <v>1847</v>
      </c>
      <c r="BK27" s="83">
        <v>1528</v>
      </c>
      <c r="BL27" s="83">
        <v>1804</v>
      </c>
      <c r="BM27" s="83">
        <v>1704</v>
      </c>
      <c r="BN27" s="83">
        <v>1648</v>
      </c>
      <c r="BO27" s="83">
        <v>1679</v>
      </c>
      <c r="BP27" s="83">
        <v>1596</v>
      </c>
      <c r="BQ27" s="83">
        <v>1574</v>
      </c>
      <c r="BR27" s="83">
        <v>1526</v>
      </c>
      <c r="BS27" s="83">
        <v>1504</v>
      </c>
      <c r="BT27" s="83">
        <v>1445</v>
      </c>
      <c r="BU27" s="83">
        <v>1422</v>
      </c>
      <c r="BV27" s="83">
        <v>1444</v>
      </c>
      <c r="BW27" s="83">
        <v>1429</v>
      </c>
      <c r="BX27" s="83">
        <v>1350</v>
      </c>
      <c r="BY27" s="83">
        <v>1343</v>
      </c>
      <c r="BZ27" s="83">
        <v>1270</v>
      </c>
      <c r="CA27" s="83">
        <v>1349</v>
      </c>
      <c r="CB27" s="83">
        <v>1286</v>
      </c>
      <c r="CC27" s="83">
        <v>1268</v>
      </c>
      <c r="CD27" s="83">
        <v>1214</v>
      </c>
      <c r="CE27" s="83">
        <v>1185</v>
      </c>
      <c r="CF27" s="83">
        <v>1181</v>
      </c>
      <c r="CG27" s="83">
        <v>10871</v>
      </c>
      <c r="CH27" s="83">
        <v>9430</v>
      </c>
      <c r="CI27" s="83">
        <v>8342</v>
      </c>
      <c r="CJ27" s="83">
        <v>7684</v>
      </c>
      <c r="CK27" s="83">
        <v>6924</v>
      </c>
      <c r="CL27" s="83">
        <v>6529</v>
      </c>
      <c r="CM27" s="83">
        <v>6002</v>
      </c>
      <c r="CN27" s="83">
        <v>5623</v>
      </c>
      <c r="CO27" s="83">
        <v>5330</v>
      </c>
      <c r="CP27" s="83">
        <v>5082</v>
      </c>
      <c r="CQ27" s="83">
        <v>4763</v>
      </c>
      <c r="CR27" s="83">
        <v>4649</v>
      </c>
      <c r="CS27" s="83">
        <v>4546</v>
      </c>
      <c r="CT27" s="83">
        <v>4351</v>
      </c>
      <c r="CU27" s="382"/>
    </row>
    <row r="28" spans="1:99" s="86" customFormat="1" x14ac:dyDescent="0.2">
      <c r="A28" s="348">
        <v>89</v>
      </c>
      <c r="B28" s="348">
        <v>31</v>
      </c>
      <c r="C28" s="349" t="s">
        <v>156</v>
      </c>
      <c r="D28" s="374">
        <v>1516</v>
      </c>
      <c r="E28" s="381">
        <f t="shared" si="0"/>
        <v>3731.65</v>
      </c>
      <c r="F28" s="395">
        <f t="shared" si="1"/>
        <v>20.369264694848031</v>
      </c>
      <c r="G28" s="83">
        <v>453</v>
      </c>
      <c r="H28" s="83">
        <v>433</v>
      </c>
      <c r="I28" s="83">
        <v>426</v>
      </c>
      <c r="J28" s="83">
        <v>427</v>
      </c>
      <c r="K28" s="83">
        <v>432</v>
      </c>
      <c r="L28" s="83">
        <v>452</v>
      </c>
      <c r="M28" s="83">
        <v>438</v>
      </c>
      <c r="N28" s="83">
        <v>428</v>
      </c>
      <c r="O28" s="83">
        <v>436</v>
      </c>
      <c r="P28" s="83">
        <v>403</v>
      </c>
      <c r="Q28" s="83">
        <v>424</v>
      </c>
      <c r="R28" s="83">
        <v>398</v>
      </c>
      <c r="S28" s="83">
        <v>398</v>
      </c>
      <c r="T28" s="83">
        <v>385</v>
      </c>
      <c r="U28" s="83">
        <v>381</v>
      </c>
      <c r="V28" s="83">
        <v>402</v>
      </c>
      <c r="W28" s="83">
        <v>390</v>
      </c>
      <c r="X28" s="83">
        <v>374</v>
      </c>
      <c r="Y28" s="83">
        <v>373</v>
      </c>
      <c r="Z28" s="83">
        <v>379</v>
      </c>
      <c r="AA28" s="83">
        <v>3705</v>
      </c>
      <c r="AB28" s="83">
        <v>3456</v>
      </c>
      <c r="AC28" s="83">
        <v>3343</v>
      </c>
      <c r="AD28" s="83">
        <v>3069</v>
      </c>
      <c r="AE28" s="83">
        <v>2915</v>
      </c>
      <c r="AF28" s="83">
        <v>2811</v>
      </c>
      <c r="AG28" s="83">
        <v>2679</v>
      </c>
      <c r="AH28" s="83">
        <v>2556</v>
      </c>
      <c r="AI28" s="83">
        <v>2485</v>
      </c>
      <c r="AJ28" s="83">
        <v>2364</v>
      </c>
      <c r="AK28" s="83">
        <v>2211</v>
      </c>
      <c r="AL28" s="83">
        <v>2146</v>
      </c>
      <c r="AM28" s="83">
        <v>2118</v>
      </c>
      <c r="AN28" s="83">
        <v>2048</v>
      </c>
      <c r="AO28" s="83">
        <v>1894</v>
      </c>
      <c r="AP28" s="83">
        <v>1894</v>
      </c>
      <c r="AQ28" s="83">
        <v>1763</v>
      </c>
      <c r="AR28" s="83">
        <v>1778</v>
      </c>
      <c r="AS28" s="83">
        <v>1676</v>
      </c>
      <c r="AT28" s="83">
        <v>1602</v>
      </c>
      <c r="AU28" s="83">
        <v>1603</v>
      </c>
      <c r="AV28" s="83">
        <v>1557</v>
      </c>
      <c r="AW28" s="83">
        <v>1506</v>
      </c>
      <c r="AX28" s="83">
        <v>1437</v>
      </c>
      <c r="AY28" s="83">
        <v>1429</v>
      </c>
      <c r="AZ28" s="83">
        <v>1377</v>
      </c>
      <c r="BA28" s="83">
        <v>1308</v>
      </c>
      <c r="BB28" s="83">
        <v>1329</v>
      </c>
      <c r="BC28" s="83">
        <v>1267</v>
      </c>
      <c r="BD28" s="83">
        <v>1263</v>
      </c>
      <c r="BE28" s="83">
        <v>1254</v>
      </c>
      <c r="BF28" s="83">
        <v>1221</v>
      </c>
      <c r="BG28" s="83">
        <v>1122</v>
      </c>
      <c r="BH28" s="83">
        <v>1182</v>
      </c>
      <c r="BI28" s="83">
        <v>1077</v>
      </c>
      <c r="BJ28" s="83">
        <v>1088</v>
      </c>
      <c r="BK28" s="83">
        <v>1070</v>
      </c>
      <c r="BL28" s="83">
        <v>1081</v>
      </c>
      <c r="BM28" s="83">
        <v>1032</v>
      </c>
      <c r="BN28" s="83">
        <v>998</v>
      </c>
      <c r="BO28" s="83">
        <v>983</v>
      </c>
      <c r="BP28" s="83">
        <v>980</v>
      </c>
      <c r="BQ28" s="83">
        <v>1000</v>
      </c>
      <c r="BR28" s="83">
        <v>971</v>
      </c>
      <c r="BS28" s="83">
        <v>932</v>
      </c>
      <c r="BT28" s="83">
        <v>882</v>
      </c>
      <c r="BU28" s="83">
        <v>909</v>
      </c>
      <c r="BV28" s="83">
        <v>912</v>
      </c>
      <c r="BW28" s="83">
        <v>845</v>
      </c>
      <c r="BX28" s="83">
        <v>861</v>
      </c>
      <c r="BY28" s="83">
        <v>850</v>
      </c>
      <c r="BZ28" s="83">
        <v>838</v>
      </c>
      <c r="CA28" s="83">
        <v>808</v>
      </c>
      <c r="CB28" s="83">
        <v>809</v>
      </c>
      <c r="CC28" s="83">
        <v>815</v>
      </c>
      <c r="CD28" s="83">
        <v>797</v>
      </c>
      <c r="CE28" s="83">
        <v>800</v>
      </c>
      <c r="CF28" s="83">
        <v>784</v>
      </c>
      <c r="CG28" s="83">
        <v>7317</v>
      </c>
      <c r="CH28" s="83">
        <v>6565</v>
      </c>
      <c r="CI28" s="83">
        <v>5987</v>
      </c>
      <c r="CJ28" s="83">
        <v>5583</v>
      </c>
      <c r="CK28" s="83">
        <v>5348</v>
      </c>
      <c r="CL28" s="83">
        <v>5017</v>
      </c>
      <c r="CM28" s="83">
        <v>4720</v>
      </c>
      <c r="CN28" s="83">
        <v>4595</v>
      </c>
      <c r="CO28" s="83">
        <v>4413</v>
      </c>
      <c r="CP28" s="83">
        <v>4219</v>
      </c>
      <c r="CQ28" s="83">
        <v>4104</v>
      </c>
      <c r="CR28" s="83">
        <v>4019</v>
      </c>
      <c r="CS28" s="83">
        <v>3870</v>
      </c>
      <c r="CT28" s="83">
        <v>3817</v>
      </c>
      <c r="CU28" s="382"/>
    </row>
    <row r="29" spans="1:99" s="86" customFormat="1" x14ac:dyDescent="0.2">
      <c r="A29" s="346">
        <v>19</v>
      </c>
      <c r="B29" s="346">
        <v>32</v>
      </c>
      <c r="C29" s="347" t="s">
        <v>155</v>
      </c>
      <c r="D29" s="346">
        <v>0</v>
      </c>
      <c r="E29" s="164">
        <f t="shared" si="0"/>
        <v>174.5</v>
      </c>
      <c r="F29" s="394">
        <f t="shared" si="1"/>
        <v>7.4268871811356378</v>
      </c>
      <c r="G29" s="85">
        <v>57</v>
      </c>
      <c r="H29" s="85">
        <v>50</v>
      </c>
      <c r="I29" s="85">
        <v>55</v>
      </c>
      <c r="J29" s="85">
        <v>46</v>
      </c>
      <c r="K29" s="85">
        <v>52</v>
      </c>
      <c r="L29" s="85">
        <v>55</v>
      </c>
      <c r="M29" s="85">
        <v>52</v>
      </c>
      <c r="N29" s="85">
        <v>61</v>
      </c>
      <c r="O29" s="85">
        <v>53</v>
      </c>
      <c r="P29" s="85">
        <v>43</v>
      </c>
      <c r="Q29" s="85">
        <v>57</v>
      </c>
      <c r="R29" s="85">
        <v>55</v>
      </c>
      <c r="S29" s="85">
        <v>53</v>
      </c>
      <c r="T29" s="85">
        <v>60</v>
      </c>
      <c r="U29" s="85">
        <v>57</v>
      </c>
      <c r="V29" s="85">
        <v>52</v>
      </c>
      <c r="W29" s="85">
        <v>50</v>
      </c>
      <c r="X29" s="85">
        <v>64</v>
      </c>
      <c r="Y29" s="85">
        <v>57</v>
      </c>
      <c r="Z29" s="85">
        <v>58</v>
      </c>
      <c r="AA29" s="85">
        <v>547</v>
      </c>
      <c r="AB29" s="85">
        <v>556</v>
      </c>
      <c r="AC29" s="85">
        <v>554</v>
      </c>
      <c r="AD29" s="85">
        <v>571</v>
      </c>
      <c r="AE29" s="85">
        <v>554</v>
      </c>
      <c r="AF29" s="85">
        <v>527</v>
      </c>
      <c r="AG29" s="85">
        <v>555</v>
      </c>
      <c r="AH29" s="85">
        <v>545</v>
      </c>
      <c r="AI29" s="85">
        <v>556</v>
      </c>
      <c r="AJ29" s="85">
        <v>551</v>
      </c>
      <c r="AK29" s="85">
        <v>519</v>
      </c>
      <c r="AL29" s="85">
        <v>546</v>
      </c>
      <c r="AM29" s="85">
        <v>540</v>
      </c>
      <c r="AN29" s="85">
        <v>509</v>
      </c>
      <c r="AO29" s="85">
        <v>515</v>
      </c>
      <c r="AP29" s="85">
        <v>525</v>
      </c>
      <c r="AQ29" s="85">
        <v>515</v>
      </c>
      <c r="AR29" s="85">
        <v>508</v>
      </c>
      <c r="AS29" s="85">
        <v>490</v>
      </c>
      <c r="AT29" s="85">
        <v>523</v>
      </c>
      <c r="AU29" s="85">
        <v>504</v>
      </c>
      <c r="AV29" s="85">
        <v>497</v>
      </c>
      <c r="AW29" s="85">
        <v>494</v>
      </c>
      <c r="AX29" s="85">
        <v>486</v>
      </c>
      <c r="AY29" s="85">
        <v>413</v>
      </c>
      <c r="AZ29" s="85">
        <v>505</v>
      </c>
      <c r="BA29" s="85">
        <v>491</v>
      </c>
      <c r="BB29" s="85">
        <v>474</v>
      </c>
      <c r="BC29" s="85">
        <v>466</v>
      </c>
      <c r="BD29" s="85">
        <v>485</v>
      </c>
      <c r="BE29" s="85">
        <v>445</v>
      </c>
      <c r="BF29" s="85">
        <v>440</v>
      </c>
      <c r="BG29" s="85">
        <v>446</v>
      </c>
      <c r="BH29" s="85">
        <v>450</v>
      </c>
      <c r="BI29" s="85">
        <v>475</v>
      </c>
      <c r="BJ29" s="85">
        <v>468</v>
      </c>
      <c r="BK29" s="85">
        <v>448</v>
      </c>
      <c r="BL29" s="85">
        <v>457</v>
      </c>
      <c r="BM29" s="85">
        <v>442</v>
      </c>
      <c r="BN29" s="85">
        <v>441</v>
      </c>
      <c r="BO29" s="85">
        <v>438</v>
      </c>
      <c r="BP29" s="85">
        <v>421</v>
      </c>
      <c r="BQ29" s="85">
        <v>442</v>
      </c>
      <c r="BR29" s="85">
        <v>440</v>
      </c>
      <c r="BS29" s="85">
        <v>425</v>
      </c>
      <c r="BT29" s="85">
        <v>429</v>
      </c>
      <c r="BU29" s="85">
        <v>450</v>
      </c>
      <c r="BV29" s="85">
        <v>433</v>
      </c>
      <c r="BW29" s="85">
        <v>448</v>
      </c>
      <c r="BX29" s="85">
        <v>438</v>
      </c>
      <c r="BY29" s="85">
        <v>452</v>
      </c>
      <c r="BZ29" s="85">
        <v>431</v>
      </c>
      <c r="CA29" s="85">
        <v>445</v>
      </c>
      <c r="CB29" s="85">
        <v>432</v>
      </c>
      <c r="CC29" s="85">
        <v>439</v>
      </c>
      <c r="CD29" s="85">
        <v>449</v>
      </c>
      <c r="CE29" s="85">
        <v>431</v>
      </c>
      <c r="CF29" s="85">
        <v>411</v>
      </c>
      <c r="CG29" s="85">
        <v>4172</v>
      </c>
      <c r="CH29" s="85">
        <v>4187</v>
      </c>
      <c r="CI29" s="85">
        <v>4047</v>
      </c>
      <c r="CJ29" s="85">
        <v>4010</v>
      </c>
      <c r="CK29" s="85">
        <v>3903</v>
      </c>
      <c r="CL29" s="85">
        <v>3967</v>
      </c>
      <c r="CM29" s="85">
        <v>3851</v>
      </c>
      <c r="CN29" s="85">
        <v>3809</v>
      </c>
      <c r="CO29" s="85">
        <v>3893</v>
      </c>
      <c r="CP29" s="85">
        <v>3773</v>
      </c>
      <c r="CQ29" s="85">
        <v>3715</v>
      </c>
      <c r="CR29" s="85">
        <v>3735</v>
      </c>
      <c r="CS29" s="85">
        <v>3719</v>
      </c>
      <c r="CT29" s="85">
        <v>3661</v>
      </c>
      <c r="CU29" s="382"/>
    </row>
    <row r="30" spans="1:99" s="86" customFormat="1" x14ac:dyDescent="0.2">
      <c r="A30" s="348">
        <v>23</v>
      </c>
      <c r="B30" s="348">
        <v>32</v>
      </c>
      <c r="C30" s="349" t="s">
        <v>156</v>
      </c>
      <c r="D30" s="348">
        <v>1515</v>
      </c>
      <c r="E30" s="164">
        <f t="shared" si="0"/>
        <v>89.899999999999977</v>
      </c>
      <c r="F30" s="394">
        <f t="shared" si="1"/>
        <v>6.1373900124256089</v>
      </c>
      <c r="G30" s="86">
        <v>38</v>
      </c>
      <c r="H30" s="86">
        <v>31</v>
      </c>
      <c r="I30" s="86">
        <v>31</v>
      </c>
      <c r="J30" s="86">
        <v>35</v>
      </c>
      <c r="K30" s="86">
        <v>35</v>
      </c>
      <c r="L30" s="86">
        <v>34</v>
      </c>
      <c r="M30" s="86">
        <v>42</v>
      </c>
      <c r="N30" s="86">
        <v>41</v>
      </c>
      <c r="O30" s="86">
        <v>39</v>
      </c>
      <c r="P30" s="86">
        <v>30</v>
      </c>
      <c r="Q30" s="86">
        <v>39</v>
      </c>
      <c r="R30" s="86">
        <v>38</v>
      </c>
      <c r="S30" s="86">
        <v>44</v>
      </c>
      <c r="T30" s="86">
        <v>39</v>
      </c>
      <c r="U30" s="86">
        <v>39</v>
      </c>
      <c r="V30" s="86">
        <v>43</v>
      </c>
      <c r="W30" s="86">
        <v>43</v>
      </c>
      <c r="X30" s="86">
        <v>32</v>
      </c>
      <c r="Y30" s="86">
        <v>38</v>
      </c>
      <c r="Z30" s="86">
        <v>31</v>
      </c>
      <c r="AA30" s="86">
        <v>385</v>
      </c>
      <c r="AB30" s="86">
        <v>387</v>
      </c>
      <c r="AC30" s="86">
        <v>397</v>
      </c>
      <c r="AD30" s="86">
        <v>392</v>
      </c>
      <c r="AE30" s="86">
        <v>415</v>
      </c>
      <c r="AF30" s="86">
        <v>407</v>
      </c>
      <c r="AG30" s="86">
        <v>385</v>
      </c>
      <c r="AH30" s="86">
        <v>369</v>
      </c>
      <c r="AI30" s="86">
        <v>363</v>
      </c>
      <c r="AJ30" s="86">
        <v>381</v>
      </c>
      <c r="AK30" s="86">
        <v>417</v>
      </c>
      <c r="AL30" s="86">
        <v>317</v>
      </c>
      <c r="AM30" s="86">
        <v>355</v>
      </c>
      <c r="AN30" s="86">
        <v>371</v>
      </c>
      <c r="AO30" s="86">
        <v>373</v>
      </c>
      <c r="AP30" s="86">
        <v>364</v>
      </c>
      <c r="AQ30" s="86">
        <v>385</v>
      </c>
      <c r="AR30" s="86">
        <v>372</v>
      </c>
      <c r="AS30" s="86">
        <v>382</v>
      </c>
      <c r="AT30" s="86">
        <v>349</v>
      </c>
      <c r="AU30" s="86">
        <v>338</v>
      </c>
      <c r="AV30" s="86">
        <v>351</v>
      </c>
      <c r="AW30" s="86">
        <v>373</v>
      </c>
      <c r="AX30" s="86">
        <v>368</v>
      </c>
      <c r="AY30" s="86">
        <v>331</v>
      </c>
      <c r="AZ30" s="86">
        <v>343</v>
      </c>
      <c r="BA30" s="86">
        <v>343</v>
      </c>
      <c r="BB30" s="86">
        <v>327</v>
      </c>
      <c r="BC30" s="86">
        <v>342</v>
      </c>
      <c r="BD30" s="86">
        <v>336</v>
      </c>
      <c r="BE30" s="86">
        <v>349</v>
      </c>
      <c r="BF30" s="86">
        <v>316</v>
      </c>
      <c r="BG30" s="86">
        <v>329</v>
      </c>
      <c r="BH30" s="86">
        <v>336</v>
      </c>
      <c r="BI30" s="86">
        <v>313</v>
      </c>
      <c r="BJ30" s="86">
        <v>334</v>
      </c>
      <c r="BK30" s="86">
        <v>330</v>
      </c>
      <c r="BL30" s="86">
        <v>329</v>
      </c>
      <c r="BM30" s="86">
        <v>315</v>
      </c>
      <c r="BN30" s="86">
        <v>327</v>
      </c>
      <c r="BO30" s="86">
        <v>311</v>
      </c>
      <c r="BP30" s="86">
        <v>314</v>
      </c>
      <c r="BQ30" s="86">
        <v>332</v>
      </c>
      <c r="BR30" s="86">
        <v>316</v>
      </c>
      <c r="BS30" s="86">
        <v>329</v>
      </c>
      <c r="BT30" s="86">
        <v>320</v>
      </c>
      <c r="BU30" s="86">
        <v>314</v>
      </c>
      <c r="BV30" s="86">
        <v>285</v>
      </c>
      <c r="BW30" s="86">
        <v>308</v>
      </c>
      <c r="BX30" s="86">
        <v>300</v>
      </c>
      <c r="BY30" s="86">
        <v>298</v>
      </c>
      <c r="BZ30" s="86">
        <v>323</v>
      </c>
      <c r="CA30" s="86">
        <v>294</v>
      </c>
      <c r="CB30" s="86">
        <v>326</v>
      </c>
      <c r="CC30" s="86">
        <v>314</v>
      </c>
      <c r="CD30" s="86">
        <v>343</v>
      </c>
      <c r="CE30" s="86">
        <v>319</v>
      </c>
      <c r="CF30" s="86">
        <v>304</v>
      </c>
      <c r="CG30" s="86">
        <v>3161</v>
      </c>
      <c r="CH30" s="86">
        <v>3035</v>
      </c>
      <c r="CI30" s="86">
        <v>3069</v>
      </c>
      <c r="CJ30" s="86">
        <v>2939</v>
      </c>
      <c r="CK30" s="86">
        <v>2954</v>
      </c>
      <c r="CL30" s="86">
        <v>2929</v>
      </c>
      <c r="CM30" s="86">
        <v>2942</v>
      </c>
      <c r="CN30" s="86">
        <v>2966</v>
      </c>
      <c r="CO30" s="86">
        <v>2822</v>
      </c>
      <c r="CP30" s="86">
        <v>2832</v>
      </c>
      <c r="CQ30" s="86">
        <v>2831</v>
      </c>
      <c r="CR30" s="86">
        <v>2782</v>
      </c>
      <c r="CS30" s="86">
        <v>2839</v>
      </c>
      <c r="CT30" s="86">
        <v>2783</v>
      </c>
      <c r="CU30" s="382"/>
    </row>
    <row r="31" spans="1:99" s="86" customFormat="1" x14ac:dyDescent="0.2">
      <c r="A31" s="348">
        <v>4</v>
      </c>
      <c r="B31" s="348">
        <v>32</v>
      </c>
      <c r="C31" s="349" t="s">
        <v>155</v>
      </c>
      <c r="D31" s="348">
        <v>1010</v>
      </c>
      <c r="E31" s="164">
        <f t="shared" si="0"/>
        <v>89.050000000000011</v>
      </c>
      <c r="F31" s="394">
        <f t="shared" si="1"/>
        <v>5.5713457630092149</v>
      </c>
      <c r="G31" s="86">
        <v>27</v>
      </c>
      <c r="H31" s="86">
        <v>33</v>
      </c>
      <c r="I31" s="86">
        <v>32</v>
      </c>
      <c r="J31" s="86">
        <v>30</v>
      </c>
      <c r="K31" s="86">
        <v>27</v>
      </c>
      <c r="L31" s="86">
        <v>25</v>
      </c>
      <c r="M31" s="86">
        <v>31</v>
      </c>
      <c r="N31" s="86">
        <v>28</v>
      </c>
      <c r="O31" s="86">
        <v>32</v>
      </c>
      <c r="P31" s="86">
        <v>33</v>
      </c>
      <c r="Q31" s="86">
        <v>31</v>
      </c>
      <c r="R31" s="86">
        <v>24</v>
      </c>
      <c r="S31" s="86">
        <v>27</v>
      </c>
      <c r="T31" s="86">
        <v>25</v>
      </c>
      <c r="U31" s="86">
        <v>37</v>
      </c>
      <c r="V31" s="86">
        <v>38</v>
      </c>
      <c r="W31" s="86">
        <v>33</v>
      </c>
      <c r="X31" s="86">
        <v>26</v>
      </c>
      <c r="Y31" s="86">
        <v>30</v>
      </c>
      <c r="Z31" s="86">
        <v>33</v>
      </c>
      <c r="AA31" s="86">
        <v>304</v>
      </c>
      <c r="AB31" s="86">
        <v>316</v>
      </c>
      <c r="AC31" s="86">
        <v>331</v>
      </c>
      <c r="AD31" s="86">
        <v>334</v>
      </c>
      <c r="AE31" s="86">
        <v>337</v>
      </c>
      <c r="AF31" s="86">
        <v>327</v>
      </c>
      <c r="AG31" s="86">
        <v>332</v>
      </c>
      <c r="AH31" s="86">
        <v>322</v>
      </c>
      <c r="AI31" s="86">
        <v>308</v>
      </c>
      <c r="AJ31" s="86">
        <v>294</v>
      </c>
      <c r="AK31" s="86">
        <v>307</v>
      </c>
      <c r="AL31" s="86">
        <v>298</v>
      </c>
      <c r="AM31" s="86">
        <v>290</v>
      </c>
      <c r="AN31" s="86">
        <v>306</v>
      </c>
      <c r="AO31" s="86">
        <v>277</v>
      </c>
      <c r="AP31" s="86">
        <v>271</v>
      </c>
      <c r="AQ31" s="86">
        <v>292</v>
      </c>
      <c r="AR31" s="86">
        <v>303</v>
      </c>
      <c r="AS31" s="86">
        <v>312</v>
      </c>
      <c r="AT31" s="86">
        <v>303</v>
      </c>
      <c r="AU31" s="86">
        <v>271</v>
      </c>
      <c r="AV31" s="86">
        <v>272</v>
      </c>
      <c r="AW31" s="86">
        <v>267</v>
      </c>
      <c r="AX31" s="86">
        <v>266</v>
      </c>
      <c r="AY31" s="86">
        <v>270</v>
      </c>
      <c r="AZ31" s="86">
        <v>293</v>
      </c>
      <c r="BA31" s="86">
        <v>283</v>
      </c>
      <c r="BB31" s="86">
        <v>259</v>
      </c>
      <c r="BC31" s="86">
        <v>274</v>
      </c>
      <c r="BD31" s="86">
        <v>261</v>
      </c>
      <c r="BE31" s="86">
        <v>270</v>
      </c>
      <c r="BF31" s="86">
        <v>277</v>
      </c>
      <c r="BG31" s="86">
        <v>248</v>
      </c>
      <c r="BH31" s="86">
        <v>275</v>
      </c>
      <c r="BI31" s="86">
        <v>277</v>
      </c>
      <c r="BJ31" s="86">
        <v>262</v>
      </c>
      <c r="BK31" s="86">
        <v>262</v>
      </c>
      <c r="BL31" s="86">
        <v>281</v>
      </c>
      <c r="BM31" s="86">
        <v>260</v>
      </c>
      <c r="BN31" s="86">
        <v>252</v>
      </c>
      <c r="BO31" s="86">
        <v>259</v>
      </c>
      <c r="BP31" s="86">
        <v>254</v>
      </c>
      <c r="BQ31" s="86">
        <v>254</v>
      </c>
      <c r="BR31" s="86">
        <v>270</v>
      </c>
      <c r="BS31" s="86">
        <v>250</v>
      </c>
      <c r="BT31" s="86">
        <v>252</v>
      </c>
      <c r="BU31" s="86">
        <v>257</v>
      </c>
      <c r="BV31" s="86">
        <v>247</v>
      </c>
      <c r="BW31" s="86">
        <v>259</v>
      </c>
      <c r="BX31" s="86">
        <v>273</v>
      </c>
      <c r="BY31" s="86">
        <v>238</v>
      </c>
      <c r="BZ31" s="86">
        <v>256</v>
      </c>
      <c r="CA31" s="86">
        <v>222</v>
      </c>
      <c r="CB31" s="86">
        <v>250</v>
      </c>
      <c r="CC31" s="86">
        <v>252</v>
      </c>
      <c r="CD31" s="86">
        <v>259</v>
      </c>
      <c r="CE31" s="86">
        <v>217</v>
      </c>
      <c r="CF31" s="86">
        <v>232</v>
      </c>
      <c r="CG31" s="86">
        <v>2457</v>
      </c>
      <c r="CH31" s="86">
        <v>2338</v>
      </c>
      <c r="CI31" s="86">
        <v>2428</v>
      </c>
      <c r="CJ31" s="86">
        <v>2297</v>
      </c>
      <c r="CK31" s="86">
        <v>2248</v>
      </c>
      <c r="CL31" s="86">
        <v>2233</v>
      </c>
      <c r="CM31" s="86">
        <v>2260</v>
      </c>
      <c r="CN31" s="86">
        <v>2222</v>
      </c>
      <c r="CO31" s="86">
        <v>2228</v>
      </c>
      <c r="CP31" s="86">
        <v>2224</v>
      </c>
      <c r="CQ31" s="86">
        <v>2176</v>
      </c>
      <c r="CR31" s="86">
        <v>2161</v>
      </c>
      <c r="CS31" s="86">
        <v>2095</v>
      </c>
      <c r="CT31" s="86">
        <v>2144</v>
      </c>
      <c r="CU31" s="382"/>
    </row>
    <row r="32" spans="1:99" s="86" customFormat="1" x14ac:dyDescent="0.2">
      <c r="A32" s="348">
        <v>8</v>
      </c>
      <c r="B32" s="348">
        <v>32</v>
      </c>
      <c r="C32" s="349" t="s">
        <v>156</v>
      </c>
      <c r="D32" s="348">
        <v>1515</v>
      </c>
      <c r="E32" s="164">
        <f t="shared" si="0"/>
        <v>78.599999999999994</v>
      </c>
      <c r="F32" s="394">
        <f t="shared" si="1"/>
        <v>5.2721788604136108</v>
      </c>
      <c r="G32" s="86">
        <v>23</v>
      </c>
      <c r="H32" s="86">
        <v>28</v>
      </c>
      <c r="I32" s="86">
        <v>27</v>
      </c>
      <c r="J32" s="86">
        <v>27</v>
      </c>
      <c r="K32" s="86">
        <v>27</v>
      </c>
      <c r="L32" s="86">
        <v>25</v>
      </c>
      <c r="M32" s="86">
        <v>28</v>
      </c>
      <c r="N32" s="86">
        <v>24</v>
      </c>
      <c r="O32" s="86">
        <v>26</v>
      </c>
      <c r="P32" s="86">
        <v>28</v>
      </c>
      <c r="Q32" s="86">
        <v>31</v>
      </c>
      <c r="R32" s="86">
        <v>33</v>
      </c>
      <c r="S32" s="86">
        <v>34</v>
      </c>
      <c r="T32" s="86">
        <v>27</v>
      </c>
      <c r="U32" s="86">
        <v>26</v>
      </c>
      <c r="V32" s="86">
        <v>27</v>
      </c>
      <c r="W32" s="86">
        <v>27</v>
      </c>
      <c r="X32" s="86">
        <v>28</v>
      </c>
      <c r="Y32" s="86">
        <v>24</v>
      </c>
      <c r="Z32" s="86">
        <v>27</v>
      </c>
      <c r="AA32" s="86">
        <v>283</v>
      </c>
      <c r="AB32" s="86">
        <v>295</v>
      </c>
      <c r="AC32" s="86">
        <v>280</v>
      </c>
      <c r="AD32" s="86">
        <v>286</v>
      </c>
      <c r="AE32" s="86">
        <v>283</v>
      </c>
      <c r="AF32" s="86">
        <v>286</v>
      </c>
      <c r="AG32" s="86">
        <v>272</v>
      </c>
      <c r="AH32" s="86">
        <v>259</v>
      </c>
      <c r="AI32" s="86">
        <v>270</v>
      </c>
      <c r="AJ32" s="86">
        <v>275</v>
      </c>
      <c r="AK32" s="86">
        <v>256</v>
      </c>
      <c r="AL32" s="86">
        <v>249</v>
      </c>
      <c r="AM32" s="86">
        <v>287</v>
      </c>
      <c r="AN32" s="86">
        <v>258</v>
      </c>
      <c r="AO32" s="86">
        <v>272</v>
      </c>
      <c r="AP32" s="86">
        <v>246</v>
      </c>
      <c r="AQ32" s="86">
        <v>249</v>
      </c>
      <c r="AR32" s="86">
        <v>249</v>
      </c>
      <c r="AS32" s="86">
        <v>251</v>
      </c>
      <c r="AT32" s="86">
        <v>254</v>
      </c>
      <c r="AU32" s="86">
        <v>237</v>
      </c>
      <c r="AV32" s="86">
        <v>229</v>
      </c>
      <c r="AW32" s="86">
        <v>227</v>
      </c>
      <c r="AX32" s="86">
        <v>242</v>
      </c>
      <c r="AY32" s="86">
        <v>233</v>
      </c>
      <c r="AZ32" s="86">
        <v>254</v>
      </c>
      <c r="BA32" s="86">
        <v>243</v>
      </c>
      <c r="BB32" s="86">
        <v>237</v>
      </c>
      <c r="BC32" s="86">
        <v>239</v>
      </c>
      <c r="BD32" s="86">
        <v>228</v>
      </c>
      <c r="BE32" s="86">
        <v>235</v>
      </c>
      <c r="BF32" s="86">
        <v>215</v>
      </c>
      <c r="BG32" s="86">
        <v>217</v>
      </c>
      <c r="BH32" s="86">
        <v>222</v>
      </c>
      <c r="BI32" s="86">
        <v>221</v>
      </c>
      <c r="BJ32" s="86">
        <v>219</v>
      </c>
      <c r="BK32" s="86">
        <v>219</v>
      </c>
      <c r="BL32" s="86">
        <v>219</v>
      </c>
      <c r="BM32" s="86">
        <v>212</v>
      </c>
      <c r="BN32" s="86">
        <v>215</v>
      </c>
      <c r="BO32" s="86">
        <v>233</v>
      </c>
      <c r="BP32" s="86">
        <v>244</v>
      </c>
      <c r="BQ32" s="86">
        <v>219</v>
      </c>
      <c r="BR32" s="86">
        <v>223</v>
      </c>
      <c r="BS32" s="86">
        <v>206</v>
      </c>
      <c r="BT32" s="86">
        <v>211</v>
      </c>
      <c r="BU32" s="86">
        <v>226</v>
      </c>
      <c r="BV32" s="86">
        <v>227</v>
      </c>
      <c r="BW32" s="86">
        <v>230</v>
      </c>
      <c r="BX32" s="86">
        <v>211</v>
      </c>
      <c r="BY32" s="86">
        <v>211</v>
      </c>
      <c r="BZ32" s="86">
        <v>220</v>
      </c>
      <c r="CA32" s="86">
        <v>221</v>
      </c>
      <c r="CB32" s="86">
        <v>212</v>
      </c>
      <c r="CC32" s="86">
        <v>235</v>
      </c>
      <c r="CD32" s="86">
        <v>205</v>
      </c>
      <c r="CE32" s="86">
        <v>218</v>
      </c>
      <c r="CF32" s="86">
        <v>219</v>
      </c>
      <c r="CG32" s="86">
        <v>2106</v>
      </c>
      <c r="CH32" s="86">
        <v>2097</v>
      </c>
      <c r="CI32" s="86">
        <v>2098</v>
      </c>
      <c r="CJ32" s="86">
        <v>2091</v>
      </c>
      <c r="CK32" s="86">
        <v>2023</v>
      </c>
      <c r="CL32" s="86">
        <v>1979</v>
      </c>
      <c r="CM32" s="86">
        <v>2008</v>
      </c>
      <c r="CN32" s="86">
        <v>1943</v>
      </c>
      <c r="CO32" s="86">
        <v>1945</v>
      </c>
      <c r="CP32" s="86">
        <v>1905</v>
      </c>
      <c r="CQ32" s="86">
        <v>1905</v>
      </c>
      <c r="CR32" s="86">
        <v>1932</v>
      </c>
      <c r="CS32" s="86">
        <v>1945</v>
      </c>
      <c r="CT32" s="86">
        <v>1953</v>
      </c>
      <c r="CU32" s="382"/>
    </row>
    <row r="33" spans="1:99" s="86" customFormat="1" x14ac:dyDescent="0.2">
      <c r="A33" s="348">
        <v>13</v>
      </c>
      <c r="B33" s="348">
        <v>32</v>
      </c>
      <c r="C33" s="349" t="s">
        <v>155</v>
      </c>
      <c r="D33" s="348">
        <v>2020</v>
      </c>
      <c r="E33" s="164">
        <f t="shared" si="0"/>
        <v>86.550000000000011</v>
      </c>
      <c r="F33" s="394">
        <f t="shared" si="1"/>
        <v>5.1149269488431059</v>
      </c>
      <c r="G33" s="86">
        <v>27</v>
      </c>
      <c r="H33" s="86">
        <v>23</v>
      </c>
      <c r="I33" s="86">
        <v>25</v>
      </c>
      <c r="J33" s="86">
        <v>25</v>
      </c>
      <c r="K33" s="86">
        <v>23</v>
      </c>
      <c r="L33" s="86">
        <v>20</v>
      </c>
      <c r="M33" s="86">
        <v>29</v>
      </c>
      <c r="N33" s="86">
        <v>25</v>
      </c>
      <c r="O33" s="86">
        <v>17</v>
      </c>
      <c r="P33" s="86">
        <v>31</v>
      </c>
      <c r="Q33" s="86">
        <v>16</v>
      </c>
      <c r="R33" s="86">
        <v>24</v>
      </c>
      <c r="S33" s="86">
        <v>30</v>
      </c>
      <c r="T33" s="86">
        <v>34</v>
      </c>
      <c r="U33" s="86">
        <v>29</v>
      </c>
      <c r="V33" s="86">
        <v>26</v>
      </c>
      <c r="W33" s="86">
        <v>23</v>
      </c>
      <c r="X33" s="86">
        <v>28</v>
      </c>
      <c r="Y33" s="86">
        <v>21</v>
      </c>
      <c r="Z33" s="86">
        <v>31</v>
      </c>
      <c r="AA33" s="86">
        <v>268</v>
      </c>
      <c r="AB33" s="86">
        <v>281</v>
      </c>
      <c r="AC33" s="86">
        <v>285</v>
      </c>
      <c r="AD33" s="86">
        <v>257</v>
      </c>
      <c r="AE33" s="86">
        <v>257</v>
      </c>
      <c r="AF33" s="86">
        <v>245</v>
      </c>
      <c r="AG33" s="86">
        <v>257</v>
      </c>
      <c r="AH33" s="86">
        <v>247</v>
      </c>
      <c r="AI33" s="86">
        <v>254</v>
      </c>
      <c r="AJ33" s="86">
        <v>244</v>
      </c>
      <c r="AK33" s="86">
        <v>256</v>
      </c>
      <c r="AL33" s="86">
        <v>234</v>
      </c>
      <c r="AM33" s="86">
        <v>242</v>
      </c>
      <c r="AN33" s="86">
        <v>256</v>
      </c>
      <c r="AO33" s="86">
        <v>226</v>
      </c>
      <c r="AP33" s="86">
        <v>231</v>
      </c>
      <c r="AQ33" s="86">
        <v>235</v>
      </c>
      <c r="AR33" s="86">
        <v>238</v>
      </c>
      <c r="AS33" s="86">
        <v>231</v>
      </c>
      <c r="AT33" s="86">
        <v>216</v>
      </c>
      <c r="AU33" s="86">
        <v>219</v>
      </c>
      <c r="AV33" s="86">
        <v>210</v>
      </c>
      <c r="AW33" s="86">
        <v>230</v>
      </c>
      <c r="AX33" s="86">
        <v>224</v>
      </c>
      <c r="AY33" s="86">
        <v>196</v>
      </c>
      <c r="AZ33" s="86">
        <v>226</v>
      </c>
      <c r="BA33" s="86">
        <v>210</v>
      </c>
      <c r="BB33" s="86">
        <v>219</v>
      </c>
      <c r="BC33" s="86">
        <v>233</v>
      </c>
      <c r="BD33" s="86">
        <v>218</v>
      </c>
      <c r="BE33" s="86">
        <v>201</v>
      </c>
      <c r="BF33" s="86">
        <v>222</v>
      </c>
      <c r="BG33" s="86">
        <v>200</v>
      </c>
      <c r="BH33" s="86">
        <v>215</v>
      </c>
      <c r="BI33" s="86">
        <v>201</v>
      </c>
      <c r="BJ33" s="86">
        <v>213</v>
      </c>
      <c r="BK33" s="86">
        <v>218</v>
      </c>
      <c r="BL33" s="86">
        <v>213</v>
      </c>
      <c r="BM33" s="86">
        <v>227</v>
      </c>
      <c r="BN33" s="86">
        <v>220</v>
      </c>
      <c r="BO33" s="86">
        <v>189</v>
      </c>
      <c r="BP33" s="86">
        <v>209</v>
      </c>
      <c r="BQ33" s="86">
        <v>217</v>
      </c>
      <c r="BR33" s="86">
        <v>205</v>
      </c>
      <c r="BS33" s="86">
        <v>197</v>
      </c>
      <c r="BT33" s="86">
        <v>191</v>
      </c>
      <c r="BU33" s="86">
        <v>177</v>
      </c>
      <c r="BV33" s="86">
        <v>199</v>
      </c>
      <c r="BW33" s="86">
        <v>209</v>
      </c>
      <c r="BX33" s="86">
        <v>200</v>
      </c>
      <c r="BY33" s="86">
        <v>218</v>
      </c>
      <c r="BZ33" s="86">
        <v>182</v>
      </c>
      <c r="CA33" s="86">
        <v>192</v>
      </c>
      <c r="CB33" s="86">
        <v>207</v>
      </c>
      <c r="CC33" s="86">
        <v>185</v>
      </c>
      <c r="CD33" s="86">
        <v>179</v>
      </c>
      <c r="CE33" s="86">
        <v>193</v>
      </c>
      <c r="CF33" s="86">
        <v>194</v>
      </c>
      <c r="CG33" s="86">
        <v>1827</v>
      </c>
      <c r="CH33" s="86">
        <v>1796</v>
      </c>
      <c r="CI33" s="86">
        <v>1867</v>
      </c>
      <c r="CJ33" s="86">
        <v>1838</v>
      </c>
      <c r="CK33" s="86">
        <v>1808</v>
      </c>
      <c r="CL33" s="86">
        <v>1745</v>
      </c>
      <c r="CM33" s="86">
        <v>1816</v>
      </c>
      <c r="CN33" s="86">
        <v>1708</v>
      </c>
      <c r="CO33" s="86">
        <v>1737</v>
      </c>
      <c r="CP33" s="86">
        <v>1742</v>
      </c>
      <c r="CQ33" s="86">
        <v>1745</v>
      </c>
      <c r="CR33" s="86">
        <v>1742</v>
      </c>
      <c r="CS33" s="86">
        <v>1677</v>
      </c>
      <c r="CT33" s="86">
        <v>1662</v>
      </c>
      <c r="CU33" s="382"/>
    </row>
    <row r="34" spans="1:99" s="86" customFormat="1" x14ac:dyDescent="0.2">
      <c r="A34" s="348">
        <v>17</v>
      </c>
      <c r="B34" s="348">
        <v>32</v>
      </c>
      <c r="C34" s="349" t="s">
        <v>156</v>
      </c>
      <c r="D34" s="348">
        <v>1515</v>
      </c>
      <c r="E34" s="164">
        <f t="shared" si="0"/>
        <v>56.849999999999994</v>
      </c>
      <c r="F34" s="394">
        <f t="shared" si="1"/>
        <v>4.7214926599325295</v>
      </c>
      <c r="G34" s="86">
        <v>17</v>
      </c>
      <c r="H34" s="86">
        <v>17</v>
      </c>
      <c r="I34" s="86">
        <v>24</v>
      </c>
      <c r="J34" s="86">
        <v>19</v>
      </c>
      <c r="K34" s="86">
        <v>24</v>
      </c>
      <c r="L34" s="86">
        <v>27</v>
      </c>
      <c r="M34" s="86">
        <v>21</v>
      </c>
      <c r="N34" s="86">
        <v>20</v>
      </c>
      <c r="O34" s="86">
        <v>25</v>
      </c>
      <c r="P34" s="86">
        <v>25</v>
      </c>
      <c r="Q34" s="86">
        <v>22</v>
      </c>
      <c r="R34" s="86">
        <v>19</v>
      </c>
      <c r="S34" s="86">
        <v>20</v>
      </c>
      <c r="T34" s="86">
        <v>24</v>
      </c>
      <c r="U34" s="86">
        <v>25</v>
      </c>
      <c r="V34" s="86">
        <v>24</v>
      </c>
      <c r="W34" s="86">
        <v>18</v>
      </c>
      <c r="X34" s="86">
        <v>21</v>
      </c>
      <c r="Y34" s="86">
        <v>21</v>
      </c>
      <c r="Z34" s="86">
        <v>24</v>
      </c>
      <c r="AA34" s="86">
        <v>228</v>
      </c>
      <c r="AB34" s="86">
        <v>250</v>
      </c>
      <c r="AC34" s="86">
        <v>233</v>
      </c>
      <c r="AD34" s="86">
        <v>251</v>
      </c>
      <c r="AE34" s="86">
        <v>250</v>
      </c>
      <c r="AF34" s="86">
        <v>239</v>
      </c>
      <c r="AG34" s="86">
        <v>220</v>
      </c>
      <c r="AH34" s="86">
        <v>207</v>
      </c>
      <c r="AI34" s="86">
        <v>215</v>
      </c>
      <c r="AJ34" s="86">
        <v>211</v>
      </c>
      <c r="AK34" s="86">
        <v>240</v>
      </c>
      <c r="AL34" s="86">
        <v>214</v>
      </c>
      <c r="AM34" s="86">
        <v>218</v>
      </c>
      <c r="AN34" s="86">
        <v>227</v>
      </c>
      <c r="AO34" s="86">
        <v>244</v>
      </c>
      <c r="AP34" s="86">
        <v>212</v>
      </c>
      <c r="AQ34" s="86">
        <v>204</v>
      </c>
      <c r="AR34" s="86">
        <v>214</v>
      </c>
      <c r="AS34" s="86">
        <v>211</v>
      </c>
      <c r="AT34" s="86">
        <v>214</v>
      </c>
      <c r="AU34" s="86">
        <v>193</v>
      </c>
      <c r="AV34" s="86">
        <v>218</v>
      </c>
      <c r="AW34" s="86">
        <v>208</v>
      </c>
      <c r="AX34" s="86">
        <v>210</v>
      </c>
      <c r="AY34" s="86">
        <v>205</v>
      </c>
      <c r="AZ34" s="86">
        <v>217</v>
      </c>
      <c r="BA34" s="86">
        <v>209</v>
      </c>
      <c r="BB34" s="86">
        <v>198</v>
      </c>
      <c r="BC34" s="86">
        <v>166</v>
      </c>
      <c r="BD34" s="86">
        <v>191</v>
      </c>
      <c r="BE34" s="86">
        <v>193</v>
      </c>
      <c r="BF34" s="86">
        <v>187</v>
      </c>
      <c r="BG34" s="86">
        <v>199</v>
      </c>
      <c r="BH34" s="86">
        <v>194</v>
      </c>
      <c r="BI34" s="86">
        <v>196</v>
      </c>
      <c r="BJ34" s="86">
        <v>182</v>
      </c>
      <c r="BK34" s="86">
        <v>210</v>
      </c>
      <c r="BL34" s="86">
        <v>181</v>
      </c>
      <c r="BM34" s="86">
        <v>167</v>
      </c>
      <c r="BN34" s="86">
        <v>199</v>
      </c>
      <c r="BO34" s="86">
        <v>183</v>
      </c>
      <c r="BP34" s="86">
        <v>191</v>
      </c>
      <c r="BQ34" s="86">
        <v>197</v>
      </c>
      <c r="BR34" s="86">
        <v>177</v>
      </c>
      <c r="BS34" s="86">
        <v>190</v>
      </c>
      <c r="BT34" s="86">
        <v>187</v>
      </c>
      <c r="BU34" s="86">
        <v>194</v>
      </c>
      <c r="BV34" s="86">
        <v>181</v>
      </c>
      <c r="BW34" s="86">
        <v>169</v>
      </c>
      <c r="BX34" s="86">
        <v>173</v>
      </c>
      <c r="BY34" s="86">
        <v>181</v>
      </c>
      <c r="BZ34" s="86">
        <v>188</v>
      </c>
      <c r="CA34" s="86">
        <v>196</v>
      </c>
      <c r="CB34" s="86">
        <v>173</v>
      </c>
      <c r="CC34" s="86">
        <v>187</v>
      </c>
      <c r="CD34" s="86">
        <v>169</v>
      </c>
      <c r="CE34" s="86">
        <v>177</v>
      </c>
      <c r="CF34" s="86">
        <v>196</v>
      </c>
      <c r="CG34" s="86">
        <v>1784</v>
      </c>
      <c r="CH34" s="86">
        <v>1715</v>
      </c>
      <c r="CI34" s="86">
        <v>1696</v>
      </c>
      <c r="CJ34" s="86">
        <v>1660</v>
      </c>
      <c r="CK34" s="86">
        <v>1658</v>
      </c>
      <c r="CL34" s="86">
        <v>1694</v>
      </c>
      <c r="CM34" s="86">
        <v>1699</v>
      </c>
      <c r="CN34" s="86">
        <v>1611</v>
      </c>
      <c r="CO34" s="86">
        <v>1682</v>
      </c>
      <c r="CP34" s="86">
        <v>1618</v>
      </c>
      <c r="CQ34" s="86">
        <v>1631</v>
      </c>
      <c r="CR34" s="86">
        <v>1598</v>
      </c>
      <c r="CS34" s="86">
        <v>1590</v>
      </c>
      <c r="CT34" s="86">
        <v>1643</v>
      </c>
      <c r="CU34" s="382"/>
    </row>
    <row r="35" spans="1:99" s="86" customFormat="1" x14ac:dyDescent="0.2">
      <c r="A35" s="348">
        <v>22</v>
      </c>
      <c r="B35" s="348">
        <v>32</v>
      </c>
      <c r="C35" s="349" t="s">
        <v>155</v>
      </c>
      <c r="D35" s="348">
        <v>4167</v>
      </c>
      <c r="E35" s="164">
        <f t="shared" si="0"/>
        <v>106.15</v>
      </c>
      <c r="F35" s="394">
        <f t="shared" si="1"/>
        <v>5.1950341085559417</v>
      </c>
      <c r="G35" s="86">
        <v>30</v>
      </c>
      <c r="H35" s="86">
        <v>26</v>
      </c>
      <c r="I35" s="86">
        <v>25</v>
      </c>
      <c r="J35" s="86">
        <v>26</v>
      </c>
      <c r="K35" s="86">
        <v>26</v>
      </c>
      <c r="L35" s="86">
        <v>31</v>
      </c>
      <c r="M35" s="86">
        <v>28</v>
      </c>
      <c r="N35" s="86">
        <v>28</v>
      </c>
      <c r="O35" s="86">
        <v>24</v>
      </c>
      <c r="P35" s="86">
        <v>28</v>
      </c>
      <c r="Q35" s="86">
        <v>24</v>
      </c>
      <c r="R35" s="86">
        <v>30</v>
      </c>
      <c r="S35" s="86">
        <v>27</v>
      </c>
      <c r="T35" s="86">
        <v>17</v>
      </c>
      <c r="U35" s="86">
        <v>21</v>
      </c>
      <c r="V35" s="86">
        <v>25</v>
      </c>
      <c r="W35" s="86">
        <v>30</v>
      </c>
      <c r="X35" s="86">
        <v>27</v>
      </c>
      <c r="Y35" s="86">
        <v>25</v>
      </c>
      <c r="Z35" s="86">
        <v>25</v>
      </c>
      <c r="AA35" s="86">
        <v>251</v>
      </c>
      <c r="AB35" s="86">
        <v>242</v>
      </c>
      <c r="AC35" s="86">
        <v>255</v>
      </c>
      <c r="AD35" s="86">
        <v>251</v>
      </c>
      <c r="AE35" s="86">
        <v>234</v>
      </c>
      <c r="AF35" s="86">
        <v>251</v>
      </c>
      <c r="AG35" s="86">
        <v>273</v>
      </c>
      <c r="AH35" s="86">
        <v>255</v>
      </c>
      <c r="AI35" s="86">
        <v>243</v>
      </c>
      <c r="AJ35" s="86">
        <v>254</v>
      </c>
      <c r="AK35" s="86">
        <v>251</v>
      </c>
      <c r="AL35" s="86">
        <v>221</v>
      </c>
      <c r="AM35" s="86">
        <v>225</v>
      </c>
      <c r="AN35" s="86">
        <v>238</v>
      </c>
      <c r="AO35" s="86">
        <v>237</v>
      </c>
      <c r="AP35" s="86">
        <v>229</v>
      </c>
      <c r="AQ35" s="86">
        <v>227</v>
      </c>
      <c r="AR35" s="86">
        <v>239</v>
      </c>
      <c r="AS35" s="86">
        <v>227</v>
      </c>
      <c r="AT35" s="86">
        <v>219</v>
      </c>
      <c r="AU35" s="86">
        <v>215</v>
      </c>
      <c r="AV35" s="86">
        <v>212</v>
      </c>
      <c r="AW35" s="86">
        <v>218</v>
      </c>
      <c r="AX35" s="86">
        <v>201</v>
      </c>
      <c r="AY35" s="86">
        <v>214</v>
      </c>
      <c r="AZ35" s="86">
        <v>206</v>
      </c>
      <c r="BA35" s="86">
        <v>186</v>
      </c>
      <c r="BB35" s="86">
        <v>197</v>
      </c>
      <c r="BC35" s="86">
        <v>204</v>
      </c>
      <c r="BD35" s="86">
        <v>199</v>
      </c>
      <c r="BE35" s="86">
        <v>211</v>
      </c>
      <c r="BF35" s="86">
        <v>204</v>
      </c>
      <c r="BG35" s="86">
        <v>205</v>
      </c>
      <c r="BH35" s="86">
        <v>196</v>
      </c>
      <c r="BI35" s="86">
        <v>213</v>
      </c>
      <c r="BJ35" s="86">
        <v>195</v>
      </c>
      <c r="BK35" s="86">
        <v>191</v>
      </c>
      <c r="BL35" s="86">
        <v>190</v>
      </c>
      <c r="BM35" s="86">
        <v>225</v>
      </c>
      <c r="BN35" s="86">
        <v>206</v>
      </c>
      <c r="BO35" s="86">
        <v>183</v>
      </c>
      <c r="BP35" s="86">
        <v>207</v>
      </c>
      <c r="BQ35" s="86">
        <v>185</v>
      </c>
      <c r="BR35" s="86">
        <v>176</v>
      </c>
      <c r="BS35" s="86">
        <v>204</v>
      </c>
      <c r="BT35" s="86">
        <v>176</v>
      </c>
      <c r="BU35" s="86">
        <v>194</v>
      </c>
      <c r="BV35" s="86">
        <v>193</v>
      </c>
      <c r="BW35" s="86">
        <v>184</v>
      </c>
      <c r="BX35" s="86">
        <v>179</v>
      </c>
      <c r="BY35" s="86">
        <v>188</v>
      </c>
      <c r="BZ35" s="86">
        <v>175</v>
      </c>
      <c r="CA35" s="86">
        <v>180</v>
      </c>
      <c r="CB35" s="86">
        <v>174</v>
      </c>
      <c r="CC35" s="86">
        <v>173</v>
      </c>
      <c r="CD35" s="86">
        <v>168</v>
      </c>
      <c r="CE35" s="86">
        <v>174</v>
      </c>
      <c r="CF35" s="86">
        <v>184</v>
      </c>
      <c r="CG35" s="86">
        <v>1773</v>
      </c>
      <c r="CH35" s="86">
        <v>1765</v>
      </c>
      <c r="CI35" s="86">
        <v>1744</v>
      </c>
      <c r="CJ35" s="86">
        <v>1654</v>
      </c>
      <c r="CK35" s="86">
        <v>1708</v>
      </c>
      <c r="CL35" s="86">
        <v>1661</v>
      </c>
      <c r="CM35" s="86">
        <v>1609</v>
      </c>
      <c r="CN35" s="86">
        <v>1655</v>
      </c>
      <c r="CO35" s="86">
        <v>1637</v>
      </c>
      <c r="CP35" s="86">
        <v>1557</v>
      </c>
      <c r="CQ35" s="86">
        <v>1623</v>
      </c>
      <c r="CR35" s="86">
        <v>1589</v>
      </c>
      <c r="CS35" s="86">
        <v>1594</v>
      </c>
      <c r="CT35" s="86">
        <v>1513</v>
      </c>
      <c r="CU35" s="382"/>
    </row>
    <row r="36" spans="1:99" s="86" customFormat="1" x14ac:dyDescent="0.2">
      <c r="A36" s="348">
        <v>26</v>
      </c>
      <c r="B36" s="348">
        <v>32</v>
      </c>
      <c r="C36" s="349" t="s">
        <v>156</v>
      </c>
      <c r="D36" s="348">
        <v>1515</v>
      </c>
      <c r="E36" s="164">
        <f t="shared" si="0"/>
        <v>63.300000000000011</v>
      </c>
      <c r="F36" s="394">
        <f t="shared" si="1"/>
        <v>4.5929884662236438</v>
      </c>
      <c r="G36" s="86">
        <v>26</v>
      </c>
      <c r="H36" s="86">
        <v>19</v>
      </c>
      <c r="I36" s="86">
        <v>22</v>
      </c>
      <c r="J36" s="86">
        <v>20</v>
      </c>
      <c r="K36" s="86">
        <v>23</v>
      </c>
      <c r="L36" s="86">
        <v>24</v>
      </c>
      <c r="M36" s="86">
        <v>19</v>
      </c>
      <c r="N36" s="86">
        <v>21</v>
      </c>
      <c r="O36" s="86">
        <v>22</v>
      </c>
      <c r="P36" s="86">
        <v>17</v>
      </c>
      <c r="Q36" s="86">
        <v>19</v>
      </c>
      <c r="R36" s="86">
        <v>18</v>
      </c>
      <c r="S36" s="86">
        <v>22</v>
      </c>
      <c r="T36" s="86">
        <v>18</v>
      </c>
      <c r="U36" s="86">
        <v>14</v>
      </c>
      <c r="V36" s="86">
        <v>18</v>
      </c>
      <c r="W36" s="86">
        <v>24</v>
      </c>
      <c r="X36" s="86">
        <v>21</v>
      </c>
      <c r="Y36" s="86">
        <v>22</v>
      </c>
      <c r="Z36" s="86">
        <v>26</v>
      </c>
      <c r="AA36" s="86">
        <v>216</v>
      </c>
      <c r="AB36" s="86">
        <v>225</v>
      </c>
      <c r="AC36" s="86">
        <v>215</v>
      </c>
      <c r="AD36" s="86">
        <v>197</v>
      </c>
      <c r="AE36" s="86">
        <v>234</v>
      </c>
      <c r="AF36" s="86">
        <v>200</v>
      </c>
      <c r="AG36" s="86">
        <v>208</v>
      </c>
      <c r="AH36" s="86">
        <v>220</v>
      </c>
      <c r="AI36" s="86">
        <v>202</v>
      </c>
      <c r="AJ36" s="86">
        <v>206</v>
      </c>
      <c r="AK36" s="86">
        <v>191</v>
      </c>
      <c r="AL36" s="86">
        <v>186</v>
      </c>
      <c r="AM36" s="86">
        <v>214</v>
      </c>
      <c r="AN36" s="86">
        <v>190</v>
      </c>
      <c r="AO36" s="86">
        <v>199</v>
      </c>
      <c r="AP36" s="86">
        <v>186</v>
      </c>
      <c r="AQ36" s="86">
        <v>161</v>
      </c>
      <c r="AR36" s="86">
        <v>176</v>
      </c>
      <c r="AS36" s="86">
        <v>197</v>
      </c>
      <c r="AT36" s="86">
        <v>181</v>
      </c>
      <c r="AU36" s="86">
        <v>176</v>
      </c>
      <c r="AV36" s="86">
        <v>196</v>
      </c>
      <c r="AW36" s="86">
        <v>184</v>
      </c>
      <c r="AX36" s="86">
        <v>196</v>
      </c>
      <c r="AY36" s="86">
        <v>177</v>
      </c>
      <c r="AZ36" s="86">
        <v>172</v>
      </c>
      <c r="BA36" s="86">
        <v>179</v>
      </c>
      <c r="BB36" s="86">
        <v>182</v>
      </c>
      <c r="BC36" s="86">
        <v>195</v>
      </c>
      <c r="BD36" s="86">
        <v>177</v>
      </c>
      <c r="BE36" s="86">
        <v>166</v>
      </c>
      <c r="BF36" s="86">
        <v>182</v>
      </c>
      <c r="BG36" s="86">
        <v>162</v>
      </c>
      <c r="BH36" s="86">
        <v>192</v>
      </c>
      <c r="BI36" s="86">
        <v>190</v>
      </c>
      <c r="BJ36" s="86">
        <v>184</v>
      </c>
      <c r="BK36" s="86">
        <v>165</v>
      </c>
      <c r="BL36" s="86">
        <v>162</v>
      </c>
      <c r="BM36" s="86">
        <v>165</v>
      </c>
      <c r="BN36" s="86">
        <v>176</v>
      </c>
      <c r="BO36" s="86">
        <v>165</v>
      </c>
      <c r="BP36" s="86">
        <v>174</v>
      </c>
      <c r="BQ36" s="86">
        <v>169</v>
      </c>
      <c r="BR36" s="86">
        <v>178</v>
      </c>
      <c r="BS36" s="86">
        <v>169</v>
      </c>
      <c r="BT36" s="86">
        <v>171</v>
      </c>
      <c r="BU36" s="86">
        <v>179</v>
      </c>
      <c r="BV36" s="86">
        <v>159</v>
      </c>
      <c r="BW36" s="86">
        <v>170</v>
      </c>
      <c r="BX36" s="86">
        <v>165</v>
      </c>
      <c r="BY36" s="86">
        <v>171</v>
      </c>
      <c r="BZ36" s="86">
        <v>160</v>
      </c>
      <c r="CA36" s="86">
        <v>168</v>
      </c>
      <c r="CB36" s="86">
        <v>170</v>
      </c>
      <c r="CC36" s="86">
        <v>160</v>
      </c>
      <c r="CD36" s="86">
        <v>148</v>
      </c>
      <c r="CE36" s="86">
        <v>148</v>
      </c>
      <c r="CF36" s="86">
        <v>157</v>
      </c>
      <c r="CG36" s="86">
        <v>1577</v>
      </c>
      <c r="CH36" s="86">
        <v>1568</v>
      </c>
      <c r="CI36" s="86">
        <v>1524</v>
      </c>
      <c r="CJ36" s="86">
        <v>1469</v>
      </c>
      <c r="CK36" s="86">
        <v>1484</v>
      </c>
      <c r="CL36" s="86">
        <v>1522</v>
      </c>
      <c r="CM36" s="86">
        <v>1452</v>
      </c>
      <c r="CN36" s="86">
        <v>1416</v>
      </c>
      <c r="CO36" s="86">
        <v>1448</v>
      </c>
      <c r="CP36" s="86">
        <v>1428</v>
      </c>
      <c r="CQ36" s="86">
        <v>1434</v>
      </c>
      <c r="CR36" s="86">
        <v>1409</v>
      </c>
      <c r="CS36" s="86">
        <v>1427</v>
      </c>
      <c r="CT36" s="86">
        <v>1457</v>
      </c>
      <c r="CU36" s="382"/>
    </row>
    <row r="37" spans="1:99" s="86" customFormat="1" x14ac:dyDescent="0.2">
      <c r="A37" s="348">
        <v>31</v>
      </c>
      <c r="B37" s="348">
        <v>32</v>
      </c>
      <c r="C37" s="349" t="s">
        <v>155</v>
      </c>
      <c r="D37" s="348">
        <v>0</v>
      </c>
      <c r="E37" s="164">
        <f t="shared" si="0"/>
        <v>41.900000000000006</v>
      </c>
      <c r="F37" s="394">
        <f t="shared" si="1"/>
        <v>4.0932661555599683</v>
      </c>
      <c r="G37" s="86">
        <v>16</v>
      </c>
      <c r="H37" s="86">
        <v>15</v>
      </c>
      <c r="I37" s="86">
        <v>15</v>
      </c>
      <c r="J37" s="86">
        <v>16</v>
      </c>
      <c r="K37" s="86">
        <v>20</v>
      </c>
      <c r="L37" s="86">
        <v>17</v>
      </c>
      <c r="M37" s="86">
        <v>14</v>
      </c>
      <c r="N37" s="86">
        <v>18</v>
      </c>
      <c r="O37" s="86">
        <v>16</v>
      </c>
      <c r="P37" s="86">
        <v>26</v>
      </c>
      <c r="Q37" s="86">
        <v>19</v>
      </c>
      <c r="R37" s="86">
        <v>16</v>
      </c>
      <c r="S37" s="86">
        <v>12</v>
      </c>
      <c r="T37" s="86">
        <v>11</v>
      </c>
      <c r="U37" s="86">
        <v>11</v>
      </c>
      <c r="V37" s="86">
        <v>15</v>
      </c>
      <c r="W37" s="86">
        <v>18</v>
      </c>
      <c r="X37" s="86">
        <v>21</v>
      </c>
      <c r="Y37" s="86">
        <v>16</v>
      </c>
      <c r="Z37" s="86">
        <v>17</v>
      </c>
      <c r="AA37" s="86">
        <v>171</v>
      </c>
      <c r="AB37" s="86">
        <v>158</v>
      </c>
      <c r="AC37" s="86">
        <v>162</v>
      </c>
      <c r="AD37" s="86">
        <v>187</v>
      </c>
      <c r="AE37" s="86">
        <v>165</v>
      </c>
      <c r="AF37" s="86">
        <v>163</v>
      </c>
      <c r="AG37" s="86">
        <v>157</v>
      </c>
      <c r="AH37" s="86">
        <v>143</v>
      </c>
      <c r="AI37" s="86">
        <v>167</v>
      </c>
      <c r="AJ37" s="86">
        <v>150</v>
      </c>
      <c r="AK37" s="86">
        <v>147</v>
      </c>
      <c r="AL37" s="86">
        <v>151</v>
      </c>
      <c r="AM37" s="86">
        <v>142</v>
      </c>
      <c r="AN37" s="86">
        <v>152</v>
      </c>
      <c r="AO37" s="86">
        <v>159</v>
      </c>
      <c r="AP37" s="86">
        <v>151</v>
      </c>
      <c r="AQ37" s="86">
        <v>158</v>
      </c>
      <c r="AR37" s="86">
        <v>140</v>
      </c>
      <c r="AS37" s="86">
        <v>150</v>
      </c>
      <c r="AT37" s="86">
        <v>145</v>
      </c>
      <c r="AU37" s="86">
        <v>162</v>
      </c>
      <c r="AV37" s="86">
        <v>155</v>
      </c>
      <c r="AW37" s="86">
        <v>140</v>
      </c>
      <c r="AX37" s="86">
        <v>155</v>
      </c>
      <c r="AY37" s="86">
        <v>134</v>
      </c>
      <c r="AZ37" s="86">
        <v>136</v>
      </c>
      <c r="BA37" s="86">
        <v>144</v>
      </c>
      <c r="BB37" s="86">
        <v>151</v>
      </c>
      <c r="BC37" s="86">
        <v>143</v>
      </c>
      <c r="BD37" s="86">
        <v>128</v>
      </c>
      <c r="BE37" s="86">
        <v>145</v>
      </c>
      <c r="BF37" s="86">
        <v>147</v>
      </c>
      <c r="BG37" s="86">
        <v>130</v>
      </c>
      <c r="BH37" s="86">
        <v>143</v>
      </c>
      <c r="BI37" s="86">
        <v>140</v>
      </c>
      <c r="BJ37" s="86">
        <v>153</v>
      </c>
      <c r="BK37" s="86">
        <v>150</v>
      </c>
      <c r="BL37" s="86">
        <v>140</v>
      </c>
      <c r="BM37" s="86">
        <v>121</v>
      </c>
      <c r="BN37" s="86">
        <v>140</v>
      </c>
      <c r="BO37" s="86">
        <v>138</v>
      </c>
      <c r="BP37" s="86">
        <v>128</v>
      </c>
      <c r="BQ37" s="86">
        <v>137</v>
      </c>
      <c r="BR37" s="86">
        <v>137</v>
      </c>
      <c r="BS37" s="86">
        <v>127</v>
      </c>
      <c r="BT37" s="86">
        <v>142</v>
      </c>
      <c r="BU37" s="86">
        <v>138</v>
      </c>
      <c r="BV37" s="86">
        <v>135</v>
      </c>
      <c r="BW37" s="86">
        <v>131</v>
      </c>
      <c r="BX37" s="86">
        <v>125</v>
      </c>
      <c r="BY37" s="86">
        <v>150</v>
      </c>
      <c r="BZ37" s="86">
        <v>138</v>
      </c>
      <c r="CA37" s="86">
        <v>135</v>
      </c>
      <c r="CB37" s="86">
        <v>116</v>
      </c>
      <c r="CC37" s="86">
        <v>134</v>
      </c>
      <c r="CD37" s="86">
        <v>131</v>
      </c>
      <c r="CE37" s="86">
        <v>128</v>
      </c>
      <c r="CF37" s="86">
        <v>129</v>
      </c>
      <c r="CG37" s="86">
        <v>1306</v>
      </c>
      <c r="CH37" s="86">
        <v>1271</v>
      </c>
      <c r="CI37" s="86">
        <v>1293</v>
      </c>
      <c r="CJ37" s="86">
        <v>1228</v>
      </c>
      <c r="CK37" s="86">
        <v>1215</v>
      </c>
      <c r="CL37" s="86">
        <v>1258</v>
      </c>
      <c r="CM37" s="86">
        <v>1268</v>
      </c>
      <c r="CN37" s="86">
        <v>1214</v>
      </c>
      <c r="CO37" s="86">
        <v>1199</v>
      </c>
      <c r="CP37" s="86">
        <v>1245</v>
      </c>
      <c r="CQ37" s="86">
        <v>1207</v>
      </c>
      <c r="CR37" s="86">
        <v>1213</v>
      </c>
      <c r="CS37" s="86">
        <v>1220</v>
      </c>
      <c r="CT37" s="86">
        <v>1232</v>
      </c>
      <c r="CU37" s="382"/>
    </row>
    <row r="38" spans="1:99" s="86" customFormat="1" x14ac:dyDescent="0.2">
      <c r="A38" s="348">
        <v>35</v>
      </c>
      <c r="B38" s="348">
        <v>32</v>
      </c>
      <c r="C38" s="349" t="s">
        <v>156</v>
      </c>
      <c r="D38" s="348">
        <v>1515</v>
      </c>
      <c r="E38" s="164">
        <f t="shared" si="0"/>
        <v>47.55</v>
      </c>
      <c r="F38" s="394">
        <f t="shared" si="1"/>
        <v>4.2072554682947034</v>
      </c>
      <c r="G38" s="86">
        <v>17</v>
      </c>
      <c r="H38" s="86">
        <v>18</v>
      </c>
      <c r="I38" s="86">
        <v>9</v>
      </c>
      <c r="J38" s="86">
        <v>13</v>
      </c>
      <c r="K38" s="86">
        <v>13</v>
      </c>
      <c r="L38" s="86">
        <v>22</v>
      </c>
      <c r="M38" s="86">
        <v>20</v>
      </c>
      <c r="N38" s="86">
        <v>18</v>
      </c>
      <c r="O38" s="86">
        <v>21</v>
      </c>
      <c r="P38" s="86">
        <v>22</v>
      </c>
      <c r="Q38" s="86">
        <v>14</v>
      </c>
      <c r="R38" s="86">
        <v>19</v>
      </c>
      <c r="S38" s="86">
        <v>18</v>
      </c>
      <c r="T38" s="86">
        <v>16</v>
      </c>
      <c r="U38" s="86">
        <v>24</v>
      </c>
      <c r="V38" s="86">
        <v>21</v>
      </c>
      <c r="W38" s="86">
        <v>13</v>
      </c>
      <c r="X38" s="86">
        <v>16</v>
      </c>
      <c r="Y38" s="86">
        <v>17</v>
      </c>
      <c r="Z38" s="86">
        <v>16</v>
      </c>
      <c r="AA38" s="86">
        <v>206</v>
      </c>
      <c r="AB38" s="86">
        <v>174</v>
      </c>
      <c r="AC38" s="86">
        <v>178</v>
      </c>
      <c r="AD38" s="86">
        <v>186</v>
      </c>
      <c r="AE38" s="86">
        <v>186</v>
      </c>
      <c r="AF38" s="86">
        <v>172</v>
      </c>
      <c r="AG38" s="86">
        <v>180</v>
      </c>
      <c r="AH38" s="86">
        <v>185</v>
      </c>
      <c r="AI38" s="86">
        <v>147</v>
      </c>
      <c r="AJ38" s="86">
        <v>185</v>
      </c>
      <c r="AK38" s="86">
        <v>171</v>
      </c>
      <c r="AL38" s="86">
        <v>175</v>
      </c>
      <c r="AM38" s="86">
        <v>169</v>
      </c>
      <c r="AN38" s="86">
        <v>163</v>
      </c>
      <c r="AO38" s="86">
        <v>169</v>
      </c>
      <c r="AP38" s="86">
        <v>164</v>
      </c>
      <c r="AQ38" s="86">
        <v>163</v>
      </c>
      <c r="AR38" s="86">
        <v>182</v>
      </c>
      <c r="AS38" s="86">
        <v>152</v>
      </c>
      <c r="AT38" s="86">
        <v>152</v>
      </c>
      <c r="AU38" s="86">
        <v>160</v>
      </c>
      <c r="AV38" s="86">
        <v>157</v>
      </c>
      <c r="AW38" s="86">
        <v>153</v>
      </c>
      <c r="AX38" s="86">
        <v>157</v>
      </c>
      <c r="AY38" s="86">
        <v>154</v>
      </c>
      <c r="AZ38" s="86">
        <v>150</v>
      </c>
      <c r="BA38" s="86">
        <v>155</v>
      </c>
      <c r="BB38" s="86">
        <v>137</v>
      </c>
      <c r="BC38" s="86">
        <v>161</v>
      </c>
      <c r="BD38" s="86">
        <v>153</v>
      </c>
      <c r="BE38" s="86">
        <v>146</v>
      </c>
      <c r="BF38" s="86">
        <v>150</v>
      </c>
      <c r="BG38" s="86">
        <v>163</v>
      </c>
      <c r="BH38" s="86">
        <v>150</v>
      </c>
      <c r="BI38" s="86">
        <v>137</v>
      </c>
      <c r="BJ38" s="86">
        <v>161</v>
      </c>
      <c r="BK38" s="86">
        <v>157</v>
      </c>
      <c r="BL38" s="86">
        <v>150</v>
      </c>
      <c r="BM38" s="86">
        <v>142</v>
      </c>
      <c r="BN38" s="86">
        <v>152</v>
      </c>
      <c r="BO38" s="86">
        <v>138</v>
      </c>
      <c r="BP38" s="86">
        <v>143</v>
      </c>
      <c r="BQ38" s="86">
        <v>148</v>
      </c>
      <c r="BR38" s="86">
        <v>144</v>
      </c>
      <c r="BS38" s="86">
        <v>140</v>
      </c>
      <c r="BT38" s="86">
        <v>150</v>
      </c>
      <c r="BU38" s="86">
        <v>143</v>
      </c>
      <c r="BV38" s="86">
        <v>144</v>
      </c>
      <c r="BW38" s="86">
        <v>134</v>
      </c>
      <c r="BX38" s="86">
        <v>127</v>
      </c>
      <c r="BY38" s="86">
        <v>150</v>
      </c>
      <c r="BZ38" s="86">
        <v>157</v>
      </c>
      <c r="CA38" s="86">
        <v>127</v>
      </c>
      <c r="CB38" s="86">
        <v>134</v>
      </c>
      <c r="CC38" s="86">
        <v>151</v>
      </c>
      <c r="CD38" s="86">
        <v>152</v>
      </c>
      <c r="CE38" s="86">
        <v>152</v>
      </c>
      <c r="CF38" s="86">
        <v>135</v>
      </c>
      <c r="CG38" s="86">
        <v>1367</v>
      </c>
      <c r="CH38" s="86">
        <v>1306</v>
      </c>
      <c r="CI38" s="86">
        <v>1294</v>
      </c>
      <c r="CJ38" s="86">
        <v>1309</v>
      </c>
      <c r="CK38" s="86">
        <v>1267</v>
      </c>
      <c r="CL38" s="86">
        <v>1274</v>
      </c>
      <c r="CM38" s="86">
        <v>1325</v>
      </c>
      <c r="CN38" s="86">
        <v>1288</v>
      </c>
      <c r="CO38" s="86">
        <v>1242</v>
      </c>
      <c r="CP38" s="86">
        <v>1255</v>
      </c>
      <c r="CQ38" s="86">
        <v>1245</v>
      </c>
      <c r="CR38" s="86">
        <v>1291</v>
      </c>
      <c r="CS38" s="86">
        <v>1264</v>
      </c>
      <c r="CT38" s="86">
        <v>1255</v>
      </c>
      <c r="CU38" s="382"/>
    </row>
    <row r="39" spans="1:99" s="86" customFormat="1" x14ac:dyDescent="0.2">
      <c r="A39" s="348">
        <v>40</v>
      </c>
      <c r="B39" s="348">
        <v>32</v>
      </c>
      <c r="C39" s="349" t="s">
        <v>155</v>
      </c>
      <c r="D39" s="348">
        <v>1010</v>
      </c>
      <c r="E39" s="164">
        <f t="shared" si="0"/>
        <v>55.599999999999994</v>
      </c>
      <c r="F39" s="394">
        <f t="shared" si="1"/>
        <v>4.1897867090896197</v>
      </c>
      <c r="G39" s="86">
        <v>13</v>
      </c>
      <c r="H39" s="86">
        <v>20</v>
      </c>
      <c r="I39" s="86">
        <v>12</v>
      </c>
      <c r="J39" s="86">
        <v>19</v>
      </c>
      <c r="K39" s="86">
        <v>16</v>
      </c>
      <c r="L39" s="86">
        <v>17</v>
      </c>
      <c r="M39" s="86">
        <v>16</v>
      </c>
      <c r="N39" s="86">
        <v>17</v>
      </c>
      <c r="O39" s="86">
        <v>15</v>
      </c>
      <c r="P39" s="86">
        <v>15</v>
      </c>
      <c r="Q39" s="86">
        <v>18</v>
      </c>
      <c r="R39" s="86">
        <v>19</v>
      </c>
      <c r="S39" s="86">
        <v>18</v>
      </c>
      <c r="T39" s="86">
        <v>21</v>
      </c>
      <c r="U39" s="86">
        <v>12</v>
      </c>
      <c r="V39" s="86">
        <v>27</v>
      </c>
      <c r="W39" s="86">
        <v>15</v>
      </c>
      <c r="X39" s="86">
        <v>18</v>
      </c>
      <c r="Y39" s="86">
        <v>14</v>
      </c>
      <c r="Z39" s="86">
        <v>20</v>
      </c>
      <c r="AA39" s="86">
        <v>174</v>
      </c>
      <c r="AB39" s="86">
        <v>181</v>
      </c>
      <c r="AC39" s="86">
        <v>165</v>
      </c>
      <c r="AD39" s="86">
        <v>178</v>
      </c>
      <c r="AE39" s="86">
        <v>190</v>
      </c>
      <c r="AF39" s="86">
        <v>158</v>
      </c>
      <c r="AG39" s="86">
        <v>173</v>
      </c>
      <c r="AH39" s="86">
        <v>155</v>
      </c>
      <c r="AI39" s="86">
        <v>177</v>
      </c>
      <c r="AJ39" s="86">
        <v>171</v>
      </c>
      <c r="AK39" s="86">
        <v>177</v>
      </c>
      <c r="AL39" s="86">
        <v>156</v>
      </c>
      <c r="AM39" s="86">
        <v>137</v>
      </c>
      <c r="AN39" s="86">
        <v>171</v>
      </c>
      <c r="AO39" s="86">
        <v>153</v>
      </c>
      <c r="AP39" s="86">
        <v>150</v>
      </c>
      <c r="AQ39" s="86">
        <v>160</v>
      </c>
      <c r="AR39" s="86">
        <v>154</v>
      </c>
      <c r="AS39" s="86">
        <v>154</v>
      </c>
      <c r="AT39" s="86">
        <v>154</v>
      </c>
      <c r="AU39" s="86">
        <v>137</v>
      </c>
      <c r="AV39" s="86">
        <v>156</v>
      </c>
      <c r="AW39" s="86">
        <v>159</v>
      </c>
      <c r="AX39" s="86">
        <v>151</v>
      </c>
      <c r="AY39" s="86">
        <v>158</v>
      </c>
      <c r="AZ39" s="86">
        <v>135</v>
      </c>
      <c r="BA39" s="86">
        <v>136</v>
      </c>
      <c r="BB39" s="86">
        <v>146</v>
      </c>
      <c r="BC39" s="86">
        <v>139</v>
      </c>
      <c r="BD39" s="86">
        <v>157</v>
      </c>
      <c r="BE39" s="86">
        <v>147</v>
      </c>
      <c r="BF39" s="86">
        <v>131</v>
      </c>
      <c r="BG39" s="86">
        <v>147</v>
      </c>
      <c r="BH39" s="86">
        <v>138</v>
      </c>
      <c r="BI39" s="86">
        <v>124</v>
      </c>
      <c r="BJ39" s="86">
        <v>132</v>
      </c>
      <c r="BK39" s="86">
        <v>124</v>
      </c>
      <c r="BL39" s="86">
        <v>143</v>
      </c>
      <c r="BM39" s="86">
        <v>139</v>
      </c>
      <c r="BN39" s="86">
        <v>145</v>
      </c>
      <c r="BO39" s="86">
        <v>143</v>
      </c>
      <c r="BP39" s="86">
        <v>135</v>
      </c>
      <c r="BQ39" s="86">
        <v>146</v>
      </c>
      <c r="BR39" s="86">
        <v>131</v>
      </c>
      <c r="BS39" s="86">
        <v>128</v>
      </c>
      <c r="BT39" s="86">
        <v>121</v>
      </c>
      <c r="BU39" s="86">
        <v>140</v>
      </c>
      <c r="BV39" s="86">
        <v>145</v>
      </c>
      <c r="BW39" s="86">
        <v>132</v>
      </c>
      <c r="BX39" s="86">
        <v>151</v>
      </c>
      <c r="BY39" s="86">
        <v>126</v>
      </c>
      <c r="BZ39" s="86">
        <v>144</v>
      </c>
      <c r="CA39" s="86">
        <v>140</v>
      </c>
      <c r="CB39" s="86">
        <v>138</v>
      </c>
      <c r="CC39" s="86">
        <v>133</v>
      </c>
      <c r="CD39" s="86">
        <v>127</v>
      </c>
      <c r="CE39" s="86">
        <v>129</v>
      </c>
      <c r="CF39" s="86">
        <v>123</v>
      </c>
      <c r="CG39" s="86">
        <v>1237</v>
      </c>
      <c r="CH39" s="86">
        <v>1234</v>
      </c>
      <c r="CI39" s="86">
        <v>1267</v>
      </c>
      <c r="CJ39" s="86">
        <v>1254</v>
      </c>
      <c r="CK39" s="86">
        <v>1208</v>
      </c>
      <c r="CL39" s="86">
        <v>1227</v>
      </c>
      <c r="CM39" s="86">
        <v>1233</v>
      </c>
      <c r="CN39" s="86">
        <v>1165</v>
      </c>
      <c r="CO39" s="86">
        <v>1193</v>
      </c>
      <c r="CP39" s="86">
        <v>1174</v>
      </c>
      <c r="CQ39" s="86">
        <v>1200</v>
      </c>
      <c r="CR39" s="86">
        <v>1143</v>
      </c>
      <c r="CS39" s="86">
        <v>1158</v>
      </c>
      <c r="CT39" s="86">
        <v>1150</v>
      </c>
      <c r="CU39" s="382"/>
    </row>
    <row r="40" spans="1:99" s="86" customFormat="1" x14ac:dyDescent="0.2">
      <c r="A40" s="350">
        <v>44</v>
      </c>
      <c r="B40" s="350">
        <v>32</v>
      </c>
      <c r="C40" s="351" t="s">
        <v>156</v>
      </c>
      <c r="D40" s="350">
        <v>1515</v>
      </c>
      <c r="E40" s="381">
        <f t="shared" si="0"/>
        <v>51.349999999999994</v>
      </c>
      <c r="F40" s="395">
        <f t="shared" si="1"/>
        <v>4.18600309734917</v>
      </c>
      <c r="G40" s="87">
        <v>13</v>
      </c>
      <c r="H40" s="87">
        <v>20</v>
      </c>
      <c r="I40" s="87">
        <v>16</v>
      </c>
      <c r="J40" s="87">
        <v>15</v>
      </c>
      <c r="K40" s="87">
        <v>13</v>
      </c>
      <c r="L40" s="87">
        <v>17</v>
      </c>
      <c r="M40" s="87">
        <v>22</v>
      </c>
      <c r="N40" s="87">
        <v>14</v>
      </c>
      <c r="O40" s="87">
        <v>17</v>
      </c>
      <c r="P40" s="87">
        <v>19</v>
      </c>
      <c r="Q40" s="87">
        <v>12</v>
      </c>
      <c r="R40" s="87">
        <v>15</v>
      </c>
      <c r="S40" s="87">
        <v>17</v>
      </c>
      <c r="T40" s="87">
        <v>16</v>
      </c>
      <c r="U40" s="87">
        <v>15</v>
      </c>
      <c r="V40" s="87">
        <v>21</v>
      </c>
      <c r="W40" s="87">
        <v>13</v>
      </c>
      <c r="X40" s="87">
        <v>17</v>
      </c>
      <c r="Y40" s="87">
        <v>20</v>
      </c>
      <c r="Z40" s="87">
        <v>16</v>
      </c>
      <c r="AA40" s="87">
        <v>173</v>
      </c>
      <c r="AB40" s="87">
        <v>185</v>
      </c>
      <c r="AC40" s="87">
        <v>169</v>
      </c>
      <c r="AD40" s="87">
        <v>169</v>
      </c>
      <c r="AE40" s="87">
        <v>174</v>
      </c>
      <c r="AF40" s="87">
        <v>189</v>
      </c>
      <c r="AG40" s="87">
        <v>184</v>
      </c>
      <c r="AH40" s="87">
        <v>165</v>
      </c>
      <c r="AI40" s="87">
        <v>160</v>
      </c>
      <c r="AJ40" s="87">
        <v>174</v>
      </c>
      <c r="AK40" s="87">
        <v>147</v>
      </c>
      <c r="AL40" s="87">
        <v>181</v>
      </c>
      <c r="AM40" s="87">
        <v>143</v>
      </c>
      <c r="AN40" s="87">
        <v>176</v>
      </c>
      <c r="AO40" s="87">
        <v>168</v>
      </c>
      <c r="AP40" s="87">
        <v>153</v>
      </c>
      <c r="AQ40" s="87">
        <v>166</v>
      </c>
      <c r="AR40" s="87">
        <v>154</v>
      </c>
      <c r="AS40" s="87">
        <v>143</v>
      </c>
      <c r="AT40" s="87">
        <v>150</v>
      </c>
      <c r="AU40" s="87">
        <v>150</v>
      </c>
      <c r="AV40" s="87">
        <v>143</v>
      </c>
      <c r="AW40" s="87">
        <v>156</v>
      </c>
      <c r="AX40" s="87">
        <v>133</v>
      </c>
      <c r="AY40" s="87">
        <v>151</v>
      </c>
      <c r="AZ40" s="87">
        <v>147</v>
      </c>
      <c r="BA40" s="87">
        <v>156</v>
      </c>
      <c r="BB40" s="87">
        <v>137</v>
      </c>
      <c r="BC40" s="87">
        <v>140</v>
      </c>
      <c r="BD40" s="87">
        <v>146</v>
      </c>
      <c r="BE40" s="87">
        <v>133</v>
      </c>
      <c r="BF40" s="87">
        <v>156</v>
      </c>
      <c r="BG40" s="87">
        <v>132</v>
      </c>
      <c r="BH40" s="87">
        <v>150</v>
      </c>
      <c r="BI40" s="87">
        <v>136</v>
      </c>
      <c r="BJ40" s="87">
        <v>144</v>
      </c>
      <c r="BK40" s="87">
        <v>140</v>
      </c>
      <c r="BL40" s="87">
        <v>128</v>
      </c>
      <c r="BM40" s="87">
        <v>146</v>
      </c>
      <c r="BN40" s="87">
        <v>124</v>
      </c>
      <c r="BO40" s="87">
        <v>140</v>
      </c>
      <c r="BP40" s="87">
        <v>133</v>
      </c>
      <c r="BQ40" s="87">
        <v>136</v>
      </c>
      <c r="BR40" s="87">
        <v>134</v>
      </c>
      <c r="BS40" s="87">
        <v>135</v>
      </c>
      <c r="BT40" s="87">
        <v>137</v>
      </c>
      <c r="BU40" s="87">
        <v>124</v>
      </c>
      <c r="BV40" s="87">
        <v>152</v>
      </c>
      <c r="BW40" s="87">
        <v>123</v>
      </c>
      <c r="BX40" s="87">
        <v>138</v>
      </c>
      <c r="BY40" s="87">
        <v>128</v>
      </c>
      <c r="BZ40" s="87">
        <v>140</v>
      </c>
      <c r="CA40" s="87">
        <v>125</v>
      </c>
      <c r="CB40" s="87">
        <v>114</v>
      </c>
      <c r="CC40" s="87">
        <v>113</v>
      </c>
      <c r="CD40" s="87">
        <v>124</v>
      </c>
      <c r="CE40" s="87">
        <v>114</v>
      </c>
      <c r="CF40" s="87">
        <v>120</v>
      </c>
      <c r="CG40" s="87">
        <v>1264</v>
      </c>
      <c r="CH40" s="87">
        <v>1277</v>
      </c>
      <c r="CI40" s="87">
        <v>1269</v>
      </c>
      <c r="CJ40" s="87">
        <v>1241</v>
      </c>
      <c r="CK40" s="87">
        <v>1220</v>
      </c>
      <c r="CL40" s="87">
        <v>1206</v>
      </c>
      <c r="CM40" s="87">
        <v>1161</v>
      </c>
      <c r="CN40" s="87">
        <v>1210</v>
      </c>
      <c r="CO40" s="87">
        <v>1200</v>
      </c>
      <c r="CP40" s="87">
        <v>1246</v>
      </c>
      <c r="CQ40" s="87">
        <v>1157</v>
      </c>
      <c r="CR40" s="87">
        <v>1103</v>
      </c>
      <c r="CS40" s="87">
        <v>1131</v>
      </c>
      <c r="CT40" s="87">
        <v>1122</v>
      </c>
      <c r="CU40" s="382"/>
    </row>
    <row r="41" spans="1:99" s="86" customFormat="1" x14ac:dyDescent="0.2">
      <c r="A41" s="348">
        <v>27</v>
      </c>
      <c r="B41" s="348">
        <v>33</v>
      </c>
      <c r="C41" s="349" t="s">
        <v>155</v>
      </c>
      <c r="D41" s="374">
        <v>0</v>
      </c>
      <c r="E41" s="164">
        <f t="shared" si="0"/>
        <v>60171.75</v>
      </c>
      <c r="F41" s="394">
        <f t="shared" si="1"/>
        <v>79.618461731096147</v>
      </c>
      <c r="G41" s="83">
        <v>6447</v>
      </c>
      <c r="H41" s="83">
        <v>6421</v>
      </c>
      <c r="I41" s="83">
        <v>6457</v>
      </c>
      <c r="J41" s="83">
        <v>6368</v>
      </c>
      <c r="K41" s="83">
        <v>6455</v>
      </c>
      <c r="L41" s="83">
        <v>6381</v>
      </c>
      <c r="M41" s="83">
        <v>6419</v>
      </c>
      <c r="N41" s="83">
        <v>6322</v>
      </c>
      <c r="O41" s="83">
        <v>6457</v>
      </c>
      <c r="P41" s="83">
        <v>6210</v>
      </c>
      <c r="Q41" s="83">
        <v>6308</v>
      </c>
      <c r="R41" s="83">
        <v>6226</v>
      </c>
      <c r="S41" s="83">
        <v>6207</v>
      </c>
      <c r="T41" s="83">
        <v>6399</v>
      </c>
      <c r="U41" s="83">
        <v>6153</v>
      </c>
      <c r="V41" s="83">
        <v>6163</v>
      </c>
      <c r="W41" s="83">
        <v>6085</v>
      </c>
      <c r="X41" s="83">
        <v>6089</v>
      </c>
      <c r="Y41" s="83">
        <v>6087</v>
      </c>
      <c r="Z41" s="83">
        <v>6046</v>
      </c>
      <c r="AA41" s="83">
        <v>59041</v>
      </c>
      <c r="AB41" s="83">
        <v>55931</v>
      </c>
      <c r="AC41" s="83">
        <v>53053</v>
      </c>
      <c r="AD41" s="83">
        <v>50204</v>
      </c>
      <c r="AE41" s="83">
        <v>47371</v>
      </c>
      <c r="AF41" s="83">
        <v>45430</v>
      </c>
      <c r="AG41" s="83">
        <v>42936</v>
      </c>
      <c r="AH41" s="83">
        <v>40548</v>
      </c>
      <c r="AI41" s="83">
        <v>38742</v>
      </c>
      <c r="AJ41" s="83">
        <v>36895</v>
      </c>
      <c r="AK41" s="83">
        <v>35131</v>
      </c>
      <c r="AL41" s="83">
        <v>33902</v>
      </c>
      <c r="AM41" s="83">
        <v>32481</v>
      </c>
      <c r="AN41" s="83">
        <v>30539</v>
      </c>
      <c r="AO41" s="83">
        <v>29606</v>
      </c>
      <c r="AP41" s="83">
        <v>28274</v>
      </c>
      <c r="AQ41" s="83">
        <v>27417</v>
      </c>
      <c r="AR41" s="83">
        <v>26433</v>
      </c>
      <c r="AS41" s="83">
        <v>25396</v>
      </c>
      <c r="AT41" s="83">
        <v>24565</v>
      </c>
      <c r="AU41" s="83">
        <v>23417</v>
      </c>
      <c r="AV41" s="83">
        <v>22734</v>
      </c>
      <c r="AW41" s="83">
        <v>21990</v>
      </c>
      <c r="AX41" s="83">
        <v>21194</v>
      </c>
      <c r="AY41" s="83">
        <v>20455</v>
      </c>
      <c r="AZ41" s="83">
        <v>19932</v>
      </c>
      <c r="BA41" s="83">
        <v>19279</v>
      </c>
      <c r="BB41" s="83">
        <v>18615</v>
      </c>
      <c r="BC41" s="83">
        <v>17967</v>
      </c>
      <c r="BD41" s="83">
        <v>17942</v>
      </c>
      <c r="BE41" s="83">
        <v>17126</v>
      </c>
      <c r="BF41" s="83">
        <v>16611</v>
      </c>
      <c r="BG41" s="83">
        <v>16195</v>
      </c>
      <c r="BH41" s="83">
        <v>15609</v>
      </c>
      <c r="BI41" s="83">
        <v>15398</v>
      </c>
      <c r="BJ41" s="83">
        <v>14889</v>
      </c>
      <c r="BK41" s="83">
        <v>14568</v>
      </c>
      <c r="BL41" s="83">
        <v>14190</v>
      </c>
      <c r="BM41" s="83">
        <v>13760</v>
      </c>
      <c r="BN41" s="83">
        <v>13514</v>
      </c>
      <c r="BO41" s="83">
        <v>13260</v>
      </c>
      <c r="BP41" s="83">
        <v>12886</v>
      </c>
      <c r="BQ41" s="83">
        <v>12535</v>
      </c>
      <c r="BR41" s="83">
        <v>12488</v>
      </c>
      <c r="BS41" s="83">
        <v>12177</v>
      </c>
      <c r="BT41" s="83">
        <v>11782</v>
      </c>
      <c r="BU41" s="83">
        <v>11355</v>
      </c>
      <c r="BV41" s="83">
        <v>11249</v>
      </c>
      <c r="BW41" s="83">
        <v>11100</v>
      </c>
      <c r="BX41" s="83">
        <v>10705</v>
      </c>
      <c r="BY41" s="83">
        <v>10604</v>
      </c>
      <c r="BZ41" s="83">
        <v>10335</v>
      </c>
      <c r="CA41" s="83">
        <v>10197</v>
      </c>
      <c r="CB41" s="83">
        <v>10048</v>
      </c>
      <c r="CC41" s="83">
        <v>9821</v>
      </c>
      <c r="CD41" s="83">
        <v>9572</v>
      </c>
      <c r="CE41" s="83">
        <v>9465</v>
      </c>
      <c r="CF41" s="83">
        <v>9329</v>
      </c>
      <c r="CG41" s="83">
        <v>84775</v>
      </c>
      <c r="CH41" s="83">
        <v>72344</v>
      </c>
      <c r="CI41" s="83">
        <v>63115</v>
      </c>
      <c r="CJ41" s="83">
        <v>56164</v>
      </c>
      <c r="CK41" s="83">
        <v>49954</v>
      </c>
      <c r="CL41" s="83">
        <v>45392</v>
      </c>
      <c r="CM41" s="83">
        <v>41419</v>
      </c>
      <c r="CN41" s="83">
        <v>38322</v>
      </c>
      <c r="CO41" s="83">
        <v>35570</v>
      </c>
      <c r="CP41" s="83">
        <v>32920</v>
      </c>
      <c r="CQ41" s="83">
        <v>30854</v>
      </c>
      <c r="CR41" s="83">
        <v>28964</v>
      </c>
      <c r="CS41" s="83">
        <v>27478</v>
      </c>
      <c r="CT41" s="83">
        <v>26087</v>
      </c>
      <c r="CU41" s="382"/>
    </row>
    <row r="42" spans="1:99" s="86" customFormat="1" x14ac:dyDescent="0.2">
      <c r="A42" s="348">
        <v>31</v>
      </c>
      <c r="B42" s="348">
        <v>33</v>
      </c>
      <c r="C42" s="349" t="s">
        <v>156</v>
      </c>
      <c r="D42" s="374">
        <v>1515</v>
      </c>
      <c r="E42" s="164">
        <f t="shared" si="0"/>
        <v>17632.45</v>
      </c>
      <c r="F42" s="394">
        <f t="shared" si="1"/>
        <v>44.062420542182316</v>
      </c>
      <c r="G42" s="83">
        <v>1931</v>
      </c>
      <c r="H42" s="83">
        <v>1989</v>
      </c>
      <c r="I42" s="83">
        <v>1958</v>
      </c>
      <c r="J42" s="83">
        <v>1922</v>
      </c>
      <c r="K42" s="83">
        <v>1935</v>
      </c>
      <c r="L42" s="83">
        <v>1906</v>
      </c>
      <c r="M42" s="83">
        <v>2014</v>
      </c>
      <c r="N42" s="83">
        <v>1958</v>
      </c>
      <c r="O42" s="83">
        <v>1926</v>
      </c>
      <c r="P42" s="83">
        <v>1876</v>
      </c>
      <c r="Q42" s="83">
        <v>1895</v>
      </c>
      <c r="R42" s="83">
        <v>1892</v>
      </c>
      <c r="S42" s="83">
        <v>1937</v>
      </c>
      <c r="T42" s="83">
        <v>1891</v>
      </c>
      <c r="U42" s="83">
        <v>1914</v>
      </c>
      <c r="V42" s="83">
        <v>1954</v>
      </c>
      <c r="W42" s="83">
        <v>1902</v>
      </c>
      <c r="X42" s="83">
        <v>1866</v>
      </c>
      <c r="Y42" s="83">
        <v>1861</v>
      </c>
      <c r="Z42" s="83">
        <v>1856</v>
      </c>
      <c r="AA42" s="83">
        <v>18200</v>
      </c>
      <c r="AB42" s="83">
        <v>17602</v>
      </c>
      <c r="AC42" s="83">
        <v>16845</v>
      </c>
      <c r="AD42" s="83">
        <v>15897</v>
      </c>
      <c r="AE42" s="83">
        <v>15192</v>
      </c>
      <c r="AF42" s="83">
        <v>14543</v>
      </c>
      <c r="AG42" s="83">
        <v>14008</v>
      </c>
      <c r="AH42" s="83">
        <v>13259</v>
      </c>
      <c r="AI42" s="83">
        <v>12859</v>
      </c>
      <c r="AJ42" s="83">
        <v>12329</v>
      </c>
      <c r="AK42" s="83">
        <v>11776</v>
      </c>
      <c r="AL42" s="83">
        <v>11275</v>
      </c>
      <c r="AM42" s="83">
        <v>10984</v>
      </c>
      <c r="AN42" s="83">
        <v>10596</v>
      </c>
      <c r="AO42" s="83">
        <v>10098</v>
      </c>
      <c r="AP42" s="83">
        <v>9739</v>
      </c>
      <c r="AQ42" s="83">
        <v>9436</v>
      </c>
      <c r="AR42" s="83">
        <v>9184</v>
      </c>
      <c r="AS42" s="83">
        <v>8919</v>
      </c>
      <c r="AT42" s="83">
        <v>8629</v>
      </c>
      <c r="AU42" s="83">
        <v>8323</v>
      </c>
      <c r="AV42" s="83">
        <v>7972</v>
      </c>
      <c r="AW42" s="83">
        <v>7900</v>
      </c>
      <c r="AX42" s="83">
        <v>7593</v>
      </c>
      <c r="AY42" s="83">
        <v>7396</v>
      </c>
      <c r="AZ42" s="83">
        <v>7278</v>
      </c>
      <c r="BA42" s="83">
        <v>7005</v>
      </c>
      <c r="BB42" s="83">
        <v>6824</v>
      </c>
      <c r="BC42" s="83">
        <v>6645</v>
      </c>
      <c r="BD42" s="83">
        <v>6646</v>
      </c>
      <c r="BE42" s="83">
        <v>6406</v>
      </c>
      <c r="BF42" s="83">
        <v>6284</v>
      </c>
      <c r="BG42" s="83">
        <v>6088</v>
      </c>
      <c r="BH42" s="83">
        <v>5855</v>
      </c>
      <c r="BI42" s="83">
        <v>5868</v>
      </c>
      <c r="BJ42" s="83">
        <v>5494</v>
      </c>
      <c r="BK42" s="83">
        <v>5660</v>
      </c>
      <c r="BL42" s="83">
        <v>5446</v>
      </c>
      <c r="BM42" s="83">
        <v>5406</v>
      </c>
      <c r="BN42" s="83">
        <v>5189</v>
      </c>
      <c r="BO42" s="83">
        <v>5088</v>
      </c>
      <c r="BP42" s="83">
        <v>5137</v>
      </c>
      <c r="BQ42" s="83">
        <v>4936</v>
      </c>
      <c r="BR42" s="83">
        <v>5003</v>
      </c>
      <c r="BS42" s="83">
        <v>4706</v>
      </c>
      <c r="BT42" s="83">
        <v>4747</v>
      </c>
      <c r="BU42" s="83">
        <v>4631</v>
      </c>
      <c r="BV42" s="83">
        <v>4418</v>
      </c>
      <c r="BW42" s="83">
        <v>4501</v>
      </c>
      <c r="BX42" s="83">
        <v>4359</v>
      </c>
      <c r="BY42" s="83">
        <v>4272</v>
      </c>
      <c r="BZ42" s="83">
        <v>4266</v>
      </c>
      <c r="CA42" s="83">
        <v>4225</v>
      </c>
      <c r="CB42" s="83">
        <v>4088</v>
      </c>
      <c r="CC42" s="83">
        <v>4106</v>
      </c>
      <c r="CD42" s="83">
        <v>3975</v>
      </c>
      <c r="CE42" s="83">
        <v>3882</v>
      </c>
      <c r="CF42" s="83">
        <v>3906</v>
      </c>
      <c r="CG42" s="83">
        <v>36424</v>
      </c>
      <c r="CH42" s="83">
        <v>32108</v>
      </c>
      <c r="CI42" s="83">
        <v>29020</v>
      </c>
      <c r="CJ42" s="83">
        <v>26694</v>
      </c>
      <c r="CK42" s="83">
        <v>24491</v>
      </c>
      <c r="CL42" s="83">
        <v>22636</v>
      </c>
      <c r="CM42" s="83">
        <v>21395</v>
      </c>
      <c r="CN42" s="83">
        <v>20201</v>
      </c>
      <c r="CO42" s="83">
        <v>18917</v>
      </c>
      <c r="CP42" s="83">
        <v>18115</v>
      </c>
      <c r="CQ42" s="83">
        <v>17283</v>
      </c>
      <c r="CR42" s="83">
        <v>16624</v>
      </c>
      <c r="CS42" s="83">
        <v>15908</v>
      </c>
      <c r="CT42" s="83">
        <v>15273</v>
      </c>
      <c r="CU42" s="382"/>
    </row>
    <row r="43" spans="1:99" s="86" customFormat="1" x14ac:dyDescent="0.2">
      <c r="A43" s="348">
        <v>94</v>
      </c>
      <c r="B43" s="348">
        <v>33</v>
      </c>
      <c r="C43" s="349" t="s">
        <v>155</v>
      </c>
      <c r="D43" s="374">
        <v>3790</v>
      </c>
      <c r="E43" s="164">
        <f t="shared" si="0"/>
        <v>30285.35</v>
      </c>
      <c r="F43" s="394">
        <f t="shared" si="1"/>
        <v>56.461569598528541</v>
      </c>
      <c r="G43" s="83">
        <v>3243</v>
      </c>
      <c r="H43" s="83">
        <v>3247</v>
      </c>
      <c r="I43" s="83">
        <v>3282</v>
      </c>
      <c r="J43" s="83">
        <v>3270</v>
      </c>
      <c r="K43" s="83">
        <v>3145</v>
      </c>
      <c r="L43" s="83">
        <v>3213</v>
      </c>
      <c r="M43" s="83">
        <v>3201</v>
      </c>
      <c r="N43" s="83">
        <v>3188</v>
      </c>
      <c r="O43" s="83">
        <v>3163</v>
      </c>
      <c r="P43" s="83">
        <v>3136</v>
      </c>
      <c r="Q43" s="83">
        <v>3163</v>
      </c>
      <c r="R43" s="83">
        <v>3198</v>
      </c>
      <c r="S43" s="83">
        <v>3133</v>
      </c>
      <c r="T43" s="83">
        <v>3149</v>
      </c>
      <c r="U43" s="83">
        <v>3165</v>
      </c>
      <c r="V43" s="83">
        <v>3090</v>
      </c>
      <c r="W43" s="83">
        <v>3091</v>
      </c>
      <c r="X43" s="83">
        <v>3131</v>
      </c>
      <c r="Y43" s="83">
        <v>2971</v>
      </c>
      <c r="Z43" s="83">
        <v>3044</v>
      </c>
      <c r="AA43" s="83">
        <v>29716</v>
      </c>
      <c r="AB43" s="83">
        <v>28173</v>
      </c>
      <c r="AC43" s="83">
        <v>27017</v>
      </c>
      <c r="AD43" s="83">
        <v>25465</v>
      </c>
      <c r="AE43" s="83">
        <v>24055</v>
      </c>
      <c r="AF43" s="83">
        <v>23133</v>
      </c>
      <c r="AG43" s="83">
        <v>22065</v>
      </c>
      <c r="AH43" s="83">
        <v>20936</v>
      </c>
      <c r="AI43" s="83">
        <v>19798</v>
      </c>
      <c r="AJ43" s="83">
        <v>18673</v>
      </c>
      <c r="AK43" s="83">
        <v>17861</v>
      </c>
      <c r="AL43" s="83">
        <v>17078</v>
      </c>
      <c r="AM43" s="83">
        <v>16484</v>
      </c>
      <c r="AN43" s="83">
        <v>15735</v>
      </c>
      <c r="AO43" s="83">
        <v>15315</v>
      </c>
      <c r="AP43" s="83">
        <v>14803</v>
      </c>
      <c r="AQ43" s="83">
        <v>13953</v>
      </c>
      <c r="AR43" s="83">
        <v>13616</v>
      </c>
      <c r="AS43" s="83">
        <v>12891</v>
      </c>
      <c r="AT43" s="83">
        <v>12566</v>
      </c>
      <c r="AU43" s="83">
        <v>11947</v>
      </c>
      <c r="AV43" s="83">
        <v>11728</v>
      </c>
      <c r="AW43" s="83">
        <v>11289</v>
      </c>
      <c r="AX43" s="83">
        <v>10733</v>
      </c>
      <c r="AY43" s="83">
        <v>10488</v>
      </c>
      <c r="AZ43" s="83">
        <v>10327</v>
      </c>
      <c r="BA43" s="83">
        <v>9829</v>
      </c>
      <c r="BB43" s="83">
        <v>9476</v>
      </c>
      <c r="BC43" s="83">
        <v>9265</v>
      </c>
      <c r="BD43" s="83">
        <v>8930</v>
      </c>
      <c r="BE43" s="83">
        <v>8753</v>
      </c>
      <c r="BF43" s="83">
        <v>8533</v>
      </c>
      <c r="BG43" s="83">
        <v>8304</v>
      </c>
      <c r="BH43" s="83">
        <v>8020</v>
      </c>
      <c r="BI43" s="83">
        <v>7808</v>
      </c>
      <c r="BJ43" s="83">
        <v>7726</v>
      </c>
      <c r="BK43" s="83">
        <v>7369</v>
      </c>
      <c r="BL43" s="83">
        <v>7258</v>
      </c>
      <c r="BM43" s="83">
        <v>7020</v>
      </c>
      <c r="BN43" s="83">
        <v>6836</v>
      </c>
      <c r="BO43" s="83">
        <v>6782</v>
      </c>
      <c r="BP43" s="83">
        <v>6506</v>
      </c>
      <c r="BQ43" s="83">
        <v>6429</v>
      </c>
      <c r="BR43" s="83">
        <v>6309</v>
      </c>
      <c r="BS43" s="83">
        <v>6020</v>
      </c>
      <c r="BT43" s="83">
        <v>5952</v>
      </c>
      <c r="BU43" s="83">
        <v>5924</v>
      </c>
      <c r="BV43" s="83">
        <v>5605</v>
      </c>
      <c r="BW43" s="83">
        <v>5713</v>
      </c>
      <c r="BX43" s="83">
        <v>5492</v>
      </c>
      <c r="BY43" s="83">
        <v>5478</v>
      </c>
      <c r="BZ43" s="83">
        <v>5411</v>
      </c>
      <c r="CA43" s="83">
        <v>5190</v>
      </c>
      <c r="CB43" s="83">
        <v>5095</v>
      </c>
      <c r="CC43" s="83">
        <v>4964</v>
      </c>
      <c r="CD43" s="83">
        <v>4887</v>
      </c>
      <c r="CE43" s="83">
        <v>4759</v>
      </c>
      <c r="CF43" s="83">
        <v>4716</v>
      </c>
      <c r="CG43" s="83">
        <v>42577</v>
      </c>
      <c r="CH43" s="83">
        <v>36425</v>
      </c>
      <c r="CI43" s="83">
        <v>31484</v>
      </c>
      <c r="CJ43" s="83">
        <v>27916</v>
      </c>
      <c r="CK43" s="83">
        <v>24852</v>
      </c>
      <c r="CL43" s="83">
        <v>22514</v>
      </c>
      <c r="CM43" s="83">
        <v>20529</v>
      </c>
      <c r="CN43" s="83">
        <v>18934</v>
      </c>
      <c r="CO43" s="83">
        <v>17476</v>
      </c>
      <c r="CP43" s="83">
        <v>16296</v>
      </c>
      <c r="CQ43" s="83">
        <v>15226</v>
      </c>
      <c r="CR43" s="83">
        <v>14420</v>
      </c>
      <c r="CS43" s="83">
        <v>13670</v>
      </c>
      <c r="CT43" s="83">
        <v>12853</v>
      </c>
      <c r="CU43" s="382"/>
    </row>
    <row r="44" spans="1:99" s="86" customFormat="1" x14ac:dyDescent="0.2">
      <c r="A44" s="348">
        <v>98</v>
      </c>
      <c r="B44" s="348">
        <v>33</v>
      </c>
      <c r="C44" s="349" t="s">
        <v>156</v>
      </c>
      <c r="D44" s="374">
        <v>1516</v>
      </c>
      <c r="E44" s="164">
        <f t="shared" si="0"/>
        <v>15353.9</v>
      </c>
      <c r="F44" s="394">
        <f t="shared" si="1"/>
        <v>40.731467568373226</v>
      </c>
      <c r="G44" s="83">
        <v>1721</v>
      </c>
      <c r="H44" s="83">
        <v>1679</v>
      </c>
      <c r="I44" s="83">
        <v>1691</v>
      </c>
      <c r="J44" s="83">
        <v>1711</v>
      </c>
      <c r="K44" s="83">
        <v>1685</v>
      </c>
      <c r="L44" s="83">
        <v>1671</v>
      </c>
      <c r="M44" s="83">
        <v>1655</v>
      </c>
      <c r="N44" s="83">
        <v>1678</v>
      </c>
      <c r="O44" s="83">
        <v>1731</v>
      </c>
      <c r="P44" s="83">
        <v>1610</v>
      </c>
      <c r="Q44" s="83">
        <v>1633</v>
      </c>
      <c r="R44" s="83">
        <v>1609</v>
      </c>
      <c r="S44" s="83">
        <v>1561</v>
      </c>
      <c r="T44" s="83">
        <v>1650</v>
      </c>
      <c r="U44" s="83">
        <v>1627</v>
      </c>
      <c r="V44" s="83">
        <v>1595</v>
      </c>
      <c r="W44" s="83">
        <v>1576</v>
      </c>
      <c r="X44" s="83">
        <v>1576</v>
      </c>
      <c r="Y44" s="83">
        <v>1571</v>
      </c>
      <c r="Z44" s="83">
        <v>1622</v>
      </c>
      <c r="AA44" s="83">
        <v>15580</v>
      </c>
      <c r="AB44" s="83">
        <v>14774</v>
      </c>
      <c r="AC44" s="83">
        <v>14322</v>
      </c>
      <c r="AD44" s="83">
        <v>13543</v>
      </c>
      <c r="AE44" s="83">
        <v>13082</v>
      </c>
      <c r="AF44" s="83">
        <v>12403</v>
      </c>
      <c r="AG44" s="83">
        <v>11652</v>
      </c>
      <c r="AH44" s="83">
        <v>11201</v>
      </c>
      <c r="AI44" s="83">
        <v>10770</v>
      </c>
      <c r="AJ44" s="83">
        <v>10262</v>
      </c>
      <c r="AK44" s="83">
        <v>9904</v>
      </c>
      <c r="AL44" s="83">
        <v>9550</v>
      </c>
      <c r="AM44" s="83">
        <v>9104</v>
      </c>
      <c r="AN44" s="83">
        <v>8813</v>
      </c>
      <c r="AO44" s="83">
        <v>8356</v>
      </c>
      <c r="AP44" s="83">
        <v>8166</v>
      </c>
      <c r="AQ44" s="83">
        <v>7875</v>
      </c>
      <c r="AR44" s="83">
        <v>7657</v>
      </c>
      <c r="AS44" s="83">
        <v>7448</v>
      </c>
      <c r="AT44" s="83">
        <v>7187</v>
      </c>
      <c r="AU44" s="83">
        <v>6910</v>
      </c>
      <c r="AV44" s="83">
        <v>6728</v>
      </c>
      <c r="AW44" s="83">
        <v>6525</v>
      </c>
      <c r="AX44" s="83">
        <v>6204</v>
      </c>
      <c r="AY44" s="83">
        <v>6053</v>
      </c>
      <c r="AZ44" s="83">
        <v>5933</v>
      </c>
      <c r="BA44" s="83">
        <v>5709</v>
      </c>
      <c r="BB44" s="83">
        <v>5628</v>
      </c>
      <c r="BC44" s="83">
        <v>5360</v>
      </c>
      <c r="BD44" s="83">
        <v>5174</v>
      </c>
      <c r="BE44" s="83">
        <v>5135</v>
      </c>
      <c r="BF44" s="83">
        <v>4899</v>
      </c>
      <c r="BG44" s="83">
        <v>4934</v>
      </c>
      <c r="BH44" s="83">
        <v>4812</v>
      </c>
      <c r="BI44" s="83">
        <v>4701</v>
      </c>
      <c r="BJ44" s="83">
        <v>4555</v>
      </c>
      <c r="BK44" s="83">
        <v>4332</v>
      </c>
      <c r="BL44" s="83">
        <v>4327</v>
      </c>
      <c r="BM44" s="83">
        <v>4229</v>
      </c>
      <c r="BN44" s="83">
        <v>4179</v>
      </c>
      <c r="BO44" s="83">
        <v>4098</v>
      </c>
      <c r="BP44" s="83">
        <v>3977</v>
      </c>
      <c r="BQ44" s="83">
        <v>3898</v>
      </c>
      <c r="BR44" s="83">
        <v>3853</v>
      </c>
      <c r="BS44" s="83">
        <v>3710</v>
      </c>
      <c r="BT44" s="83">
        <v>3795</v>
      </c>
      <c r="BU44" s="83">
        <v>3612</v>
      </c>
      <c r="BV44" s="83">
        <v>3488</v>
      </c>
      <c r="BW44" s="83">
        <v>3446</v>
      </c>
      <c r="BX44" s="83">
        <v>3486</v>
      </c>
      <c r="BY44" s="83">
        <v>3391</v>
      </c>
      <c r="BZ44" s="83">
        <v>3293</v>
      </c>
      <c r="CA44" s="83">
        <v>3189</v>
      </c>
      <c r="CB44" s="83">
        <v>3213</v>
      </c>
      <c r="CC44" s="83">
        <v>3127</v>
      </c>
      <c r="CD44" s="83">
        <v>3117</v>
      </c>
      <c r="CE44" s="83">
        <v>2982</v>
      </c>
      <c r="CF44" s="83">
        <v>2937</v>
      </c>
      <c r="CG44" s="83">
        <v>27809</v>
      </c>
      <c r="CH44" s="83">
        <v>24162</v>
      </c>
      <c r="CI44" s="83">
        <v>21465</v>
      </c>
      <c r="CJ44" s="83">
        <v>19298</v>
      </c>
      <c r="CK44" s="83">
        <v>17695</v>
      </c>
      <c r="CL44" s="83">
        <v>16219</v>
      </c>
      <c r="CM44" s="83">
        <v>15070</v>
      </c>
      <c r="CN44" s="83">
        <v>14211</v>
      </c>
      <c r="CO44" s="83">
        <v>13562</v>
      </c>
      <c r="CP44" s="83">
        <v>12566</v>
      </c>
      <c r="CQ44" s="83">
        <v>12067</v>
      </c>
      <c r="CR44" s="83">
        <v>11403</v>
      </c>
      <c r="CS44" s="83">
        <v>10835</v>
      </c>
      <c r="CT44" s="83">
        <v>10607</v>
      </c>
      <c r="CU44" s="382"/>
    </row>
    <row r="45" spans="1:99" s="86" customFormat="1" x14ac:dyDescent="0.2">
      <c r="A45" s="348">
        <v>103</v>
      </c>
      <c r="B45" s="348">
        <v>33</v>
      </c>
      <c r="C45" s="349" t="s">
        <v>155</v>
      </c>
      <c r="D45" s="374">
        <v>7580</v>
      </c>
      <c r="E45" s="164">
        <f t="shared" si="0"/>
        <v>43007.15</v>
      </c>
      <c r="F45" s="394">
        <f t="shared" si="1"/>
        <v>67.099430265107586</v>
      </c>
      <c r="G45" s="83">
        <v>4641</v>
      </c>
      <c r="H45" s="83">
        <v>4623</v>
      </c>
      <c r="I45" s="83">
        <v>4653</v>
      </c>
      <c r="J45" s="83">
        <v>4654</v>
      </c>
      <c r="K45" s="83">
        <v>4681</v>
      </c>
      <c r="L45" s="83">
        <v>4557</v>
      </c>
      <c r="M45" s="83">
        <v>4539</v>
      </c>
      <c r="N45" s="83">
        <v>4594</v>
      </c>
      <c r="O45" s="83">
        <v>4471</v>
      </c>
      <c r="P45" s="83">
        <v>4571</v>
      </c>
      <c r="Q45" s="83">
        <v>4437</v>
      </c>
      <c r="R45" s="83">
        <v>4425</v>
      </c>
      <c r="S45" s="83">
        <v>4399</v>
      </c>
      <c r="T45" s="83">
        <v>4129</v>
      </c>
      <c r="U45" s="83">
        <v>4407</v>
      </c>
      <c r="V45" s="83">
        <v>4415</v>
      </c>
      <c r="W45" s="83">
        <v>4363</v>
      </c>
      <c r="X45" s="83">
        <v>4239</v>
      </c>
      <c r="Y45" s="83">
        <v>4246</v>
      </c>
      <c r="Z45" s="83">
        <v>4261</v>
      </c>
      <c r="AA45" s="83">
        <v>42191</v>
      </c>
      <c r="AB45" s="83">
        <v>39959</v>
      </c>
      <c r="AC45" s="83">
        <v>37805</v>
      </c>
      <c r="AD45" s="83">
        <v>35604</v>
      </c>
      <c r="AE45" s="83">
        <v>33951</v>
      </c>
      <c r="AF45" s="83">
        <v>32118</v>
      </c>
      <c r="AG45" s="83">
        <v>30392</v>
      </c>
      <c r="AH45" s="83">
        <v>29212</v>
      </c>
      <c r="AI45" s="83">
        <v>27605</v>
      </c>
      <c r="AJ45" s="83">
        <v>26210</v>
      </c>
      <c r="AK45" s="83">
        <v>24911</v>
      </c>
      <c r="AL45" s="83">
        <v>24012</v>
      </c>
      <c r="AM45" s="83">
        <v>23375</v>
      </c>
      <c r="AN45" s="83">
        <v>21925</v>
      </c>
      <c r="AO45" s="83">
        <v>21250</v>
      </c>
      <c r="AP45" s="83">
        <v>20295</v>
      </c>
      <c r="AQ45" s="83">
        <v>19489</v>
      </c>
      <c r="AR45" s="83">
        <v>18646</v>
      </c>
      <c r="AS45" s="83">
        <v>17997</v>
      </c>
      <c r="AT45" s="83">
        <v>17375</v>
      </c>
      <c r="AU45" s="83">
        <v>16627</v>
      </c>
      <c r="AV45" s="83">
        <v>16221</v>
      </c>
      <c r="AW45" s="83">
        <v>15610</v>
      </c>
      <c r="AX45" s="83">
        <v>15193</v>
      </c>
      <c r="AY45" s="83">
        <v>14442</v>
      </c>
      <c r="AZ45" s="83">
        <v>13937</v>
      </c>
      <c r="BA45" s="83">
        <v>13712</v>
      </c>
      <c r="BB45" s="83">
        <v>13135</v>
      </c>
      <c r="BC45" s="83">
        <v>12774</v>
      </c>
      <c r="BD45" s="83">
        <v>12407</v>
      </c>
      <c r="BE45" s="83">
        <v>12013</v>
      </c>
      <c r="BF45" s="83">
        <v>11544</v>
      </c>
      <c r="BG45" s="83">
        <v>11267</v>
      </c>
      <c r="BH45" s="83">
        <v>10905</v>
      </c>
      <c r="BI45" s="83">
        <v>10676</v>
      </c>
      <c r="BJ45" s="83">
        <v>10449</v>
      </c>
      <c r="BK45" s="83">
        <v>10202</v>
      </c>
      <c r="BL45" s="83">
        <v>9791</v>
      </c>
      <c r="BM45" s="83">
        <v>9530</v>
      </c>
      <c r="BN45" s="83">
        <v>9301</v>
      </c>
      <c r="BO45" s="83">
        <v>9237</v>
      </c>
      <c r="BP45" s="83">
        <v>8876</v>
      </c>
      <c r="BQ45" s="83">
        <v>8637</v>
      </c>
      <c r="BR45" s="83">
        <v>8465</v>
      </c>
      <c r="BS45" s="83">
        <v>8288</v>
      </c>
      <c r="BT45" s="83">
        <v>8097</v>
      </c>
      <c r="BU45" s="83">
        <v>7844</v>
      </c>
      <c r="BV45" s="83">
        <v>7672</v>
      </c>
      <c r="BW45" s="83">
        <v>7584</v>
      </c>
      <c r="BX45" s="83">
        <v>7409</v>
      </c>
      <c r="BY45" s="83">
        <v>7229</v>
      </c>
      <c r="BZ45" s="83">
        <v>7197</v>
      </c>
      <c r="CA45" s="83">
        <v>6955</v>
      </c>
      <c r="CB45" s="83">
        <v>6916</v>
      </c>
      <c r="CC45" s="83">
        <v>6545</v>
      </c>
      <c r="CD45" s="83">
        <v>6526</v>
      </c>
      <c r="CE45" s="83">
        <v>6450</v>
      </c>
      <c r="CF45" s="83">
        <v>6179</v>
      </c>
      <c r="CG45" s="83">
        <v>56862</v>
      </c>
      <c r="CH45" s="83">
        <v>48019</v>
      </c>
      <c r="CI45" s="83">
        <v>41240</v>
      </c>
      <c r="CJ45" s="83">
        <v>36125</v>
      </c>
      <c r="CK45" s="83">
        <v>31774</v>
      </c>
      <c r="CL45" s="83">
        <v>29109</v>
      </c>
      <c r="CM45" s="83">
        <v>26507</v>
      </c>
      <c r="CN45" s="83">
        <v>24127</v>
      </c>
      <c r="CO45" s="83">
        <v>22176</v>
      </c>
      <c r="CP45" s="83">
        <v>20730</v>
      </c>
      <c r="CQ45" s="83">
        <v>19181</v>
      </c>
      <c r="CR45" s="83">
        <v>18191</v>
      </c>
      <c r="CS45" s="83">
        <v>16833</v>
      </c>
      <c r="CT45" s="83">
        <v>16074</v>
      </c>
      <c r="CU45" s="382"/>
    </row>
    <row r="46" spans="1:99" s="86" customFormat="1" x14ac:dyDescent="0.2">
      <c r="A46" s="348">
        <v>107</v>
      </c>
      <c r="B46" s="348">
        <v>33</v>
      </c>
      <c r="C46" s="349" t="s">
        <v>156</v>
      </c>
      <c r="D46" s="374">
        <v>1516</v>
      </c>
      <c r="E46" s="164">
        <f t="shared" si="0"/>
        <v>15020.25</v>
      </c>
      <c r="F46" s="394">
        <f t="shared" si="1"/>
        <v>40.37592120115923</v>
      </c>
      <c r="G46" s="83">
        <v>1647</v>
      </c>
      <c r="H46" s="83">
        <v>1668</v>
      </c>
      <c r="I46" s="83">
        <v>1720</v>
      </c>
      <c r="J46" s="83">
        <v>1664</v>
      </c>
      <c r="K46" s="83">
        <v>1652</v>
      </c>
      <c r="L46" s="83">
        <v>1629</v>
      </c>
      <c r="M46" s="83">
        <v>1608</v>
      </c>
      <c r="N46" s="83">
        <v>1640</v>
      </c>
      <c r="O46" s="83">
        <v>1617</v>
      </c>
      <c r="P46" s="83">
        <v>1603</v>
      </c>
      <c r="Q46" s="83">
        <v>1601</v>
      </c>
      <c r="R46" s="83">
        <v>1653</v>
      </c>
      <c r="S46" s="83">
        <v>1623</v>
      </c>
      <c r="T46" s="83">
        <v>1620</v>
      </c>
      <c r="U46" s="83">
        <v>1569</v>
      </c>
      <c r="V46" s="83">
        <v>1568</v>
      </c>
      <c r="W46" s="83">
        <v>1571</v>
      </c>
      <c r="X46" s="83">
        <v>1556</v>
      </c>
      <c r="Y46" s="83">
        <v>1555</v>
      </c>
      <c r="Z46" s="83">
        <v>1486</v>
      </c>
      <c r="AA46" s="83">
        <v>15314</v>
      </c>
      <c r="AB46" s="83">
        <v>14610</v>
      </c>
      <c r="AC46" s="83">
        <v>13944</v>
      </c>
      <c r="AD46" s="83">
        <v>13396</v>
      </c>
      <c r="AE46" s="83">
        <v>12756</v>
      </c>
      <c r="AF46" s="83">
        <v>12328</v>
      </c>
      <c r="AG46" s="83">
        <v>11656</v>
      </c>
      <c r="AH46" s="83">
        <v>11004</v>
      </c>
      <c r="AI46" s="83">
        <v>10545</v>
      </c>
      <c r="AJ46" s="83">
        <v>10144</v>
      </c>
      <c r="AK46" s="83">
        <v>9800</v>
      </c>
      <c r="AL46" s="83">
        <v>9293</v>
      </c>
      <c r="AM46" s="83">
        <v>8965</v>
      </c>
      <c r="AN46" s="83">
        <v>8749</v>
      </c>
      <c r="AO46" s="83">
        <v>8342</v>
      </c>
      <c r="AP46" s="83">
        <v>7899</v>
      </c>
      <c r="AQ46" s="83">
        <v>7735</v>
      </c>
      <c r="AR46" s="83">
        <v>7501</v>
      </c>
      <c r="AS46" s="83">
        <v>7240</v>
      </c>
      <c r="AT46" s="83">
        <v>7012</v>
      </c>
      <c r="AU46" s="83">
        <v>6808</v>
      </c>
      <c r="AV46" s="83">
        <v>6596</v>
      </c>
      <c r="AW46" s="83">
        <v>6382</v>
      </c>
      <c r="AX46" s="83">
        <v>6137</v>
      </c>
      <c r="AY46" s="83">
        <v>5713</v>
      </c>
      <c r="AZ46" s="83">
        <v>5918</v>
      </c>
      <c r="BA46" s="83">
        <v>5701</v>
      </c>
      <c r="BB46" s="83">
        <v>5561</v>
      </c>
      <c r="BC46" s="83">
        <v>5477</v>
      </c>
      <c r="BD46" s="83">
        <v>5251</v>
      </c>
      <c r="BE46" s="83">
        <v>5142</v>
      </c>
      <c r="BF46" s="83">
        <v>5029</v>
      </c>
      <c r="BG46" s="83">
        <v>4981</v>
      </c>
      <c r="BH46" s="83">
        <v>4730</v>
      </c>
      <c r="BI46" s="83">
        <v>4646</v>
      </c>
      <c r="BJ46" s="83">
        <v>4534</v>
      </c>
      <c r="BK46" s="83">
        <v>4464</v>
      </c>
      <c r="BL46" s="83">
        <v>4308</v>
      </c>
      <c r="BM46" s="83">
        <v>4311</v>
      </c>
      <c r="BN46" s="83">
        <v>4142</v>
      </c>
      <c r="BO46" s="83">
        <v>4111</v>
      </c>
      <c r="BP46" s="83">
        <v>4015</v>
      </c>
      <c r="BQ46" s="83">
        <v>3864</v>
      </c>
      <c r="BR46" s="83">
        <v>3906</v>
      </c>
      <c r="BS46" s="83">
        <v>3808</v>
      </c>
      <c r="BT46" s="83">
        <v>3689</v>
      </c>
      <c r="BU46" s="83">
        <v>3628</v>
      </c>
      <c r="BV46" s="83">
        <v>3547</v>
      </c>
      <c r="BW46" s="83">
        <v>3515</v>
      </c>
      <c r="BX46" s="83">
        <v>3437</v>
      </c>
      <c r="BY46" s="83">
        <v>3377</v>
      </c>
      <c r="BZ46" s="83">
        <v>3359</v>
      </c>
      <c r="CA46" s="83">
        <v>3221</v>
      </c>
      <c r="CB46" s="83">
        <v>3196</v>
      </c>
      <c r="CC46" s="83">
        <v>3183</v>
      </c>
      <c r="CD46" s="83">
        <v>3114</v>
      </c>
      <c r="CE46" s="83">
        <v>3054</v>
      </c>
      <c r="CF46" s="83">
        <v>3028</v>
      </c>
      <c r="CG46" s="83">
        <v>27779</v>
      </c>
      <c r="CH46" s="83">
        <v>24440</v>
      </c>
      <c r="CI46" s="83">
        <v>22051</v>
      </c>
      <c r="CJ46" s="83">
        <v>19995</v>
      </c>
      <c r="CK46" s="83">
        <v>18024</v>
      </c>
      <c r="CL46" s="83">
        <v>16701</v>
      </c>
      <c r="CM46" s="83">
        <v>15645</v>
      </c>
      <c r="CN46" s="83">
        <v>14714</v>
      </c>
      <c r="CO46" s="83">
        <v>13945</v>
      </c>
      <c r="CP46" s="83">
        <v>13028</v>
      </c>
      <c r="CQ46" s="83">
        <v>12468</v>
      </c>
      <c r="CR46" s="83">
        <v>11880</v>
      </c>
      <c r="CS46" s="83">
        <v>11259</v>
      </c>
      <c r="CT46" s="83">
        <v>10836</v>
      </c>
      <c r="CU46" s="382"/>
    </row>
    <row r="47" spans="1:99" s="86" customFormat="1" x14ac:dyDescent="0.2">
      <c r="A47" s="348">
        <v>112</v>
      </c>
      <c r="B47" s="348">
        <v>33</v>
      </c>
      <c r="C47" s="349" t="s">
        <v>155</v>
      </c>
      <c r="D47" s="374">
        <v>11370</v>
      </c>
      <c r="E47" s="164">
        <f t="shared" si="0"/>
        <v>50809.599999999999</v>
      </c>
      <c r="F47" s="394">
        <f t="shared" si="1"/>
        <v>72.883236337287954</v>
      </c>
      <c r="G47" s="83">
        <v>5406</v>
      </c>
      <c r="H47" s="83">
        <v>5397</v>
      </c>
      <c r="I47" s="83">
        <v>5380</v>
      </c>
      <c r="J47" s="83">
        <v>5358</v>
      </c>
      <c r="K47" s="83">
        <v>5445</v>
      </c>
      <c r="L47" s="83">
        <v>5382</v>
      </c>
      <c r="M47" s="83">
        <v>5384</v>
      </c>
      <c r="N47" s="83">
        <v>5407</v>
      </c>
      <c r="O47" s="83">
        <v>5176</v>
      </c>
      <c r="P47" s="83">
        <v>5267</v>
      </c>
      <c r="Q47" s="83">
        <v>5327</v>
      </c>
      <c r="R47" s="83">
        <v>5244</v>
      </c>
      <c r="S47" s="83">
        <v>5334</v>
      </c>
      <c r="T47" s="83">
        <v>5218</v>
      </c>
      <c r="U47" s="83">
        <v>5164</v>
      </c>
      <c r="V47" s="83">
        <v>5155</v>
      </c>
      <c r="W47" s="83">
        <v>5035</v>
      </c>
      <c r="X47" s="83">
        <v>5117</v>
      </c>
      <c r="Y47" s="83">
        <v>5031</v>
      </c>
      <c r="Z47" s="83">
        <v>5130</v>
      </c>
      <c r="AA47" s="83">
        <v>49569</v>
      </c>
      <c r="AB47" s="83">
        <v>46941</v>
      </c>
      <c r="AC47" s="83">
        <v>44744</v>
      </c>
      <c r="AD47" s="83">
        <v>42101</v>
      </c>
      <c r="AE47" s="83">
        <v>40095</v>
      </c>
      <c r="AF47" s="83">
        <v>38041</v>
      </c>
      <c r="AG47" s="83">
        <v>36099</v>
      </c>
      <c r="AH47" s="83">
        <v>34189</v>
      </c>
      <c r="AI47" s="83">
        <v>32493</v>
      </c>
      <c r="AJ47" s="83">
        <v>31136</v>
      </c>
      <c r="AK47" s="83">
        <v>29652</v>
      </c>
      <c r="AL47" s="83">
        <v>28271</v>
      </c>
      <c r="AM47" s="83">
        <v>27107</v>
      </c>
      <c r="AN47" s="83">
        <v>25865</v>
      </c>
      <c r="AO47" s="83">
        <v>24720</v>
      </c>
      <c r="AP47" s="83">
        <v>23836</v>
      </c>
      <c r="AQ47" s="83">
        <v>22843</v>
      </c>
      <c r="AR47" s="83">
        <v>21868</v>
      </c>
      <c r="AS47" s="83">
        <v>20975</v>
      </c>
      <c r="AT47" s="83">
        <v>20295</v>
      </c>
      <c r="AU47" s="83">
        <v>19608</v>
      </c>
      <c r="AV47" s="83">
        <v>18951</v>
      </c>
      <c r="AW47" s="83">
        <v>18187</v>
      </c>
      <c r="AX47" s="83">
        <v>17529</v>
      </c>
      <c r="AY47" s="83">
        <v>16780</v>
      </c>
      <c r="AZ47" s="83">
        <v>16537</v>
      </c>
      <c r="BA47" s="83">
        <v>15766</v>
      </c>
      <c r="BB47" s="83">
        <v>15227</v>
      </c>
      <c r="BC47" s="83">
        <v>14818</v>
      </c>
      <c r="BD47" s="83">
        <v>14365</v>
      </c>
      <c r="BE47" s="83">
        <v>13988</v>
      </c>
      <c r="BF47" s="83">
        <v>13752</v>
      </c>
      <c r="BG47" s="83">
        <v>13168</v>
      </c>
      <c r="BH47" s="83">
        <v>12794</v>
      </c>
      <c r="BI47" s="83">
        <v>12368</v>
      </c>
      <c r="BJ47" s="83">
        <v>12158</v>
      </c>
      <c r="BK47" s="83">
        <v>11767</v>
      </c>
      <c r="BL47" s="83">
        <v>11416</v>
      </c>
      <c r="BM47" s="83">
        <v>11143</v>
      </c>
      <c r="BN47" s="83">
        <v>10854</v>
      </c>
      <c r="BO47" s="83">
        <v>10422</v>
      </c>
      <c r="BP47" s="83">
        <v>10514</v>
      </c>
      <c r="BQ47" s="83">
        <v>10249</v>
      </c>
      <c r="BR47" s="83">
        <v>9913</v>
      </c>
      <c r="BS47" s="83">
        <v>9593</v>
      </c>
      <c r="BT47" s="83">
        <v>9314</v>
      </c>
      <c r="BU47" s="83">
        <v>9127</v>
      </c>
      <c r="BV47" s="83">
        <v>8980</v>
      </c>
      <c r="BW47" s="83">
        <v>8893</v>
      </c>
      <c r="BX47" s="83">
        <v>8544</v>
      </c>
      <c r="BY47" s="83">
        <v>8524</v>
      </c>
      <c r="BZ47" s="83">
        <v>8225</v>
      </c>
      <c r="CA47" s="83">
        <v>8092</v>
      </c>
      <c r="CB47" s="83">
        <v>7910</v>
      </c>
      <c r="CC47" s="83">
        <v>7759</v>
      </c>
      <c r="CD47" s="83">
        <v>7590</v>
      </c>
      <c r="CE47" s="83">
        <v>7442</v>
      </c>
      <c r="CF47" s="83">
        <v>7313</v>
      </c>
      <c r="CG47" s="83">
        <v>65916</v>
      </c>
      <c r="CH47" s="83">
        <v>55891</v>
      </c>
      <c r="CI47" s="83">
        <v>48114</v>
      </c>
      <c r="CJ47" s="83">
        <v>42320</v>
      </c>
      <c r="CK47" s="83">
        <v>37283</v>
      </c>
      <c r="CL47" s="83">
        <v>33507</v>
      </c>
      <c r="CM47" s="83">
        <v>30420</v>
      </c>
      <c r="CN47" s="83">
        <v>27964</v>
      </c>
      <c r="CO47" s="83">
        <v>25610</v>
      </c>
      <c r="CP47" s="83">
        <v>23707</v>
      </c>
      <c r="CQ47" s="83">
        <v>21996</v>
      </c>
      <c r="CR47" s="83">
        <v>20631</v>
      </c>
      <c r="CS47" s="83">
        <v>19262</v>
      </c>
      <c r="CT47" s="83">
        <v>18116</v>
      </c>
      <c r="CU47" s="382"/>
    </row>
    <row r="48" spans="1:99" s="86" customFormat="1" x14ac:dyDescent="0.2">
      <c r="A48" s="348">
        <v>116</v>
      </c>
      <c r="B48" s="348">
        <v>33</v>
      </c>
      <c r="C48" s="349" t="s">
        <v>156</v>
      </c>
      <c r="D48" s="374">
        <v>1516</v>
      </c>
      <c r="E48" s="164">
        <f t="shared" si="0"/>
        <v>15072.25</v>
      </c>
      <c r="F48" s="394">
        <f t="shared" si="1"/>
        <v>40.514456243173363</v>
      </c>
      <c r="G48" s="83">
        <v>1635</v>
      </c>
      <c r="H48" s="83">
        <v>1683</v>
      </c>
      <c r="I48" s="83">
        <v>1724</v>
      </c>
      <c r="J48" s="83">
        <v>1635</v>
      </c>
      <c r="K48" s="83">
        <v>1610</v>
      </c>
      <c r="L48" s="83">
        <v>1625</v>
      </c>
      <c r="M48" s="83">
        <v>1621</v>
      </c>
      <c r="N48" s="83">
        <v>1628</v>
      </c>
      <c r="O48" s="83">
        <v>1569</v>
      </c>
      <c r="P48" s="83">
        <v>1611</v>
      </c>
      <c r="Q48" s="83">
        <v>1620</v>
      </c>
      <c r="R48" s="83">
        <v>1650</v>
      </c>
      <c r="S48" s="83">
        <v>1608</v>
      </c>
      <c r="T48" s="83">
        <v>1600</v>
      </c>
      <c r="U48" s="83">
        <v>1595</v>
      </c>
      <c r="V48" s="83">
        <v>1602</v>
      </c>
      <c r="W48" s="83">
        <v>1791</v>
      </c>
      <c r="X48" s="83">
        <v>1567</v>
      </c>
      <c r="Y48" s="83">
        <v>1536</v>
      </c>
      <c r="Z48" s="83">
        <v>1576</v>
      </c>
      <c r="AA48" s="83">
        <v>15354</v>
      </c>
      <c r="AB48" s="83">
        <v>14709</v>
      </c>
      <c r="AC48" s="83">
        <v>13891</v>
      </c>
      <c r="AD48" s="83">
        <v>13368</v>
      </c>
      <c r="AE48" s="83">
        <v>12616</v>
      </c>
      <c r="AF48" s="83">
        <v>12254</v>
      </c>
      <c r="AG48" s="83">
        <v>11627</v>
      </c>
      <c r="AH48" s="83">
        <v>11331</v>
      </c>
      <c r="AI48" s="83">
        <v>10591</v>
      </c>
      <c r="AJ48" s="83">
        <v>10151</v>
      </c>
      <c r="AK48" s="83">
        <v>9790</v>
      </c>
      <c r="AL48" s="83">
        <v>9384</v>
      </c>
      <c r="AM48" s="83">
        <v>9149</v>
      </c>
      <c r="AN48" s="83">
        <v>8736</v>
      </c>
      <c r="AO48" s="83">
        <v>8454</v>
      </c>
      <c r="AP48" s="83">
        <v>8114</v>
      </c>
      <c r="AQ48" s="83">
        <v>7947</v>
      </c>
      <c r="AR48" s="83">
        <v>7642</v>
      </c>
      <c r="AS48" s="83">
        <v>7298</v>
      </c>
      <c r="AT48" s="83">
        <v>6974</v>
      </c>
      <c r="AU48" s="83">
        <v>6844</v>
      </c>
      <c r="AV48" s="83">
        <v>6587</v>
      </c>
      <c r="AW48" s="83">
        <v>6474</v>
      </c>
      <c r="AX48" s="83">
        <v>6187</v>
      </c>
      <c r="AY48" s="83">
        <v>6128</v>
      </c>
      <c r="AZ48" s="83">
        <v>6047</v>
      </c>
      <c r="BA48" s="83">
        <v>5757</v>
      </c>
      <c r="BB48" s="83">
        <v>5672</v>
      </c>
      <c r="BC48" s="83">
        <v>5549</v>
      </c>
      <c r="BD48" s="83">
        <v>5503</v>
      </c>
      <c r="BE48" s="83">
        <v>5246</v>
      </c>
      <c r="BF48" s="83">
        <v>5113</v>
      </c>
      <c r="BG48" s="83">
        <v>5042</v>
      </c>
      <c r="BH48" s="83">
        <v>4768</v>
      </c>
      <c r="BI48" s="83">
        <v>4617</v>
      </c>
      <c r="BJ48" s="83">
        <v>4618</v>
      </c>
      <c r="BK48" s="83">
        <v>4482</v>
      </c>
      <c r="BL48" s="83">
        <v>4537</v>
      </c>
      <c r="BM48" s="83">
        <v>4349</v>
      </c>
      <c r="BN48" s="83">
        <v>4310</v>
      </c>
      <c r="BO48" s="83">
        <v>4136</v>
      </c>
      <c r="BP48" s="83">
        <v>4037</v>
      </c>
      <c r="BQ48" s="83">
        <v>4050</v>
      </c>
      <c r="BR48" s="83">
        <v>3980</v>
      </c>
      <c r="BS48" s="83">
        <v>3835</v>
      </c>
      <c r="BT48" s="83">
        <v>3758</v>
      </c>
      <c r="BU48" s="83">
        <v>3749</v>
      </c>
      <c r="BV48" s="83">
        <v>3647</v>
      </c>
      <c r="BW48" s="83">
        <v>3594</v>
      </c>
      <c r="BX48" s="83">
        <v>3574</v>
      </c>
      <c r="BY48" s="83">
        <v>3438</v>
      </c>
      <c r="BZ48" s="83">
        <v>3454</v>
      </c>
      <c r="CA48" s="83">
        <v>3353</v>
      </c>
      <c r="CB48" s="83">
        <v>3289</v>
      </c>
      <c r="CC48" s="83">
        <v>3252</v>
      </c>
      <c r="CD48" s="83">
        <v>3172</v>
      </c>
      <c r="CE48" s="83">
        <v>3142</v>
      </c>
      <c r="CF48" s="83">
        <v>3147</v>
      </c>
      <c r="CG48" s="83">
        <v>28891</v>
      </c>
      <c r="CH48" s="83">
        <v>25397</v>
      </c>
      <c r="CI48" s="83">
        <v>22615</v>
      </c>
      <c r="CJ48" s="83">
        <v>20693</v>
      </c>
      <c r="CK48" s="83">
        <v>19022</v>
      </c>
      <c r="CL48" s="83">
        <v>17434</v>
      </c>
      <c r="CM48" s="83">
        <v>16365</v>
      </c>
      <c r="CN48" s="83">
        <v>15375</v>
      </c>
      <c r="CO48" s="83">
        <v>14522</v>
      </c>
      <c r="CP48" s="83">
        <v>13666</v>
      </c>
      <c r="CQ48" s="83">
        <v>12892</v>
      </c>
      <c r="CR48" s="83">
        <v>12513</v>
      </c>
      <c r="CS48" s="83">
        <v>11992</v>
      </c>
      <c r="CT48" s="83">
        <v>11423</v>
      </c>
      <c r="CU48" s="382"/>
    </row>
    <row r="49" spans="1:99" s="86" customFormat="1" x14ac:dyDescent="0.2">
      <c r="A49" s="348">
        <v>121</v>
      </c>
      <c r="B49" s="348">
        <v>33</v>
      </c>
      <c r="C49" s="349" t="s">
        <v>155</v>
      </c>
      <c r="D49" s="374">
        <v>0</v>
      </c>
      <c r="E49" s="164">
        <f t="shared" si="0"/>
        <v>386.25</v>
      </c>
      <c r="F49" s="394">
        <f t="shared" si="1"/>
        <v>8.1175009029515852</v>
      </c>
      <c r="G49" s="83">
        <v>72</v>
      </c>
      <c r="H49" s="83">
        <v>59</v>
      </c>
      <c r="I49" s="83">
        <v>64</v>
      </c>
      <c r="J49" s="83">
        <v>64</v>
      </c>
      <c r="K49" s="83">
        <v>58</v>
      </c>
      <c r="L49" s="83">
        <v>63</v>
      </c>
      <c r="M49" s="83">
        <v>76</v>
      </c>
      <c r="N49" s="83">
        <v>66</v>
      </c>
      <c r="O49" s="83">
        <v>70</v>
      </c>
      <c r="P49" s="83">
        <v>76</v>
      </c>
      <c r="Q49" s="83">
        <v>67</v>
      </c>
      <c r="R49" s="83">
        <v>68</v>
      </c>
      <c r="S49" s="83">
        <v>68</v>
      </c>
      <c r="T49" s="83">
        <v>69</v>
      </c>
      <c r="U49" s="83">
        <v>63</v>
      </c>
      <c r="V49" s="83">
        <v>51</v>
      </c>
      <c r="W49" s="83">
        <v>54</v>
      </c>
      <c r="X49" s="83">
        <v>61</v>
      </c>
      <c r="Y49" s="83">
        <v>67</v>
      </c>
      <c r="Z49" s="83">
        <v>62</v>
      </c>
      <c r="AA49" s="83">
        <v>628</v>
      </c>
      <c r="AB49" s="83">
        <v>649</v>
      </c>
      <c r="AC49" s="83">
        <v>631</v>
      </c>
      <c r="AD49" s="83">
        <v>629</v>
      </c>
      <c r="AE49" s="83">
        <v>635</v>
      </c>
      <c r="AF49" s="83">
        <v>627</v>
      </c>
      <c r="AG49" s="83">
        <v>586</v>
      </c>
      <c r="AH49" s="83">
        <v>589</v>
      </c>
      <c r="AI49" s="83">
        <v>555</v>
      </c>
      <c r="AJ49" s="83">
        <v>568</v>
      </c>
      <c r="AK49" s="83">
        <v>536</v>
      </c>
      <c r="AL49" s="83">
        <v>529</v>
      </c>
      <c r="AM49" s="83">
        <v>526</v>
      </c>
      <c r="AN49" s="83">
        <v>550</v>
      </c>
      <c r="AO49" s="83">
        <v>531</v>
      </c>
      <c r="AP49" s="83">
        <v>525</v>
      </c>
      <c r="AQ49" s="83">
        <v>500</v>
      </c>
      <c r="AR49" s="83">
        <v>471</v>
      </c>
      <c r="AS49" s="83">
        <v>465</v>
      </c>
      <c r="AT49" s="83">
        <v>494</v>
      </c>
      <c r="AU49" s="83">
        <v>462</v>
      </c>
      <c r="AV49" s="83">
        <v>464</v>
      </c>
      <c r="AW49" s="83">
        <v>489</v>
      </c>
      <c r="AX49" s="83">
        <v>469</v>
      </c>
      <c r="AY49" s="83">
        <v>452</v>
      </c>
      <c r="AZ49" s="83">
        <v>469</v>
      </c>
      <c r="BA49" s="83">
        <v>427</v>
      </c>
      <c r="BB49" s="83">
        <v>440</v>
      </c>
      <c r="BC49" s="83">
        <v>437</v>
      </c>
      <c r="BD49" s="83">
        <v>446</v>
      </c>
      <c r="BE49" s="83">
        <v>432</v>
      </c>
      <c r="BF49" s="83">
        <v>450</v>
      </c>
      <c r="BG49" s="83">
        <v>390</v>
      </c>
      <c r="BH49" s="83">
        <v>449</v>
      </c>
      <c r="BI49" s="83">
        <v>396</v>
      </c>
      <c r="BJ49" s="83">
        <v>414</v>
      </c>
      <c r="BK49" s="83">
        <v>419</v>
      </c>
      <c r="BL49" s="83">
        <v>404</v>
      </c>
      <c r="BM49" s="83">
        <v>409</v>
      </c>
      <c r="BN49" s="83">
        <v>401</v>
      </c>
      <c r="BO49" s="83">
        <v>403</v>
      </c>
      <c r="BP49" s="83">
        <v>379</v>
      </c>
      <c r="BQ49" s="83">
        <v>363</v>
      </c>
      <c r="BR49" s="83">
        <v>380</v>
      </c>
      <c r="BS49" s="83">
        <v>337</v>
      </c>
      <c r="BT49" s="83">
        <v>374</v>
      </c>
      <c r="BU49" s="83">
        <v>378</v>
      </c>
      <c r="BV49" s="83">
        <v>398</v>
      </c>
      <c r="BW49" s="83">
        <v>380</v>
      </c>
      <c r="BX49" s="83">
        <v>378</v>
      </c>
      <c r="BY49" s="83">
        <v>355</v>
      </c>
      <c r="BZ49" s="83">
        <v>365</v>
      </c>
      <c r="CA49" s="83">
        <v>380</v>
      </c>
      <c r="CB49" s="83">
        <v>362</v>
      </c>
      <c r="CC49" s="83">
        <v>363</v>
      </c>
      <c r="CD49" s="83">
        <v>369</v>
      </c>
      <c r="CE49" s="83">
        <v>358</v>
      </c>
      <c r="CF49" s="83">
        <v>344</v>
      </c>
      <c r="CG49" s="83">
        <v>3473</v>
      </c>
      <c r="CH49" s="83">
        <v>3385</v>
      </c>
      <c r="CI49" s="83">
        <v>3168</v>
      </c>
      <c r="CJ49" s="83">
        <v>3175</v>
      </c>
      <c r="CK49" s="83">
        <v>2978</v>
      </c>
      <c r="CL49" s="83">
        <v>2890</v>
      </c>
      <c r="CM49" s="83">
        <v>2840</v>
      </c>
      <c r="CN49" s="83">
        <v>2755</v>
      </c>
      <c r="CO49" s="83">
        <v>2746</v>
      </c>
      <c r="CP49" s="83">
        <v>2727</v>
      </c>
      <c r="CQ49" s="83">
        <v>2711</v>
      </c>
      <c r="CR49" s="83">
        <v>2713</v>
      </c>
      <c r="CS49" s="83">
        <v>2620</v>
      </c>
      <c r="CT49" s="83">
        <v>2635</v>
      </c>
      <c r="CU49" s="382"/>
    </row>
    <row r="50" spans="1:99" s="86" customFormat="1" x14ac:dyDescent="0.2">
      <c r="A50" s="348">
        <v>125</v>
      </c>
      <c r="B50" s="348">
        <v>33</v>
      </c>
      <c r="C50" s="349" t="s">
        <v>156</v>
      </c>
      <c r="D50" s="374">
        <v>1516</v>
      </c>
      <c r="E50" s="164">
        <f t="shared" si="0"/>
        <v>13198.85</v>
      </c>
      <c r="F50" s="394">
        <f t="shared" si="1"/>
        <v>37.40905799332733</v>
      </c>
      <c r="G50" s="83">
        <v>1433</v>
      </c>
      <c r="H50" s="83">
        <v>1427</v>
      </c>
      <c r="I50" s="83">
        <v>1412</v>
      </c>
      <c r="J50" s="83">
        <v>1415</v>
      </c>
      <c r="K50" s="83">
        <v>1422</v>
      </c>
      <c r="L50" s="83">
        <v>1443</v>
      </c>
      <c r="M50" s="83">
        <v>1408</v>
      </c>
      <c r="N50" s="83">
        <v>1389</v>
      </c>
      <c r="O50" s="83">
        <v>1429</v>
      </c>
      <c r="P50" s="83">
        <v>1397</v>
      </c>
      <c r="Q50" s="83">
        <v>1372</v>
      </c>
      <c r="R50" s="83">
        <v>1382</v>
      </c>
      <c r="S50" s="83">
        <v>1370</v>
      </c>
      <c r="T50" s="83">
        <v>1376</v>
      </c>
      <c r="U50" s="83">
        <v>1382</v>
      </c>
      <c r="V50" s="83">
        <v>1336</v>
      </c>
      <c r="W50" s="83">
        <v>1394</v>
      </c>
      <c r="X50" s="83">
        <v>1334</v>
      </c>
      <c r="Y50" s="83">
        <v>1335</v>
      </c>
      <c r="Z50" s="83">
        <v>1289</v>
      </c>
      <c r="AA50" s="83">
        <v>13200</v>
      </c>
      <c r="AB50" s="83">
        <v>12421</v>
      </c>
      <c r="AC50" s="83">
        <v>11880</v>
      </c>
      <c r="AD50" s="83">
        <v>11315</v>
      </c>
      <c r="AE50" s="83">
        <v>10682</v>
      </c>
      <c r="AF50" s="83">
        <v>10209</v>
      </c>
      <c r="AG50" s="83">
        <v>9810</v>
      </c>
      <c r="AH50" s="83">
        <v>9106</v>
      </c>
      <c r="AI50" s="83">
        <v>8804</v>
      </c>
      <c r="AJ50" s="83">
        <v>8374</v>
      </c>
      <c r="AK50" s="83">
        <v>8131</v>
      </c>
      <c r="AL50" s="83">
        <v>7642</v>
      </c>
      <c r="AM50" s="83">
        <v>7327</v>
      </c>
      <c r="AN50" s="83">
        <v>7046</v>
      </c>
      <c r="AO50" s="83">
        <v>6835</v>
      </c>
      <c r="AP50" s="83">
        <v>6541</v>
      </c>
      <c r="AQ50" s="83">
        <v>6389</v>
      </c>
      <c r="AR50" s="83">
        <v>5989</v>
      </c>
      <c r="AS50" s="83">
        <v>5781</v>
      </c>
      <c r="AT50" s="83">
        <v>5634</v>
      </c>
      <c r="AU50" s="83">
        <v>5491</v>
      </c>
      <c r="AV50" s="83">
        <v>5313</v>
      </c>
      <c r="AW50" s="83">
        <v>5110</v>
      </c>
      <c r="AX50" s="83">
        <v>4896</v>
      </c>
      <c r="AY50" s="83">
        <v>4736</v>
      </c>
      <c r="AZ50" s="83">
        <v>4734</v>
      </c>
      <c r="BA50" s="83">
        <v>4431</v>
      </c>
      <c r="BB50" s="83">
        <v>4353</v>
      </c>
      <c r="BC50" s="83">
        <v>4267</v>
      </c>
      <c r="BD50" s="83">
        <v>4205</v>
      </c>
      <c r="BE50" s="83">
        <v>3940</v>
      </c>
      <c r="BF50" s="83">
        <v>3919</v>
      </c>
      <c r="BG50" s="83">
        <v>3800</v>
      </c>
      <c r="BH50" s="83">
        <v>3677</v>
      </c>
      <c r="BI50" s="83">
        <v>3544</v>
      </c>
      <c r="BJ50" s="83">
        <v>3425</v>
      </c>
      <c r="BK50" s="83">
        <v>3373</v>
      </c>
      <c r="BL50" s="83">
        <v>3359</v>
      </c>
      <c r="BM50" s="83">
        <v>3244</v>
      </c>
      <c r="BN50" s="83">
        <v>3184</v>
      </c>
      <c r="BO50" s="83">
        <v>3101</v>
      </c>
      <c r="BP50" s="83">
        <v>2986</v>
      </c>
      <c r="BQ50" s="83">
        <v>2961</v>
      </c>
      <c r="BR50" s="83">
        <v>2985</v>
      </c>
      <c r="BS50" s="83">
        <v>2775</v>
      </c>
      <c r="BT50" s="83">
        <v>2812</v>
      </c>
      <c r="BU50" s="83">
        <v>2725</v>
      </c>
      <c r="BV50" s="83">
        <v>2609</v>
      </c>
      <c r="BW50" s="83">
        <v>2547</v>
      </c>
      <c r="BX50" s="83">
        <v>2524</v>
      </c>
      <c r="BY50" s="83">
        <v>2511</v>
      </c>
      <c r="BZ50" s="83">
        <v>2444</v>
      </c>
      <c r="CA50" s="83">
        <v>2376</v>
      </c>
      <c r="CB50" s="83">
        <v>2355</v>
      </c>
      <c r="CC50" s="83">
        <v>2269</v>
      </c>
      <c r="CD50" s="83">
        <v>2259</v>
      </c>
      <c r="CE50" s="83">
        <v>2248</v>
      </c>
      <c r="CF50" s="83">
        <v>2151</v>
      </c>
      <c r="CG50" s="83">
        <v>19730</v>
      </c>
      <c r="CH50" s="83">
        <v>17127</v>
      </c>
      <c r="CI50" s="83">
        <v>15065</v>
      </c>
      <c r="CJ50" s="83">
        <v>13240</v>
      </c>
      <c r="CK50" s="83">
        <v>11963</v>
      </c>
      <c r="CL50" s="83">
        <v>11004</v>
      </c>
      <c r="CM50" s="83">
        <v>9880</v>
      </c>
      <c r="CN50" s="83">
        <v>9205</v>
      </c>
      <c r="CO50" s="83">
        <v>8577</v>
      </c>
      <c r="CP50" s="83">
        <v>8134</v>
      </c>
      <c r="CQ50" s="83">
        <v>7608</v>
      </c>
      <c r="CR50" s="83">
        <v>7146</v>
      </c>
      <c r="CS50" s="83">
        <v>6878</v>
      </c>
      <c r="CT50" s="83">
        <v>6595</v>
      </c>
      <c r="CU50" s="382"/>
    </row>
    <row r="51" spans="1:99" s="86" customFormat="1" x14ac:dyDescent="0.2">
      <c r="A51" s="348">
        <v>130</v>
      </c>
      <c r="B51" s="348">
        <v>33</v>
      </c>
      <c r="C51" s="349" t="s">
        <v>155</v>
      </c>
      <c r="D51" s="374">
        <v>3790</v>
      </c>
      <c r="E51" s="164">
        <f t="shared" si="0"/>
        <v>25993.3</v>
      </c>
      <c r="F51" s="394">
        <f t="shared" si="1"/>
        <v>52.228918353181491</v>
      </c>
      <c r="G51" s="83">
        <v>2838</v>
      </c>
      <c r="H51" s="83">
        <v>2789</v>
      </c>
      <c r="I51" s="83">
        <v>2772</v>
      </c>
      <c r="J51" s="83">
        <v>2744</v>
      </c>
      <c r="K51" s="83">
        <v>2727</v>
      </c>
      <c r="L51" s="83">
        <v>2788</v>
      </c>
      <c r="M51" s="83">
        <v>2813</v>
      </c>
      <c r="N51" s="83">
        <v>2747</v>
      </c>
      <c r="O51" s="83">
        <v>2744</v>
      </c>
      <c r="P51" s="83">
        <v>2681</v>
      </c>
      <c r="Q51" s="83">
        <v>2675</v>
      </c>
      <c r="R51" s="83">
        <v>2660</v>
      </c>
      <c r="S51" s="83">
        <v>2625</v>
      </c>
      <c r="T51" s="83">
        <v>2717</v>
      </c>
      <c r="U51" s="83">
        <v>2617</v>
      </c>
      <c r="V51" s="83">
        <v>2815</v>
      </c>
      <c r="W51" s="83">
        <v>2633</v>
      </c>
      <c r="X51" s="83">
        <v>2563</v>
      </c>
      <c r="Y51" s="83">
        <v>2566</v>
      </c>
      <c r="Z51" s="83">
        <v>2596</v>
      </c>
      <c r="AA51" s="83">
        <v>25352</v>
      </c>
      <c r="AB51" s="83">
        <v>24126</v>
      </c>
      <c r="AC51" s="83">
        <v>22914</v>
      </c>
      <c r="AD51" s="83">
        <v>21609</v>
      </c>
      <c r="AE51" s="83">
        <v>20755</v>
      </c>
      <c r="AF51" s="83">
        <v>19455</v>
      </c>
      <c r="AG51" s="83">
        <v>18552</v>
      </c>
      <c r="AH51" s="83">
        <v>17615</v>
      </c>
      <c r="AI51" s="83">
        <v>16794</v>
      </c>
      <c r="AJ51" s="83">
        <v>16252</v>
      </c>
      <c r="AK51" s="83">
        <v>15231</v>
      </c>
      <c r="AL51" s="83">
        <v>14621</v>
      </c>
      <c r="AM51" s="83">
        <v>14061</v>
      </c>
      <c r="AN51" s="83">
        <v>13552</v>
      </c>
      <c r="AO51" s="83">
        <v>12881</v>
      </c>
      <c r="AP51" s="83">
        <v>12313</v>
      </c>
      <c r="AQ51" s="83">
        <v>12029</v>
      </c>
      <c r="AR51" s="83">
        <v>11612</v>
      </c>
      <c r="AS51" s="83">
        <v>11046</v>
      </c>
      <c r="AT51" s="83">
        <v>10722</v>
      </c>
      <c r="AU51" s="83">
        <v>10279</v>
      </c>
      <c r="AV51" s="83">
        <v>9925</v>
      </c>
      <c r="AW51" s="83">
        <v>9615</v>
      </c>
      <c r="AX51" s="83">
        <v>9258</v>
      </c>
      <c r="AY51" s="83">
        <v>8925</v>
      </c>
      <c r="AZ51" s="83">
        <v>8664</v>
      </c>
      <c r="BA51" s="83">
        <v>8246</v>
      </c>
      <c r="BB51" s="83">
        <v>8120</v>
      </c>
      <c r="BC51" s="83">
        <v>7962</v>
      </c>
      <c r="BD51" s="83">
        <v>7649</v>
      </c>
      <c r="BE51" s="83">
        <v>7363</v>
      </c>
      <c r="BF51" s="83">
        <v>7122</v>
      </c>
      <c r="BG51" s="83">
        <v>6960</v>
      </c>
      <c r="BH51" s="83">
        <v>6755</v>
      </c>
      <c r="BI51" s="83">
        <v>6670</v>
      </c>
      <c r="BJ51" s="83">
        <v>6432</v>
      </c>
      <c r="BK51" s="83">
        <v>6204</v>
      </c>
      <c r="BL51" s="83">
        <v>6064</v>
      </c>
      <c r="BM51" s="83">
        <v>5992</v>
      </c>
      <c r="BN51" s="83">
        <v>5834</v>
      </c>
      <c r="BO51" s="83">
        <v>5595</v>
      </c>
      <c r="BP51" s="83">
        <v>5559</v>
      </c>
      <c r="BQ51" s="83">
        <v>5439</v>
      </c>
      <c r="BR51" s="83">
        <v>5301</v>
      </c>
      <c r="BS51" s="83">
        <v>5160</v>
      </c>
      <c r="BT51" s="83">
        <v>5025</v>
      </c>
      <c r="BU51" s="83">
        <v>4935</v>
      </c>
      <c r="BV51" s="83">
        <v>4907</v>
      </c>
      <c r="BW51" s="83">
        <v>4745</v>
      </c>
      <c r="BX51" s="83">
        <v>4637</v>
      </c>
      <c r="BY51" s="83">
        <v>4582</v>
      </c>
      <c r="BZ51" s="83">
        <v>4468</v>
      </c>
      <c r="CA51" s="83">
        <v>4286</v>
      </c>
      <c r="CB51" s="83">
        <v>4280</v>
      </c>
      <c r="CC51" s="83">
        <v>4159</v>
      </c>
      <c r="CD51" s="83">
        <v>4075</v>
      </c>
      <c r="CE51" s="83">
        <v>4064</v>
      </c>
      <c r="CF51" s="83">
        <v>3834</v>
      </c>
      <c r="CG51" s="83">
        <v>35424</v>
      </c>
      <c r="CH51" s="83">
        <v>30051</v>
      </c>
      <c r="CI51" s="83">
        <v>26028</v>
      </c>
      <c r="CJ51" s="83">
        <v>22831</v>
      </c>
      <c r="CK51" s="83">
        <v>20306</v>
      </c>
      <c r="CL51" s="83">
        <v>18474</v>
      </c>
      <c r="CM51" s="83">
        <v>16624</v>
      </c>
      <c r="CN51" s="83">
        <v>15201</v>
      </c>
      <c r="CO51" s="83">
        <v>14208</v>
      </c>
      <c r="CP51" s="83">
        <v>13185</v>
      </c>
      <c r="CQ51" s="83">
        <v>12150</v>
      </c>
      <c r="CR51" s="83">
        <v>11437</v>
      </c>
      <c r="CS51" s="83">
        <v>10953</v>
      </c>
      <c r="CT51" s="83">
        <v>10281</v>
      </c>
      <c r="CU51" s="382"/>
    </row>
    <row r="52" spans="1:99" s="86" customFormat="1" x14ac:dyDescent="0.2">
      <c r="A52" s="348">
        <v>134</v>
      </c>
      <c r="B52" s="348">
        <v>33</v>
      </c>
      <c r="C52" s="349" t="s">
        <v>156</v>
      </c>
      <c r="D52" s="374">
        <v>1516</v>
      </c>
      <c r="E52" s="381">
        <f t="shared" si="0"/>
        <v>13348.45</v>
      </c>
      <c r="F52" s="395">
        <f t="shared" si="1"/>
        <v>37.917737105594426</v>
      </c>
      <c r="G52" s="83">
        <v>1462</v>
      </c>
      <c r="H52" s="83">
        <v>1484</v>
      </c>
      <c r="I52" s="83">
        <v>1520</v>
      </c>
      <c r="J52" s="83">
        <v>1426</v>
      </c>
      <c r="K52" s="83">
        <v>1442</v>
      </c>
      <c r="L52" s="83">
        <v>1494</v>
      </c>
      <c r="M52" s="83">
        <v>1410</v>
      </c>
      <c r="N52" s="83">
        <v>1405</v>
      </c>
      <c r="O52" s="83">
        <v>1458</v>
      </c>
      <c r="P52" s="83">
        <v>1411</v>
      </c>
      <c r="Q52" s="83">
        <v>1410</v>
      </c>
      <c r="R52" s="83">
        <v>1431</v>
      </c>
      <c r="S52" s="83">
        <v>1410</v>
      </c>
      <c r="T52" s="83">
        <v>1448</v>
      </c>
      <c r="U52" s="83">
        <v>1371</v>
      </c>
      <c r="V52" s="83">
        <v>1354</v>
      </c>
      <c r="W52" s="83">
        <v>1376</v>
      </c>
      <c r="X52" s="83">
        <v>1378</v>
      </c>
      <c r="Y52" s="83">
        <v>1377</v>
      </c>
      <c r="Z52" s="83">
        <v>1373</v>
      </c>
      <c r="AA52" s="83">
        <v>13583</v>
      </c>
      <c r="AB52" s="83">
        <v>13107</v>
      </c>
      <c r="AC52" s="83">
        <v>12407</v>
      </c>
      <c r="AD52" s="83">
        <v>11729</v>
      </c>
      <c r="AE52" s="83">
        <v>11161</v>
      </c>
      <c r="AF52" s="83">
        <v>10749</v>
      </c>
      <c r="AG52" s="83">
        <v>10281</v>
      </c>
      <c r="AH52" s="83">
        <v>9822</v>
      </c>
      <c r="AI52" s="83">
        <v>9242</v>
      </c>
      <c r="AJ52" s="83">
        <v>8981</v>
      </c>
      <c r="AK52" s="83">
        <v>8549</v>
      </c>
      <c r="AL52" s="83">
        <v>8122</v>
      </c>
      <c r="AM52" s="83">
        <v>7933</v>
      </c>
      <c r="AN52" s="83">
        <v>7351</v>
      </c>
      <c r="AO52" s="83">
        <v>7317</v>
      </c>
      <c r="AP52" s="83">
        <v>6965</v>
      </c>
      <c r="AQ52" s="83">
        <v>6828</v>
      </c>
      <c r="AR52" s="83">
        <v>6423</v>
      </c>
      <c r="AS52" s="83">
        <v>6249</v>
      </c>
      <c r="AT52" s="83">
        <v>6032</v>
      </c>
      <c r="AU52" s="83">
        <v>5857</v>
      </c>
      <c r="AV52" s="83">
        <v>5666</v>
      </c>
      <c r="AW52" s="83">
        <v>5533</v>
      </c>
      <c r="AX52" s="83">
        <v>5464</v>
      </c>
      <c r="AY52" s="83">
        <v>5159</v>
      </c>
      <c r="AZ52" s="83">
        <v>5033</v>
      </c>
      <c r="BA52" s="83">
        <v>4994</v>
      </c>
      <c r="BB52" s="83">
        <v>4781</v>
      </c>
      <c r="BC52" s="83">
        <v>4649</v>
      </c>
      <c r="BD52" s="83">
        <v>4563</v>
      </c>
      <c r="BE52" s="83">
        <v>4356</v>
      </c>
      <c r="BF52" s="83">
        <v>4171</v>
      </c>
      <c r="BG52" s="83">
        <v>4231</v>
      </c>
      <c r="BH52" s="83">
        <v>4119</v>
      </c>
      <c r="BI52" s="83">
        <v>4030</v>
      </c>
      <c r="BJ52" s="83">
        <v>3828</v>
      </c>
      <c r="BK52" s="83">
        <v>3780</v>
      </c>
      <c r="BL52" s="83">
        <v>3733</v>
      </c>
      <c r="BM52" s="83">
        <v>3627</v>
      </c>
      <c r="BN52" s="83">
        <v>3528</v>
      </c>
      <c r="BO52" s="83">
        <v>3474</v>
      </c>
      <c r="BP52" s="83">
        <v>3452</v>
      </c>
      <c r="BQ52" s="83">
        <v>3293</v>
      </c>
      <c r="BR52" s="83">
        <v>3284</v>
      </c>
      <c r="BS52" s="83">
        <v>3210</v>
      </c>
      <c r="BT52" s="83">
        <v>3114</v>
      </c>
      <c r="BU52" s="83">
        <v>3118</v>
      </c>
      <c r="BV52" s="83">
        <v>3055</v>
      </c>
      <c r="BW52" s="83">
        <v>2911</v>
      </c>
      <c r="BX52" s="83">
        <v>2894</v>
      </c>
      <c r="BY52" s="83">
        <v>2883</v>
      </c>
      <c r="BZ52" s="83">
        <v>2770</v>
      </c>
      <c r="CA52" s="83">
        <v>2784</v>
      </c>
      <c r="CB52" s="83">
        <v>2649</v>
      </c>
      <c r="CC52" s="83">
        <v>2636</v>
      </c>
      <c r="CD52" s="83">
        <v>2623</v>
      </c>
      <c r="CE52" s="83">
        <v>2532</v>
      </c>
      <c r="CF52" s="83">
        <v>2513</v>
      </c>
      <c r="CG52" s="83">
        <v>23551</v>
      </c>
      <c r="CH52" s="83">
        <v>20254</v>
      </c>
      <c r="CI52" s="83">
        <v>18104</v>
      </c>
      <c r="CJ52" s="83">
        <v>16102</v>
      </c>
      <c r="CK52" s="83">
        <v>14856</v>
      </c>
      <c r="CL52" s="83">
        <v>13655</v>
      </c>
      <c r="CM52" s="83">
        <v>12580</v>
      </c>
      <c r="CN52" s="83">
        <v>11815</v>
      </c>
      <c r="CO52" s="83">
        <v>11012</v>
      </c>
      <c r="CP52" s="83">
        <v>10473</v>
      </c>
      <c r="CQ52" s="83">
        <v>9964</v>
      </c>
      <c r="CR52" s="83">
        <v>9324</v>
      </c>
      <c r="CS52" s="83">
        <v>8912</v>
      </c>
      <c r="CT52" s="83">
        <v>8519</v>
      </c>
      <c r="CU52" s="382"/>
    </row>
    <row r="53" spans="1:99" s="86" customFormat="1" x14ac:dyDescent="0.2">
      <c r="A53" s="346">
        <v>35</v>
      </c>
      <c r="B53" s="346">
        <v>34</v>
      </c>
      <c r="C53" s="347" t="s">
        <v>155</v>
      </c>
      <c r="D53" s="346">
        <v>0</v>
      </c>
      <c r="E53" s="164">
        <f t="shared" si="0"/>
        <v>120.65</v>
      </c>
      <c r="F53" s="394">
        <f t="shared" si="1"/>
        <v>5.5929906221860541</v>
      </c>
      <c r="G53" s="85">
        <v>28</v>
      </c>
      <c r="H53" s="85">
        <v>31</v>
      </c>
      <c r="I53" s="85">
        <v>30</v>
      </c>
      <c r="J53" s="85">
        <v>29</v>
      </c>
      <c r="K53" s="85">
        <v>24</v>
      </c>
      <c r="L53" s="85">
        <v>31</v>
      </c>
      <c r="M53" s="85">
        <v>26</v>
      </c>
      <c r="N53" s="85">
        <v>27</v>
      </c>
      <c r="O53" s="85">
        <v>31</v>
      </c>
      <c r="P53" s="85">
        <v>26</v>
      </c>
      <c r="Q53" s="85">
        <v>36</v>
      </c>
      <c r="R53" s="85">
        <v>28</v>
      </c>
      <c r="S53" s="85">
        <v>32</v>
      </c>
      <c r="T53" s="85">
        <v>33</v>
      </c>
      <c r="U53" s="85">
        <v>34</v>
      </c>
      <c r="V53" s="85">
        <v>31</v>
      </c>
      <c r="W53" s="85">
        <v>37</v>
      </c>
      <c r="X53" s="85">
        <v>37</v>
      </c>
      <c r="Y53" s="85">
        <v>27</v>
      </c>
      <c r="Z53" s="85">
        <v>30</v>
      </c>
      <c r="AA53" s="85">
        <v>306</v>
      </c>
      <c r="AB53" s="85">
        <v>294</v>
      </c>
      <c r="AC53" s="85">
        <v>308</v>
      </c>
      <c r="AD53" s="85">
        <v>289</v>
      </c>
      <c r="AE53" s="85">
        <v>312</v>
      </c>
      <c r="AF53" s="85">
        <v>303</v>
      </c>
      <c r="AG53" s="85">
        <v>307</v>
      </c>
      <c r="AH53" s="85">
        <v>299</v>
      </c>
      <c r="AI53" s="85">
        <v>269</v>
      </c>
      <c r="AJ53" s="85">
        <v>290</v>
      </c>
      <c r="AK53" s="85">
        <v>263</v>
      </c>
      <c r="AL53" s="85">
        <v>259</v>
      </c>
      <c r="AM53" s="85">
        <v>267</v>
      </c>
      <c r="AN53" s="85">
        <v>282</v>
      </c>
      <c r="AO53" s="85">
        <v>286</v>
      </c>
      <c r="AP53" s="85">
        <v>294</v>
      </c>
      <c r="AQ53" s="85">
        <v>288</v>
      </c>
      <c r="AR53" s="85">
        <v>274</v>
      </c>
      <c r="AS53" s="85">
        <v>280</v>
      </c>
      <c r="AT53" s="85">
        <v>261</v>
      </c>
      <c r="AU53" s="85">
        <v>273</v>
      </c>
      <c r="AV53" s="85">
        <v>265</v>
      </c>
      <c r="AW53" s="85">
        <v>252</v>
      </c>
      <c r="AX53" s="85">
        <v>250</v>
      </c>
      <c r="AY53" s="85">
        <v>245</v>
      </c>
      <c r="AZ53" s="85">
        <v>260</v>
      </c>
      <c r="BA53" s="85">
        <v>264</v>
      </c>
      <c r="BB53" s="85">
        <v>237</v>
      </c>
      <c r="BC53" s="85">
        <v>254</v>
      </c>
      <c r="BD53" s="85">
        <v>272</v>
      </c>
      <c r="BE53" s="85">
        <v>247</v>
      </c>
      <c r="BF53" s="85">
        <v>255</v>
      </c>
      <c r="BG53" s="85">
        <v>227</v>
      </c>
      <c r="BH53" s="85">
        <v>247</v>
      </c>
      <c r="BI53" s="85">
        <v>224</v>
      </c>
      <c r="BJ53" s="85">
        <v>248</v>
      </c>
      <c r="BK53" s="85">
        <v>218</v>
      </c>
      <c r="BL53" s="85">
        <v>235</v>
      </c>
      <c r="BM53" s="85">
        <v>230</v>
      </c>
      <c r="BN53" s="85">
        <v>233</v>
      </c>
      <c r="BO53" s="85">
        <v>248</v>
      </c>
      <c r="BP53" s="85">
        <v>252</v>
      </c>
      <c r="BQ53" s="85">
        <v>224</v>
      </c>
      <c r="BR53" s="85">
        <v>230</v>
      </c>
      <c r="BS53" s="85">
        <v>248</v>
      </c>
      <c r="BT53" s="85">
        <v>223</v>
      </c>
      <c r="BU53" s="85">
        <v>249</v>
      </c>
      <c r="BV53" s="85">
        <v>229</v>
      </c>
      <c r="BW53" s="85">
        <v>223</v>
      </c>
      <c r="BX53" s="85">
        <v>218</v>
      </c>
      <c r="BY53" s="85">
        <v>232</v>
      </c>
      <c r="BZ53" s="85">
        <v>236</v>
      </c>
      <c r="CA53" s="85">
        <v>204</v>
      </c>
      <c r="CB53" s="85">
        <v>210</v>
      </c>
      <c r="CC53" s="85">
        <v>234</v>
      </c>
      <c r="CD53" s="85">
        <v>220</v>
      </c>
      <c r="CE53" s="85">
        <v>240</v>
      </c>
      <c r="CF53" s="85">
        <v>217</v>
      </c>
      <c r="CG53" s="85">
        <v>2163</v>
      </c>
      <c r="CH53" s="85">
        <v>2158</v>
      </c>
      <c r="CI53" s="85">
        <v>2074</v>
      </c>
      <c r="CJ53" s="85">
        <v>2095</v>
      </c>
      <c r="CK53" s="85">
        <v>2065</v>
      </c>
      <c r="CL53" s="85">
        <v>1992</v>
      </c>
      <c r="CM53" s="85">
        <v>1915</v>
      </c>
      <c r="CN53" s="85">
        <v>1978</v>
      </c>
      <c r="CO53" s="85">
        <v>1947</v>
      </c>
      <c r="CP53" s="85">
        <v>1924</v>
      </c>
      <c r="CQ53" s="85">
        <v>1914</v>
      </c>
      <c r="CR53" s="85">
        <v>1858</v>
      </c>
      <c r="CS53" s="85">
        <v>1842</v>
      </c>
      <c r="CT53" s="85">
        <v>1825</v>
      </c>
      <c r="CU53" s="382"/>
    </row>
    <row r="54" spans="1:99" s="86" customFormat="1" x14ac:dyDescent="0.2">
      <c r="A54" s="348">
        <v>39</v>
      </c>
      <c r="B54" s="348">
        <v>34</v>
      </c>
      <c r="C54" s="349" t="s">
        <v>156</v>
      </c>
      <c r="D54" s="348">
        <v>1515</v>
      </c>
      <c r="E54" s="164">
        <f t="shared" si="0"/>
        <v>121.80000000000001</v>
      </c>
      <c r="F54" s="394">
        <f t="shared" si="1"/>
        <v>5.0911574914335764</v>
      </c>
      <c r="G54" s="86">
        <v>23</v>
      </c>
      <c r="H54" s="86">
        <v>25</v>
      </c>
      <c r="I54" s="86">
        <v>22</v>
      </c>
      <c r="J54" s="86">
        <v>22</v>
      </c>
      <c r="K54" s="86">
        <v>30</v>
      </c>
      <c r="L54" s="86">
        <v>27</v>
      </c>
      <c r="M54" s="86">
        <v>27</v>
      </c>
      <c r="N54" s="86">
        <v>31</v>
      </c>
      <c r="O54" s="86">
        <v>25</v>
      </c>
      <c r="P54" s="86">
        <v>27</v>
      </c>
      <c r="Q54" s="86">
        <v>29</v>
      </c>
      <c r="R54" s="86">
        <v>24</v>
      </c>
      <c r="S54" s="86">
        <v>28</v>
      </c>
      <c r="T54" s="86">
        <v>23</v>
      </c>
      <c r="U54" s="86">
        <v>22</v>
      </c>
      <c r="V54" s="86">
        <v>21</v>
      </c>
      <c r="W54" s="86">
        <v>25</v>
      </c>
      <c r="X54" s="86">
        <v>25</v>
      </c>
      <c r="Y54" s="86">
        <v>26</v>
      </c>
      <c r="Z54" s="86">
        <v>26</v>
      </c>
      <c r="AA54" s="86">
        <v>251</v>
      </c>
      <c r="AB54" s="86">
        <v>244</v>
      </c>
      <c r="AC54" s="86">
        <v>236</v>
      </c>
      <c r="AD54" s="86">
        <v>263</v>
      </c>
      <c r="AE54" s="86">
        <v>247</v>
      </c>
      <c r="AF54" s="86">
        <v>247</v>
      </c>
      <c r="AG54" s="86">
        <v>227</v>
      </c>
      <c r="AH54" s="86">
        <v>222</v>
      </c>
      <c r="AI54" s="86">
        <v>230</v>
      </c>
      <c r="AJ54" s="86">
        <v>217</v>
      </c>
      <c r="AK54" s="86">
        <v>207</v>
      </c>
      <c r="AL54" s="86">
        <v>228</v>
      </c>
      <c r="AM54" s="86">
        <v>224</v>
      </c>
      <c r="AN54" s="86">
        <v>220</v>
      </c>
      <c r="AO54" s="86">
        <v>196</v>
      </c>
      <c r="AP54" s="86">
        <v>205</v>
      </c>
      <c r="AQ54" s="86">
        <v>216</v>
      </c>
      <c r="AR54" s="86">
        <v>192</v>
      </c>
      <c r="AS54" s="86">
        <v>200</v>
      </c>
      <c r="AT54" s="86">
        <v>200</v>
      </c>
      <c r="AU54" s="86">
        <v>196</v>
      </c>
      <c r="AV54" s="86">
        <v>208</v>
      </c>
      <c r="AW54" s="86">
        <v>180</v>
      </c>
      <c r="AX54" s="86">
        <v>190</v>
      </c>
      <c r="AY54" s="86">
        <v>184</v>
      </c>
      <c r="AZ54" s="86">
        <v>205</v>
      </c>
      <c r="BA54" s="86">
        <v>190</v>
      </c>
      <c r="BB54" s="86">
        <v>196</v>
      </c>
      <c r="BC54" s="86">
        <v>182</v>
      </c>
      <c r="BD54" s="86">
        <v>165</v>
      </c>
      <c r="BE54" s="86">
        <v>197</v>
      </c>
      <c r="BF54" s="86">
        <v>173</v>
      </c>
      <c r="BG54" s="86">
        <v>177</v>
      </c>
      <c r="BH54" s="86">
        <v>183</v>
      </c>
      <c r="BI54" s="86">
        <v>172</v>
      </c>
      <c r="BJ54" s="86">
        <v>189</v>
      </c>
      <c r="BK54" s="86">
        <v>187</v>
      </c>
      <c r="BL54" s="86">
        <v>166</v>
      </c>
      <c r="BM54" s="86">
        <v>172</v>
      </c>
      <c r="BN54" s="86">
        <v>167</v>
      </c>
      <c r="BO54" s="86">
        <v>185</v>
      </c>
      <c r="BP54" s="86">
        <v>183</v>
      </c>
      <c r="BQ54" s="86">
        <v>172</v>
      </c>
      <c r="BR54" s="86">
        <v>171</v>
      </c>
      <c r="BS54" s="86">
        <v>163</v>
      </c>
      <c r="BT54" s="86">
        <v>177</v>
      </c>
      <c r="BU54" s="86">
        <v>165</v>
      </c>
      <c r="BV54" s="86">
        <v>170</v>
      </c>
      <c r="BW54" s="86">
        <v>165</v>
      </c>
      <c r="BX54" s="86">
        <v>179</v>
      </c>
      <c r="BY54" s="86">
        <v>170</v>
      </c>
      <c r="BZ54" s="86">
        <v>184</v>
      </c>
      <c r="CA54" s="86">
        <v>164</v>
      </c>
      <c r="CB54" s="86">
        <v>162</v>
      </c>
      <c r="CC54" s="86">
        <v>165</v>
      </c>
      <c r="CD54" s="86">
        <v>169</v>
      </c>
      <c r="CE54" s="86">
        <v>164</v>
      </c>
      <c r="CF54" s="86">
        <v>165</v>
      </c>
      <c r="CG54" s="86">
        <v>1587</v>
      </c>
      <c r="CH54" s="86">
        <v>1533</v>
      </c>
      <c r="CI54" s="86">
        <v>1467</v>
      </c>
      <c r="CJ54" s="86">
        <v>1475</v>
      </c>
      <c r="CK54" s="86">
        <v>1432</v>
      </c>
      <c r="CL54" s="86">
        <v>1488</v>
      </c>
      <c r="CM54" s="86">
        <v>1461</v>
      </c>
      <c r="CN54" s="86">
        <v>1422</v>
      </c>
      <c r="CO54" s="86">
        <v>1382</v>
      </c>
      <c r="CP54" s="86">
        <v>1376</v>
      </c>
      <c r="CQ54" s="86">
        <v>1350</v>
      </c>
      <c r="CR54" s="86">
        <v>1331</v>
      </c>
      <c r="CS54" s="86">
        <v>1305</v>
      </c>
      <c r="CT54" s="86">
        <v>1339</v>
      </c>
      <c r="CU54" s="382"/>
    </row>
    <row r="55" spans="1:99" s="86" customFormat="1" x14ac:dyDescent="0.2">
      <c r="A55" s="348">
        <v>49</v>
      </c>
      <c r="B55" s="348">
        <v>34</v>
      </c>
      <c r="C55" s="349" t="s">
        <v>155</v>
      </c>
      <c r="D55" s="348">
        <v>1010</v>
      </c>
      <c r="E55" s="164">
        <f t="shared" si="0"/>
        <v>82.75</v>
      </c>
      <c r="F55" s="394">
        <f t="shared" si="1"/>
        <v>4.2248589403064942</v>
      </c>
      <c r="G55" s="86">
        <v>23</v>
      </c>
      <c r="H55" s="86">
        <v>15</v>
      </c>
      <c r="I55" s="86">
        <v>18</v>
      </c>
      <c r="J55" s="86">
        <v>19</v>
      </c>
      <c r="K55" s="86">
        <v>17</v>
      </c>
      <c r="L55" s="86">
        <v>16</v>
      </c>
      <c r="M55" s="86">
        <v>18</v>
      </c>
      <c r="N55" s="86">
        <v>11</v>
      </c>
      <c r="O55" s="86">
        <v>19</v>
      </c>
      <c r="P55" s="86">
        <v>22</v>
      </c>
      <c r="Q55" s="86">
        <v>15</v>
      </c>
      <c r="R55" s="86">
        <v>18</v>
      </c>
      <c r="S55" s="86">
        <v>19</v>
      </c>
      <c r="T55" s="86">
        <v>14</v>
      </c>
      <c r="U55" s="86">
        <v>14</v>
      </c>
      <c r="V55" s="86">
        <v>17</v>
      </c>
      <c r="W55" s="86">
        <v>13</v>
      </c>
      <c r="X55" s="86">
        <v>22</v>
      </c>
      <c r="Y55" s="86">
        <v>17</v>
      </c>
      <c r="Z55" s="86">
        <v>18</v>
      </c>
      <c r="AA55" s="86">
        <v>196</v>
      </c>
      <c r="AB55" s="86">
        <v>169</v>
      </c>
      <c r="AC55" s="86">
        <v>175</v>
      </c>
      <c r="AD55" s="86">
        <v>173</v>
      </c>
      <c r="AE55" s="86">
        <v>160</v>
      </c>
      <c r="AF55" s="86">
        <v>164</v>
      </c>
      <c r="AG55" s="86">
        <v>157</v>
      </c>
      <c r="AH55" s="86">
        <v>177</v>
      </c>
      <c r="AI55" s="86">
        <v>163</v>
      </c>
      <c r="AJ55" s="86">
        <v>153</v>
      </c>
      <c r="AK55" s="86">
        <v>139</v>
      </c>
      <c r="AL55" s="86">
        <v>153</v>
      </c>
      <c r="AM55" s="86">
        <v>160</v>
      </c>
      <c r="AN55" s="86">
        <v>149</v>
      </c>
      <c r="AO55" s="86">
        <v>131</v>
      </c>
      <c r="AP55" s="86">
        <v>141</v>
      </c>
      <c r="AQ55" s="86">
        <v>139</v>
      </c>
      <c r="AR55" s="86">
        <v>155</v>
      </c>
      <c r="AS55" s="86">
        <v>147</v>
      </c>
      <c r="AT55" s="86">
        <v>140</v>
      </c>
      <c r="AU55" s="86">
        <v>152</v>
      </c>
      <c r="AV55" s="86">
        <v>151</v>
      </c>
      <c r="AW55" s="86">
        <v>138</v>
      </c>
      <c r="AX55" s="86">
        <v>125</v>
      </c>
      <c r="AY55" s="86">
        <v>146</v>
      </c>
      <c r="AZ55" s="86">
        <v>137</v>
      </c>
      <c r="BA55" s="86">
        <v>122</v>
      </c>
      <c r="BB55" s="86">
        <v>134</v>
      </c>
      <c r="BC55" s="86">
        <v>115</v>
      </c>
      <c r="BD55" s="86">
        <v>125</v>
      </c>
      <c r="BE55" s="86">
        <v>137</v>
      </c>
      <c r="BF55" s="86">
        <v>134</v>
      </c>
      <c r="BG55" s="86">
        <v>113</v>
      </c>
      <c r="BH55" s="86">
        <v>123</v>
      </c>
      <c r="BI55" s="86">
        <v>122</v>
      </c>
      <c r="BJ55" s="86">
        <v>121</v>
      </c>
      <c r="BK55" s="86">
        <v>130</v>
      </c>
      <c r="BL55" s="86">
        <v>125</v>
      </c>
      <c r="BM55" s="86">
        <v>121</v>
      </c>
      <c r="BN55" s="86">
        <v>126</v>
      </c>
      <c r="BO55" s="86">
        <v>127</v>
      </c>
      <c r="BP55" s="86">
        <v>114</v>
      </c>
      <c r="BQ55" s="86">
        <v>114</v>
      </c>
      <c r="BR55" s="86">
        <v>122</v>
      </c>
      <c r="BS55" s="86">
        <v>127</v>
      </c>
      <c r="BT55" s="86">
        <v>117</v>
      </c>
      <c r="BU55" s="86">
        <v>123</v>
      </c>
      <c r="BV55" s="86">
        <v>119</v>
      </c>
      <c r="BW55" s="86">
        <v>122</v>
      </c>
      <c r="BX55" s="86">
        <v>106</v>
      </c>
      <c r="BY55" s="86">
        <v>113</v>
      </c>
      <c r="BZ55" s="86">
        <v>118</v>
      </c>
      <c r="CA55" s="86">
        <v>114</v>
      </c>
      <c r="CB55" s="86">
        <v>109</v>
      </c>
      <c r="CC55" s="86">
        <v>110</v>
      </c>
      <c r="CD55" s="86">
        <v>116</v>
      </c>
      <c r="CE55" s="86">
        <v>110</v>
      </c>
      <c r="CF55" s="86">
        <v>119</v>
      </c>
      <c r="CG55" s="86">
        <v>1135</v>
      </c>
      <c r="CH55" s="86">
        <v>1086</v>
      </c>
      <c r="CI55" s="86">
        <v>1005</v>
      </c>
      <c r="CJ55" s="86">
        <v>972</v>
      </c>
      <c r="CK55" s="86">
        <v>994</v>
      </c>
      <c r="CL55" s="86">
        <v>939</v>
      </c>
      <c r="CM55" s="86">
        <v>991</v>
      </c>
      <c r="CN55" s="86">
        <v>920</v>
      </c>
      <c r="CO55" s="86">
        <v>939</v>
      </c>
      <c r="CP55" s="86">
        <v>933</v>
      </c>
      <c r="CQ55" s="86">
        <v>919</v>
      </c>
      <c r="CR55" s="86">
        <v>950</v>
      </c>
      <c r="CS55" s="86">
        <v>925</v>
      </c>
      <c r="CT55" s="86">
        <v>870</v>
      </c>
      <c r="CU55" s="382"/>
    </row>
    <row r="56" spans="1:99" s="86" customFormat="1" x14ac:dyDescent="0.2">
      <c r="A56" s="348">
        <v>53</v>
      </c>
      <c r="B56" s="348">
        <v>34</v>
      </c>
      <c r="C56" s="349" t="s">
        <v>156</v>
      </c>
      <c r="D56" s="348">
        <v>1515</v>
      </c>
      <c r="E56" s="164">
        <f t="shared" si="0"/>
        <v>101.8</v>
      </c>
      <c r="F56" s="394">
        <f t="shared" si="1"/>
        <v>4.4230043962483876</v>
      </c>
      <c r="G56" s="86">
        <v>19</v>
      </c>
      <c r="H56" s="86">
        <v>23</v>
      </c>
      <c r="I56" s="86">
        <v>19</v>
      </c>
      <c r="J56" s="86">
        <v>17</v>
      </c>
      <c r="K56" s="86">
        <v>18</v>
      </c>
      <c r="L56" s="86">
        <v>20</v>
      </c>
      <c r="M56" s="86">
        <v>20</v>
      </c>
      <c r="N56" s="86">
        <v>21</v>
      </c>
      <c r="O56" s="86">
        <v>24</v>
      </c>
      <c r="P56" s="86">
        <v>15</v>
      </c>
      <c r="Q56" s="86">
        <v>22</v>
      </c>
      <c r="R56" s="86">
        <v>15</v>
      </c>
      <c r="S56" s="86">
        <v>17</v>
      </c>
      <c r="T56" s="86">
        <v>21</v>
      </c>
      <c r="U56" s="86">
        <v>21</v>
      </c>
      <c r="V56" s="86">
        <v>17</v>
      </c>
      <c r="W56" s="86">
        <v>18</v>
      </c>
      <c r="X56" s="86">
        <v>13</v>
      </c>
      <c r="Y56" s="86">
        <v>16</v>
      </c>
      <c r="Z56" s="86">
        <v>20</v>
      </c>
      <c r="AA56" s="86">
        <v>205</v>
      </c>
      <c r="AB56" s="86">
        <v>194</v>
      </c>
      <c r="AC56" s="86">
        <v>203</v>
      </c>
      <c r="AD56" s="86">
        <v>176</v>
      </c>
      <c r="AE56" s="86">
        <v>187</v>
      </c>
      <c r="AF56" s="86">
        <v>176</v>
      </c>
      <c r="AG56" s="86">
        <v>158</v>
      </c>
      <c r="AH56" s="86">
        <v>164</v>
      </c>
      <c r="AI56" s="86">
        <v>185</v>
      </c>
      <c r="AJ56" s="86">
        <v>172</v>
      </c>
      <c r="AK56" s="86">
        <v>157</v>
      </c>
      <c r="AL56" s="86">
        <v>169</v>
      </c>
      <c r="AM56" s="86">
        <v>161</v>
      </c>
      <c r="AN56" s="86">
        <v>155</v>
      </c>
      <c r="AO56" s="86">
        <v>149</v>
      </c>
      <c r="AP56" s="86">
        <v>140</v>
      </c>
      <c r="AQ56" s="86">
        <v>139</v>
      </c>
      <c r="AR56" s="86">
        <v>142</v>
      </c>
      <c r="AS56" s="86">
        <v>140</v>
      </c>
      <c r="AT56" s="86">
        <v>143</v>
      </c>
      <c r="AU56" s="86">
        <v>140</v>
      </c>
      <c r="AV56" s="86">
        <v>131</v>
      </c>
      <c r="AW56" s="86">
        <v>129</v>
      </c>
      <c r="AX56" s="86">
        <v>144</v>
      </c>
      <c r="AY56" s="86">
        <v>7</v>
      </c>
      <c r="AZ56" s="86">
        <v>137</v>
      </c>
      <c r="BA56" s="86">
        <v>146</v>
      </c>
      <c r="BB56" s="86">
        <v>141</v>
      </c>
      <c r="BC56" s="86">
        <v>116</v>
      </c>
      <c r="BD56" s="86">
        <v>130</v>
      </c>
      <c r="BE56" s="86">
        <v>136</v>
      </c>
      <c r="BF56" s="86">
        <v>119</v>
      </c>
      <c r="BG56" s="86">
        <v>124</v>
      </c>
      <c r="BH56" s="86">
        <v>125</v>
      </c>
      <c r="BI56" s="86">
        <v>129</v>
      </c>
      <c r="BJ56" s="86">
        <v>123</v>
      </c>
      <c r="BK56" s="86">
        <v>113</v>
      </c>
      <c r="BL56" s="86">
        <v>118</v>
      </c>
      <c r="BM56" s="86">
        <v>139</v>
      </c>
      <c r="BN56" s="86">
        <v>115</v>
      </c>
      <c r="BO56" s="86">
        <v>108</v>
      </c>
      <c r="BP56" s="86">
        <v>113</v>
      </c>
      <c r="BQ56" s="86">
        <v>115</v>
      </c>
      <c r="BR56" s="86">
        <v>110</v>
      </c>
      <c r="BS56" s="86">
        <v>113</v>
      </c>
      <c r="BT56" s="86">
        <v>124</v>
      </c>
      <c r="BU56" s="86">
        <v>110</v>
      </c>
      <c r="BV56" s="86">
        <v>121</v>
      </c>
      <c r="BW56" s="86">
        <v>127</v>
      </c>
      <c r="BX56" s="86">
        <v>125</v>
      </c>
      <c r="BY56" s="86">
        <v>102</v>
      </c>
      <c r="BZ56" s="86">
        <v>113</v>
      </c>
      <c r="CA56" s="86">
        <v>114</v>
      </c>
      <c r="CB56" s="86">
        <v>102</v>
      </c>
      <c r="CC56" s="86">
        <v>99</v>
      </c>
      <c r="CD56" s="86">
        <v>102</v>
      </c>
      <c r="CE56" s="86">
        <v>110</v>
      </c>
      <c r="CF56" s="86">
        <v>110</v>
      </c>
      <c r="CG56" s="86">
        <v>1058</v>
      </c>
      <c r="CH56" s="86">
        <v>1018</v>
      </c>
      <c r="CI56" s="86">
        <v>971</v>
      </c>
      <c r="CJ56" s="86">
        <v>991</v>
      </c>
      <c r="CK56" s="86">
        <v>941</v>
      </c>
      <c r="CL56" s="86">
        <v>924</v>
      </c>
      <c r="CM56" s="86">
        <v>933</v>
      </c>
      <c r="CN56" s="86">
        <v>932</v>
      </c>
      <c r="CO56" s="86">
        <v>898</v>
      </c>
      <c r="CP56" s="86">
        <v>928</v>
      </c>
      <c r="CQ56" s="86">
        <v>885</v>
      </c>
      <c r="CR56" s="86">
        <v>831</v>
      </c>
      <c r="CS56" s="86">
        <v>844</v>
      </c>
      <c r="CT56" s="86">
        <v>880</v>
      </c>
      <c r="CU56" s="382"/>
    </row>
    <row r="57" spans="1:99" s="86" customFormat="1" x14ac:dyDescent="0.2">
      <c r="A57" s="348">
        <v>58</v>
      </c>
      <c r="B57" s="348">
        <v>34</v>
      </c>
      <c r="C57" s="349" t="s">
        <v>155</v>
      </c>
      <c r="D57" s="348">
        <v>2020</v>
      </c>
      <c r="E57" s="164">
        <f t="shared" si="0"/>
        <v>134.55000000000001</v>
      </c>
      <c r="F57" s="394">
        <f t="shared" si="1"/>
        <v>4.6558960236180083</v>
      </c>
      <c r="G57" s="86">
        <v>17</v>
      </c>
      <c r="H57" s="86">
        <v>16</v>
      </c>
      <c r="I57" s="86">
        <v>23</v>
      </c>
      <c r="J57" s="86">
        <v>19</v>
      </c>
      <c r="K57" s="86">
        <v>26</v>
      </c>
      <c r="L57" s="86">
        <v>21</v>
      </c>
      <c r="M57" s="86">
        <v>23</v>
      </c>
      <c r="N57" s="86">
        <v>19</v>
      </c>
      <c r="O57" s="86">
        <v>27</v>
      </c>
      <c r="P57" s="86">
        <v>16</v>
      </c>
      <c r="Q57" s="86">
        <v>27</v>
      </c>
      <c r="R57" s="86">
        <v>19</v>
      </c>
      <c r="S57" s="86">
        <v>24</v>
      </c>
      <c r="T57" s="86">
        <v>17</v>
      </c>
      <c r="U57" s="86">
        <v>22</v>
      </c>
      <c r="V57" s="86">
        <v>27</v>
      </c>
      <c r="W57" s="86">
        <v>18</v>
      </c>
      <c r="X57" s="86">
        <v>24</v>
      </c>
      <c r="Y57" s="86">
        <v>22</v>
      </c>
      <c r="Z57" s="86">
        <v>17</v>
      </c>
      <c r="AA57" s="86">
        <v>192</v>
      </c>
      <c r="AB57" s="86">
        <v>212</v>
      </c>
      <c r="AC57" s="86">
        <v>185</v>
      </c>
      <c r="AD57" s="86">
        <v>195</v>
      </c>
      <c r="AE57" s="86">
        <v>187</v>
      </c>
      <c r="AF57" s="86">
        <v>201</v>
      </c>
      <c r="AG57" s="86">
        <v>172</v>
      </c>
      <c r="AH57" s="86">
        <v>186</v>
      </c>
      <c r="AI57" s="86">
        <v>169</v>
      </c>
      <c r="AJ57" s="86">
        <v>163</v>
      </c>
      <c r="AK57" s="86">
        <v>167</v>
      </c>
      <c r="AL57" s="86">
        <v>173</v>
      </c>
      <c r="AM57" s="86">
        <v>168</v>
      </c>
      <c r="AN57" s="86">
        <v>154</v>
      </c>
      <c r="AO57" s="86">
        <v>138</v>
      </c>
      <c r="AP57" s="86">
        <v>142</v>
      </c>
      <c r="AQ57" s="86">
        <v>147</v>
      </c>
      <c r="AR57" s="86">
        <v>152</v>
      </c>
      <c r="AS57" s="86">
        <v>159</v>
      </c>
      <c r="AT57" s="86">
        <v>148</v>
      </c>
      <c r="AU57" s="86">
        <v>150</v>
      </c>
      <c r="AV57" s="86">
        <v>135</v>
      </c>
      <c r="AW57" s="86">
        <v>127</v>
      </c>
      <c r="AX57" s="86">
        <v>142</v>
      </c>
      <c r="AY57" s="86">
        <v>135</v>
      </c>
      <c r="AZ57" s="86">
        <v>132</v>
      </c>
      <c r="BA57" s="86">
        <v>139</v>
      </c>
      <c r="BB57" s="86">
        <v>133</v>
      </c>
      <c r="BC57" s="86">
        <v>131</v>
      </c>
      <c r="BD57" s="86">
        <v>130</v>
      </c>
      <c r="BE57" s="86">
        <v>125</v>
      </c>
      <c r="BF57" s="86">
        <v>128</v>
      </c>
      <c r="BG57" s="86">
        <v>133</v>
      </c>
      <c r="BH57" s="86">
        <v>129</v>
      </c>
      <c r="BI57" s="86">
        <v>132</v>
      </c>
      <c r="BJ57" s="86">
        <v>129</v>
      </c>
      <c r="BK57" s="86">
        <v>117</v>
      </c>
      <c r="BL57" s="86">
        <v>118</v>
      </c>
      <c r="BM57" s="86">
        <v>117</v>
      </c>
      <c r="BN57" s="86">
        <v>120</v>
      </c>
      <c r="BO57" s="86">
        <v>119</v>
      </c>
      <c r="BP57" s="86">
        <v>118</v>
      </c>
      <c r="BQ57" s="86">
        <v>126</v>
      </c>
      <c r="BR57" s="86">
        <v>104</v>
      </c>
      <c r="BS57" s="86">
        <v>120</v>
      </c>
      <c r="BT57" s="86">
        <v>112</v>
      </c>
      <c r="BU57" s="86">
        <v>123</v>
      </c>
      <c r="BV57" s="86">
        <v>113</v>
      </c>
      <c r="BW57" s="86">
        <v>114</v>
      </c>
      <c r="BX57" s="86">
        <v>106</v>
      </c>
      <c r="BY57" s="86">
        <v>103</v>
      </c>
      <c r="BZ57" s="86">
        <v>119</v>
      </c>
      <c r="CA57" s="86">
        <v>99</v>
      </c>
      <c r="CB57" s="86">
        <v>97</v>
      </c>
      <c r="CC57" s="86">
        <v>103</v>
      </c>
      <c r="CD57" s="86">
        <v>100</v>
      </c>
      <c r="CE57" s="86">
        <v>114</v>
      </c>
      <c r="CF57" s="86">
        <v>112</v>
      </c>
      <c r="CG57" s="86">
        <v>987</v>
      </c>
      <c r="CH57" s="86">
        <v>987</v>
      </c>
      <c r="CI57" s="86">
        <v>932</v>
      </c>
      <c r="CJ57" s="86">
        <v>927</v>
      </c>
      <c r="CK57" s="86">
        <v>866</v>
      </c>
      <c r="CL57" s="86">
        <v>868</v>
      </c>
      <c r="CM57" s="86">
        <v>849</v>
      </c>
      <c r="CN57" s="86">
        <v>798</v>
      </c>
      <c r="CO57" s="86">
        <v>831</v>
      </c>
      <c r="CP57" s="86">
        <v>818</v>
      </c>
      <c r="CQ57" s="86">
        <v>817</v>
      </c>
      <c r="CR57" s="86">
        <v>787</v>
      </c>
      <c r="CS57" s="86">
        <v>788</v>
      </c>
      <c r="CT57" s="86">
        <v>761</v>
      </c>
      <c r="CU57" s="382"/>
    </row>
    <row r="58" spans="1:99" s="86" customFormat="1" x14ac:dyDescent="0.2">
      <c r="A58" s="348">
        <v>62</v>
      </c>
      <c r="B58" s="348">
        <v>34</v>
      </c>
      <c r="C58" s="349" t="s">
        <v>156</v>
      </c>
      <c r="D58" s="348">
        <v>1515</v>
      </c>
      <c r="E58" s="164">
        <f t="shared" si="0"/>
        <v>112.8</v>
      </c>
      <c r="F58" s="394">
        <f t="shared" si="1"/>
        <v>4.3755946162300434</v>
      </c>
      <c r="G58" s="86">
        <v>16</v>
      </c>
      <c r="H58" s="86">
        <v>19</v>
      </c>
      <c r="I58" s="86">
        <v>23</v>
      </c>
      <c r="J58" s="86">
        <v>18</v>
      </c>
      <c r="K58" s="86">
        <v>20</v>
      </c>
      <c r="L58" s="86">
        <v>18</v>
      </c>
      <c r="M58" s="86">
        <v>16</v>
      </c>
      <c r="N58" s="86">
        <v>20</v>
      </c>
      <c r="O58" s="86">
        <v>16</v>
      </c>
      <c r="P58" s="86">
        <v>15</v>
      </c>
      <c r="Q58" s="86">
        <v>25</v>
      </c>
      <c r="R58" s="86">
        <v>26</v>
      </c>
      <c r="S58" s="86">
        <v>17</v>
      </c>
      <c r="T58" s="86">
        <v>21</v>
      </c>
      <c r="U58" s="86">
        <v>22</v>
      </c>
      <c r="V58" s="86">
        <v>16</v>
      </c>
      <c r="W58" s="86">
        <v>17</v>
      </c>
      <c r="X58" s="86">
        <v>17</v>
      </c>
      <c r="Y58" s="86">
        <v>18</v>
      </c>
      <c r="Z58" s="86">
        <v>15</v>
      </c>
      <c r="AA58" s="86">
        <v>208</v>
      </c>
      <c r="AB58" s="86">
        <v>176</v>
      </c>
      <c r="AC58" s="86">
        <v>180</v>
      </c>
      <c r="AD58" s="86">
        <v>163</v>
      </c>
      <c r="AE58" s="86">
        <v>156</v>
      </c>
      <c r="AF58" s="86">
        <v>176</v>
      </c>
      <c r="AG58" s="86">
        <v>180</v>
      </c>
      <c r="AH58" s="86">
        <v>155</v>
      </c>
      <c r="AI58" s="86">
        <v>164</v>
      </c>
      <c r="AJ58" s="86">
        <v>153</v>
      </c>
      <c r="AK58" s="86">
        <v>172</v>
      </c>
      <c r="AL58" s="86">
        <v>135</v>
      </c>
      <c r="AM58" s="86">
        <v>163</v>
      </c>
      <c r="AN58" s="86">
        <v>142</v>
      </c>
      <c r="AO58" s="86">
        <v>135</v>
      </c>
      <c r="AP58" s="86">
        <v>133</v>
      </c>
      <c r="AQ58" s="86">
        <v>140</v>
      </c>
      <c r="AR58" s="86">
        <v>130</v>
      </c>
      <c r="AS58" s="86">
        <v>124</v>
      </c>
      <c r="AT58" s="86">
        <v>135</v>
      </c>
      <c r="AU58" s="86">
        <v>135</v>
      </c>
      <c r="AV58" s="86">
        <v>136</v>
      </c>
      <c r="AW58" s="86">
        <v>137</v>
      </c>
      <c r="AX58" s="86">
        <v>109</v>
      </c>
      <c r="AY58" s="86">
        <v>122</v>
      </c>
      <c r="AZ58" s="86">
        <v>111</v>
      </c>
      <c r="BA58" s="86">
        <v>130</v>
      </c>
      <c r="BB58" s="86">
        <v>129</v>
      </c>
      <c r="BC58" s="86">
        <v>138</v>
      </c>
      <c r="BD58" s="86">
        <v>125</v>
      </c>
      <c r="BE58" s="86">
        <v>110</v>
      </c>
      <c r="BF58" s="86">
        <v>122</v>
      </c>
      <c r="BG58" s="86">
        <v>110</v>
      </c>
      <c r="BH58" s="86">
        <v>128</v>
      </c>
      <c r="BI58" s="86">
        <v>124</v>
      </c>
      <c r="BJ58" s="86">
        <v>134</v>
      </c>
      <c r="BK58" s="86">
        <v>107</v>
      </c>
      <c r="BL58" s="86">
        <v>110</v>
      </c>
      <c r="BM58" s="86">
        <v>125</v>
      </c>
      <c r="BN58" s="86">
        <v>99</v>
      </c>
      <c r="BO58" s="86">
        <v>106</v>
      </c>
      <c r="BP58" s="86">
        <v>104</v>
      </c>
      <c r="BQ58" s="86">
        <v>104</v>
      </c>
      <c r="BR58" s="86">
        <v>115</v>
      </c>
      <c r="BS58" s="86">
        <v>105</v>
      </c>
      <c r="BT58" s="86">
        <v>123</v>
      </c>
      <c r="BU58" s="86">
        <v>111</v>
      </c>
      <c r="BV58" s="86">
        <v>95</v>
      </c>
      <c r="BW58" s="86">
        <v>112</v>
      </c>
      <c r="BX58" s="86">
        <v>93</v>
      </c>
      <c r="BY58" s="86">
        <v>94</v>
      </c>
      <c r="BZ58" s="86">
        <v>120</v>
      </c>
      <c r="CA58" s="86">
        <v>110</v>
      </c>
      <c r="CB58" s="86">
        <v>106</v>
      </c>
      <c r="CC58" s="86">
        <v>109</v>
      </c>
      <c r="CD58" s="86">
        <v>96</v>
      </c>
      <c r="CE58" s="86">
        <v>95</v>
      </c>
      <c r="CF58" s="86">
        <v>93</v>
      </c>
      <c r="CG58" s="86">
        <v>969</v>
      </c>
      <c r="CH58" s="86">
        <v>899</v>
      </c>
      <c r="CI58" s="86">
        <v>911</v>
      </c>
      <c r="CJ58" s="86">
        <v>876</v>
      </c>
      <c r="CK58" s="86">
        <v>845</v>
      </c>
      <c r="CL58" s="86">
        <v>860</v>
      </c>
      <c r="CM58" s="86">
        <v>788</v>
      </c>
      <c r="CN58" s="86">
        <v>798</v>
      </c>
      <c r="CO58" s="86">
        <v>764</v>
      </c>
      <c r="CP58" s="86">
        <v>766</v>
      </c>
      <c r="CQ58" s="86">
        <v>768</v>
      </c>
      <c r="CR58" s="86">
        <v>753</v>
      </c>
      <c r="CS58" s="86">
        <v>771</v>
      </c>
      <c r="CT58" s="86">
        <v>723</v>
      </c>
      <c r="CU58" s="382"/>
    </row>
    <row r="59" spans="1:99" s="86" customFormat="1" x14ac:dyDescent="0.2">
      <c r="A59" s="348">
        <v>67</v>
      </c>
      <c r="B59" s="348">
        <v>34</v>
      </c>
      <c r="C59" s="349" t="s">
        <v>155</v>
      </c>
      <c r="D59" s="348">
        <v>4167</v>
      </c>
      <c r="E59" s="164">
        <f t="shared" si="0"/>
        <v>248.65</v>
      </c>
      <c r="F59" s="394">
        <f t="shared" si="1"/>
        <v>5.8029488315035893</v>
      </c>
      <c r="G59" s="86">
        <v>30</v>
      </c>
      <c r="H59" s="86">
        <v>37</v>
      </c>
      <c r="I59" s="86">
        <v>30</v>
      </c>
      <c r="J59" s="86">
        <v>36</v>
      </c>
      <c r="K59" s="86">
        <v>36</v>
      </c>
      <c r="L59" s="86">
        <v>38</v>
      </c>
      <c r="M59" s="86">
        <v>28</v>
      </c>
      <c r="N59" s="86">
        <v>33</v>
      </c>
      <c r="O59" s="86">
        <v>29</v>
      </c>
      <c r="P59" s="86">
        <v>34</v>
      </c>
      <c r="Q59" s="86">
        <v>39</v>
      </c>
      <c r="R59" s="86">
        <v>36</v>
      </c>
      <c r="S59" s="86">
        <v>33</v>
      </c>
      <c r="T59" s="86">
        <v>22</v>
      </c>
      <c r="U59" s="86">
        <v>27</v>
      </c>
      <c r="V59" s="86">
        <v>31</v>
      </c>
      <c r="W59" s="86">
        <v>39</v>
      </c>
      <c r="X59" s="86">
        <v>42</v>
      </c>
      <c r="Y59" s="86">
        <v>30</v>
      </c>
      <c r="Z59" s="86">
        <v>34</v>
      </c>
      <c r="AA59" s="86">
        <v>303</v>
      </c>
      <c r="AB59" s="86">
        <v>317</v>
      </c>
      <c r="AC59" s="86">
        <v>302</v>
      </c>
      <c r="AD59" s="86">
        <v>294</v>
      </c>
      <c r="AE59" s="86">
        <v>295</v>
      </c>
      <c r="AF59" s="86">
        <v>295</v>
      </c>
      <c r="AG59" s="86">
        <v>271</v>
      </c>
      <c r="AH59" s="86">
        <v>260</v>
      </c>
      <c r="AI59" s="86">
        <v>267</v>
      </c>
      <c r="AJ59" s="86">
        <v>268</v>
      </c>
      <c r="AK59" s="86">
        <v>263</v>
      </c>
      <c r="AL59" s="86">
        <v>261</v>
      </c>
      <c r="AM59" s="86">
        <v>236</v>
      </c>
      <c r="AN59" s="86">
        <v>226</v>
      </c>
      <c r="AO59" s="86">
        <v>238</v>
      </c>
      <c r="AP59" s="86">
        <v>233</v>
      </c>
      <c r="AQ59" s="86">
        <v>220</v>
      </c>
      <c r="AR59" s="86">
        <v>207</v>
      </c>
      <c r="AS59" s="86">
        <v>202</v>
      </c>
      <c r="AT59" s="86">
        <v>198</v>
      </c>
      <c r="AU59" s="86">
        <v>208</v>
      </c>
      <c r="AV59" s="86">
        <v>199</v>
      </c>
      <c r="AW59" s="86">
        <v>216</v>
      </c>
      <c r="AX59" s="86">
        <v>196</v>
      </c>
      <c r="AY59" s="86">
        <v>185</v>
      </c>
      <c r="AZ59" s="86">
        <v>181</v>
      </c>
      <c r="BA59" s="86">
        <v>187</v>
      </c>
      <c r="BB59" s="86">
        <v>185</v>
      </c>
      <c r="BC59" s="86">
        <v>179</v>
      </c>
      <c r="BD59" s="86">
        <v>175</v>
      </c>
      <c r="BE59" s="86">
        <v>180</v>
      </c>
      <c r="BF59" s="86">
        <v>169</v>
      </c>
      <c r="BG59" s="86">
        <v>162</v>
      </c>
      <c r="BH59" s="86">
        <v>148</v>
      </c>
      <c r="BI59" s="86">
        <v>175</v>
      </c>
      <c r="BJ59" s="86">
        <v>153</v>
      </c>
      <c r="BK59" s="86">
        <v>145</v>
      </c>
      <c r="BL59" s="86">
        <v>157</v>
      </c>
      <c r="BM59" s="86">
        <v>147</v>
      </c>
      <c r="BN59" s="86">
        <v>144</v>
      </c>
      <c r="BO59" s="86">
        <v>144</v>
      </c>
      <c r="BP59" s="86">
        <v>136</v>
      </c>
      <c r="BQ59" s="86">
        <v>126</v>
      </c>
      <c r="BR59" s="86">
        <v>156</v>
      </c>
      <c r="BS59" s="86">
        <v>152</v>
      </c>
      <c r="BT59" s="86">
        <v>115</v>
      </c>
      <c r="BU59" s="86">
        <v>149</v>
      </c>
      <c r="BV59" s="86">
        <v>137</v>
      </c>
      <c r="BW59" s="86">
        <v>132</v>
      </c>
      <c r="BX59" s="86">
        <v>138</v>
      </c>
      <c r="BY59" s="86">
        <v>149</v>
      </c>
      <c r="BZ59" s="86">
        <v>150</v>
      </c>
      <c r="CA59" s="86">
        <v>132</v>
      </c>
      <c r="CB59" s="86">
        <v>125</v>
      </c>
      <c r="CC59" s="86">
        <v>130</v>
      </c>
      <c r="CD59" s="86">
        <v>133</v>
      </c>
      <c r="CE59" s="86">
        <v>112</v>
      </c>
      <c r="CF59" s="86">
        <v>132</v>
      </c>
      <c r="CG59" s="86">
        <v>1217</v>
      </c>
      <c r="CH59" s="86">
        <v>1124</v>
      </c>
      <c r="CI59" s="86">
        <v>1074</v>
      </c>
      <c r="CJ59" s="86">
        <v>1033</v>
      </c>
      <c r="CK59" s="86">
        <v>1026</v>
      </c>
      <c r="CL59" s="86">
        <v>954</v>
      </c>
      <c r="CM59" s="86">
        <v>938</v>
      </c>
      <c r="CN59" s="86">
        <v>892</v>
      </c>
      <c r="CO59" s="86">
        <v>835</v>
      </c>
      <c r="CP59" s="86">
        <v>870</v>
      </c>
      <c r="CQ59" s="86">
        <v>812</v>
      </c>
      <c r="CR59" s="86">
        <v>812</v>
      </c>
      <c r="CS59" s="86">
        <v>834</v>
      </c>
      <c r="CT59" s="86">
        <v>833</v>
      </c>
      <c r="CU59" s="382"/>
    </row>
    <row r="60" spans="1:99" s="86" customFormat="1" x14ac:dyDescent="0.2">
      <c r="A60" s="348">
        <v>71</v>
      </c>
      <c r="B60" s="348">
        <v>34</v>
      </c>
      <c r="C60" s="349" t="s">
        <v>156</v>
      </c>
      <c r="D60" s="348">
        <v>1515</v>
      </c>
      <c r="E60" s="164">
        <f t="shared" si="0"/>
        <v>121.05</v>
      </c>
      <c r="F60" s="394">
        <f t="shared" si="1"/>
        <v>4.4599383256882126</v>
      </c>
      <c r="G60" s="86">
        <v>17</v>
      </c>
      <c r="H60" s="86">
        <v>16</v>
      </c>
      <c r="I60" s="86">
        <v>20</v>
      </c>
      <c r="J60" s="86">
        <v>18</v>
      </c>
      <c r="K60" s="86">
        <v>17</v>
      </c>
      <c r="L60" s="86">
        <v>16</v>
      </c>
      <c r="M60" s="86">
        <v>25</v>
      </c>
      <c r="N60" s="86">
        <v>24</v>
      </c>
      <c r="O60" s="86">
        <v>20</v>
      </c>
      <c r="P60" s="86">
        <v>24</v>
      </c>
      <c r="Q60" s="86">
        <v>20</v>
      </c>
      <c r="R60" s="86">
        <v>15</v>
      </c>
      <c r="S60" s="86">
        <v>19</v>
      </c>
      <c r="T60" s="86">
        <v>16</v>
      </c>
      <c r="U60" s="86">
        <v>25</v>
      </c>
      <c r="V60" s="86">
        <v>19</v>
      </c>
      <c r="W60" s="86">
        <v>21</v>
      </c>
      <c r="X60" s="86">
        <v>19</v>
      </c>
      <c r="Y60" s="86">
        <v>21</v>
      </c>
      <c r="Z60" s="86">
        <v>18</v>
      </c>
      <c r="AA60" s="86">
        <v>179</v>
      </c>
      <c r="AB60" s="86">
        <v>205</v>
      </c>
      <c r="AC60" s="86">
        <v>186</v>
      </c>
      <c r="AD60" s="86">
        <v>173</v>
      </c>
      <c r="AE60" s="86">
        <v>184</v>
      </c>
      <c r="AF60" s="86">
        <v>181</v>
      </c>
      <c r="AG60" s="86">
        <v>178</v>
      </c>
      <c r="AH60" s="86">
        <v>183</v>
      </c>
      <c r="AI60" s="86">
        <v>175</v>
      </c>
      <c r="AJ60" s="86">
        <v>169</v>
      </c>
      <c r="AK60" s="86">
        <v>166</v>
      </c>
      <c r="AL60" s="86">
        <v>147</v>
      </c>
      <c r="AM60" s="86">
        <v>155</v>
      </c>
      <c r="AN60" s="86">
        <v>146</v>
      </c>
      <c r="AO60" s="86">
        <v>152</v>
      </c>
      <c r="AP60" s="86">
        <v>153</v>
      </c>
      <c r="AQ60" s="86">
        <v>156</v>
      </c>
      <c r="AR60" s="86">
        <v>142</v>
      </c>
      <c r="AS60" s="86">
        <v>139</v>
      </c>
      <c r="AT60" s="86">
        <v>140</v>
      </c>
      <c r="AU60" s="86">
        <v>149</v>
      </c>
      <c r="AV60" s="86">
        <v>128</v>
      </c>
      <c r="AW60" s="86">
        <v>138</v>
      </c>
      <c r="AX60" s="86">
        <v>130</v>
      </c>
      <c r="AY60" s="86">
        <v>132</v>
      </c>
      <c r="AZ60" s="86">
        <v>131</v>
      </c>
      <c r="BA60" s="86">
        <v>125</v>
      </c>
      <c r="BB60" s="86">
        <v>138</v>
      </c>
      <c r="BC60" s="86">
        <v>136</v>
      </c>
      <c r="BD60" s="86">
        <v>121</v>
      </c>
      <c r="BE60" s="86">
        <v>134</v>
      </c>
      <c r="BF60" s="86">
        <v>122</v>
      </c>
      <c r="BG60" s="86">
        <v>117</v>
      </c>
      <c r="BH60" s="86">
        <v>115</v>
      </c>
      <c r="BI60" s="86">
        <v>124</v>
      </c>
      <c r="BJ60" s="86">
        <v>113</v>
      </c>
      <c r="BK60" s="86">
        <v>114</v>
      </c>
      <c r="BL60" s="86">
        <v>120</v>
      </c>
      <c r="BM60" s="86">
        <v>106</v>
      </c>
      <c r="BN60" s="86">
        <v>126</v>
      </c>
      <c r="BO60" s="86">
        <v>109</v>
      </c>
      <c r="BP60" s="86">
        <v>105</v>
      </c>
      <c r="BQ60" s="86">
        <v>111</v>
      </c>
      <c r="BR60" s="86">
        <v>118</v>
      </c>
      <c r="BS60" s="86">
        <v>103</v>
      </c>
      <c r="BT60" s="86">
        <v>97</v>
      </c>
      <c r="BU60" s="86">
        <v>88</v>
      </c>
      <c r="BV60" s="86">
        <v>98</v>
      </c>
      <c r="BW60" s="86">
        <v>111</v>
      </c>
      <c r="BX60" s="86">
        <v>94</v>
      </c>
      <c r="BY60" s="86">
        <v>106</v>
      </c>
      <c r="BZ60" s="86">
        <v>106</v>
      </c>
      <c r="CA60" s="86">
        <v>112</v>
      </c>
      <c r="CB60" s="86">
        <v>104</v>
      </c>
      <c r="CC60" s="86">
        <v>125</v>
      </c>
      <c r="CD60" s="86">
        <v>100</v>
      </c>
      <c r="CE60" s="86">
        <v>108</v>
      </c>
      <c r="CF60" s="86">
        <v>94</v>
      </c>
      <c r="CG60" s="86">
        <v>986</v>
      </c>
      <c r="CH60" s="86">
        <v>931</v>
      </c>
      <c r="CI60" s="86">
        <v>954</v>
      </c>
      <c r="CJ60" s="86">
        <v>885</v>
      </c>
      <c r="CK60" s="86">
        <v>853</v>
      </c>
      <c r="CL60" s="86">
        <v>856</v>
      </c>
      <c r="CM60" s="86">
        <v>796</v>
      </c>
      <c r="CN60" s="86">
        <v>828</v>
      </c>
      <c r="CO60" s="86">
        <v>796</v>
      </c>
      <c r="CP60" s="86">
        <v>771</v>
      </c>
      <c r="CQ60" s="86">
        <v>744</v>
      </c>
      <c r="CR60" s="86">
        <v>748</v>
      </c>
      <c r="CS60" s="86">
        <v>760</v>
      </c>
      <c r="CT60" s="86">
        <v>719</v>
      </c>
      <c r="CU60" s="382"/>
    </row>
    <row r="61" spans="1:99" s="86" customFormat="1" x14ac:dyDescent="0.2">
      <c r="A61" s="348">
        <v>76</v>
      </c>
      <c r="B61" s="348">
        <v>34</v>
      </c>
      <c r="C61" s="349" t="s">
        <v>155</v>
      </c>
      <c r="D61" s="348">
        <v>0</v>
      </c>
      <c r="E61" s="164">
        <f t="shared" si="0"/>
        <v>16.200000000000003</v>
      </c>
      <c r="F61" s="394">
        <f t="shared" si="1"/>
        <v>2.7059344164779495</v>
      </c>
      <c r="G61" s="86">
        <v>8</v>
      </c>
      <c r="H61" s="86">
        <v>6</v>
      </c>
      <c r="I61" s="86">
        <v>10</v>
      </c>
      <c r="J61" s="86">
        <v>11</v>
      </c>
      <c r="K61" s="86">
        <v>8</v>
      </c>
      <c r="L61" s="86">
        <v>5</v>
      </c>
      <c r="M61" s="86">
        <v>6</v>
      </c>
      <c r="N61" s="86">
        <v>6</v>
      </c>
      <c r="O61" s="86">
        <v>6</v>
      </c>
      <c r="P61" s="86">
        <v>8</v>
      </c>
      <c r="Q61" s="86">
        <v>6</v>
      </c>
      <c r="R61" s="86">
        <v>8</v>
      </c>
      <c r="S61" s="86">
        <v>5</v>
      </c>
      <c r="T61" s="86">
        <v>5</v>
      </c>
      <c r="U61" s="86">
        <v>5</v>
      </c>
      <c r="V61" s="86">
        <v>9</v>
      </c>
      <c r="W61" s="86">
        <v>5</v>
      </c>
      <c r="X61" s="86">
        <v>9</v>
      </c>
      <c r="Y61" s="86">
        <v>10</v>
      </c>
      <c r="Z61" s="86">
        <v>6</v>
      </c>
      <c r="AA61" s="86">
        <v>73</v>
      </c>
      <c r="AB61" s="86">
        <v>74</v>
      </c>
      <c r="AC61" s="86">
        <v>69</v>
      </c>
      <c r="AD61" s="86">
        <v>75</v>
      </c>
      <c r="AE61" s="86">
        <v>75</v>
      </c>
      <c r="AF61" s="86">
        <v>69</v>
      </c>
      <c r="AG61" s="86">
        <v>73</v>
      </c>
      <c r="AH61" s="86">
        <v>65</v>
      </c>
      <c r="AI61" s="86">
        <v>68</v>
      </c>
      <c r="AJ61" s="86">
        <v>65</v>
      </c>
      <c r="AK61" s="86">
        <v>67</v>
      </c>
      <c r="AL61" s="86">
        <v>65</v>
      </c>
      <c r="AM61" s="86">
        <v>65</v>
      </c>
      <c r="AN61" s="86">
        <v>69</v>
      </c>
      <c r="AO61" s="86">
        <v>81</v>
      </c>
      <c r="AP61" s="86">
        <v>78</v>
      </c>
      <c r="AQ61" s="86">
        <v>61</v>
      </c>
      <c r="AR61" s="86">
        <v>69</v>
      </c>
      <c r="AS61" s="86">
        <v>72</v>
      </c>
      <c r="AT61" s="86">
        <v>65</v>
      </c>
      <c r="AU61" s="86">
        <v>64</v>
      </c>
      <c r="AV61" s="86">
        <v>60</v>
      </c>
      <c r="AW61" s="86">
        <v>60</v>
      </c>
      <c r="AX61" s="86">
        <v>73</v>
      </c>
      <c r="AY61" s="86">
        <v>55</v>
      </c>
      <c r="AZ61" s="86">
        <v>67</v>
      </c>
      <c r="BA61" s="86">
        <v>84</v>
      </c>
      <c r="BB61" s="86">
        <v>61</v>
      </c>
      <c r="BC61" s="86">
        <v>65</v>
      </c>
      <c r="BD61" s="86">
        <v>59</v>
      </c>
      <c r="BE61" s="86">
        <v>60</v>
      </c>
      <c r="BF61" s="86">
        <v>61</v>
      </c>
      <c r="BG61" s="86">
        <v>65</v>
      </c>
      <c r="BH61" s="86">
        <v>63</v>
      </c>
      <c r="BI61" s="86">
        <v>64</v>
      </c>
      <c r="BJ61" s="86">
        <v>63</v>
      </c>
      <c r="BK61" s="86">
        <v>62</v>
      </c>
      <c r="BL61" s="86">
        <v>57</v>
      </c>
      <c r="BM61" s="86">
        <v>53</v>
      </c>
      <c r="BN61" s="86">
        <v>57</v>
      </c>
      <c r="BO61" s="86">
        <v>55</v>
      </c>
      <c r="BP61" s="86">
        <v>66</v>
      </c>
      <c r="BQ61" s="86">
        <v>69</v>
      </c>
      <c r="BR61" s="86">
        <v>58</v>
      </c>
      <c r="BS61" s="86">
        <v>67</v>
      </c>
      <c r="BT61" s="86">
        <v>69</v>
      </c>
      <c r="BU61" s="86">
        <v>57</v>
      </c>
      <c r="BV61" s="86">
        <v>58</v>
      </c>
      <c r="BW61" s="86">
        <v>71</v>
      </c>
      <c r="BX61" s="86">
        <v>60</v>
      </c>
      <c r="BY61" s="86">
        <v>55</v>
      </c>
      <c r="BZ61" s="86">
        <v>69</v>
      </c>
      <c r="CA61" s="86">
        <v>63</v>
      </c>
      <c r="CB61" s="86">
        <v>72</v>
      </c>
      <c r="CC61" s="86">
        <v>53</v>
      </c>
      <c r="CD61" s="86">
        <v>57</v>
      </c>
      <c r="CE61" s="86">
        <v>75</v>
      </c>
      <c r="CF61" s="86">
        <v>64</v>
      </c>
      <c r="CG61" s="86">
        <v>574</v>
      </c>
      <c r="CH61" s="86">
        <v>585</v>
      </c>
      <c r="CI61" s="86">
        <v>545</v>
      </c>
      <c r="CJ61" s="86">
        <v>591</v>
      </c>
      <c r="CK61" s="86">
        <v>565</v>
      </c>
      <c r="CL61" s="86">
        <v>555</v>
      </c>
      <c r="CM61" s="86">
        <v>568</v>
      </c>
      <c r="CN61" s="86">
        <v>573</v>
      </c>
      <c r="CO61" s="86">
        <v>566</v>
      </c>
      <c r="CP61" s="86">
        <v>562</v>
      </c>
      <c r="CQ61" s="86">
        <v>534</v>
      </c>
      <c r="CR61" s="86">
        <v>556</v>
      </c>
      <c r="CS61" s="86">
        <v>543</v>
      </c>
      <c r="CT61" s="86">
        <v>553</v>
      </c>
      <c r="CU61" s="382"/>
    </row>
    <row r="62" spans="1:99" s="86" customFormat="1" x14ac:dyDescent="0.2">
      <c r="A62" s="348">
        <v>80</v>
      </c>
      <c r="B62" s="348">
        <v>34</v>
      </c>
      <c r="C62" s="349" t="s">
        <v>156</v>
      </c>
      <c r="D62" s="348">
        <v>1515</v>
      </c>
      <c r="E62" s="164">
        <f t="shared" si="0"/>
        <v>130.55000000000001</v>
      </c>
      <c r="F62" s="394">
        <f t="shared" si="1"/>
        <v>4.5542063274516744</v>
      </c>
      <c r="G62" s="86">
        <v>21</v>
      </c>
      <c r="H62" s="86">
        <v>18</v>
      </c>
      <c r="I62" s="86">
        <v>21</v>
      </c>
      <c r="J62" s="86">
        <v>26</v>
      </c>
      <c r="K62" s="86">
        <v>16</v>
      </c>
      <c r="L62" s="86">
        <v>21</v>
      </c>
      <c r="M62" s="86">
        <v>16</v>
      </c>
      <c r="N62" s="86">
        <v>18</v>
      </c>
      <c r="O62" s="86">
        <v>20</v>
      </c>
      <c r="P62" s="86">
        <v>21</v>
      </c>
      <c r="Q62" s="86">
        <v>24</v>
      </c>
      <c r="R62" s="86">
        <v>19</v>
      </c>
      <c r="S62" s="86">
        <v>25</v>
      </c>
      <c r="T62" s="86">
        <v>22</v>
      </c>
      <c r="U62" s="86">
        <v>19</v>
      </c>
      <c r="V62" s="86">
        <v>19</v>
      </c>
      <c r="W62" s="86">
        <v>23</v>
      </c>
      <c r="X62" s="86">
        <v>20</v>
      </c>
      <c r="Y62" s="86">
        <v>15</v>
      </c>
      <c r="Z62" s="86">
        <v>21</v>
      </c>
      <c r="AA62" s="86">
        <v>187</v>
      </c>
      <c r="AB62" s="86">
        <v>211</v>
      </c>
      <c r="AC62" s="86">
        <v>187</v>
      </c>
      <c r="AD62" s="86">
        <v>191</v>
      </c>
      <c r="AE62" s="86">
        <v>209</v>
      </c>
      <c r="AF62" s="86">
        <v>181</v>
      </c>
      <c r="AG62" s="86">
        <v>162</v>
      </c>
      <c r="AH62" s="86">
        <v>166</v>
      </c>
      <c r="AI62" s="86">
        <v>180</v>
      </c>
      <c r="AJ62" s="86">
        <v>162</v>
      </c>
      <c r="AK62" s="86">
        <v>155</v>
      </c>
      <c r="AL62" s="86">
        <v>141</v>
      </c>
      <c r="AM62" s="86">
        <v>155</v>
      </c>
      <c r="AN62" s="86">
        <v>155</v>
      </c>
      <c r="AO62" s="86">
        <v>141</v>
      </c>
      <c r="AP62" s="86">
        <v>162</v>
      </c>
      <c r="AQ62" s="86">
        <v>127</v>
      </c>
      <c r="AR62" s="86">
        <v>136</v>
      </c>
      <c r="AS62" s="86">
        <v>131</v>
      </c>
      <c r="AT62" s="86">
        <v>145</v>
      </c>
      <c r="AU62" s="86">
        <v>137</v>
      </c>
      <c r="AV62" s="86">
        <v>132</v>
      </c>
      <c r="AW62" s="86">
        <v>155</v>
      </c>
      <c r="AX62" s="86">
        <v>133</v>
      </c>
      <c r="AY62" s="86">
        <v>131</v>
      </c>
      <c r="AZ62" s="86">
        <v>127</v>
      </c>
      <c r="BA62" s="86">
        <v>126</v>
      </c>
      <c r="BB62" s="86">
        <v>123</v>
      </c>
      <c r="BC62" s="86">
        <v>125</v>
      </c>
      <c r="BD62" s="86">
        <v>129</v>
      </c>
      <c r="BE62" s="86">
        <v>121</v>
      </c>
      <c r="BF62" s="86">
        <v>112</v>
      </c>
      <c r="BG62" s="86">
        <v>101</v>
      </c>
      <c r="BH62" s="86">
        <v>111</v>
      </c>
      <c r="BI62" s="86">
        <v>116</v>
      </c>
      <c r="BJ62" s="86">
        <v>117</v>
      </c>
      <c r="BK62" s="86">
        <v>113</v>
      </c>
      <c r="BL62" s="86">
        <v>118</v>
      </c>
      <c r="BM62" s="86">
        <v>114</v>
      </c>
      <c r="BN62" s="86">
        <v>97</v>
      </c>
      <c r="BO62" s="86">
        <v>109</v>
      </c>
      <c r="BP62" s="86">
        <v>101</v>
      </c>
      <c r="BQ62" s="86">
        <v>103</v>
      </c>
      <c r="BR62" s="86">
        <v>95</v>
      </c>
      <c r="BS62" s="86">
        <v>105</v>
      </c>
      <c r="BT62" s="86">
        <v>105</v>
      </c>
      <c r="BU62" s="86">
        <v>100</v>
      </c>
      <c r="BV62" s="86">
        <v>101</v>
      </c>
      <c r="BW62" s="86">
        <v>111</v>
      </c>
      <c r="BX62" s="86">
        <v>100</v>
      </c>
      <c r="BY62" s="86">
        <v>93</v>
      </c>
      <c r="BZ62" s="86">
        <v>89</v>
      </c>
      <c r="CA62" s="86">
        <v>93</v>
      </c>
      <c r="CB62" s="86">
        <v>97</v>
      </c>
      <c r="CC62" s="86">
        <v>109</v>
      </c>
      <c r="CD62" s="86">
        <v>106</v>
      </c>
      <c r="CE62" s="86">
        <v>93</v>
      </c>
      <c r="CF62" s="86">
        <v>95</v>
      </c>
      <c r="CG62" s="86">
        <v>961</v>
      </c>
      <c r="CH62" s="86">
        <v>861</v>
      </c>
      <c r="CI62" s="86">
        <v>829</v>
      </c>
      <c r="CJ62" s="86">
        <v>835</v>
      </c>
      <c r="CK62" s="86">
        <v>783</v>
      </c>
      <c r="CL62" s="86">
        <v>787</v>
      </c>
      <c r="CM62" s="86">
        <v>773</v>
      </c>
      <c r="CN62" s="86">
        <v>765</v>
      </c>
      <c r="CO62" s="86">
        <v>722</v>
      </c>
      <c r="CP62" s="86">
        <v>684</v>
      </c>
      <c r="CQ62" s="86">
        <v>714</v>
      </c>
      <c r="CR62" s="86">
        <v>692</v>
      </c>
      <c r="CS62" s="86">
        <v>745</v>
      </c>
      <c r="CT62" s="86">
        <v>694</v>
      </c>
      <c r="CU62" s="382"/>
    </row>
    <row r="63" spans="1:99" s="86" customFormat="1" x14ac:dyDescent="0.2">
      <c r="A63" s="348">
        <v>85</v>
      </c>
      <c r="B63" s="348">
        <v>34</v>
      </c>
      <c r="C63" s="349" t="s">
        <v>155</v>
      </c>
      <c r="D63" s="348">
        <v>1010</v>
      </c>
      <c r="E63" s="164">
        <f t="shared" si="0"/>
        <v>94.2</v>
      </c>
      <c r="F63" s="394">
        <f t="shared" si="1"/>
        <v>3.9814815309353864</v>
      </c>
      <c r="G63" s="86">
        <v>18</v>
      </c>
      <c r="H63" s="86">
        <v>14</v>
      </c>
      <c r="I63" s="86">
        <v>18</v>
      </c>
      <c r="J63" s="86">
        <v>19</v>
      </c>
      <c r="K63" s="86">
        <v>15</v>
      </c>
      <c r="L63" s="86">
        <v>14</v>
      </c>
      <c r="M63" s="86">
        <v>9</v>
      </c>
      <c r="N63" s="86">
        <v>15</v>
      </c>
      <c r="O63" s="86">
        <v>16</v>
      </c>
      <c r="P63" s="86">
        <v>15</v>
      </c>
      <c r="Q63" s="86">
        <v>19</v>
      </c>
      <c r="R63" s="86">
        <v>18</v>
      </c>
      <c r="S63" s="86">
        <v>12</v>
      </c>
      <c r="T63" s="86">
        <v>17</v>
      </c>
      <c r="U63" s="86">
        <v>14</v>
      </c>
      <c r="V63" s="86">
        <v>14</v>
      </c>
      <c r="W63" s="86">
        <v>13</v>
      </c>
      <c r="X63" s="86">
        <v>15</v>
      </c>
      <c r="Y63" s="86">
        <v>19</v>
      </c>
      <c r="Z63" s="86">
        <v>13</v>
      </c>
      <c r="AA63" s="86">
        <v>171</v>
      </c>
      <c r="AB63" s="86">
        <v>139</v>
      </c>
      <c r="AC63" s="86">
        <v>145</v>
      </c>
      <c r="AD63" s="86">
        <v>135</v>
      </c>
      <c r="AE63" s="86">
        <v>139</v>
      </c>
      <c r="AF63" s="86">
        <v>140</v>
      </c>
      <c r="AG63" s="86">
        <v>122</v>
      </c>
      <c r="AH63" s="86">
        <v>129</v>
      </c>
      <c r="AI63" s="86">
        <v>141</v>
      </c>
      <c r="AJ63" s="86">
        <v>114</v>
      </c>
      <c r="AK63" s="86">
        <v>131</v>
      </c>
      <c r="AL63" s="86">
        <v>113</v>
      </c>
      <c r="AM63" s="86">
        <v>122</v>
      </c>
      <c r="AN63" s="86">
        <v>119</v>
      </c>
      <c r="AO63" s="86">
        <v>120</v>
      </c>
      <c r="AP63" s="86">
        <v>113</v>
      </c>
      <c r="AQ63" s="86">
        <v>107</v>
      </c>
      <c r="AR63" s="86">
        <v>112</v>
      </c>
      <c r="AS63" s="86">
        <v>95</v>
      </c>
      <c r="AT63" s="86">
        <v>107</v>
      </c>
      <c r="AU63" s="86">
        <v>109</v>
      </c>
      <c r="AV63" s="86">
        <v>95</v>
      </c>
      <c r="AW63" s="86">
        <v>114</v>
      </c>
      <c r="AX63" s="86">
        <v>104</v>
      </c>
      <c r="AY63" s="86">
        <v>100</v>
      </c>
      <c r="AZ63" s="86">
        <v>91</v>
      </c>
      <c r="BA63" s="86">
        <v>88</v>
      </c>
      <c r="BB63" s="86">
        <v>111</v>
      </c>
      <c r="BC63" s="86">
        <v>88</v>
      </c>
      <c r="BD63" s="86">
        <v>97</v>
      </c>
      <c r="BE63" s="86">
        <v>96</v>
      </c>
      <c r="BF63" s="86">
        <v>95</v>
      </c>
      <c r="BG63" s="86">
        <v>89</v>
      </c>
      <c r="BH63" s="86">
        <v>90</v>
      </c>
      <c r="BI63" s="86">
        <v>87</v>
      </c>
      <c r="BJ63" s="86">
        <v>87</v>
      </c>
      <c r="BK63" s="86">
        <v>81</v>
      </c>
      <c r="BL63" s="86">
        <v>89</v>
      </c>
      <c r="BM63" s="86">
        <v>90</v>
      </c>
      <c r="BN63" s="86">
        <v>77</v>
      </c>
      <c r="BO63" s="86">
        <v>81</v>
      </c>
      <c r="BP63" s="86">
        <v>85</v>
      </c>
      <c r="BQ63" s="86">
        <v>92</v>
      </c>
      <c r="BR63" s="86">
        <v>97</v>
      </c>
      <c r="BS63" s="86">
        <v>94</v>
      </c>
      <c r="BT63" s="86">
        <v>76</v>
      </c>
      <c r="BU63" s="86">
        <v>87</v>
      </c>
      <c r="BV63" s="86">
        <v>98</v>
      </c>
      <c r="BW63" s="86">
        <v>95</v>
      </c>
      <c r="BX63" s="86">
        <v>78</v>
      </c>
      <c r="BY63" s="86">
        <v>76</v>
      </c>
      <c r="BZ63" s="86">
        <v>85</v>
      </c>
      <c r="CA63" s="86">
        <v>56</v>
      </c>
      <c r="CB63" s="86">
        <v>84</v>
      </c>
      <c r="CC63" s="86">
        <v>79</v>
      </c>
      <c r="CD63" s="86">
        <v>81</v>
      </c>
      <c r="CE63" s="86">
        <v>75</v>
      </c>
      <c r="CF63" s="86">
        <v>81</v>
      </c>
      <c r="CG63" s="86">
        <v>754</v>
      </c>
      <c r="CH63" s="86">
        <v>744</v>
      </c>
      <c r="CI63" s="86">
        <v>699</v>
      </c>
      <c r="CJ63" s="86">
        <v>729</v>
      </c>
      <c r="CK63" s="86">
        <v>698</v>
      </c>
      <c r="CL63" s="86">
        <v>665</v>
      </c>
      <c r="CM63" s="86">
        <v>614</v>
      </c>
      <c r="CN63" s="86">
        <v>655</v>
      </c>
      <c r="CO63" s="86">
        <v>609</v>
      </c>
      <c r="CP63" s="86">
        <v>575</v>
      </c>
      <c r="CQ63" s="86">
        <v>625</v>
      </c>
      <c r="CR63" s="86">
        <v>634</v>
      </c>
      <c r="CS63" s="86">
        <v>586</v>
      </c>
      <c r="CT63" s="86">
        <v>600</v>
      </c>
      <c r="CU63" s="382"/>
    </row>
    <row r="64" spans="1:99" s="86" customFormat="1" x14ac:dyDescent="0.2">
      <c r="A64" s="350">
        <v>89</v>
      </c>
      <c r="B64" s="350">
        <v>34</v>
      </c>
      <c r="C64" s="351" t="s">
        <v>156</v>
      </c>
      <c r="D64" s="350">
        <v>1515</v>
      </c>
      <c r="E64" s="381">
        <f t="shared" si="0"/>
        <v>125.1</v>
      </c>
      <c r="F64" s="395">
        <f t="shared" si="1"/>
        <v>4.411401601918409</v>
      </c>
      <c r="G64" s="87">
        <v>23</v>
      </c>
      <c r="H64" s="87">
        <v>18</v>
      </c>
      <c r="I64" s="87">
        <v>19</v>
      </c>
      <c r="J64" s="87">
        <v>20</v>
      </c>
      <c r="K64" s="87">
        <v>17</v>
      </c>
      <c r="L64" s="87">
        <v>18</v>
      </c>
      <c r="M64" s="87">
        <v>20</v>
      </c>
      <c r="N64" s="87">
        <v>17</v>
      </c>
      <c r="O64" s="87">
        <v>19</v>
      </c>
      <c r="P64" s="87">
        <v>17</v>
      </c>
      <c r="Q64" s="87">
        <v>22</v>
      </c>
      <c r="R64" s="87">
        <v>18</v>
      </c>
      <c r="S64" s="87">
        <v>17</v>
      </c>
      <c r="T64" s="87">
        <v>18</v>
      </c>
      <c r="U64" s="87">
        <v>21</v>
      </c>
      <c r="V64" s="87">
        <v>18</v>
      </c>
      <c r="W64" s="87">
        <v>19</v>
      </c>
      <c r="X64" s="87">
        <v>14</v>
      </c>
      <c r="Y64" s="87">
        <v>18</v>
      </c>
      <c r="Z64" s="87">
        <v>25</v>
      </c>
      <c r="AA64" s="87">
        <v>186</v>
      </c>
      <c r="AB64" s="87">
        <v>174</v>
      </c>
      <c r="AC64" s="87">
        <v>183</v>
      </c>
      <c r="AD64" s="87">
        <v>169</v>
      </c>
      <c r="AE64" s="87">
        <v>160</v>
      </c>
      <c r="AF64" s="87">
        <v>161</v>
      </c>
      <c r="AG64" s="87">
        <v>183</v>
      </c>
      <c r="AH64" s="87">
        <v>173</v>
      </c>
      <c r="AI64" s="87">
        <v>170</v>
      </c>
      <c r="AJ64" s="87">
        <v>167</v>
      </c>
      <c r="AK64" s="87">
        <v>152</v>
      </c>
      <c r="AL64" s="87">
        <v>153</v>
      </c>
      <c r="AM64" s="87">
        <v>150</v>
      </c>
      <c r="AN64" s="87">
        <v>146</v>
      </c>
      <c r="AO64" s="87">
        <v>154</v>
      </c>
      <c r="AP64" s="87">
        <v>129</v>
      </c>
      <c r="AQ64" s="87">
        <v>137</v>
      </c>
      <c r="AR64" s="87">
        <v>141</v>
      </c>
      <c r="AS64" s="87">
        <v>131</v>
      </c>
      <c r="AT64" s="87">
        <v>112</v>
      </c>
      <c r="AU64" s="87">
        <v>128</v>
      </c>
      <c r="AV64" s="87">
        <v>113</v>
      </c>
      <c r="AW64" s="87">
        <v>128</v>
      </c>
      <c r="AX64" s="87">
        <v>125</v>
      </c>
      <c r="AY64" s="87">
        <v>105</v>
      </c>
      <c r="AZ64" s="87">
        <v>120</v>
      </c>
      <c r="BA64" s="87">
        <v>122</v>
      </c>
      <c r="BB64" s="87">
        <v>116</v>
      </c>
      <c r="BC64" s="87">
        <v>114</v>
      </c>
      <c r="BD64" s="87">
        <v>124</v>
      </c>
      <c r="BE64" s="87">
        <v>103</v>
      </c>
      <c r="BF64" s="87">
        <v>112</v>
      </c>
      <c r="BG64" s="87">
        <v>105</v>
      </c>
      <c r="BH64" s="87">
        <v>110</v>
      </c>
      <c r="BI64" s="87">
        <v>117</v>
      </c>
      <c r="BJ64" s="87">
        <v>107</v>
      </c>
      <c r="BK64" s="87">
        <v>103</v>
      </c>
      <c r="BL64" s="87">
        <v>107</v>
      </c>
      <c r="BM64" s="87">
        <v>108</v>
      </c>
      <c r="BN64" s="87">
        <v>129</v>
      </c>
      <c r="BO64" s="87">
        <v>94</v>
      </c>
      <c r="BP64" s="87">
        <v>107</v>
      </c>
      <c r="BQ64" s="87">
        <v>108</v>
      </c>
      <c r="BR64" s="87">
        <v>97</v>
      </c>
      <c r="BS64" s="87">
        <v>94</v>
      </c>
      <c r="BT64" s="87">
        <v>84</v>
      </c>
      <c r="BU64" s="87">
        <v>89</v>
      </c>
      <c r="BV64" s="87">
        <v>86</v>
      </c>
      <c r="BW64" s="87">
        <v>98</v>
      </c>
      <c r="BX64" s="87">
        <v>92</v>
      </c>
      <c r="BY64" s="87">
        <v>88</v>
      </c>
      <c r="BZ64" s="87">
        <v>81</v>
      </c>
      <c r="CA64" s="87">
        <v>82</v>
      </c>
      <c r="CB64" s="87">
        <v>95</v>
      </c>
      <c r="CC64" s="87">
        <v>100</v>
      </c>
      <c r="CD64" s="87">
        <v>86</v>
      </c>
      <c r="CE64" s="87">
        <v>85</v>
      </c>
      <c r="CF64" s="87">
        <v>83</v>
      </c>
      <c r="CG64" s="87">
        <v>843</v>
      </c>
      <c r="CH64" s="87">
        <v>820</v>
      </c>
      <c r="CI64" s="87">
        <v>755</v>
      </c>
      <c r="CJ64" s="87">
        <v>703</v>
      </c>
      <c r="CK64" s="87">
        <v>728</v>
      </c>
      <c r="CL64" s="87">
        <v>714</v>
      </c>
      <c r="CM64" s="87">
        <v>686</v>
      </c>
      <c r="CN64" s="87">
        <v>687</v>
      </c>
      <c r="CO64" s="87">
        <v>635</v>
      </c>
      <c r="CP64" s="87">
        <v>692</v>
      </c>
      <c r="CQ64" s="87">
        <v>653</v>
      </c>
      <c r="CR64" s="87">
        <v>659</v>
      </c>
      <c r="CS64" s="87">
        <v>664</v>
      </c>
      <c r="CT64" s="87">
        <v>614</v>
      </c>
      <c r="CU64" s="382"/>
    </row>
    <row r="65" spans="1:99" s="86" customFormat="1" x14ac:dyDescent="0.2">
      <c r="A65" s="375">
        <v>43</v>
      </c>
      <c r="B65" s="375">
        <v>35</v>
      </c>
      <c r="C65" s="349" t="s">
        <v>155</v>
      </c>
      <c r="D65" s="376">
        <v>0</v>
      </c>
      <c r="E65" s="164">
        <f t="shared" si="0"/>
        <v>8416.7000000000007</v>
      </c>
      <c r="F65" s="394">
        <f t="shared" si="1"/>
        <v>29.877328779138086</v>
      </c>
      <c r="G65" s="83">
        <v>903</v>
      </c>
      <c r="H65" s="83">
        <v>933</v>
      </c>
      <c r="I65" s="83">
        <v>935</v>
      </c>
      <c r="J65" s="83">
        <v>876</v>
      </c>
      <c r="K65" s="83">
        <v>889</v>
      </c>
      <c r="L65" s="83">
        <v>916</v>
      </c>
      <c r="M65" s="83">
        <v>901</v>
      </c>
      <c r="N65" s="83">
        <v>888</v>
      </c>
      <c r="O65" s="83">
        <v>862</v>
      </c>
      <c r="P65" s="83">
        <v>878</v>
      </c>
      <c r="Q65" s="83">
        <v>889</v>
      </c>
      <c r="R65" s="83">
        <v>894</v>
      </c>
      <c r="S65" s="83">
        <v>854</v>
      </c>
      <c r="T65" s="83">
        <v>868</v>
      </c>
      <c r="U65" s="83">
        <v>883</v>
      </c>
      <c r="V65" s="83">
        <v>888</v>
      </c>
      <c r="W65" s="83">
        <v>842</v>
      </c>
      <c r="X65" s="83">
        <v>867</v>
      </c>
      <c r="Y65" s="83">
        <v>885</v>
      </c>
      <c r="Z65" s="83">
        <v>873</v>
      </c>
      <c r="AA65" s="83">
        <v>8308</v>
      </c>
      <c r="AB65" s="83">
        <v>7887</v>
      </c>
      <c r="AC65" s="83">
        <v>7497</v>
      </c>
      <c r="AD65" s="83">
        <v>7088</v>
      </c>
      <c r="AE65" s="83">
        <v>6757</v>
      </c>
      <c r="AF65" s="83">
        <v>6374</v>
      </c>
      <c r="AG65" s="83">
        <v>6054</v>
      </c>
      <c r="AH65" s="83">
        <v>5653</v>
      </c>
      <c r="AI65" s="83">
        <v>5422</v>
      </c>
      <c r="AJ65" s="83">
        <v>5238</v>
      </c>
      <c r="AK65" s="83">
        <v>4884</v>
      </c>
      <c r="AL65" s="83">
        <v>4777</v>
      </c>
      <c r="AM65" s="83">
        <v>4570</v>
      </c>
      <c r="AN65" s="83">
        <v>4384</v>
      </c>
      <c r="AO65" s="83">
        <v>4216</v>
      </c>
      <c r="AP65" s="83">
        <v>4030</v>
      </c>
      <c r="AQ65" s="83">
        <v>3821</v>
      </c>
      <c r="AR65" s="83">
        <v>3767</v>
      </c>
      <c r="AS65" s="83">
        <v>3551</v>
      </c>
      <c r="AT65" s="83">
        <v>3451</v>
      </c>
      <c r="AU65" s="83">
        <v>3299</v>
      </c>
      <c r="AV65" s="83">
        <v>3201</v>
      </c>
      <c r="AW65" s="83">
        <v>3073</v>
      </c>
      <c r="AX65" s="83">
        <v>2947</v>
      </c>
      <c r="AY65" s="83">
        <v>2902</v>
      </c>
      <c r="AZ65" s="83">
        <v>2759</v>
      </c>
      <c r="BA65" s="83">
        <v>2647</v>
      </c>
      <c r="BB65" s="83">
        <v>2611</v>
      </c>
      <c r="BC65" s="83">
        <v>2517</v>
      </c>
      <c r="BD65" s="83">
        <v>2502</v>
      </c>
      <c r="BE65" s="83">
        <v>2414</v>
      </c>
      <c r="BF65" s="83">
        <v>2321</v>
      </c>
      <c r="BG65" s="83">
        <v>2252</v>
      </c>
      <c r="BH65" s="83">
        <v>2152</v>
      </c>
      <c r="BI65" s="83">
        <v>2115</v>
      </c>
      <c r="BJ65" s="83">
        <v>2049</v>
      </c>
      <c r="BK65" s="83">
        <v>2003</v>
      </c>
      <c r="BL65" s="83">
        <v>1921</v>
      </c>
      <c r="BM65" s="83">
        <v>1865</v>
      </c>
      <c r="BN65" s="83">
        <v>1852</v>
      </c>
      <c r="BO65" s="83">
        <v>1843</v>
      </c>
      <c r="BP65" s="83">
        <v>1804</v>
      </c>
      <c r="BQ65" s="83">
        <v>1773</v>
      </c>
      <c r="BR65" s="83">
        <v>1715</v>
      </c>
      <c r="BS65" s="83">
        <v>1664</v>
      </c>
      <c r="BT65" s="83">
        <v>1627</v>
      </c>
      <c r="BU65" s="83">
        <v>1570</v>
      </c>
      <c r="BV65" s="83">
        <v>1564</v>
      </c>
      <c r="BW65" s="83">
        <v>1460</v>
      </c>
      <c r="BX65" s="83">
        <v>1493</v>
      </c>
      <c r="BY65" s="83">
        <v>1516</v>
      </c>
      <c r="BZ65" s="83">
        <v>1442</v>
      </c>
      <c r="CA65" s="83">
        <v>1380</v>
      </c>
      <c r="CB65" s="83">
        <v>1403</v>
      </c>
      <c r="CC65" s="83">
        <v>1365</v>
      </c>
      <c r="CD65" s="83">
        <v>1318</v>
      </c>
      <c r="CE65" s="83">
        <v>1235</v>
      </c>
      <c r="CF65" s="83">
        <v>1313</v>
      </c>
      <c r="CG65" s="83">
        <v>11856</v>
      </c>
      <c r="CH65" s="83">
        <v>10189</v>
      </c>
      <c r="CI65" s="83">
        <v>9006</v>
      </c>
      <c r="CJ65" s="83">
        <v>8075</v>
      </c>
      <c r="CK65" s="83">
        <v>7459</v>
      </c>
      <c r="CL65" s="83">
        <v>6513</v>
      </c>
      <c r="CM65" s="83">
        <v>6287</v>
      </c>
      <c r="CN65" s="83">
        <v>5833</v>
      </c>
      <c r="CO65" s="83">
        <v>5550</v>
      </c>
      <c r="CP65" s="83">
        <v>5190</v>
      </c>
      <c r="CQ65" s="83">
        <v>4931</v>
      </c>
      <c r="CR65" s="83">
        <v>4775</v>
      </c>
      <c r="CS65" s="83">
        <v>4536</v>
      </c>
      <c r="CT65" s="83">
        <v>4370</v>
      </c>
      <c r="CU65" s="382"/>
    </row>
    <row r="66" spans="1:99" s="86" customFormat="1" x14ac:dyDescent="0.2">
      <c r="A66" s="375">
        <v>47</v>
      </c>
      <c r="B66" s="375">
        <v>35</v>
      </c>
      <c r="C66" s="349" t="s">
        <v>156</v>
      </c>
      <c r="D66" s="376">
        <v>1515</v>
      </c>
      <c r="E66" s="164">
        <f t="shared" si="0"/>
        <v>11665.3</v>
      </c>
      <c r="F66" s="394">
        <f t="shared" si="1"/>
        <v>35.246514992875049</v>
      </c>
      <c r="G66" s="83">
        <v>1308</v>
      </c>
      <c r="H66" s="83">
        <v>1298</v>
      </c>
      <c r="I66" s="83">
        <v>1242</v>
      </c>
      <c r="J66" s="83">
        <v>1309</v>
      </c>
      <c r="K66" s="83">
        <v>1233</v>
      </c>
      <c r="L66" s="83">
        <v>1234</v>
      </c>
      <c r="M66" s="83">
        <v>1272</v>
      </c>
      <c r="N66" s="83">
        <v>1193</v>
      </c>
      <c r="O66" s="83">
        <v>1244</v>
      </c>
      <c r="P66" s="83">
        <v>1233</v>
      </c>
      <c r="Q66" s="83">
        <v>1254</v>
      </c>
      <c r="R66" s="83">
        <v>1269</v>
      </c>
      <c r="S66" s="83">
        <v>1187</v>
      </c>
      <c r="T66" s="83">
        <v>1179</v>
      </c>
      <c r="U66" s="83">
        <v>1207</v>
      </c>
      <c r="V66" s="83">
        <v>1211</v>
      </c>
      <c r="W66" s="83">
        <v>1211</v>
      </c>
      <c r="X66" s="83">
        <v>1152</v>
      </c>
      <c r="Y66" s="83">
        <v>1225</v>
      </c>
      <c r="Z66" s="83">
        <v>1188</v>
      </c>
      <c r="AA66" s="83">
        <v>11696</v>
      </c>
      <c r="AB66" s="83">
        <v>11012</v>
      </c>
      <c r="AC66" s="83">
        <v>10425</v>
      </c>
      <c r="AD66" s="83">
        <v>9893</v>
      </c>
      <c r="AE66" s="83">
        <v>9306</v>
      </c>
      <c r="AF66" s="83">
        <v>8909</v>
      </c>
      <c r="AG66" s="83">
        <v>8505</v>
      </c>
      <c r="AH66" s="83">
        <v>8029</v>
      </c>
      <c r="AI66" s="83">
        <v>7565</v>
      </c>
      <c r="AJ66" s="83">
        <v>7264</v>
      </c>
      <c r="AK66" s="83">
        <v>6958</v>
      </c>
      <c r="AL66" s="83">
        <v>6649</v>
      </c>
      <c r="AM66" s="83">
        <v>6460</v>
      </c>
      <c r="AN66" s="83">
        <v>6041</v>
      </c>
      <c r="AO66" s="83">
        <v>5840</v>
      </c>
      <c r="AP66" s="83">
        <v>5578</v>
      </c>
      <c r="AQ66" s="83">
        <v>5377</v>
      </c>
      <c r="AR66" s="83">
        <v>5065</v>
      </c>
      <c r="AS66" s="83">
        <v>4948</v>
      </c>
      <c r="AT66" s="83">
        <v>4736</v>
      </c>
      <c r="AU66" s="83">
        <v>4585</v>
      </c>
      <c r="AV66" s="83">
        <v>4404</v>
      </c>
      <c r="AW66" s="83">
        <v>4259</v>
      </c>
      <c r="AX66" s="83">
        <v>4095</v>
      </c>
      <c r="AY66" s="83">
        <v>3938</v>
      </c>
      <c r="AZ66" s="83">
        <v>3858</v>
      </c>
      <c r="BA66" s="83">
        <v>3729</v>
      </c>
      <c r="BB66" s="83">
        <v>3685</v>
      </c>
      <c r="BC66" s="83">
        <v>3586</v>
      </c>
      <c r="BD66" s="83">
        <v>3427</v>
      </c>
      <c r="BE66" s="83">
        <v>3301</v>
      </c>
      <c r="BF66" s="83">
        <v>3198</v>
      </c>
      <c r="BG66" s="83">
        <v>3204</v>
      </c>
      <c r="BH66" s="83">
        <v>3128</v>
      </c>
      <c r="BI66" s="83">
        <v>2987</v>
      </c>
      <c r="BJ66" s="83">
        <v>2894</v>
      </c>
      <c r="BK66" s="83">
        <v>2823</v>
      </c>
      <c r="BL66" s="83">
        <v>2837</v>
      </c>
      <c r="BM66" s="83">
        <v>2762</v>
      </c>
      <c r="BN66" s="83">
        <v>2699</v>
      </c>
      <c r="BO66" s="83">
        <v>2544</v>
      </c>
      <c r="BP66" s="83">
        <v>2531</v>
      </c>
      <c r="BQ66" s="83">
        <v>2503</v>
      </c>
      <c r="BR66" s="83">
        <v>2423</v>
      </c>
      <c r="BS66" s="83">
        <v>2343</v>
      </c>
      <c r="BT66" s="83">
        <v>2311</v>
      </c>
      <c r="BU66" s="83">
        <v>2309</v>
      </c>
      <c r="BV66" s="83">
        <v>2210</v>
      </c>
      <c r="BW66" s="83">
        <v>2115</v>
      </c>
      <c r="BX66" s="83">
        <v>2124</v>
      </c>
      <c r="BY66" s="83">
        <v>2031</v>
      </c>
      <c r="BZ66" s="83">
        <v>2013</v>
      </c>
      <c r="CA66" s="83">
        <v>2016</v>
      </c>
      <c r="CB66" s="83">
        <v>1959</v>
      </c>
      <c r="CC66" s="83">
        <v>1914</v>
      </c>
      <c r="CD66" s="83">
        <v>1889</v>
      </c>
      <c r="CE66" s="83">
        <v>1823</v>
      </c>
      <c r="CF66" s="83">
        <v>1876</v>
      </c>
      <c r="CG66" s="83">
        <v>17083</v>
      </c>
      <c r="CH66" s="83">
        <v>14778</v>
      </c>
      <c r="CI66" s="83">
        <v>13056</v>
      </c>
      <c r="CJ66" s="83">
        <v>11652</v>
      </c>
      <c r="CK66" s="83">
        <v>10723</v>
      </c>
      <c r="CL66" s="83">
        <v>9937</v>
      </c>
      <c r="CM66" s="83">
        <v>9282</v>
      </c>
      <c r="CN66" s="83">
        <v>8676</v>
      </c>
      <c r="CO66" s="83">
        <v>8150</v>
      </c>
      <c r="CP66" s="83">
        <v>7680</v>
      </c>
      <c r="CQ66" s="83">
        <v>7409</v>
      </c>
      <c r="CR66" s="83">
        <v>6939</v>
      </c>
      <c r="CS66" s="83">
        <v>6682</v>
      </c>
      <c r="CT66" s="83">
        <v>6502</v>
      </c>
      <c r="CU66" s="382"/>
    </row>
    <row r="67" spans="1:99" s="86" customFormat="1" x14ac:dyDescent="0.2">
      <c r="A67" s="375">
        <v>94</v>
      </c>
      <c r="B67" s="375">
        <v>35</v>
      </c>
      <c r="C67" s="349" t="s">
        <v>155</v>
      </c>
      <c r="D67" s="376">
        <v>1010</v>
      </c>
      <c r="E67" s="164">
        <f t="shared" si="0"/>
        <v>7879.25</v>
      </c>
      <c r="F67" s="394">
        <f t="shared" si="1"/>
        <v>28.985382030176542</v>
      </c>
      <c r="G67" s="83">
        <v>855</v>
      </c>
      <c r="H67" s="83">
        <v>831</v>
      </c>
      <c r="I67" s="83">
        <v>860</v>
      </c>
      <c r="J67" s="83">
        <v>897</v>
      </c>
      <c r="K67" s="83">
        <v>880</v>
      </c>
      <c r="L67" s="83">
        <v>842</v>
      </c>
      <c r="M67" s="83">
        <v>851</v>
      </c>
      <c r="N67" s="83">
        <v>824</v>
      </c>
      <c r="O67" s="83">
        <v>837</v>
      </c>
      <c r="P67" s="83">
        <v>829</v>
      </c>
      <c r="Q67" s="83">
        <v>832</v>
      </c>
      <c r="R67" s="83">
        <v>831</v>
      </c>
      <c r="S67" s="83">
        <v>786</v>
      </c>
      <c r="T67" s="83">
        <v>795</v>
      </c>
      <c r="U67" s="83">
        <v>837</v>
      </c>
      <c r="V67" s="83">
        <v>836</v>
      </c>
      <c r="W67" s="83">
        <v>820</v>
      </c>
      <c r="X67" s="83">
        <v>794</v>
      </c>
      <c r="Y67" s="83">
        <v>817</v>
      </c>
      <c r="Z67" s="83">
        <v>814</v>
      </c>
      <c r="AA67" s="83">
        <v>7811</v>
      </c>
      <c r="AB67" s="83">
        <v>7415</v>
      </c>
      <c r="AC67" s="83">
        <v>6949</v>
      </c>
      <c r="AD67" s="83">
        <v>6701</v>
      </c>
      <c r="AE67" s="83">
        <v>6320</v>
      </c>
      <c r="AF67" s="83">
        <v>5993</v>
      </c>
      <c r="AG67" s="83">
        <v>5603</v>
      </c>
      <c r="AH67" s="83">
        <v>5370</v>
      </c>
      <c r="AI67" s="83">
        <v>5087</v>
      </c>
      <c r="AJ67" s="83">
        <v>4895</v>
      </c>
      <c r="AK67" s="83">
        <v>4639</v>
      </c>
      <c r="AL67" s="83">
        <v>4451</v>
      </c>
      <c r="AM67" s="83">
        <v>4279</v>
      </c>
      <c r="AN67" s="83">
        <v>4136</v>
      </c>
      <c r="AO67" s="83">
        <v>3950</v>
      </c>
      <c r="AP67" s="83">
        <v>3736</v>
      </c>
      <c r="AQ67" s="83">
        <v>3584</v>
      </c>
      <c r="AR67" s="83">
        <v>3455</v>
      </c>
      <c r="AS67" s="83">
        <v>3335</v>
      </c>
      <c r="AT67" s="83">
        <v>3276</v>
      </c>
      <c r="AU67" s="83">
        <v>3088</v>
      </c>
      <c r="AV67" s="83">
        <v>2942</v>
      </c>
      <c r="AW67" s="83">
        <v>2962</v>
      </c>
      <c r="AX67" s="83">
        <v>2862</v>
      </c>
      <c r="AY67" s="83">
        <v>2700</v>
      </c>
      <c r="AZ67" s="83">
        <v>2604</v>
      </c>
      <c r="BA67" s="83">
        <v>2481</v>
      </c>
      <c r="BB67" s="83">
        <v>2411</v>
      </c>
      <c r="BC67" s="83">
        <v>2391</v>
      </c>
      <c r="BD67" s="83">
        <v>2321</v>
      </c>
      <c r="BE67" s="83">
        <v>2187</v>
      </c>
      <c r="BF67" s="83">
        <v>2178</v>
      </c>
      <c r="BG67" s="83">
        <v>2118</v>
      </c>
      <c r="BH67" s="83">
        <v>1985</v>
      </c>
      <c r="BI67" s="83">
        <v>2019</v>
      </c>
      <c r="BJ67" s="83">
        <v>1982</v>
      </c>
      <c r="BK67" s="83">
        <v>1929</v>
      </c>
      <c r="BL67" s="83">
        <v>1831</v>
      </c>
      <c r="BM67" s="83">
        <v>1825</v>
      </c>
      <c r="BN67" s="83">
        <v>1746</v>
      </c>
      <c r="BO67" s="83">
        <v>1698</v>
      </c>
      <c r="BP67" s="83">
        <v>1653</v>
      </c>
      <c r="BQ67" s="83">
        <v>1643</v>
      </c>
      <c r="BR67" s="83">
        <v>1573</v>
      </c>
      <c r="BS67" s="83">
        <v>1598</v>
      </c>
      <c r="BT67" s="83">
        <v>1546</v>
      </c>
      <c r="BU67" s="83">
        <v>1483</v>
      </c>
      <c r="BV67" s="83">
        <v>1479</v>
      </c>
      <c r="BW67" s="83">
        <v>1520</v>
      </c>
      <c r="BX67" s="83">
        <v>1444</v>
      </c>
      <c r="BY67" s="83">
        <v>1413</v>
      </c>
      <c r="BZ67" s="83">
        <v>1378</v>
      </c>
      <c r="CA67" s="83">
        <v>1399</v>
      </c>
      <c r="CB67" s="83">
        <v>1346</v>
      </c>
      <c r="CC67" s="83">
        <v>1319</v>
      </c>
      <c r="CD67" s="83">
        <v>1293</v>
      </c>
      <c r="CE67" s="83">
        <v>1263</v>
      </c>
      <c r="CF67" s="83">
        <v>1255</v>
      </c>
      <c r="CG67" s="83">
        <v>11535</v>
      </c>
      <c r="CH67" s="83">
        <v>9917</v>
      </c>
      <c r="CI67" s="83">
        <v>8851</v>
      </c>
      <c r="CJ67" s="83">
        <v>8018</v>
      </c>
      <c r="CK67" s="83">
        <v>7271</v>
      </c>
      <c r="CL67" s="83">
        <v>6755</v>
      </c>
      <c r="CM67" s="83">
        <v>6259</v>
      </c>
      <c r="CN67" s="83">
        <v>5969</v>
      </c>
      <c r="CO67" s="83">
        <v>5591</v>
      </c>
      <c r="CP67" s="83">
        <v>5314</v>
      </c>
      <c r="CQ67" s="83">
        <v>5050</v>
      </c>
      <c r="CR67" s="83">
        <v>4829</v>
      </c>
      <c r="CS67" s="83">
        <v>4641</v>
      </c>
      <c r="CT67" s="83">
        <v>4454</v>
      </c>
      <c r="CU67" s="382"/>
    </row>
    <row r="68" spans="1:99" s="86" customFormat="1" x14ac:dyDescent="0.2">
      <c r="A68" s="375">
        <v>98</v>
      </c>
      <c r="B68" s="375">
        <v>35</v>
      </c>
      <c r="C68" s="349" t="s">
        <v>156</v>
      </c>
      <c r="D68" s="376">
        <v>1515</v>
      </c>
      <c r="E68" s="164">
        <f t="shared" si="0"/>
        <v>12470.5</v>
      </c>
      <c r="F68" s="394">
        <f t="shared" si="1"/>
        <v>36.515367127281515</v>
      </c>
      <c r="G68" s="83">
        <v>1352</v>
      </c>
      <c r="H68" s="83">
        <v>1384</v>
      </c>
      <c r="I68" s="83">
        <v>1368</v>
      </c>
      <c r="J68" s="83">
        <v>1383</v>
      </c>
      <c r="K68" s="83">
        <v>1291</v>
      </c>
      <c r="L68" s="83">
        <v>1341</v>
      </c>
      <c r="M68" s="83">
        <v>1316</v>
      </c>
      <c r="N68" s="83">
        <v>1337</v>
      </c>
      <c r="O68" s="83">
        <v>1331</v>
      </c>
      <c r="P68" s="83">
        <v>1341</v>
      </c>
      <c r="Q68" s="83">
        <v>1301</v>
      </c>
      <c r="R68" s="83">
        <v>1303</v>
      </c>
      <c r="S68" s="83">
        <v>1313</v>
      </c>
      <c r="T68" s="83">
        <v>1311</v>
      </c>
      <c r="U68" s="83">
        <v>1296</v>
      </c>
      <c r="V68" s="83">
        <v>1285</v>
      </c>
      <c r="W68" s="83">
        <v>1314</v>
      </c>
      <c r="X68" s="83">
        <v>1351</v>
      </c>
      <c r="Y68" s="83">
        <v>1243</v>
      </c>
      <c r="Z68" s="83">
        <v>1288</v>
      </c>
      <c r="AA68" s="83">
        <v>12580</v>
      </c>
      <c r="AB68" s="83">
        <v>11733</v>
      </c>
      <c r="AC68" s="83">
        <v>11359</v>
      </c>
      <c r="AD68" s="83">
        <v>10599</v>
      </c>
      <c r="AE68" s="83">
        <v>10050</v>
      </c>
      <c r="AF68" s="83">
        <v>9671</v>
      </c>
      <c r="AG68" s="83">
        <v>9097</v>
      </c>
      <c r="AH68" s="83">
        <v>8687</v>
      </c>
      <c r="AI68" s="83">
        <v>8338</v>
      </c>
      <c r="AJ68" s="83">
        <v>7974</v>
      </c>
      <c r="AK68" s="83">
        <v>7528</v>
      </c>
      <c r="AL68" s="83">
        <v>7250</v>
      </c>
      <c r="AM68" s="83">
        <v>6867</v>
      </c>
      <c r="AN68" s="83">
        <v>6642</v>
      </c>
      <c r="AO68" s="83">
        <v>6358</v>
      </c>
      <c r="AP68" s="83">
        <v>6177</v>
      </c>
      <c r="AQ68" s="83">
        <v>5935</v>
      </c>
      <c r="AR68" s="83">
        <v>5651</v>
      </c>
      <c r="AS68" s="83">
        <v>5417</v>
      </c>
      <c r="AT68" s="83">
        <v>5189</v>
      </c>
      <c r="AU68" s="83">
        <v>5032</v>
      </c>
      <c r="AV68" s="83">
        <v>4991</v>
      </c>
      <c r="AW68" s="83">
        <v>4711</v>
      </c>
      <c r="AX68" s="83">
        <v>4584</v>
      </c>
      <c r="AY68" s="83">
        <v>4322</v>
      </c>
      <c r="AZ68" s="83">
        <v>4208</v>
      </c>
      <c r="BA68" s="83">
        <v>4160</v>
      </c>
      <c r="BB68" s="83">
        <v>4080</v>
      </c>
      <c r="BC68" s="83">
        <v>3974</v>
      </c>
      <c r="BD68" s="83">
        <v>3804</v>
      </c>
      <c r="BE68" s="83">
        <v>3787</v>
      </c>
      <c r="BF68" s="83">
        <v>3654</v>
      </c>
      <c r="BG68" s="83">
        <v>3536</v>
      </c>
      <c r="BH68" s="83">
        <v>3456</v>
      </c>
      <c r="BI68" s="83">
        <v>3364</v>
      </c>
      <c r="BJ68" s="83">
        <v>3261</v>
      </c>
      <c r="BK68" s="83">
        <v>3214</v>
      </c>
      <c r="BL68" s="83">
        <v>3089</v>
      </c>
      <c r="BM68" s="83">
        <v>3009</v>
      </c>
      <c r="BN68" s="83">
        <v>2865</v>
      </c>
      <c r="BO68" s="83">
        <v>2895</v>
      </c>
      <c r="BP68" s="83">
        <v>2788</v>
      </c>
      <c r="BQ68" s="83">
        <v>2733</v>
      </c>
      <c r="BR68" s="83">
        <v>2731</v>
      </c>
      <c r="BS68" s="83">
        <v>2619</v>
      </c>
      <c r="BT68" s="83">
        <v>2580</v>
      </c>
      <c r="BU68" s="83">
        <v>2506</v>
      </c>
      <c r="BV68" s="83">
        <v>2470</v>
      </c>
      <c r="BW68" s="83">
        <v>2442</v>
      </c>
      <c r="BX68" s="83">
        <v>2412</v>
      </c>
      <c r="BY68" s="83">
        <v>2385</v>
      </c>
      <c r="BZ68" s="83">
        <v>2341</v>
      </c>
      <c r="CA68" s="83">
        <v>2284</v>
      </c>
      <c r="CB68" s="83">
        <v>2259</v>
      </c>
      <c r="CC68" s="83">
        <v>2183</v>
      </c>
      <c r="CD68" s="83">
        <v>2156</v>
      </c>
      <c r="CE68" s="83">
        <v>2058</v>
      </c>
      <c r="CF68" s="83">
        <v>2090</v>
      </c>
      <c r="CG68" s="83">
        <v>19334</v>
      </c>
      <c r="CH68" s="83">
        <v>16810</v>
      </c>
      <c r="CI68" s="83">
        <v>14782</v>
      </c>
      <c r="CJ68" s="83">
        <v>13425</v>
      </c>
      <c r="CK68" s="83">
        <v>12360</v>
      </c>
      <c r="CL68" s="83">
        <v>11339</v>
      </c>
      <c r="CM68" s="83">
        <v>10625</v>
      </c>
      <c r="CN68" s="83">
        <v>9902</v>
      </c>
      <c r="CO68" s="83">
        <v>9354</v>
      </c>
      <c r="CP68" s="83">
        <v>8764</v>
      </c>
      <c r="CQ68" s="83">
        <v>8443</v>
      </c>
      <c r="CR68" s="83">
        <v>8014</v>
      </c>
      <c r="CS68" s="83">
        <v>7602</v>
      </c>
      <c r="CT68" s="83">
        <v>7478</v>
      </c>
      <c r="CU68" s="382"/>
    </row>
    <row r="69" spans="1:99" s="86" customFormat="1" x14ac:dyDescent="0.2">
      <c r="A69" s="375">
        <v>103</v>
      </c>
      <c r="B69" s="375">
        <v>35</v>
      </c>
      <c r="C69" s="349" t="s">
        <v>155</v>
      </c>
      <c r="D69" s="376">
        <v>2020</v>
      </c>
      <c r="E69" s="164">
        <f t="shared" si="0"/>
        <v>17436.650000000001</v>
      </c>
      <c r="F69" s="394">
        <f t="shared" si="1"/>
        <v>42.974692828920638</v>
      </c>
      <c r="G69" s="83">
        <v>1859</v>
      </c>
      <c r="H69" s="83">
        <v>1866</v>
      </c>
      <c r="I69" s="83">
        <v>1919</v>
      </c>
      <c r="J69" s="83">
        <v>1919</v>
      </c>
      <c r="K69" s="83">
        <v>1895</v>
      </c>
      <c r="L69" s="83">
        <v>1928</v>
      </c>
      <c r="M69" s="83">
        <v>1811</v>
      </c>
      <c r="N69" s="83">
        <v>1897</v>
      </c>
      <c r="O69" s="83">
        <v>1820</v>
      </c>
      <c r="P69" s="83">
        <v>1856</v>
      </c>
      <c r="Q69" s="83">
        <v>1839</v>
      </c>
      <c r="R69" s="83">
        <v>1820</v>
      </c>
      <c r="S69" s="83">
        <v>1820</v>
      </c>
      <c r="T69" s="83">
        <v>1763</v>
      </c>
      <c r="U69" s="83">
        <v>1813</v>
      </c>
      <c r="V69" s="83">
        <v>1763</v>
      </c>
      <c r="W69" s="83">
        <v>1806</v>
      </c>
      <c r="X69" s="83">
        <v>1760</v>
      </c>
      <c r="Y69" s="83">
        <v>1728</v>
      </c>
      <c r="Z69" s="83">
        <v>1762</v>
      </c>
      <c r="AA69" s="83">
        <v>17191</v>
      </c>
      <c r="AB69" s="83">
        <v>16266</v>
      </c>
      <c r="AC69" s="83">
        <v>15580</v>
      </c>
      <c r="AD69" s="83">
        <v>14748</v>
      </c>
      <c r="AE69" s="83">
        <v>14091</v>
      </c>
      <c r="AF69" s="83">
        <v>13264</v>
      </c>
      <c r="AG69" s="83">
        <v>12517</v>
      </c>
      <c r="AH69" s="83">
        <v>11868</v>
      </c>
      <c r="AI69" s="83">
        <v>11350</v>
      </c>
      <c r="AJ69" s="83">
        <v>10843</v>
      </c>
      <c r="AK69" s="83">
        <v>10399</v>
      </c>
      <c r="AL69" s="83">
        <v>9908</v>
      </c>
      <c r="AM69" s="83">
        <v>9422</v>
      </c>
      <c r="AN69" s="83">
        <v>8975</v>
      </c>
      <c r="AO69" s="83">
        <v>8765</v>
      </c>
      <c r="AP69" s="83">
        <v>8310</v>
      </c>
      <c r="AQ69" s="83">
        <v>7941</v>
      </c>
      <c r="AR69" s="83">
        <v>7690</v>
      </c>
      <c r="AS69" s="83">
        <v>7462</v>
      </c>
      <c r="AT69" s="83">
        <v>7065</v>
      </c>
      <c r="AU69" s="83">
        <v>6904</v>
      </c>
      <c r="AV69" s="83">
        <v>6584</v>
      </c>
      <c r="AW69" s="83">
        <v>6339</v>
      </c>
      <c r="AX69" s="83">
        <v>6086</v>
      </c>
      <c r="AY69" s="83">
        <v>6016</v>
      </c>
      <c r="AZ69" s="83">
        <v>5749</v>
      </c>
      <c r="BA69" s="83">
        <v>5514</v>
      </c>
      <c r="BB69" s="83">
        <v>5388</v>
      </c>
      <c r="BC69" s="83">
        <v>5262</v>
      </c>
      <c r="BD69" s="83">
        <v>4970</v>
      </c>
      <c r="BE69" s="83">
        <v>4974</v>
      </c>
      <c r="BF69" s="83">
        <v>4757</v>
      </c>
      <c r="BG69" s="83">
        <v>4630</v>
      </c>
      <c r="BH69" s="83">
        <v>4470</v>
      </c>
      <c r="BI69" s="83">
        <v>4444</v>
      </c>
      <c r="BJ69" s="83">
        <v>4209</v>
      </c>
      <c r="BK69" s="83">
        <v>4175</v>
      </c>
      <c r="BL69" s="83">
        <v>3933</v>
      </c>
      <c r="BM69" s="83">
        <v>3913</v>
      </c>
      <c r="BN69" s="83">
        <v>3863</v>
      </c>
      <c r="BO69" s="83">
        <v>3729</v>
      </c>
      <c r="BP69" s="83">
        <v>3708</v>
      </c>
      <c r="BQ69" s="83">
        <v>3626</v>
      </c>
      <c r="BR69" s="83">
        <v>3537</v>
      </c>
      <c r="BS69" s="83">
        <v>3401</v>
      </c>
      <c r="BT69" s="83">
        <v>3328</v>
      </c>
      <c r="BU69" s="83">
        <v>3312</v>
      </c>
      <c r="BV69" s="83">
        <v>3219</v>
      </c>
      <c r="BW69" s="83">
        <v>3152</v>
      </c>
      <c r="BX69" s="83">
        <v>3151</v>
      </c>
      <c r="BY69" s="83">
        <v>3041</v>
      </c>
      <c r="BZ69" s="83">
        <v>2986</v>
      </c>
      <c r="CA69" s="83">
        <v>2897</v>
      </c>
      <c r="CB69" s="83">
        <v>2860</v>
      </c>
      <c r="CC69" s="83">
        <v>2868</v>
      </c>
      <c r="CD69" s="83">
        <v>2737</v>
      </c>
      <c r="CE69" s="83">
        <v>2705</v>
      </c>
      <c r="CF69" s="83">
        <v>2660</v>
      </c>
      <c r="CG69" s="83">
        <v>24269</v>
      </c>
      <c r="CH69" s="83">
        <v>20939</v>
      </c>
      <c r="CI69" s="83">
        <v>18656</v>
      </c>
      <c r="CJ69" s="83">
        <v>16579</v>
      </c>
      <c r="CK69" s="83">
        <v>15078</v>
      </c>
      <c r="CL69" s="83">
        <v>13687</v>
      </c>
      <c r="CM69" s="83">
        <v>12755</v>
      </c>
      <c r="CN69" s="83">
        <v>11807</v>
      </c>
      <c r="CO69" s="83">
        <v>11216</v>
      </c>
      <c r="CP69" s="83">
        <v>10446</v>
      </c>
      <c r="CQ69" s="83">
        <v>10076</v>
      </c>
      <c r="CR69" s="83">
        <v>9634</v>
      </c>
      <c r="CS69" s="83">
        <v>9059</v>
      </c>
      <c r="CT69" s="83">
        <v>8648</v>
      </c>
      <c r="CU69" s="382"/>
    </row>
    <row r="70" spans="1:99" s="86" customFormat="1" x14ac:dyDescent="0.2">
      <c r="A70" s="375">
        <v>107</v>
      </c>
      <c r="B70" s="375">
        <v>35</v>
      </c>
      <c r="C70" s="349" t="s">
        <v>156</v>
      </c>
      <c r="D70" s="376">
        <v>1515</v>
      </c>
      <c r="E70" s="164">
        <f t="shared" ref="E70:E133" si="2">MAX((SUM(G70:Z70)/2)-(SUM(CS70:CT70)/20),0.1)</f>
        <v>14573.45</v>
      </c>
      <c r="F70" s="394">
        <f t="shared" ref="F70:F133" si="3">SQRT((STDEV(CP70:CT70)/SQRT(50)^2+(AVERAGE(G70:Z70)^(1/2))^2))</f>
        <v>39.682854167138984</v>
      </c>
      <c r="G70" s="83">
        <v>1636</v>
      </c>
      <c r="H70" s="83">
        <v>1648</v>
      </c>
      <c r="I70" s="83">
        <v>1626</v>
      </c>
      <c r="J70" s="83">
        <v>1590</v>
      </c>
      <c r="K70" s="83">
        <v>1674</v>
      </c>
      <c r="L70" s="83">
        <v>1624</v>
      </c>
      <c r="M70" s="83">
        <v>1539</v>
      </c>
      <c r="N70" s="83">
        <v>1588</v>
      </c>
      <c r="O70" s="83">
        <v>1588</v>
      </c>
      <c r="P70" s="83">
        <v>1574</v>
      </c>
      <c r="Q70" s="83">
        <v>1555</v>
      </c>
      <c r="R70" s="83">
        <v>1549</v>
      </c>
      <c r="S70" s="83">
        <v>1583</v>
      </c>
      <c r="T70" s="83">
        <v>1487</v>
      </c>
      <c r="U70" s="83">
        <v>1525</v>
      </c>
      <c r="V70" s="83">
        <v>1515</v>
      </c>
      <c r="W70" s="83">
        <v>1506</v>
      </c>
      <c r="X70" s="83">
        <v>1513</v>
      </c>
      <c r="Y70" s="83">
        <v>1484</v>
      </c>
      <c r="Z70" s="83">
        <v>1418</v>
      </c>
      <c r="AA70" s="83">
        <v>14767</v>
      </c>
      <c r="AB70" s="83">
        <v>13957</v>
      </c>
      <c r="AC70" s="83">
        <v>13508</v>
      </c>
      <c r="AD70" s="83">
        <v>12804</v>
      </c>
      <c r="AE70" s="83">
        <v>12042</v>
      </c>
      <c r="AF70" s="83">
        <v>11363</v>
      </c>
      <c r="AG70" s="83">
        <v>10968</v>
      </c>
      <c r="AH70" s="83">
        <v>10476</v>
      </c>
      <c r="AI70" s="83">
        <v>9995</v>
      </c>
      <c r="AJ70" s="83">
        <v>9498</v>
      </c>
      <c r="AK70" s="83">
        <v>9023</v>
      </c>
      <c r="AL70" s="83">
        <v>8697</v>
      </c>
      <c r="AM70" s="83">
        <v>8251</v>
      </c>
      <c r="AN70" s="83">
        <v>7919</v>
      </c>
      <c r="AO70" s="83">
        <v>7770</v>
      </c>
      <c r="AP70" s="83">
        <v>7469</v>
      </c>
      <c r="AQ70" s="83">
        <v>7106</v>
      </c>
      <c r="AR70" s="83">
        <v>6810</v>
      </c>
      <c r="AS70" s="83">
        <v>6660</v>
      </c>
      <c r="AT70" s="83">
        <v>6392</v>
      </c>
      <c r="AU70" s="83">
        <v>6105</v>
      </c>
      <c r="AV70" s="83">
        <v>5961</v>
      </c>
      <c r="AW70" s="83">
        <v>5797</v>
      </c>
      <c r="AX70" s="83">
        <v>5650</v>
      </c>
      <c r="AY70" s="83">
        <v>5541</v>
      </c>
      <c r="AZ70" s="83">
        <v>5212</v>
      </c>
      <c r="BA70" s="83">
        <v>5102</v>
      </c>
      <c r="BB70" s="83">
        <v>5035</v>
      </c>
      <c r="BC70" s="83">
        <v>4814</v>
      </c>
      <c r="BD70" s="83">
        <v>4556</v>
      </c>
      <c r="BE70" s="83">
        <v>4562</v>
      </c>
      <c r="BF70" s="83">
        <v>4377</v>
      </c>
      <c r="BG70" s="83">
        <v>4235</v>
      </c>
      <c r="BH70" s="83">
        <v>4208</v>
      </c>
      <c r="BI70" s="83">
        <v>4088</v>
      </c>
      <c r="BJ70" s="83">
        <v>3965</v>
      </c>
      <c r="BK70" s="83">
        <v>3980</v>
      </c>
      <c r="BL70" s="83">
        <v>3887</v>
      </c>
      <c r="BM70" s="83">
        <v>3547</v>
      </c>
      <c r="BN70" s="83">
        <v>3661</v>
      </c>
      <c r="BO70" s="83">
        <v>3615</v>
      </c>
      <c r="BP70" s="83">
        <v>3522</v>
      </c>
      <c r="BQ70" s="83">
        <v>3415</v>
      </c>
      <c r="BR70" s="83">
        <v>3390</v>
      </c>
      <c r="BS70" s="83">
        <v>3345</v>
      </c>
      <c r="BT70" s="83">
        <v>3252</v>
      </c>
      <c r="BU70" s="83">
        <v>3152</v>
      </c>
      <c r="BV70" s="83">
        <v>3144</v>
      </c>
      <c r="BW70" s="83">
        <v>3152</v>
      </c>
      <c r="BX70" s="83">
        <v>3025</v>
      </c>
      <c r="BY70" s="83">
        <v>2988</v>
      </c>
      <c r="BZ70" s="83">
        <v>2917</v>
      </c>
      <c r="CA70" s="83">
        <v>2791</v>
      </c>
      <c r="CB70" s="83">
        <v>2780</v>
      </c>
      <c r="CC70" s="83">
        <v>2780</v>
      </c>
      <c r="CD70" s="83">
        <v>2754</v>
      </c>
      <c r="CE70" s="83">
        <v>2679</v>
      </c>
      <c r="CF70" s="83">
        <v>2630</v>
      </c>
      <c r="CG70" s="83">
        <v>24402</v>
      </c>
      <c r="CH70" s="83">
        <v>21545</v>
      </c>
      <c r="CI70" s="83">
        <v>19431</v>
      </c>
      <c r="CJ70" s="83">
        <v>17462</v>
      </c>
      <c r="CK70" s="83">
        <v>15971</v>
      </c>
      <c r="CL70" s="83">
        <v>14924</v>
      </c>
      <c r="CM70" s="83">
        <v>13974</v>
      </c>
      <c r="CN70" s="83">
        <v>13282</v>
      </c>
      <c r="CO70" s="83">
        <v>12498</v>
      </c>
      <c r="CP70" s="83">
        <v>12006</v>
      </c>
      <c r="CQ70" s="83">
        <v>11111</v>
      </c>
      <c r="CR70" s="83">
        <v>10864</v>
      </c>
      <c r="CS70" s="83">
        <v>10532</v>
      </c>
      <c r="CT70" s="83">
        <v>10219</v>
      </c>
      <c r="CU70" s="382"/>
    </row>
    <row r="71" spans="1:99" s="86" customFormat="1" x14ac:dyDescent="0.2">
      <c r="A71" s="375">
        <v>112</v>
      </c>
      <c r="B71" s="375">
        <v>35</v>
      </c>
      <c r="C71" s="349" t="s">
        <v>155</v>
      </c>
      <c r="D71" s="376">
        <v>4167</v>
      </c>
      <c r="E71" s="164">
        <f t="shared" si="2"/>
        <v>38211.4</v>
      </c>
      <c r="F71" s="394">
        <f t="shared" si="3"/>
        <v>63.478917531239283</v>
      </c>
      <c r="G71" s="83">
        <v>4180</v>
      </c>
      <c r="H71" s="83">
        <v>4056</v>
      </c>
      <c r="I71" s="83">
        <v>4172</v>
      </c>
      <c r="J71" s="83">
        <v>4192</v>
      </c>
      <c r="K71" s="83">
        <v>4015</v>
      </c>
      <c r="L71" s="83">
        <v>4087</v>
      </c>
      <c r="M71" s="83">
        <v>4132</v>
      </c>
      <c r="N71" s="83">
        <v>3944</v>
      </c>
      <c r="O71" s="83">
        <v>3937</v>
      </c>
      <c r="P71" s="83">
        <v>3949</v>
      </c>
      <c r="Q71" s="83">
        <v>4080</v>
      </c>
      <c r="R71" s="83">
        <v>4037</v>
      </c>
      <c r="S71" s="83">
        <v>3976</v>
      </c>
      <c r="T71" s="83">
        <v>3935</v>
      </c>
      <c r="U71" s="83">
        <v>3914</v>
      </c>
      <c r="V71" s="83">
        <v>3863</v>
      </c>
      <c r="W71" s="83">
        <v>3893</v>
      </c>
      <c r="X71" s="83">
        <v>3899</v>
      </c>
      <c r="Y71" s="83">
        <v>3877</v>
      </c>
      <c r="Z71" s="83">
        <v>3831</v>
      </c>
      <c r="AA71" s="83">
        <v>37341</v>
      </c>
      <c r="AB71" s="83">
        <v>35493</v>
      </c>
      <c r="AC71" s="83">
        <v>33566</v>
      </c>
      <c r="AD71" s="83">
        <v>32248</v>
      </c>
      <c r="AE71" s="83">
        <v>30346</v>
      </c>
      <c r="AF71" s="83">
        <v>28828</v>
      </c>
      <c r="AG71" s="83">
        <v>27525</v>
      </c>
      <c r="AH71" s="83">
        <v>25920</v>
      </c>
      <c r="AI71" s="83">
        <v>24820</v>
      </c>
      <c r="AJ71" s="83">
        <v>23629</v>
      </c>
      <c r="AK71" s="83">
        <v>22470</v>
      </c>
      <c r="AL71" s="83">
        <v>21315</v>
      </c>
      <c r="AM71" s="83">
        <v>20437</v>
      </c>
      <c r="AN71" s="83">
        <v>19466</v>
      </c>
      <c r="AO71" s="83">
        <v>18669</v>
      </c>
      <c r="AP71" s="83">
        <v>18179</v>
      </c>
      <c r="AQ71" s="83">
        <v>17282</v>
      </c>
      <c r="AR71" s="83">
        <v>16640</v>
      </c>
      <c r="AS71" s="83">
        <v>15913</v>
      </c>
      <c r="AT71" s="83">
        <v>15245</v>
      </c>
      <c r="AU71" s="83">
        <v>14831</v>
      </c>
      <c r="AV71" s="83">
        <v>14412</v>
      </c>
      <c r="AW71" s="83">
        <v>13753</v>
      </c>
      <c r="AX71" s="83">
        <v>13196</v>
      </c>
      <c r="AY71" s="83">
        <v>12785</v>
      </c>
      <c r="AZ71" s="83">
        <v>12513</v>
      </c>
      <c r="BA71" s="83">
        <v>11815</v>
      </c>
      <c r="BB71" s="83">
        <v>11653</v>
      </c>
      <c r="BC71" s="83">
        <v>11369</v>
      </c>
      <c r="BD71" s="83">
        <v>10975</v>
      </c>
      <c r="BE71" s="83">
        <v>10654</v>
      </c>
      <c r="BF71" s="83">
        <v>10227</v>
      </c>
      <c r="BG71" s="83">
        <v>9834</v>
      </c>
      <c r="BH71" s="83">
        <v>9723</v>
      </c>
      <c r="BI71" s="83">
        <v>9444</v>
      </c>
      <c r="BJ71" s="83">
        <v>9358</v>
      </c>
      <c r="BK71" s="83">
        <v>8961</v>
      </c>
      <c r="BL71" s="83">
        <v>8771</v>
      </c>
      <c r="BM71" s="83">
        <v>8504</v>
      </c>
      <c r="BN71" s="83">
        <v>8361</v>
      </c>
      <c r="BO71" s="83">
        <v>8092</v>
      </c>
      <c r="BP71" s="83">
        <v>7870</v>
      </c>
      <c r="BQ71" s="83">
        <v>7723</v>
      </c>
      <c r="BR71" s="83">
        <v>7515</v>
      </c>
      <c r="BS71" s="83">
        <v>7425</v>
      </c>
      <c r="BT71" s="83">
        <v>7121</v>
      </c>
      <c r="BU71" s="83">
        <v>7071</v>
      </c>
      <c r="BV71" s="83">
        <v>6728</v>
      </c>
      <c r="BW71" s="83">
        <v>6824</v>
      </c>
      <c r="BX71" s="83">
        <v>6601</v>
      </c>
      <c r="BY71" s="83">
        <v>6420</v>
      </c>
      <c r="BZ71" s="83">
        <v>6385</v>
      </c>
      <c r="CA71" s="83">
        <v>6231</v>
      </c>
      <c r="CB71" s="83">
        <v>6103</v>
      </c>
      <c r="CC71" s="83">
        <v>6021</v>
      </c>
      <c r="CD71" s="83">
        <v>5834</v>
      </c>
      <c r="CE71" s="83">
        <v>5827</v>
      </c>
      <c r="CF71" s="83">
        <v>5715</v>
      </c>
      <c r="CG71" s="83">
        <v>51450</v>
      </c>
      <c r="CH71" s="83">
        <v>44394</v>
      </c>
      <c r="CI71" s="83">
        <v>38606</v>
      </c>
      <c r="CJ71" s="83">
        <v>34283</v>
      </c>
      <c r="CK71" s="83">
        <v>31344</v>
      </c>
      <c r="CL71" s="83">
        <v>28668</v>
      </c>
      <c r="CM71" s="83">
        <v>26278</v>
      </c>
      <c r="CN71" s="83">
        <v>24301</v>
      </c>
      <c r="CO71" s="83">
        <v>22893</v>
      </c>
      <c r="CP71" s="83">
        <v>21302</v>
      </c>
      <c r="CQ71" s="83">
        <v>19960</v>
      </c>
      <c r="CR71" s="83">
        <v>19038</v>
      </c>
      <c r="CS71" s="83">
        <v>18155</v>
      </c>
      <c r="CT71" s="83">
        <v>17307</v>
      </c>
      <c r="CU71" s="382"/>
    </row>
    <row r="72" spans="1:99" s="86" customFormat="1" x14ac:dyDescent="0.2">
      <c r="A72" s="375">
        <v>116</v>
      </c>
      <c r="B72" s="375">
        <v>35</v>
      </c>
      <c r="C72" s="349" t="s">
        <v>156</v>
      </c>
      <c r="D72" s="376">
        <v>1515</v>
      </c>
      <c r="E72" s="164">
        <f t="shared" si="2"/>
        <v>16945.55</v>
      </c>
      <c r="F72" s="394">
        <f t="shared" si="3"/>
        <v>43.147950728743709</v>
      </c>
      <c r="G72" s="83">
        <v>1891</v>
      </c>
      <c r="H72" s="83">
        <v>1881</v>
      </c>
      <c r="I72" s="83">
        <v>1842</v>
      </c>
      <c r="J72" s="83">
        <v>1911</v>
      </c>
      <c r="K72" s="83">
        <v>1863</v>
      </c>
      <c r="L72" s="83">
        <v>1896</v>
      </c>
      <c r="M72" s="83">
        <v>1860</v>
      </c>
      <c r="N72" s="83">
        <v>1868</v>
      </c>
      <c r="O72" s="83">
        <v>1876</v>
      </c>
      <c r="P72" s="83">
        <v>1807</v>
      </c>
      <c r="Q72" s="83">
        <v>1813</v>
      </c>
      <c r="R72" s="83">
        <v>1797</v>
      </c>
      <c r="S72" s="83">
        <v>1823</v>
      </c>
      <c r="T72" s="83">
        <v>1875</v>
      </c>
      <c r="U72" s="83">
        <v>1779</v>
      </c>
      <c r="V72" s="83">
        <v>1830</v>
      </c>
      <c r="W72" s="83">
        <v>1808</v>
      </c>
      <c r="X72" s="83">
        <v>1834</v>
      </c>
      <c r="Y72" s="83">
        <v>1784</v>
      </c>
      <c r="Z72" s="83">
        <v>1809</v>
      </c>
      <c r="AA72" s="83">
        <v>17351</v>
      </c>
      <c r="AB72" s="83">
        <v>16757</v>
      </c>
      <c r="AC72" s="83">
        <v>15912</v>
      </c>
      <c r="AD72" s="83">
        <v>15157</v>
      </c>
      <c r="AE72" s="83">
        <v>14446</v>
      </c>
      <c r="AF72" s="83">
        <v>13806</v>
      </c>
      <c r="AG72" s="83">
        <v>13024</v>
      </c>
      <c r="AH72" s="83">
        <v>12416</v>
      </c>
      <c r="AI72" s="83">
        <v>11964</v>
      </c>
      <c r="AJ72" s="83">
        <v>11450</v>
      </c>
      <c r="AK72" s="83">
        <v>10987</v>
      </c>
      <c r="AL72" s="83">
        <v>10558</v>
      </c>
      <c r="AM72" s="83">
        <v>10122</v>
      </c>
      <c r="AN72" s="83">
        <v>9770</v>
      </c>
      <c r="AO72" s="83">
        <v>9363</v>
      </c>
      <c r="AP72" s="83">
        <v>9093</v>
      </c>
      <c r="AQ72" s="83">
        <v>8638</v>
      </c>
      <c r="AR72" s="83">
        <v>8499</v>
      </c>
      <c r="AS72" s="83">
        <v>8177</v>
      </c>
      <c r="AT72" s="83">
        <v>7766</v>
      </c>
      <c r="AU72" s="83">
        <v>7589</v>
      </c>
      <c r="AV72" s="83">
        <v>7420</v>
      </c>
      <c r="AW72" s="83">
        <v>7124</v>
      </c>
      <c r="AX72" s="83">
        <v>6918</v>
      </c>
      <c r="AY72" s="83">
        <v>6676</v>
      </c>
      <c r="AZ72" s="83">
        <v>6546</v>
      </c>
      <c r="BA72" s="83">
        <v>6315</v>
      </c>
      <c r="BB72" s="83">
        <v>6236</v>
      </c>
      <c r="BC72" s="83">
        <v>5973</v>
      </c>
      <c r="BD72" s="83">
        <v>5780</v>
      </c>
      <c r="BE72" s="83">
        <v>5707</v>
      </c>
      <c r="BF72" s="83">
        <v>5591</v>
      </c>
      <c r="BG72" s="83">
        <v>5446</v>
      </c>
      <c r="BH72" s="83">
        <v>5316</v>
      </c>
      <c r="BI72" s="83">
        <v>5127</v>
      </c>
      <c r="BJ72" s="83">
        <v>5125</v>
      </c>
      <c r="BK72" s="83">
        <v>5026</v>
      </c>
      <c r="BL72" s="83">
        <v>4853</v>
      </c>
      <c r="BM72" s="83">
        <v>4771</v>
      </c>
      <c r="BN72" s="83">
        <v>4676</v>
      </c>
      <c r="BO72" s="83">
        <v>4600</v>
      </c>
      <c r="BP72" s="83">
        <v>4491</v>
      </c>
      <c r="BQ72" s="83">
        <v>4417</v>
      </c>
      <c r="BR72" s="83">
        <v>4294</v>
      </c>
      <c r="BS72" s="83">
        <v>4273</v>
      </c>
      <c r="BT72" s="83">
        <v>4286</v>
      </c>
      <c r="BU72" s="83">
        <v>4022</v>
      </c>
      <c r="BV72" s="83">
        <v>4058</v>
      </c>
      <c r="BW72" s="83">
        <v>4039</v>
      </c>
      <c r="BX72" s="83">
        <v>3980</v>
      </c>
      <c r="BY72" s="83">
        <v>3882</v>
      </c>
      <c r="BZ72" s="83">
        <v>3742</v>
      </c>
      <c r="CA72" s="83">
        <v>3851</v>
      </c>
      <c r="CB72" s="83">
        <v>3727</v>
      </c>
      <c r="CC72" s="83">
        <v>3563</v>
      </c>
      <c r="CD72" s="83">
        <v>3571</v>
      </c>
      <c r="CE72" s="83">
        <v>3591</v>
      </c>
      <c r="CF72" s="83">
        <v>3485</v>
      </c>
      <c r="CG72" s="83">
        <v>32265</v>
      </c>
      <c r="CH72" s="83">
        <v>28732</v>
      </c>
      <c r="CI72" s="83">
        <v>26199</v>
      </c>
      <c r="CJ72" s="83">
        <v>23776</v>
      </c>
      <c r="CK72" s="83">
        <v>22205</v>
      </c>
      <c r="CL72" s="83">
        <v>20785</v>
      </c>
      <c r="CM72" s="83">
        <v>19599</v>
      </c>
      <c r="CN72" s="83">
        <v>18510</v>
      </c>
      <c r="CO72" s="83">
        <v>17735</v>
      </c>
      <c r="CP72" s="83">
        <v>16950</v>
      </c>
      <c r="CQ72" s="83">
        <v>16317</v>
      </c>
      <c r="CR72" s="83">
        <v>15542</v>
      </c>
      <c r="CS72" s="83">
        <v>15006</v>
      </c>
      <c r="CT72" s="83">
        <v>14553</v>
      </c>
      <c r="CU72" s="382"/>
    </row>
    <row r="73" spans="1:99" s="86" customFormat="1" x14ac:dyDescent="0.2">
      <c r="A73" s="375">
        <v>121</v>
      </c>
      <c r="B73" s="375">
        <v>35</v>
      </c>
      <c r="C73" s="349" t="s">
        <v>155</v>
      </c>
      <c r="D73" s="376">
        <v>0</v>
      </c>
      <c r="E73" s="164">
        <f t="shared" si="2"/>
        <v>120.89999999999998</v>
      </c>
      <c r="F73" s="394">
        <f t="shared" si="3"/>
        <v>6.8095469698609401</v>
      </c>
      <c r="G73" s="83">
        <v>42</v>
      </c>
      <c r="H73" s="83">
        <v>44</v>
      </c>
      <c r="I73" s="83">
        <v>52</v>
      </c>
      <c r="J73" s="83">
        <v>37</v>
      </c>
      <c r="K73" s="83">
        <v>41</v>
      </c>
      <c r="L73" s="83">
        <v>42</v>
      </c>
      <c r="M73" s="83">
        <v>44</v>
      </c>
      <c r="N73" s="83">
        <v>42</v>
      </c>
      <c r="O73" s="83">
        <v>45</v>
      </c>
      <c r="P73" s="83">
        <v>49</v>
      </c>
      <c r="Q73" s="83">
        <v>50</v>
      </c>
      <c r="R73" s="83">
        <v>41</v>
      </c>
      <c r="S73" s="83">
        <v>52</v>
      </c>
      <c r="T73" s="83">
        <v>48</v>
      </c>
      <c r="U73" s="83">
        <v>41</v>
      </c>
      <c r="V73" s="83">
        <v>46</v>
      </c>
      <c r="W73" s="83">
        <v>48</v>
      </c>
      <c r="X73" s="83">
        <v>49</v>
      </c>
      <c r="Y73" s="83">
        <v>35</v>
      </c>
      <c r="Z73" s="83">
        <v>48</v>
      </c>
      <c r="AA73" s="83">
        <v>483</v>
      </c>
      <c r="AB73" s="83">
        <v>490</v>
      </c>
      <c r="AC73" s="83">
        <v>495</v>
      </c>
      <c r="AD73" s="83">
        <v>479</v>
      </c>
      <c r="AE73" s="83">
        <v>473</v>
      </c>
      <c r="AF73" s="83">
        <v>489</v>
      </c>
      <c r="AG73" s="83">
        <v>500</v>
      </c>
      <c r="AH73" s="83">
        <v>463</v>
      </c>
      <c r="AI73" s="83">
        <v>487</v>
      </c>
      <c r="AJ73" s="83">
        <v>471</v>
      </c>
      <c r="AK73" s="83">
        <v>486</v>
      </c>
      <c r="AL73" s="83">
        <v>462</v>
      </c>
      <c r="AM73" s="83">
        <v>443</v>
      </c>
      <c r="AN73" s="83">
        <v>466</v>
      </c>
      <c r="AO73" s="83">
        <v>486</v>
      </c>
      <c r="AP73" s="83">
        <v>428</v>
      </c>
      <c r="AQ73" s="83">
        <v>466</v>
      </c>
      <c r="AR73" s="83">
        <v>430</v>
      </c>
      <c r="AS73" s="83">
        <v>437</v>
      </c>
      <c r="AT73" s="83">
        <v>437</v>
      </c>
      <c r="AU73" s="83">
        <v>416</v>
      </c>
      <c r="AV73" s="83">
        <v>419</v>
      </c>
      <c r="AW73" s="83">
        <v>422</v>
      </c>
      <c r="AX73" s="83">
        <v>435</v>
      </c>
      <c r="AY73" s="83">
        <v>431</v>
      </c>
      <c r="AZ73" s="83">
        <v>407</v>
      </c>
      <c r="BA73" s="83">
        <v>421</v>
      </c>
      <c r="BB73" s="83">
        <v>426</v>
      </c>
      <c r="BC73" s="83">
        <v>395</v>
      </c>
      <c r="BD73" s="83">
        <v>426</v>
      </c>
      <c r="BE73" s="83">
        <v>408</v>
      </c>
      <c r="BF73" s="83">
        <v>425</v>
      </c>
      <c r="BG73" s="83">
        <v>418</v>
      </c>
      <c r="BH73" s="83">
        <v>397</v>
      </c>
      <c r="BI73" s="83">
        <v>412</v>
      </c>
      <c r="BJ73" s="83">
        <v>386</v>
      </c>
      <c r="BK73" s="83">
        <v>417</v>
      </c>
      <c r="BL73" s="83">
        <v>404</v>
      </c>
      <c r="BM73" s="83">
        <v>425</v>
      </c>
      <c r="BN73" s="83">
        <v>374</v>
      </c>
      <c r="BO73" s="83">
        <v>419</v>
      </c>
      <c r="BP73" s="83">
        <v>403</v>
      </c>
      <c r="BQ73" s="83">
        <v>397</v>
      </c>
      <c r="BR73" s="83">
        <v>392</v>
      </c>
      <c r="BS73" s="83">
        <v>370</v>
      </c>
      <c r="BT73" s="83">
        <v>412</v>
      </c>
      <c r="BU73" s="83">
        <v>436</v>
      </c>
      <c r="BV73" s="83">
        <v>424</v>
      </c>
      <c r="BW73" s="83">
        <v>409</v>
      </c>
      <c r="BX73" s="83">
        <v>370</v>
      </c>
      <c r="BY73" s="83">
        <v>377</v>
      </c>
      <c r="BZ73" s="83">
        <v>388</v>
      </c>
      <c r="CA73" s="83">
        <v>365</v>
      </c>
      <c r="CB73" s="83">
        <v>394</v>
      </c>
      <c r="CC73" s="83">
        <v>392</v>
      </c>
      <c r="CD73" s="83">
        <v>378</v>
      </c>
      <c r="CE73" s="83">
        <v>395</v>
      </c>
      <c r="CF73" s="83">
        <v>368</v>
      </c>
      <c r="CG73" s="83">
        <v>3849</v>
      </c>
      <c r="CH73" s="83">
        <v>3652</v>
      </c>
      <c r="CI73" s="83">
        <v>3614</v>
      </c>
      <c r="CJ73" s="83">
        <v>3655</v>
      </c>
      <c r="CK73" s="83">
        <v>3543</v>
      </c>
      <c r="CL73" s="83">
        <v>3545</v>
      </c>
      <c r="CM73" s="83">
        <v>3531</v>
      </c>
      <c r="CN73" s="83">
        <v>3438</v>
      </c>
      <c r="CO73" s="83">
        <v>3441</v>
      </c>
      <c r="CP73" s="83">
        <v>3438</v>
      </c>
      <c r="CQ73" s="83">
        <v>3375</v>
      </c>
      <c r="CR73" s="83">
        <v>3276</v>
      </c>
      <c r="CS73" s="83">
        <v>3295</v>
      </c>
      <c r="CT73" s="83">
        <v>3247</v>
      </c>
      <c r="CU73" s="382"/>
    </row>
    <row r="74" spans="1:99" s="86" customFormat="1" x14ac:dyDescent="0.2">
      <c r="A74" s="375">
        <v>125</v>
      </c>
      <c r="B74" s="375">
        <v>35</v>
      </c>
      <c r="C74" s="349" t="s">
        <v>156</v>
      </c>
      <c r="D74" s="376">
        <v>1515</v>
      </c>
      <c r="E74" s="164">
        <f t="shared" si="2"/>
        <v>16514.349999999999</v>
      </c>
      <c r="F74" s="394">
        <f t="shared" si="3"/>
        <v>41.974409946132099</v>
      </c>
      <c r="G74" s="83">
        <v>1781</v>
      </c>
      <c r="H74" s="83">
        <v>1745</v>
      </c>
      <c r="I74" s="83">
        <v>2047</v>
      </c>
      <c r="J74" s="83">
        <v>1747</v>
      </c>
      <c r="K74" s="83">
        <v>1771</v>
      </c>
      <c r="L74" s="83">
        <v>1839</v>
      </c>
      <c r="M74" s="83">
        <v>1798</v>
      </c>
      <c r="N74" s="83">
        <v>1718</v>
      </c>
      <c r="O74" s="83">
        <v>1781</v>
      </c>
      <c r="P74" s="83">
        <v>1757</v>
      </c>
      <c r="Q74" s="83">
        <v>1727</v>
      </c>
      <c r="R74" s="83">
        <v>1777</v>
      </c>
      <c r="S74" s="83">
        <v>1675</v>
      </c>
      <c r="T74" s="83">
        <v>1697</v>
      </c>
      <c r="U74" s="83">
        <v>1727</v>
      </c>
      <c r="V74" s="83">
        <v>1685</v>
      </c>
      <c r="W74" s="83">
        <v>1636</v>
      </c>
      <c r="X74" s="83">
        <v>1715</v>
      </c>
      <c r="Y74" s="83">
        <v>1701</v>
      </c>
      <c r="Z74" s="83">
        <v>1612</v>
      </c>
      <c r="AA74" s="83">
        <v>16142</v>
      </c>
      <c r="AB74" s="83">
        <v>15439</v>
      </c>
      <c r="AC74" s="83">
        <v>14741</v>
      </c>
      <c r="AD74" s="83">
        <v>14049</v>
      </c>
      <c r="AE74" s="83">
        <v>13378</v>
      </c>
      <c r="AF74" s="83">
        <v>12687</v>
      </c>
      <c r="AG74" s="83">
        <v>11893</v>
      </c>
      <c r="AH74" s="83">
        <v>11427</v>
      </c>
      <c r="AI74" s="83">
        <v>10736</v>
      </c>
      <c r="AJ74" s="83">
        <v>10445</v>
      </c>
      <c r="AK74" s="83">
        <v>9867</v>
      </c>
      <c r="AL74" s="83">
        <v>9234</v>
      </c>
      <c r="AM74" s="83">
        <v>9072</v>
      </c>
      <c r="AN74" s="83">
        <v>8580</v>
      </c>
      <c r="AO74" s="83">
        <v>8379</v>
      </c>
      <c r="AP74" s="83">
        <v>8091</v>
      </c>
      <c r="AQ74" s="83">
        <v>7642</v>
      </c>
      <c r="AR74" s="83">
        <v>7342</v>
      </c>
      <c r="AS74" s="83">
        <v>7189</v>
      </c>
      <c r="AT74" s="83">
        <v>6817</v>
      </c>
      <c r="AU74" s="83">
        <v>6640</v>
      </c>
      <c r="AV74" s="83">
        <v>6343</v>
      </c>
      <c r="AW74" s="83">
        <v>5950</v>
      </c>
      <c r="AX74" s="83">
        <v>5770</v>
      </c>
      <c r="AY74" s="83">
        <v>5818</v>
      </c>
      <c r="AZ74" s="83">
        <v>5546</v>
      </c>
      <c r="BA74" s="83">
        <v>5441</v>
      </c>
      <c r="BB74" s="83">
        <v>5217</v>
      </c>
      <c r="BC74" s="83">
        <v>5096</v>
      </c>
      <c r="BD74" s="83">
        <v>4913</v>
      </c>
      <c r="BE74" s="83">
        <v>4772</v>
      </c>
      <c r="BF74" s="83">
        <v>4620</v>
      </c>
      <c r="BG74" s="83">
        <v>4645</v>
      </c>
      <c r="BH74" s="83">
        <v>4365</v>
      </c>
      <c r="BI74" s="83">
        <v>4300</v>
      </c>
      <c r="BJ74" s="83">
        <v>4187</v>
      </c>
      <c r="BK74" s="83">
        <v>4112</v>
      </c>
      <c r="BL74" s="83">
        <v>4010</v>
      </c>
      <c r="BM74" s="83">
        <v>3893</v>
      </c>
      <c r="BN74" s="83">
        <v>3732</v>
      </c>
      <c r="BO74" s="83">
        <v>3709</v>
      </c>
      <c r="BP74" s="83">
        <v>3691</v>
      </c>
      <c r="BQ74" s="83">
        <v>3534</v>
      </c>
      <c r="BR74" s="83">
        <v>3428</v>
      </c>
      <c r="BS74" s="83">
        <v>3459</v>
      </c>
      <c r="BT74" s="83">
        <v>3338</v>
      </c>
      <c r="BU74" s="83">
        <v>3212</v>
      </c>
      <c r="BV74" s="83">
        <v>3169</v>
      </c>
      <c r="BW74" s="83">
        <v>3063</v>
      </c>
      <c r="BX74" s="83">
        <v>3072</v>
      </c>
      <c r="BY74" s="83">
        <v>3053</v>
      </c>
      <c r="BZ74" s="83">
        <v>2986</v>
      </c>
      <c r="CA74" s="83">
        <v>2908</v>
      </c>
      <c r="CB74" s="83">
        <v>2805</v>
      </c>
      <c r="CC74" s="83">
        <v>2856</v>
      </c>
      <c r="CD74" s="83">
        <v>2745</v>
      </c>
      <c r="CE74" s="83">
        <v>2722</v>
      </c>
      <c r="CF74" s="83">
        <v>2725</v>
      </c>
      <c r="CG74" s="83">
        <v>24474</v>
      </c>
      <c r="CH74" s="83">
        <v>21079</v>
      </c>
      <c r="CI74" s="83">
        <v>18738</v>
      </c>
      <c r="CJ74" s="83">
        <v>17016</v>
      </c>
      <c r="CK74" s="83">
        <v>15451</v>
      </c>
      <c r="CL74" s="83">
        <v>14316</v>
      </c>
      <c r="CM74" s="83">
        <v>13019</v>
      </c>
      <c r="CN74" s="83">
        <v>12613</v>
      </c>
      <c r="CO74" s="83">
        <v>11731</v>
      </c>
      <c r="CP74" s="83">
        <v>11253</v>
      </c>
      <c r="CQ74" s="83">
        <v>10639</v>
      </c>
      <c r="CR74" s="83">
        <v>10118</v>
      </c>
      <c r="CS74" s="83">
        <v>9734</v>
      </c>
      <c r="CT74" s="83">
        <v>9339</v>
      </c>
      <c r="CU74" s="382"/>
    </row>
    <row r="75" spans="1:99" s="86" customFormat="1" x14ac:dyDescent="0.2">
      <c r="A75" s="375">
        <v>130</v>
      </c>
      <c r="B75" s="375">
        <v>35</v>
      </c>
      <c r="C75" s="349" t="s">
        <v>155</v>
      </c>
      <c r="D75" s="376">
        <v>1010</v>
      </c>
      <c r="E75" s="164">
        <f t="shared" si="2"/>
        <v>11110.35</v>
      </c>
      <c r="F75" s="394">
        <f t="shared" si="3"/>
        <v>34.508187209161605</v>
      </c>
      <c r="G75" s="83">
        <v>1227</v>
      </c>
      <c r="H75" s="83">
        <v>1179</v>
      </c>
      <c r="I75" s="83">
        <v>1237</v>
      </c>
      <c r="J75" s="83">
        <v>1253</v>
      </c>
      <c r="K75" s="83">
        <v>1196</v>
      </c>
      <c r="L75" s="83">
        <v>1208</v>
      </c>
      <c r="M75" s="83">
        <v>1194</v>
      </c>
      <c r="N75" s="83">
        <v>1239</v>
      </c>
      <c r="O75" s="83">
        <v>1194</v>
      </c>
      <c r="P75" s="83">
        <v>1149</v>
      </c>
      <c r="Q75" s="83">
        <v>1184</v>
      </c>
      <c r="R75" s="83">
        <v>1170</v>
      </c>
      <c r="S75" s="83">
        <v>1172</v>
      </c>
      <c r="T75" s="83">
        <v>1148</v>
      </c>
      <c r="U75" s="83">
        <v>1131</v>
      </c>
      <c r="V75" s="83">
        <v>1157</v>
      </c>
      <c r="W75" s="83">
        <v>1151</v>
      </c>
      <c r="X75" s="83">
        <v>1152</v>
      </c>
      <c r="Y75" s="83">
        <v>1161</v>
      </c>
      <c r="Z75" s="83">
        <v>1118</v>
      </c>
      <c r="AA75" s="83">
        <v>11015</v>
      </c>
      <c r="AB75" s="83">
        <v>10610</v>
      </c>
      <c r="AC75" s="83">
        <v>10040</v>
      </c>
      <c r="AD75" s="83">
        <v>9463</v>
      </c>
      <c r="AE75" s="83">
        <v>8888</v>
      </c>
      <c r="AF75" s="83">
        <v>8649</v>
      </c>
      <c r="AG75" s="83">
        <v>8207</v>
      </c>
      <c r="AH75" s="83">
        <v>7814</v>
      </c>
      <c r="AI75" s="83">
        <v>7408</v>
      </c>
      <c r="AJ75" s="83">
        <v>7121</v>
      </c>
      <c r="AK75" s="83">
        <v>6907</v>
      </c>
      <c r="AL75" s="83">
        <v>6418</v>
      </c>
      <c r="AM75" s="83">
        <v>6255</v>
      </c>
      <c r="AN75" s="83">
        <v>5930</v>
      </c>
      <c r="AO75" s="83">
        <v>5625</v>
      </c>
      <c r="AP75" s="83">
        <v>5435</v>
      </c>
      <c r="AQ75" s="83">
        <v>5357</v>
      </c>
      <c r="AR75" s="83">
        <v>5018</v>
      </c>
      <c r="AS75" s="83">
        <v>4930</v>
      </c>
      <c r="AT75" s="83">
        <v>4688</v>
      </c>
      <c r="AU75" s="83">
        <v>4577</v>
      </c>
      <c r="AV75" s="83">
        <v>4369</v>
      </c>
      <c r="AW75" s="83">
        <v>4268</v>
      </c>
      <c r="AX75" s="83">
        <v>4117</v>
      </c>
      <c r="AY75" s="83">
        <v>3957</v>
      </c>
      <c r="AZ75" s="83">
        <v>3916</v>
      </c>
      <c r="BA75" s="83">
        <v>3667</v>
      </c>
      <c r="BB75" s="83">
        <v>3590</v>
      </c>
      <c r="BC75" s="83">
        <v>3490</v>
      </c>
      <c r="BD75" s="83">
        <v>3356</v>
      </c>
      <c r="BE75" s="83">
        <v>3259</v>
      </c>
      <c r="BF75" s="83">
        <v>3265</v>
      </c>
      <c r="BG75" s="83">
        <v>3087</v>
      </c>
      <c r="BH75" s="83">
        <v>3062</v>
      </c>
      <c r="BI75" s="83">
        <v>2962</v>
      </c>
      <c r="BJ75" s="83">
        <v>2890</v>
      </c>
      <c r="BK75" s="83">
        <v>2762</v>
      </c>
      <c r="BL75" s="83">
        <v>2727</v>
      </c>
      <c r="BM75" s="83">
        <v>2727</v>
      </c>
      <c r="BN75" s="83">
        <v>2573</v>
      </c>
      <c r="BO75" s="83">
        <v>2587</v>
      </c>
      <c r="BP75" s="83">
        <v>2514</v>
      </c>
      <c r="BQ75" s="83">
        <v>2514</v>
      </c>
      <c r="BR75" s="83">
        <v>2430</v>
      </c>
      <c r="BS75" s="83">
        <v>2412</v>
      </c>
      <c r="BT75" s="83">
        <v>2297</v>
      </c>
      <c r="BU75" s="83">
        <v>2291</v>
      </c>
      <c r="BV75" s="83">
        <v>2241</v>
      </c>
      <c r="BW75" s="83">
        <v>2184</v>
      </c>
      <c r="BX75" s="83">
        <v>2143</v>
      </c>
      <c r="BY75" s="83">
        <v>2098</v>
      </c>
      <c r="BZ75" s="83">
        <v>2062</v>
      </c>
      <c r="CA75" s="83">
        <v>2056</v>
      </c>
      <c r="CB75" s="83">
        <v>2015</v>
      </c>
      <c r="CC75" s="83">
        <v>1974</v>
      </c>
      <c r="CD75" s="83">
        <v>1944</v>
      </c>
      <c r="CE75" s="83">
        <v>1857</v>
      </c>
      <c r="CF75" s="83">
        <v>1882</v>
      </c>
      <c r="CG75" s="83">
        <v>17339</v>
      </c>
      <c r="CH75" s="83">
        <v>15138</v>
      </c>
      <c r="CI75" s="83">
        <v>13178</v>
      </c>
      <c r="CJ75" s="83">
        <v>12004</v>
      </c>
      <c r="CK75" s="83">
        <v>11184</v>
      </c>
      <c r="CL75" s="83">
        <v>10288</v>
      </c>
      <c r="CM75" s="83">
        <v>9759</v>
      </c>
      <c r="CN75" s="83">
        <v>9038</v>
      </c>
      <c r="CO75" s="83">
        <v>8571</v>
      </c>
      <c r="CP75" s="83">
        <v>8157</v>
      </c>
      <c r="CQ75" s="83">
        <v>7601</v>
      </c>
      <c r="CR75" s="83">
        <v>7521</v>
      </c>
      <c r="CS75" s="83">
        <v>7107</v>
      </c>
      <c r="CT75" s="83">
        <v>6886</v>
      </c>
      <c r="CU75" s="382"/>
    </row>
    <row r="76" spans="1:99" s="86" customFormat="1" x14ac:dyDescent="0.2">
      <c r="A76" s="375">
        <v>134</v>
      </c>
      <c r="B76" s="375">
        <v>35</v>
      </c>
      <c r="C76" s="349" t="s">
        <v>156</v>
      </c>
      <c r="D76" s="376">
        <v>1515</v>
      </c>
      <c r="E76" s="381">
        <f t="shared" si="2"/>
        <v>16481.75</v>
      </c>
      <c r="F76" s="395">
        <f t="shared" si="3"/>
        <v>42.087281810427378</v>
      </c>
      <c r="G76" s="83">
        <v>1841</v>
      </c>
      <c r="H76" s="83">
        <v>1810</v>
      </c>
      <c r="I76" s="83">
        <v>1812</v>
      </c>
      <c r="J76" s="83">
        <v>1813</v>
      </c>
      <c r="K76" s="83">
        <v>1653</v>
      </c>
      <c r="L76" s="83">
        <v>1805</v>
      </c>
      <c r="M76" s="83">
        <v>1823</v>
      </c>
      <c r="N76" s="83">
        <v>1744</v>
      </c>
      <c r="O76" s="83">
        <v>1736</v>
      </c>
      <c r="P76" s="83">
        <v>1812</v>
      </c>
      <c r="Q76" s="83">
        <v>1735</v>
      </c>
      <c r="R76" s="83">
        <v>1862</v>
      </c>
      <c r="S76" s="83">
        <v>1752</v>
      </c>
      <c r="T76" s="83">
        <v>1760</v>
      </c>
      <c r="U76" s="83">
        <v>1697</v>
      </c>
      <c r="V76" s="83">
        <v>1707</v>
      </c>
      <c r="W76" s="83">
        <v>1675</v>
      </c>
      <c r="X76" s="83">
        <v>1639</v>
      </c>
      <c r="Y76" s="83">
        <v>1723</v>
      </c>
      <c r="Z76" s="83">
        <v>1697</v>
      </c>
      <c r="AA76" s="83">
        <v>16673</v>
      </c>
      <c r="AB76" s="83">
        <v>15839</v>
      </c>
      <c r="AC76" s="83">
        <v>15006</v>
      </c>
      <c r="AD76" s="83">
        <v>14291</v>
      </c>
      <c r="AE76" s="83">
        <v>13551</v>
      </c>
      <c r="AF76" s="83">
        <v>12873</v>
      </c>
      <c r="AG76" s="83">
        <v>12254</v>
      </c>
      <c r="AH76" s="83">
        <v>11632</v>
      </c>
      <c r="AI76" s="83">
        <v>11015</v>
      </c>
      <c r="AJ76" s="83">
        <v>10483</v>
      </c>
      <c r="AK76" s="83">
        <v>10207</v>
      </c>
      <c r="AL76" s="83">
        <v>9726</v>
      </c>
      <c r="AM76" s="83">
        <v>9193</v>
      </c>
      <c r="AN76" s="83">
        <v>8839</v>
      </c>
      <c r="AO76" s="83">
        <v>8533</v>
      </c>
      <c r="AP76" s="83">
        <v>8183</v>
      </c>
      <c r="AQ76" s="83">
        <v>7848</v>
      </c>
      <c r="AR76" s="83">
        <v>7608</v>
      </c>
      <c r="AS76" s="83">
        <v>7299</v>
      </c>
      <c r="AT76" s="83">
        <v>7144</v>
      </c>
      <c r="AU76" s="83">
        <v>6881</v>
      </c>
      <c r="AV76" s="83">
        <v>6592</v>
      </c>
      <c r="AW76" s="83">
        <v>6380</v>
      </c>
      <c r="AX76" s="83">
        <v>6209</v>
      </c>
      <c r="AY76" s="83">
        <v>5999</v>
      </c>
      <c r="AZ76" s="83">
        <v>5739</v>
      </c>
      <c r="BA76" s="83">
        <v>5644</v>
      </c>
      <c r="BB76" s="83">
        <v>5486</v>
      </c>
      <c r="BC76" s="83">
        <v>5266</v>
      </c>
      <c r="BD76" s="83">
        <v>4953</v>
      </c>
      <c r="BE76" s="83">
        <v>5011</v>
      </c>
      <c r="BF76" s="83">
        <v>4965</v>
      </c>
      <c r="BG76" s="83">
        <v>4737</v>
      </c>
      <c r="BH76" s="83">
        <v>4657</v>
      </c>
      <c r="BI76" s="83">
        <v>4525</v>
      </c>
      <c r="BJ76" s="83">
        <v>4377</v>
      </c>
      <c r="BK76" s="83">
        <v>4279</v>
      </c>
      <c r="BL76" s="83">
        <v>4202</v>
      </c>
      <c r="BM76" s="83">
        <v>4047</v>
      </c>
      <c r="BN76" s="83">
        <v>3995</v>
      </c>
      <c r="BO76" s="83">
        <v>3926</v>
      </c>
      <c r="BP76" s="83">
        <v>3797</v>
      </c>
      <c r="BQ76" s="83">
        <v>3790</v>
      </c>
      <c r="BR76" s="83">
        <v>3699</v>
      </c>
      <c r="BS76" s="83">
        <v>3618</v>
      </c>
      <c r="BT76" s="83">
        <v>3553</v>
      </c>
      <c r="BU76" s="83">
        <v>3518</v>
      </c>
      <c r="BV76" s="83">
        <v>3440</v>
      </c>
      <c r="BW76" s="83">
        <v>3396</v>
      </c>
      <c r="BX76" s="83">
        <v>3279</v>
      </c>
      <c r="BY76" s="83">
        <v>3266</v>
      </c>
      <c r="BZ76" s="83">
        <v>3183</v>
      </c>
      <c r="CA76" s="83">
        <v>3129</v>
      </c>
      <c r="CB76" s="83">
        <v>3064</v>
      </c>
      <c r="CC76" s="83">
        <v>3012</v>
      </c>
      <c r="CD76" s="83">
        <v>2939</v>
      </c>
      <c r="CE76" s="83">
        <v>2933</v>
      </c>
      <c r="CF76" s="83">
        <v>2834</v>
      </c>
      <c r="CG76" s="83">
        <v>26253</v>
      </c>
      <c r="CH76" s="83">
        <v>22901</v>
      </c>
      <c r="CI76" s="83">
        <v>20573</v>
      </c>
      <c r="CJ76" s="83">
        <v>18585</v>
      </c>
      <c r="CK76" s="83">
        <v>17090</v>
      </c>
      <c r="CL76" s="83">
        <v>15850</v>
      </c>
      <c r="CM76" s="83">
        <v>14894</v>
      </c>
      <c r="CN76" s="83">
        <v>13919</v>
      </c>
      <c r="CO76" s="83">
        <v>13206</v>
      </c>
      <c r="CP76" s="83">
        <v>12490</v>
      </c>
      <c r="CQ76" s="83">
        <v>12001</v>
      </c>
      <c r="CR76" s="83">
        <v>11446</v>
      </c>
      <c r="CS76" s="83">
        <v>10897</v>
      </c>
      <c r="CT76" s="83">
        <v>10428</v>
      </c>
      <c r="CU76" s="382"/>
    </row>
    <row r="77" spans="1:99" s="86" customFormat="1" x14ac:dyDescent="0.2">
      <c r="A77" s="377">
        <v>51</v>
      </c>
      <c r="B77" s="377">
        <v>36</v>
      </c>
      <c r="C77" s="347" t="s">
        <v>155</v>
      </c>
      <c r="D77" s="377">
        <v>0</v>
      </c>
      <c r="E77" s="164">
        <f t="shared" si="2"/>
        <v>18476.8</v>
      </c>
      <c r="F77" s="394">
        <f t="shared" si="3"/>
        <v>44.702257391417859</v>
      </c>
      <c r="G77" s="85">
        <v>2034</v>
      </c>
      <c r="H77" s="85">
        <v>2019</v>
      </c>
      <c r="I77" s="85">
        <v>2026</v>
      </c>
      <c r="J77" s="85">
        <v>2056</v>
      </c>
      <c r="K77" s="85">
        <v>2049</v>
      </c>
      <c r="L77" s="85">
        <v>2011</v>
      </c>
      <c r="M77" s="85">
        <v>1973</v>
      </c>
      <c r="N77" s="85">
        <v>1947</v>
      </c>
      <c r="O77" s="85">
        <v>1985</v>
      </c>
      <c r="P77" s="85">
        <v>1987</v>
      </c>
      <c r="Q77" s="85">
        <v>1959</v>
      </c>
      <c r="R77" s="85">
        <v>1987</v>
      </c>
      <c r="S77" s="85">
        <v>1902</v>
      </c>
      <c r="T77" s="85">
        <v>1956</v>
      </c>
      <c r="U77" s="85">
        <v>1976</v>
      </c>
      <c r="V77" s="85">
        <v>1906</v>
      </c>
      <c r="W77" s="85">
        <v>1981</v>
      </c>
      <c r="X77" s="85">
        <v>1954</v>
      </c>
      <c r="Y77" s="85">
        <v>1980</v>
      </c>
      <c r="Z77" s="85">
        <v>1867</v>
      </c>
      <c r="AA77" s="85">
        <v>18893</v>
      </c>
      <c r="AB77" s="85">
        <v>18180</v>
      </c>
      <c r="AC77" s="85">
        <v>17314</v>
      </c>
      <c r="AD77" s="85">
        <v>16435</v>
      </c>
      <c r="AE77" s="85">
        <v>15772</v>
      </c>
      <c r="AF77" s="85">
        <v>15036</v>
      </c>
      <c r="AG77" s="85">
        <v>14279</v>
      </c>
      <c r="AH77" s="85">
        <v>13735</v>
      </c>
      <c r="AI77" s="85">
        <v>13350</v>
      </c>
      <c r="AJ77" s="85">
        <v>12597</v>
      </c>
      <c r="AK77" s="85">
        <v>12154</v>
      </c>
      <c r="AL77" s="85">
        <v>11628</v>
      </c>
      <c r="AM77" s="85">
        <v>10996</v>
      </c>
      <c r="AN77" s="85">
        <v>10806</v>
      </c>
      <c r="AO77" s="85">
        <v>10256</v>
      </c>
      <c r="AP77" s="85">
        <v>9944</v>
      </c>
      <c r="AQ77" s="85">
        <v>9577</v>
      </c>
      <c r="AR77" s="85">
        <v>9374</v>
      </c>
      <c r="AS77" s="85">
        <v>8931</v>
      </c>
      <c r="AT77" s="85">
        <v>8738</v>
      </c>
      <c r="AU77" s="85">
        <v>8432</v>
      </c>
      <c r="AV77" s="85">
        <v>8047</v>
      </c>
      <c r="AW77" s="85">
        <v>7820</v>
      </c>
      <c r="AX77" s="85">
        <v>7729</v>
      </c>
      <c r="AY77" s="85">
        <v>7370</v>
      </c>
      <c r="AZ77" s="85">
        <v>7110</v>
      </c>
      <c r="BA77" s="85">
        <v>6959</v>
      </c>
      <c r="BB77" s="85">
        <v>6822</v>
      </c>
      <c r="BC77" s="85">
        <v>6755</v>
      </c>
      <c r="BD77" s="85">
        <v>6364</v>
      </c>
      <c r="BE77" s="85">
        <v>6092</v>
      </c>
      <c r="BF77" s="85">
        <v>6093</v>
      </c>
      <c r="BG77" s="85">
        <v>5974</v>
      </c>
      <c r="BH77" s="85">
        <v>5804</v>
      </c>
      <c r="BI77" s="85">
        <v>5544</v>
      </c>
      <c r="BJ77" s="85">
        <v>5566</v>
      </c>
      <c r="BK77" s="85">
        <v>5436</v>
      </c>
      <c r="BL77" s="85">
        <v>5259</v>
      </c>
      <c r="BM77" s="85">
        <v>5271</v>
      </c>
      <c r="BN77" s="85">
        <v>5056</v>
      </c>
      <c r="BO77" s="85">
        <v>5058</v>
      </c>
      <c r="BP77" s="85">
        <v>4903</v>
      </c>
      <c r="BQ77" s="85">
        <v>4717</v>
      </c>
      <c r="BR77" s="85">
        <v>4667</v>
      </c>
      <c r="BS77" s="85">
        <v>4556</v>
      </c>
      <c r="BT77" s="85">
        <v>4558</v>
      </c>
      <c r="BU77" s="85">
        <v>4399</v>
      </c>
      <c r="BV77" s="85">
        <v>4377</v>
      </c>
      <c r="BW77" s="85">
        <v>4268</v>
      </c>
      <c r="BX77" s="85">
        <v>4219</v>
      </c>
      <c r="BY77" s="85">
        <v>4142</v>
      </c>
      <c r="BZ77" s="85">
        <v>4023</v>
      </c>
      <c r="CA77" s="85">
        <v>3990</v>
      </c>
      <c r="CB77" s="85">
        <v>3806</v>
      </c>
      <c r="CC77" s="85">
        <v>3797</v>
      </c>
      <c r="CD77" s="85">
        <v>3748</v>
      </c>
      <c r="CE77" s="85">
        <v>3734</v>
      </c>
      <c r="CF77" s="85">
        <v>3655</v>
      </c>
      <c r="CG77" s="85">
        <v>33418</v>
      </c>
      <c r="CH77" s="85">
        <v>29123</v>
      </c>
      <c r="CI77" s="85">
        <v>26056</v>
      </c>
      <c r="CJ77" s="85">
        <v>23496</v>
      </c>
      <c r="CK77" s="85">
        <v>21348</v>
      </c>
      <c r="CL77" s="85">
        <v>19784</v>
      </c>
      <c r="CM77" s="85">
        <v>18538</v>
      </c>
      <c r="CN77" s="85">
        <v>17255</v>
      </c>
      <c r="CO77" s="85">
        <v>16063</v>
      </c>
      <c r="CP77" s="85">
        <v>15297</v>
      </c>
      <c r="CQ77" s="85">
        <v>14608</v>
      </c>
      <c r="CR77" s="85">
        <v>13861</v>
      </c>
      <c r="CS77" s="85">
        <v>13312</v>
      </c>
      <c r="CT77" s="85">
        <v>12702</v>
      </c>
      <c r="CU77" s="382"/>
    </row>
    <row r="78" spans="1:99" s="86" customFormat="1" x14ac:dyDescent="0.2">
      <c r="A78" s="375">
        <v>55</v>
      </c>
      <c r="B78" s="375">
        <v>36</v>
      </c>
      <c r="C78" s="349" t="s">
        <v>156</v>
      </c>
      <c r="D78" s="375">
        <v>1515</v>
      </c>
      <c r="E78" s="164">
        <f t="shared" si="2"/>
        <v>13218.55</v>
      </c>
      <c r="F78" s="394">
        <f t="shared" si="3"/>
        <v>38.104979064404482</v>
      </c>
      <c r="G78" s="86">
        <v>1438</v>
      </c>
      <c r="H78" s="86">
        <v>1476</v>
      </c>
      <c r="I78" s="86">
        <v>1444</v>
      </c>
      <c r="J78" s="86">
        <v>1493</v>
      </c>
      <c r="K78" s="86">
        <v>1484</v>
      </c>
      <c r="L78" s="86">
        <v>1428</v>
      </c>
      <c r="M78" s="86">
        <v>1464</v>
      </c>
      <c r="N78" s="86">
        <v>1477</v>
      </c>
      <c r="O78" s="86">
        <v>1435</v>
      </c>
      <c r="P78" s="86">
        <v>1452</v>
      </c>
      <c r="Q78" s="86">
        <v>1445</v>
      </c>
      <c r="R78" s="86">
        <v>1445</v>
      </c>
      <c r="S78" s="86">
        <v>1413</v>
      </c>
      <c r="T78" s="86">
        <v>1387</v>
      </c>
      <c r="U78" s="86">
        <v>1452</v>
      </c>
      <c r="V78" s="86">
        <v>1368</v>
      </c>
      <c r="W78" s="86">
        <v>1429</v>
      </c>
      <c r="X78" s="86">
        <v>1393</v>
      </c>
      <c r="Y78" s="86">
        <v>1421</v>
      </c>
      <c r="Z78" s="86">
        <v>1422</v>
      </c>
      <c r="AA78" s="86">
        <v>13851</v>
      </c>
      <c r="AB78" s="86">
        <v>13248</v>
      </c>
      <c r="AC78" s="86">
        <v>12749</v>
      </c>
      <c r="AD78" s="86">
        <v>12296</v>
      </c>
      <c r="AE78" s="86">
        <v>11729</v>
      </c>
      <c r="AF78" s="86">
        <v>11295</v>
      </c>
      <c r="AG78" s="86">
        <v>10688</v>
      </c>
      <c r="AH78" s="86">
        <v>10349</v>
      </c>
      <c r="AI78" s="86">
        <v>9853</v>
      </c>
      <c r="AJ78" s="86">
        <v>9314</v>
      </c>
      <c r="AK78" s="86">
        <v>9069</v>
      </c>
      <c r="AL78" s="86">
        <v>8684</v>
      </c>
      <c r="AM78" s="86">
        <v>8361</v>
      </c>
      <c r="AN78" s="86">
        <v>8125</v>
      </c>
      <c r="AO78" s="86">
        <v>7589</v>
      </c>
      <c r="AP78" s="86">
        <v>7401</v>
      </c>
      <c r="AQ78" s="86">
        <v>7184</v>
      </c>
      <c r="AR78" s="86">
        <v>6833</v>
      </c>
      <c r="AS78" s="86">
        <v>6682</v>
      </c>
      <c r="AT78" s="86">
        <v>6439</v>
      </c>
      <c r="AU78" s="86">
        <v>6446</v>
      </c>
      <c r="AV78" s="86">
        <v>6150</v>
      </c>
      <c r="AW78" s="86">
        <v>5944</v>
      </c>
      <c r="AX78" s="86">
        <v>5883</v>
      </c>
      <c r="AY78" s="86">
        <v>5683</v>
      </c>
      <c r="AZ78" s="86">
        <v>5514</v>
      </c>
      <c r="BA78" s="86">
        <v>5371</v>
      </c>
      <c r="BB78" s="86">
        <v>5220</v>
      </c>
      <c r="BC78" s="86">
        <v>5038</v>
      </c>
      <c r="BD78" s="86">
        <v>4907</v>
      </c>
      <c r="BE78" s="86">
        <v>4758</v>
      </c>
      <c r="BF78" s="86">
        <v>4743</v>
      </c>
      <c r="BG78" s="86">
        <v>4525</v>
      </c>
      <c r="BH78" s="86">
        <v>4430</v>
      </c>
      <c r="BI78" s="86">
        <v>4505</v>
      </c>
      <c r="BJ78" s="86">
        <v>4278</v>
      </c>
      <c r="BK78" s="86">
        <v>4129</v>
      </c>
      <c r="BL78" s="86">
        <v>3995</v>
      </c>
      <c r="BM78" s="86">
        <v>3988</v>
      </c>
      <c r="BN78" s="86">
        <v>3822</v>
      </c>
      <c r="BO78" s="86">
        <v>3864</v>
      </c>
      <c r="BP78" s="86">
        <v>3708</v>
      </c>
      <c r="BQ78" s="86">
        <v>3641</v>
      </c>
      <c r="BR78" s="86">
        <v>3645</v>
      </c>
      <c r="BS78" s="86">
        <v>3630</v>
      </c>
      <c r="BT78" s="86">
        <v>3483</v>
      </c>
      <c r="BU78" s="86">
        <v>3457</v>
      </c>
      <c r="BV78" s="86">
        <v>3359</v>
      </c>
      <c r="BW78" s="86">
        <v>3287</v>
      </c>
      <c r="BX78" s="86">
        <v>3223</v>
      </c>
      <c r="BY78" s="86">
        <v>3210</v>
      </c>
      <c r="BZ78" s="86">
        <v>3076</v>
      </c>
      <c r="CA78" s="86">
        <v>3089</v>
      </c>
      <c r="CB78" s="86">
        <v>3045</v>
      </c>
      <c r="CC78" s="86">
        <v>2966</v>
      </c>
      <c r="CD78" s="86">
        <v>2955</v>
      </c>
      <c r="CE78" s="86">
        <v>2946</v>
      </c>
      <c r="CF78" s="86">
        <v>2872</v>
      </c>
      <c r="CG78" s="86">
        <v>26625</v>
      </c>
      <c r="CH78" s="86">
        <v>23650</v>
      </c>
      <c r="CI78" s="86">
        <v>21335</v>
      </c>
      <c r="CJ78" s="86">
        <v>19403</v>
      </c>
      <c r="CK78" s="86">
        <v>17868</v>
      </c>
      <c r="CL78" s="86">
        <v>16787</v>
      </c>
      <c r="CM78" s="86">
        <v>15529</v>
      </c>
      <c r="CN78" s="86">
        <v>14528</v>
      </c>
      <c r="CO78" s="86">
        <v>13913</v>
      </c>
      <c r="CP78" s="86">
        <v>13159</v>
      </c>
      <c r="CQ78" s="86">
        <v>12719</v>
      </c>
      <c r="CR78" s="86">
        <v>12219</v>
      </c>
      <c r="CS78" s="86">
        <v>11865</v>
      </c>
      <c r="CT78" s="86">
        <v>11424</v>
      </c>
      <c r="CU78" s="382"/>
    </row>
    <row r="79" spans="1:99" s="86" customFormat="1" x14ac:dyDescent="0.2">
      <c r="A79" s="375">
        <v>139</v>
      </c>
      <c r="B79" s="375">
        <v>36</v>
      </c>
      <c r="C79" s="349" t="s">
        <v>155</v>
      </c>
      <c r="D79" s="375">
        <v>1010</v>
      </c>
      <c r="E79" s="164">
        <f t="shared" si="2"/>
        <v>8480.5</v>
      </c>
      <c r="F79" s="394">
        <f t="shared" si="3"/>
        <v>30.423149551138451</v>
      </c>
      <c r="G79" s="86">
        <v>912</v>
      </c>
      <c r="H79" s="86">
        <v>895</v>
      </c>
      <c r="I79" s="86">
        <v>966</v>
      </c>
      <c r="J79" s="86">
        <v>946</v>
      </c>
      <c r="K79" s="86">
        <v>918</v>
      </c>
      <c r="L79" s="86">
        <v>905</v>
      </c>
      <c r="M79" s="86">
        <v>910</v>
      </c>
      <c r="N79" s="86">
        <v>966</v>
      </c>
      <c r="O79" s="86">
        <v>978</v>
      </c>
      <c r="P79" s="86">
        <v>926</v>
      </c>
      <c r="Q79" s="86">
        <v>930</v>
      </c>
      <c r="R79" s="86">
        <v>904</v>
      </c>
      <c r="S79" s="86">
        <v>914</v>
      </c>
      <c r="T79" s="86">
        <v>890</v>
      </c>
      <c r="U79" s="86">
        <v>910</v>
      </c>
      <c r="V79" s="86">
        <v>894</v>
      </c>
      <c r="W79" s="86">
        <v>879</v>
      </c>
      <c r="X79" s="86">
        <v>879</v>
      </c>
      <c r="Y79" s="86">
        <v>887</v>
      </c>
      <c r="Z79" s="86">
        <v>929</v>
      </c>
      <c r="AA79" s="86">
        <v>8823</v>
      </c>
      <c r="AB79" s="86">
        <v>8703</v>
      </c>
      <c r="AC79" s="86">
        <v>8127</v>
      </c>
      <c r="AD79" s="86">
        <v>7731</v>
      </c>
      <c r="AE79" s="86">
        <v>7485</v>
      </c>
      <c r="AF79" s="86">
        <v>7060</v>
      </c>
      <c r="AG79" s="86">
        <v>6676</v>
      </c>
      <c r="AH79" s="86">
        <v>6487</v>
      </c>
      <c r="AI79" s="86">
        <v>6226</v>
      </c>
      <c r="AJ79" s="86">
        <v>5975</v>
      </c>
      <c r="AK79" s="86">
        <v>5610</v>
      </c>
      <c r="AL79" s="86">
        <v>5404</v>
      </c>
      <c r="AM79" s="86">
        <v>5211</v>
      </c>
      <c r="AN79" s="86">
        <v>5019</v>
      </c>
      <c r="AO79" s="86">
        <v>4911</v>
      </c>
      <c r="AP79" s="86">
        <v>4677</v>
      </c>
      <c r="AQ79" s="86">
        <v>4547</v>
      </c>
      <c r="AR79" s="86">
        <v>4321</v>
      </c>
      <c r="AS79" s="86">
        <v>4197</v>
      </c>
      <c r="AT79" s="86">
        <v>3951</v>
      </c>
      <c r="AU79" s="86">
        <v>3950</v>
      </c>
      <c r="AV79" s="86">
        <v>3843</v>
      </c>
      <c r="AW79" s="86">
        <v>3605</v>
      </c>
      <c r="AX79" s="86">
        <v>3523</v>
      </c>
      <c r="AY79" s="86">
        <v>3483</v>
      </c>
      <c r="AZ79" s="86">
        <v>3406</v>
      </c>
      <c r="BA79" s="86">
        <v>3293</v>
      </c>
      <c r="BB79" s="86">
        <v>3261</v>
      </c>
      <c r="BC79" s="86">
        <v>3060</v>
      </c>
      <c r="BD79" s="86">
        <v>3327</v>
      </c>
      <c r="BE79" s="86">
        <v>2885</v>
      </c>
      <c r="BF79" s="86">
        <v>2871</v>
      </c>
      <c r="BG79" s="86">
        <v>2792</v>
      </c>
      <c r="BH79" s="86">
        <v>2827</v>
      </c>
      <c r="BI79" s="86">
        <v>2610</v>
      </c>
      <c r="BJ79" s="86">
        <v>2616</v>
      </c>
      <c r="BK79" s="86">
        <v>2533</v>
      </c>
      <c r="BL79" s="86">
        <v>2460</v>
      </c>
      <c r="BM79" s="86">
        <v>2454</v>
      </c>
      <c r="BN79" s="86">
        <v>2371</v>
      </c>
      <c r="BO79" s="86">
        <v>2339</v>
      </c>
      <c r="BP79" s="86">
        <v>2268</v>
      </c>
      <c r="BQ79" s="86">
        <v>2276</v>
      </c>
      <c r="BR79" s="86">
        <v>2203</v>
      </c>
      <c r="BS79" s="86">
        <v>2104</v>
      </c>
      <c r="BT79" s="86">
        <v>2122</v>
      </c>
      <c r="BU79" s="86">
        <v>2133</v>
      </c>
      <c r="BV79" s="86">
        <v>2055</v>
      </c>
      <c r="BW79" s="86">
        <v>2025</v>
      </c>
      <c r="BX79" s="86">
        <v>2030</v>
      </c>
      <c r="BY79" s="86">
        <v>1961</v>
      </c>
      <c r="BZ79" s="86">
        <v>1885</v>
      </c>
      <c r="CA79" s="86">
        <v>1900</v>
      </c>
      <c r="CB79" s="86">
        <v>1820</v>
      </c>
      <c r="CC79" s="86">
        <v>1796</v>
      </c>
      <c r="CD79" s="86">
        <v>1796</v>
      </c>
      <c r="CE79" s="86">
        <v>1768</v>
      </c>
      <c r="CF79" s="86">
        <v>1775</v>
      </c>
      <c r="CG79" s="86">
        <v>16008</v>
      </c>
      <c r="CH79" s="86">
        <v>13916</v>
      </c>
      <c r="CI79" s="86">
        <v>12568</v>
      </c>
      <c r="CJ79" s="86">
        <v>11441</v>
      </c>
      <c r="CK79" s="86">
        <v>10729</v>
      </c>
      <c r="CL79" s="86">
        <v>9793</v>
      </c>
      <c r="CM79" s="86">
        <v>9133</v>
      </c>
      <c r="CN79" s="86">
        <v>8641</v>
      </c>
      <c r="CO79" s="86">
        <v>8140</v>
      </c>
      <c r="CP79" s="86">
        <v>7901</v>
      </c>
      <c r="CQ79" s="86">
        <v>7463</v>
      </c>
      <c r="CR79" s="86">
        <v>7248</v>
      </c>
      <c r="CS79" s="86">
        <v>6983</v>
      </c>
      <c r="CT79" s="86">
        <v>6787</v>
      </c>
      <c r="CU79" s="382"/>
    </row>
    <row r="80" spans="1:99" s="86" customFormat="1" x14ac:dyDescent="0.2">
      <c r="A80" s="375">
        <v>143</v>
      </c>
      <c r="B80" s="375">
        <v>36</v>
      </c>
      <c r="C80" s="349" t="s">
        <v>156</v>
      </c>
      <c r="D80" s="375">
        <v>1515</v>
      </c>
      <c r="E80" s="164">
        <f t="shared" si="2"/>
        <v>11978.35</v>
      </c>
      <c r="F80" s="394">
        <f t="shared" si="3"/>
        <v>36.074147207852846</v>
      </c>
      <c r="G80" s="86">
        <v>1325</v>
      </c>
      <c r="H80" s="86">
        <v>1330</v>
      </c>
      <c r="I80" s="86">
        <v>1301</v>
      </c>
      <c r="J80" s="86">
        <v>1304</v>
      </c>
      <c r="K80" s="86">
        <v>1308</v>
      </c>
      <c r="L80" s="86">
        <v>1322</v>
      </c>
      <c r="M80" s="86">
        <v>1283</v>
      </c>
      <c r="N80" s="86">
        <v>1326</v>
      </c>
      <c r="O80" s="86">
        <v>1287</v>
      </c>
      <c r="P80" s="86">
        <v>1282</v>
      </c>
      <c r="Q80" s="86">
        <v>1248</v>
      </c>
      <c r="R80" s="86">
        <v>1277</v>
      </c>
      <c r="S80" s="86">
        <v>1263</v>
      </c>
      <c r="T80" s="86">
        <v>1259</v>
      </c>
      <c r="U80" s="86">
        <v>1277</v>
      </c>
      <c r="V80" s="86">
        <v>1275</v>
      </c>
      <c r="W80" s="86">
        <v>1241</v>
      </c>
      <c r="X80" s="86">
        <v>1255</v>
      </c>
      <c r="Y80" s="86">
        <v>1286</v>
      </c>
      <c r="Z80" s="86">
        <v>1315</v>
      </c>
      <c r="AA80" s="86">
        <v>12362</v>
      </c>
      <c r="AB80" s="86">
        <v>11852</v>
      </c>
      <c r="AC80" s="86">
        <v>11308</v>
      </c>
      <c r="AD80" s="86">
        <v>10892</v>
      </c>
      <c r="AE80" s="86">
        <v>10405</v>
      </c>
      <c r="AF80" s="86">
        <v>9871</v>
      </c>
      <c r="AG80" s="86">
        <v>9464</v>
      </c>
      <c r="AH80" s="86">
        <v>9016</v>
      </c>
      <c r="AI80" s="86">
        <v>8624</v>
      </c>
      <c r="AJ80" s="86">
        <v>8489</v>
      </c>
      <c r="AK80" s="86">
        <v>8007</v>
      </c>
      <c r="AL80" s="86">
        <v>7519</v>
      </c>
      <c r="AM80" s="86">
        <v>7470</v>
      </c>
      <c r="AN80" s="86">
        <v>7151</v>
      </c>
      <c r="AO80" s="86">
        <v>6892</v>
      </c>
      <c r="AP80" s="86">
        <v>6587</v>
      </c>
      <c r="AQ80" s="86">
        <v>6266</v>
      </c>
      <c r="AR80" s="86">
        <v>6082</v>
      </c>
      <c r="AS80" s="86">
        <v>5808</v>
      </c>
      <c r="AT80" s="86">
        <v>5799</v>
      </c>
      <c r="AU80" s="86">
        <v>5568</v>
      </c>
      <c r="AV80" s="86">
        <v>5387</v>
      </c>
      <c r="AW80" s="86">
        <v>5134</v>
      </c>
      <c r="AX80" s="86">
        <v>4956</v>
      </c>
      <c r="AY80" s="86">
        <v>4881</v>
      </c>
      <c r="AZ80" s="86">
        <v>4654</v>
      </c>
      <c r="BA80" s="86">
        <v>4616</v>
      </c>
      <c r="BB80" s="86">
        <v>4402</v>
      </c>
      <c r="BC80" s="86">
        <v>4205</v>
      </c>
      <c r="BD80" s="86">
        <v>4208</v>
      </c>
      <c r="BE80" s="86">
        <v>4155</v>
      </c>
      <c r="BF80" s="86">
        <v>4032</v>
      </c>
      <c r="BG80" s="86">
        <v>3920</v>
      </c>
      <c r="BH80" s="86">
        <v>3783</v>
      </c>
      <c r="BI80" s="86">
        <v>3765</v>
      </c>
      <c r="BJ80" s="86">
        <v>3644</v>
      </c>
      <c r="BK80" s="86">
        <v>3580</v>
      </c>
      <c r="BL80" s="86">
        <v>3524</v>
      </c>
      <c r="BM80" s="86">
        <v>3480</v>
      </c>
      <c r="BN80" s="86">
        <v>3326</v>
      </c>
      <c r="BO80" s="86">
        <v>3217</v>
      </c>
      <c r="BP80" s="86">
        <v>3184</v>
      </c>
      <c r="BQ80" s="86">
        <v>3088</v>
      </c>
      <c r="BR80" s="86">
        <v>3035</v>
      </c>
      <c r="BS80" s="86">
        <v>3015</v>
      </c>
      <c r="BT80" s="86">
        <v>2931</v>
      </c>
      <c r="BU80" s="86">
        <v>2849</v>
      </c>
      <c r="BV80" s="86">
        <v>2904</v>
      </c>
      <c r="BW80" s="86">
        <v>2812</v>
      </c>
      <c r="BX80" s="86">
        <v>2746</v>
      </c>
      <c r="BY80" s="86">
        <v>2714</v>
      </c>
      <c r="BZ80" s="86">
        <v>2662</v>
      </c>
      <c r="CA80" s="86">
        <v>2575</v>
      </c>
      <c r="CB80" s="86">
        <v>2504</v>
      </c>
      <c r="CC80" s="86">
        <v>2493</v>
      </c>
      <c r="CD80" s="86">
        <v>2410</v>
      </c>
      <c r="CE80" s="86">
        <v>2481</v>
      </c>
      <c r="CF80" s="86">
        <v>2388</v>
      </c>
      <c r="CG80" s="86">
        <v>22166</v>
      </c>
      <c r="CH80" s="86">
        <v>19433</v>
      </c>
      <c r="CI80" s="86">
        <v>17359</v>
      </c>
      <c r="CJ80" s="86">
        <v>15868</v>
      </c>
      <c r="CK80" s="86">
        <v>14296</v>
      </c>
      <c r="CL80" s="86">
        <v>13306</v>
      </c>
      <c r="CM80" s="86">
        <v>12362</v>
      </c>
      <c r="CN80" s="86">
        <v>11826</v>
      </c>
      <c r="CO80" s="86">
        <v>11204</v>
      </c>
      <c r="CP80" s="86">
        <v>10519</v>
      </c>
      <c r="CQ80" s="86">
        <v>10107</v>
      </c>
      <c r="CR80" s="86">
        <v>9645</v>
      </c>
      <c r="CS80" s="86">
        <v>9116</v>
      </c>
      <c r="CT80" s="86">
        <v>8957</v>
      </c>
      <c r="CU80" s="382"/>
    </row>
    <row r="81" spans="1:99" s="345" customFormat="1" x14ac:dyDescent="0.2">
      <c r="A81" s="378">
        <v>148</v>
      </c>
      <c r="B81" s="378">
        <v>36</v>
      </c>
      <c r="C81" s="380" t="s">
        <v>155</v>
      </c>
      <c r="D81" s="378">
        <v>2021</v>
      </c>
      <c r="E81" s="164">
        <f t="shared" si="2"/>
        <v>14654.2</v>
      </c>
      <c r="F81" s="394">
        <f t="shared" si="3"/>
        <v>39.618916980464718</v>
      </c>
      <c r="G81" s="345">
        <v>1543</v>
      </c>
      <c r="H81" s="345">
        <v>1599</v>
      </c>
      <c r="I81" s="345">
        <v>1601</v>
      </c>
      <c r="J81" s="345">
        <v>1561</v>
      </c>
      <c r="K81" s="345">
        <v>1547</v>
      </c>
      <c r="L81" s="345">
        <v>1569</v>
      </c>
      <c r="M81" s="345">
        <v>1570</v>
      </c>
      <c r="N81" s="345">
        <v>1555</v>
      </c>
      <c r="O81" s="345">
        <v>1791</v>
      </c>
      <c r="P81" s="345">
        <v>1539</v>
      </c>
      <c r="Q81" s="345">
        <v>1551</v>
      </c>
      <c r="R81" s="345">
        <v>1570</v>
      </c>
      <c r="S81" s="345">
        <v>1477</v>
      </c>
      <c r="T81" s="345">
        <v>1503</v>
      </c>
      <c r="U81" s="345">
        <v>1485</v>
      </c>
      <c r="V81" s="345">
        <v>1511</v>
      </c>
      <c r="W81" s="345">
        <v>1523</v>
      </c>
      <c r="X81" s="345">
        <v>1556</v>
      </c>
      <c r="Y81" s="345">
        <v>1513</v>
      </c>
      <c r="Z81" s="345">
        <v>1532</v>
      </c>
      <c r="AA81" s="345">
        <v>14634</v>
      </c>
      <c r="AB81" s="345">
        <v>14006</v>
      </c>
      <c r="AC81" s="345">
        <v>13426</v>
      </c>
      <c r="AD81" s="345">
        <v>12788</v>
      </c>
      <c r="AE81" s="345">
        <v>12389</v>
      </c>
      <c r="AF81" s="345">
        <v>11652</v>
      </c>
      <c r="AG81" s="345">
        <v>11225</v>
      </c>
      <c r="AH81" s="345">
        <v>10667</v>
      </c>
      <c r="AI81" s="345">
        <v>10274</v>
      </c>
      <c r="AJ81" s="345">
        <v>9726</v>
      </c>
      <c r="AK81" s="345">
        <v>9345</v>
      </c>
      <c r="AL81" s="345">
        <v>8961</v>
      </c>
      <c r="AM81" s="345">
        <v>8619</v>
      </c>
      <c r="AN81" s="345">
        <v>8285</v>
      </c>
      <c r="AO81" s="345">
        <v>7827</v>
      </c>
      <c r="AP81" s="345">
        <v>7526</v>
      </c>
      <c r="AQ81" s="345">
        <v>7299</v>
      </c>
      <c r="AR81" s="345">
        <v>7008</v>
      </c>
      <c r="AS81" s="345">
        <v>6780</v>
      </c>
      <c r="AT81" s="345">
        <v>6629</v>
      </c>
      <c r="AU81" s="345">
        <v>6341</v>
      </c>
      <c r="AV81" s="345">
        <v>6108</v>
      </c>
      <c r="AW81" s="345">
        <v>5943</v>
      </c>
      <c r="AX81" s="345">
        <v>5765</v>
      </c>
      <c r="AY81" s="345">
        <v>5569</v>
      </c>
      <c r="AZ81" s="345">
        <v>5332</v>
      </c>
      <c r="BA81" s="345">
        <v>5303</v>
      </c>
      <c r="BB81" s="345">
        <v>5129</v>
      </c>
      <c r="BC81" s="345">
        <v>5060</v>
      </c>
      <c r="BD81" s="345">
        <v>4799</v>
      </c>
      <c r="BE81" s="345">
        <v>4687</v>
      </c>
      <c r="BF81" s="345">
        <v>4640</v>
      </c>
      <c r="BG81" s="345">
        <v>4423</v>
      </c>
      <c r="BH81" s="345">
        <v>4327</v>
      </c>
      <c r="BI81" s="345">
        <v>4265</v>
      </c>
      <c r="BJ81" s="345">
        <v>4087</v>
      </c>
      <c r="BK81" s="345">
        <v>3961</v>
      </c>
      <c r="BL81" s="345">
        <v>3920</v>
      </c>
      <c r="BM81" s="345">
        <v>3825</v>
      </c>
      <c r="BN81" s="345">
        <v>3695</v>
      </c>
      <c r="BO81" s="345">
        <v>3649</v>
      </c>
      <c r="BP81" s="345">
        <v>3530</v>
      </c>
      <c r="BQ81" s="345">
        <v>3488</v>
      </c>
      <c r="BR81" s="345">
        <v>3399</v>
      </c>
      <c r="BS81" s="345">
        <v>3320</v>
      </c>
      <c r="BT81" s="345">
        <v>3206</v>
      </c>
      <c r="BU81" s="345">
        <v>3245</v>
      </c>
      <c r="BV81" s="345">
        <v>3140</v>
      </c>
      <c r="BW81" s="345">
        <v>3066</v>
      </c>
      <c r="BX81" s="345">
        <v>3016</v>
      </c>
      <c r="BY81" s="345">
        <v>3015</v>
      </c>
      <c r="BZ81" s="345">
        <v>3007</v>
      </c>
      <c r="CA81" s="345">
        <v>2805</v>
      </c>
      <c r="CB81" s="345">
        <v>2814</v>
      </c>
      <c r="CC81" s="345">
        <v>2782</v>
      </c>
      <c r="CD81" s="345">
        <v>2757</v>
      </c>
      <c r="CE81" s="345">
        <v>2676</v>
      </c>
      <c r="CF81" s="345">
        <v>2656</v>
      </c>
      <c r="CG81" s="345">
        <v>24105</v>
      </c>
      <c r="CH81" s="345">
        <v>20685</v>
      </c>
      <c r="CI81" s="345">
        <v>18401</v>
      </c>
      <c r="CJ81" s="345">
        <v>16375</v>
      </c>
      <c r="CK81" s="345">
        <v>15042</v>
      </c>
      <c r="CL81" s="345">
        <v>13796</v>
      </c>
      <c r="CM81" s="345">
        <v>12686</v>
      </c>
      <c r="CN81" s="345">
        <v>11900</v>
      </c>
      <c r="CO81" s="345">
        <v>11261</v>
      </c>
      <c r="CP81" s="345">
        <v>10552</v>
      </c>
      <c r="CQ81" s="345">
        <v>10091</v>
      </c>
      <c r="CR81" s="345">
        <v>9382</v>
      </c>
      <c r="CS81" s="345">
        <v>9201</v>
      </c>
      <c r="CT81" s="345">
        <v>8675</v>
      </c>
      <c r="CU81" s="383"/>
    </row>
    <row r="82" spans="1:99" s="86" customFormat="1" x14ac:dyDescent="0.2">
      <c r="A82" s="375">
        <v>152</v>
      </c>
      <c r="B82" s="375">
        <v>36</v>
      </c>
      <c r="C82" s="349" t="s">
        <v>156</v>
      </c>
      <c r="D82" s="375">
        <v>1515</v>
      </c>
      <c r="E82" s="164">
        <f t="shared" si="2"/>
        <v>11835.6</v>
      </c>
      <c r="F82" s="394">
        <f t="shared" si="3"/>
        <v>35.932872457486354</v>
      </c>
      <c r="G82" s="86">
        <v>1313</v>
      </c>
      <c r="H82" s="86">
        <v>1276</v>
      </c>
      <c r="I82" s="86">
        <v>1291</v>
      </c>
      <c r="J82" s="86">
        <v>1336</v>
      </c>
      <c r="K82" s="86">
        <v>1263</v>
      </c>
      <c r="L82" s="86">
        <v>1337</v>
      </c>
      <c r="M82" s="86">
        <v>1283</v>
      </c>
      <c r="N82" s="86">
        <v>1302</v>
      </c>
      <c r="O82" s="86">
        <v>1291</v>
      </c>
      <c r="P82" s="86">
        <v>1236</v>
      </c>
      <c r="Q82" s="86">
        <v>1294</v>
      </c>
      <c r="R82" s="86">
        <v>1287</v>
      </c>
      <c r="S82" s="86">
        <v>1306</v>
      </c>
      <c r="T82" s="86">
        <v>1237</v>
      </c>
      <c r="U82" s="86">
        <v>1299</v>
      </c>
      <c r="V82" s="86">
        <v>1245</v>
      </c>
      <c r="W82" s="86">
        <v>1284</v>
      </c>
      <c r="X82" s="86">
        <v>1248</v>
      </c>
      <c r="Y82" s="86">
        <v>1208</v>
      </c>
      <c r="Z82" s="86">
        <v>1220</v>
      </c>
      <c r="AA82" s="86">
        <v>12159</v>
      </c>
      <c r="AB82" s="86">
        <v>11715</v>
      </c>
      <c r="AC82" s="86">
        <v>11223</v>
      </c>
      <c r="AD82" s="86">
        <v>10793</v>
      </c>
      <c r="AE82" s="86">
        <v>10144</v>
      </c>
      <c r="AF82" s="86">
        <v>9818</v>
      </c>
      <c r="AG82" s="86">
        <v>9307</v>
      </c>
      <c r="AH82" s="86">
        <v>8955</v>
      </c>
      <c r="AI82" s="86">
        <v>8553</v>
      </c>
      <c r="AJ82" s="86">
        <v>8200</v>
      </c>
      <c r="AK82" s="86">
        <v>7895</v>
      </c>
      <c r="AL82" s="86">
        <v>7580</v>
      </c>
      <c r="AM82" s="86">
        <v>7217</v>
      </c>
      <c r="AN82" s="86">
        <v>7062</v>
      </c>
      <c r="AO82" s="86">
        <v>6764</v>
      </c>
      <c r="AP82" s="86">
        <v>6450</v>
      </c>
      <c r="AQ82" s="86">
        <v>6215</v>
      </c>
      <c r="AR82" s="86">
        <v>6114</v>
      </c>
      <c r="AS82" s="86">
        <v>5964</v>
      </c>
      <c r="AT82" s="86">
        <v>5666</v>
      </c>
      <c r="AU82" s="86">
        <v>5425</v>
      </c>
      <c r="AV82" s="86">
        <v>5297</v>
      </c>
      <c r="AW82" s="86">
        <v>5206</v>
      </c>
      <c r="AX82" s="86">
        <v>4960</v>
      </c>
      <c r="AY82" s="86">
        <v>4841</v>
      </c>
      <c r="AZ82" s="86">
        <v>4762</v>
      </c>
      <c r="BA82" s="86">
        <v>4619</v>
      </c>
      <c r="BB82" s="86">
        <v>4556</v>
      </c>
      <c r="BC82" s="86">
        <v>4446</v>
      </c>
      <c r="BD82" s="86">
        <v>4155</v>
      </c>
      <c r="BE82" s="86">
        <v>4095</v>
      </c>
      <c r="BF82" s="86">
        <v>4028</v>
      </c>
      <c r="BG82" s="86">
        <v>3973</v>
      </c>
      <c r="BH82" s="86">
        <v>3826</v>
      </c>
      <c r="BI82" s="86">
        <v>3777</v>
      </c>
      <c r="BJ82" s="86">
        <v>3694</v>
      </c>
      <c r="BK82" s="86">
        <v>3615</v>
      </c>
      <c r="BL82" s="86">
        <v>3594</v>
      </c>
      <c r="BM82" s="86">
        <v>3422</v>
      </c>
      <c r="BN82" s="86">
        <v>3392</v>
      </c>
      <c r="BO82" s="86">
        <v>3316</v>
      </c>
      <c r="BP82" s="86">
        <v>3210</v>
      </c>
      <c r="BQ82" s="86">
        <v>3196</v>
      </c>
      <c r="BR82" s="86">
        <v>3098</v>
      </c>
      <c r="BS82" s="86">
        <v>3005</v>
      </c>
      <c r="BT82" s="86">
        <v>2976</v>
      </c>
      <c r="BU82" s="86">
        <v>2915</v>
      </c>
      <c r="BV82" s="86">
        <v>2824</v>
      </c>
      <c r="BW82" s="86">
        <v>2798</v>
      </c>
      <c r="BX82" s="86">
        <v>2823</v>
      </c>
      <c r="BY82" s="86">
        <v>2680</v>
      </c>
      <c r="BZ82" s="86">
        <v>2720</v>
      </c>
      <c r="CA82" s="86">
        <v>2716</v>
      </c>
      <c r="CB82" s="86">
        <v>2637</v>
      </c>
      <c r="CC82" s="86">
        <v>2604</v>
      </c>
      <c r="CD82" s="86">
        <v>2545</v>
      </c>
      <c r="CE82" s="86">
        <v>2534</v>
      </c>
      <c r="CF82" s="86">
        <v>2467</v>
      </c>
      <c r="CG82" s="86">
        <v>22636</v>
      </c>
      <c r="CH82" s="86">
        <v>20004</v>
      </c>
      <c r="CI82" s="86">
        <v>18082</v>
      </c>
      <c r="CJ82" s="86">
        <v>16167</v>
      </c>
      <c r="CK82" s="86">
        <v>15012</v>
      </c>
      <c r="CL82" s="86">
        <v>13737</v>
      </c>
      <c r="CM82" s="86">
        <v>12944</v>
      </c>
      <c r="CN82" s="86">
        <v>12203</v>
      </c>
      <c r="CO82" s="86">
        <v>11539</v>
      </c>
      <c r="CP82" s="86">
        <v>10963</v>
      </c>
      <c r="CQ82" s="86">
        <v>10414</v>
      </c>
      <c r="CR82" s="86">
        <v>10071</v>
      </c>
      <c r="CS82" s="86">
        <v>9562</v>
      </c>
      <c r="CT82" s="86">
        <v>9286</v>
      </c>
      <c r="CU82" s="382"/>
    </row>
    <row r="83" spans="1:99" s="86" customFormat="1" x14ac:dyDescent="0.2">
      <c r="A83" s="375">
        <v>157</v>
      </c>
      <c r="B83" s="375">
        <v>36</v>
      </c>
      <c r="C83" s="349" t="s">
        <v>155</v>
      </c>
      <c r="D83" s="375">
        <v>4167</v>
      </c>
      <c r="E83" s="164">
        <f t="shared" si="2"/>
        <v>24827.200000000001</v>
      </c>
      <c r="F83" s="394">
        <f t="shared" si="3"/>
        <v>51.353756945288723</v>
      </c>
      <c r="G83" s="86">
        <v>2614</v>
      </c>
      <c r="H83" s="86">
        <v>2595</v>
      </c>
      <c r="I83" s="86">
        <v>2654</v>
      </c>
      <c r="J83" s="86">
        <v>2707</v>
      </c>
      <c r="K83" s="86">
        <v>2608</v>
      </c>
      <c r="L83" s="86">
        <v>2612</v>
      </c>
      <c r="M83" s="86">
        <v>2569</v>
      </c>
      <c r="N83" s="86">
        <v>2599</v>
      </c>
      <c r="O83" s="86">
        <v>2675</v>
      </c>
      <c r="P83" s="86">
        <v>2591</v>
      </c>
      <c r="Q83" s="86">
        <v>2508</v>
      </c>
      <c r="R83" s="86">
        <v>2814</v>
      </c>
      <c r="S83" s="86">
        <v>2814</v>
      </c>
      <c r="T83" s="86">
        <v>2620</v>
      </c>
      <c r="U83" s="86">
        <v>2619</v>
      </c>
      <c r="V83" s="86">
        <v>2558</v>
      </c>
      <c r="W83" s="86">
        <v>2625</v>
      </c>
      <c r="X83" s="86">
        <v>2484</v>
      </c>
      <c r="Y83" s="86">
        <v>2488</v>
      </c>
      <c r="Z83" s="86">
        <v>2509</v>
      </c>
      <c r="AA83" s="86">
        <v>24817</v>
      </c>
      <c r="AB83" s="86">
        <v>23763</v>
      </c>
      <c r="AC83" s="86">
        <v>22529</v>
      </c>
      <c r="AD83" s="86">
        <v>21683</v>
      </c>
      <c r="AE83" s="86">
        <v>20545</v>
      </c>
      <c r="AF83" s="86">
        <v>19759</v>
      </c>
      <c r="AG83" s="86">
        <v>18738</v>
      </c>
      <c r="AH83" s="86">
        <v>17556</v>
      </c>
      <c r="AI83" s="86">
        <v>16988</v>
      </c>
      <c r="AJ83" s="86">
        <v>16170</v>
      </c>
      <c r="AK83" s="86">
        <v>15450</v>
      </c>
      <c r="AL83" s="86">
        <v>14830</v>
      </c>
      <c r="AM83" s="86">
        <v>14164</v>
      </c>
      <c r="AN83" s="86">
        <v>13470</v>
      </c>
      <c r="AO83" s="86">
        <v>13117</v>
      </c>
      <c r="AP83" s="86">
        <v>12617</v>
      </c>
      <c r="AQ83" s="86">
        <v>12179</v>
      </c>
      <c r="AR83" s="86">
        <v>11718</v>
      </c>
      <c r="AS83" s="86">
        <v>11207</v>
      </c>
      <c r="AT83" s="86">
        <v>10837</v>
      </c>
      <c r="AU83" s="86">
        <v>10497</v>
      </c>
      <c r="AV83" s="86">
        <v>10104</v>
      </c>
      <c r="AW83" s="86">
        <v>9798</v>
      </c>
      <c r="AX83" s="86">
        <v>9467</v>
      </c>
      <c r="AY83" s="86">
        <v>9273</v>
      </c>
      <c r="AZ83" s="86">
        <v>8562</v>
      </c>
      <c r="BA83" s="86">
        <v>8580</v>
      </c>
      <c r="BB83" s="86">
        <v>8449</v>
      </c>
      <c r="BC83" s="86">
        <v>8044</v>
      </c>
      <c r="BD83" s="86">
        <v>7896</v>
      </c>
      <c r="BE83" s="86">
        <v>7642</v>
      </c>
      <c r="BF83" s="86">
        <v>7380</v>
      </c>
      <c r="BG83" s="86">
        <v>7200</v>
      </c>
      <c r="BH83" s="86">
        <v>6963</v>
      </c>
      <c r="BI83" s="86">
        <v>6802</v>
      </c>
      <c r="BJ83" s="86">
        <v>6714</v>
      </c>
      <c r="BK83" s="86">
        <v>6657</v>
      </c>
      <c r="BL83" s="86">
        <v>6375</v>
      </c>
      <c r="BM83" s="86">
        <v>6460</v>
      </c>
      <c r="BN83" s="86">
        <v>6061</v>
      </c>
      <c r="BO83" s="86">
        <v>5860</v>
      </c>
      <c r="BP83" s="86">
        <v>5809</v>
      </c>
      <c r="BQ83" s="86">
        <v>5644</v>
      </c>
      <c r="BR83" s="86">
        <v>5425</v>
      </c>
      <c r="BS83" s="86">
        <v>5318</v>
      </c>
      <c r="BT83" s="86">
        <v>5254</v>
      </c>
      <c r="BU83" s="86">
        <v>5134</v>
      </c>
      <c r="BV83" s="86">
        <v>5075</v>
      </c>
      <c r="BW83" s="86">
        <v>5006</v>
      </c>
      <c r="BX83" s="86">
        <v>4792</v>
      </c>
      <c r="BY83" s="86">
        <v>4790</v>
      </c>
      <c r="BZ83" s="86">
        <v>4706</v>
      </c>
      <c r="CA83" s="86">
        <v>4556</v>
      </c>
      <c r="CB83" s="86">
        <v>4498</v>
      </c>
      <c r="CC83" s="86">
        <v>4484</v>
      </c>
      <c r="CD83" s="86">
        <v>4306</v>
      </c>
      <c r="CE83" s="86">
        <v>4291</v>
      </c>
      <c r="CF83" s="86">
        <v>4175</v>
      </c>
      <c r="CG83" s="86">
        <v>38066</v>
      </c>
      <c r="CH83" s="86">
        <v>32612</v>
      </c>
      <c r="CI83" s="86">
        <v>28745</v>
      </c>
      <c r="CJ83" s="86">
        <v>25478</v>
      </c>
      <c r="CK83" s="86">
        <v>22970</v>
      </c>
      <c r="CL83" s="86">
        <v>21077</v>
      </c>
      <c r="CM83" s="86">
        <v>19477</v>
      </c>
      <c r="CN83" s="86">
        <v>18106</v>
      </c>
      <c r="CO83" s="86">
        <v>16797</v>
      </c>
      <c r="CP83" s="86">
        <v>15738</v>
      </c>
      <c r="CQ83" s="86">
        <v>14825</v>
      </c>
      <c r="CR83" s="86">
        <v>13883</v>
      </c>
      <c r="CS83" s="86">
        <v>13429</v>
      </c>
      <c r="CT83" s="86">
        <v>12657</v>
      </c>
      <c r="CU83" s="382"/>
    </row>
    <row r="84" spans="1:99" s="86" customFormat="1" x14ac:dyDescent="0.2">
      <c r="A84" s="375">
        <v>161</v>
      </c>
      <c r="B84" s="375">
        <v>36</v>
      </c>
      <c r="C84" s="349" t="s">
        <v>156</v>
      </c>
      <c r="D84" s="375">
        <v>1515</v>
      </c>
      <c r="E84" s="164">
        <f t="shared" si="2"/>
        <v>11921.1</v>
      </c>
      <c r="F84" s="394">
        <f t="shared" si="3"/>
        <v>36.234085707960368</v>
      </c>
      <c r="G84" s="86">
        <v>1315</v>
      </c>
      <c r="H84" s="86">
        <v>1325</v>
      </c>
      <c r="I84" s="86">
        <v>1378</v>
      </c>
      <c r="J84" s="86">
        <v>1374</v>
      </c>
      <c r="K84" s="86">
        <v>1321</v>
      </c>
      <c r="L84" s="86">
        <v>1297</v>
      </c>
      <c r="M84" s="86">
        <v>1297</v>
      </c>
      <c r="N84" s="86">
        <v>1306</v>
      </c>
      <c r="O84" s="86">
        <v>1312</v>
      </c>
      <c r="P84" s="86">
        <v>1266</v>
      </c>
      <c r="Q84" s="86">
        <v>1284</v>
      </c>
      <c r="R84" s="86">
        <v>1283</v>
      </c>
      <c r="S84" s="86">
        <v>1294</v>
      </c>
      <c r="T84" s="86">
        <v>1250</v>
      </c>
      <c r="U84" s="86">
        <v>1297</v>
      </c>
      <c r="V84" s="86">
        <v>1284</v>
      </c>
      <c r="W84" s="86">
        <v>1305</v>
      </c>
      <c r="X84" s="86">
        <v>1274</v>
      </c>
      <c r="Y84" s="86">
        <v>1246</v>
      </c>
      <c r="Z84" s="86">
        <v>1246</v>
      </c>
      <c r="AA84" s="86">
        <v>12359</v>
      </c>
      <c r="AB84" s="86">
        <v>11845</v>
      </c>
      <c r="AC84" s="86">
        <v>11292</v>
      </c>
      <c r="AD84" s="86">
        <v>11026</v>
      </c>
      <c r="AE84" s="86">
        <v>10552</v>
      </c>
      <c r="AF84" s="86">
        <v>9910</v>
      </c>
      <c r="AG84" s="86">
        <v>9546</v>
      </c>
      <c r="AH84" s="86">
        <v>8996</v>
      </c>
      <c r="AI84" s="86">
        <v>8806</v>
      </c>
      <c r="AJ84" s="86">
        <v>8529</v>
      </c>
      <c r="AK84" s="86">
        <v>8083</v>
      </c>
      <c r="AL84" s="86">
        <v>7847</v>
      </c>
      <c r="AM84" s="86">
        <v>7542</v>
      </c>
      <c r="AN84" s="86">
        <v>7262</v>
      </c>
      <c r="AO84" s="86">
        <v>7171</v>
      </c>
      <c r="AP84" s="86">
        <v>6781</v>
      </c>
      <c r="AQ84" s="86">
        <v>6519</v>
      </c>
      <c r="AR84" s="86">
        <v>6327</v>
      </c>
      <c r="AS84" s="86">
        <v>6030</v>
      </c>
      <c r="AT84" s="86">
        <v>5878</v>
      </c>
      <c r="AU84" s="86">
        <v>5748</v>
      </c>
      <c r="AV84" s="86">
        <v>5603</v>
      </c>
      <c r="AW84" s="86">
        <v>5365</v>
      </c>
      <c r="AX84" s="86">
        <v>5135</v>
      </c>
      <c r="AY84" s="86">
        <v>5112</v>
      </c>
      <c r="AZ84" s="86">
        <v>5000</v>
      </c>
      <c r="BA84" s="86">
        <v>4842</v>
      </c>
      <c r="BB84" s="86">
        <v>4741</v>
      </c>
      <c r="BC84" s="86">
        <v>4548</v>
      </c>
      <c r="BD84" s="86">
        <v>4473</v>
      </c>
      <c r="BE84" s="86">
        <v>4458</v>
      </c>
      <c r="BF84" s="86">
        <v>4301</v>
      </c>
      <c r="BG84" s="86">
        <v>4225</v>
      </c>
      <c r="BH84" s="86">
        <v>4064</v>
      </c>
      <c r="BI84" s="86">
        <v>3951</v>
      </c>
      <c r="BJ84" s="86">
        <v>3893</v>
      </c>
      <c r="BK84" s="86">
        <v>3891</v>
      </c>
      <c r="BL84" s="86">
        <v>3710</v>
      </c>
      <c r="BM84" s="86">
        <v>3648</v>
      </c>
      <c r="BN84" s="86">
        <v>3594</v>
      </c>
      <c r="BO84" s="86">
        <v>3550</v>
      </c>
      <c r="BP84" s="86">
        <v>3399</v>
      </c>
      <c r="BQ84" s="86">
        <v>3399</v>
      </c>
      <c r="BR84" s="86">
        <v>3314</v>
      </c>
      <c r="BS84" s="86">
        <v>3283</v>
      </c>
      <c r="BT84" s="86">
        <v>3208</v>
      </c>
      <c r="BU84" s="86">
        <v>3142</v>
      </c>
      <c r="BV84" s="86">
        <v>3042</v>
      </c>
      <c r="BW84" s="86">
        <v>2958</v>
      </c>
      <c r="BX84" s="86">
        <v>3071</v>
      </c>
      <c r="BY84" s="86">
        <v>2907</v>
      </c>
      <c r="BZ84" s="86">
        <v>2906</v>
      </c>
      <c r="CA84" s="86">
        <v>2793</v>
      </c>
      <c r="CB84" s="86">
        <v>2724</v>
      </c>
      <c r="CC84" s="86">
        <v>2799</v>
      </c>
      <c r="CD84" s="86">
        <v>2702</v>
      </c>
      <c r="CE84" s="86">
        <v>2608</v>
      </c>
      <c r="CF84" s="86">
        <v>2704</v>
      </c>
      <c r="CG84" s="86">
        <v>24319</v>
      </c>
      <c r="CH84" s="86">
        <v>21705</v>
      </c>
      <c r="CI84" s="86">
        <v>19429</v>
      </c>
      <c r="CJ84" s="86">
        <v>17923</v>
      </c>
      <c r="CK84" s="86">
        <v>16647</v>
      </c>
      <c r="CL84" s="86">
        <v>15377</v>
      </c>
      <c r="CM84" s="86">
        <v>14308</v>
      </c>
      <c r="CN84" s="86">
        <v>13735</v>
      </c>
      <c r="CO84" s="86">
        <v>12946</v>
      </c>
      <c r="CP84" s="86">
        <v>12286</v>
      </c>
      <c r="CQ84" s="86">
        <v>11755</v>
      </c>
      <c r="CR84" s="86">
        <v>11272</v>
      </c>
      <c r="CS84" s="86">
        <v>10693</v>
      </c>
      <c r="CT84" s="86">
        <v>10425</v>
      </c>
      <c r="CU84" s="382"/>
    </row>
    <row r="85" spans="1:99" s="86" customFormat="1" x14ac:dyDescent="0.2">
      <c r="A85" s="375">
        <v>166</v>
      </c>
      <c r="B85" s="375">
        <v>36</v>
      </c>
      <c r="C85" s="349" t="s">
        <v>155</v>
      </c>
      <c r="D85" s="375">
        <v>0</v>
      </c>
      <c r="E85" s="164">
        <f t="shared" si="2"/>
        <v>285.85000000000002</v>
      </c>
      <c r="F85" s="394">
        <f t="shared" si="3"/>
        <v>7.5730789703811494</v>
      </c>
      <c r="G85" s="86">
        <v>53</v>
      </c>
      <c r="H85" s="86">
        <v>64</v>
      </c>
      <c r="I85" s="86">
        <v>53</v>
      </c>
      <c r="J85" s="86">
        <v>60</v>
      </c>
      <c r="K85" s="86">
        <v>50</v>
      </c>
      <c r="L85" s="86">
        <v>50</v>
      </c>
      <c r="M85" s="86">
        <v>53</v>
      </c>
      <c r="N85" s="86">
        <v>61</v>
      </c>
      <c r="O85" s="86">
        <v>54</v>
      </c>
      <c r="P85" s="86">
        <v>62</v>
      </c>
      <c r="Q85" s="86">
        <v>62</v>
      </c>
      <c r="R85" s="86">
        <v>53</v>
      </c>
      <c r="S85" s="86">
        <v>60</v>
      </c>
      <c r="T85" s="86">
        <v>55</v>
      </c>
      <c r="U85" s="86">
        <v>66</v>
      </c>
      <c r="V85" s="86">
        <v>55</v>
      </c>
      <c r="W85" s="86">
        <v>53</v>
      </c>
      <c r="X85" s="86">
        <v>63</v>
      </c>
      <c r="Y85" s="86">
        <v>57</v>
      </c>
      <c r="Z85" s="86">
        <v>44</v>
      </c>
      <c r="AA85" s="86">
        <v>572</v>
      </c>
      <c r="AB85" s="86">
        <v>564</v>
      </c>
      <c r="AC85" s="86">
        <v>569</v>
      </c>
      <c r="AD85" s="86">
        <v>543</v>
      </c>
      <c r="AE85" s="86">
        <v>573</v>
      </c>
      <c r="AF85" s="86">
        <v>596</v>
      </c>
      <c r="AG85" s="86">
        <v>536</v>
      </c>
      <c r="AH85" s="86">
        <v>500</v>
      </c>
      <c r="AI85" s="86">
        <v>517</v>
      </c>
      <c r="AJ85" s="86">
        <v>485</v>
      </c>
      <c r="AK85" s="86">
        <v>495</v>
      </c>
      <c r="AL85" s="86">
        <v>500</v>
      </c>
      <c r="AM85" s="86">
        <v>481</v>
      </c>
      <c r="AN85" s="86">
        <v>481</v>
      </c>
      <c r="AO85" s="86">
        <v>470</v>
      </c>
      <c r="AP85" s="86">
        <v>444</v>
      </c>
      <c r="AQ85" s="86">
        <v>444</v>
      </c>
      <c r="AR85" s="86">
        <v>472</v>
      </c>
      <c r="AS85" s="86">
        <v>481</v>
      </c>
      <c r="AT85" s="86">
        <v>462</v>
      </c>
      <c r="AU85" s="86">
        <v>470</v>
      </c>
      <c r="AV85" s="86">
        <v>451</v>
      </c>
      <c r="AW85" s="86">
        <v>445</v>
      </c>
      <c r="AX85" s="86">
        <v>443</v>
      </c>
      <c r="AY85" s="86">
        <v>441</v>
      </c>
      <c r="AZ85" s="86">
        <v>409</v>
      </c>
      <c r="BA85" s="86">
        <v>431</v>
      </c>
      <c r="BB85" s="86">
        <v>410</v>
      </c>
      <c r="BC85" s="86">
        <v>402</v>
      </c>
      <c r="BD85" s="86">
        <v>397</v>
      </c>
      <c r="BE85" s="86">
        <v>410</v>
      </c>
      <c r="BF85" s="86">
        <v>398</v>
      </c>
      <c r="BG85" s="86">
        <v>394</v>
      </c>
      <c r="BH85" s="86">
        <v>397</v>
      </c>
      <c r="BI85" s="86">
        <v>400</v>
      </c>
      <c r="BJ85" s="86">
        <v>384</v>
      </c>
      <c r="BK85" s="86">
        <v>373</v>
      </c>
      <c r="BL85" s="86">
        <v>379</v>
      </c>
      <c r="BM85" s="86">
        <v>398</v>
      </c>
      <c r="BN85" s="86">
        <v>362</v>
      </c>
      <c r="BO85" s="86">
        <v>367</v>
      </c>
      <c r="BP85" s="86">
        <v>368</v>
      </c>
      <c r="BQ85" s="86">
        <v>373</v>
      </c>
      <c r="BR85" s="86">
        <v>379</v>
      </c>
      <c r="BS85" s="86">
        <v>367</v>
      </c>
      <c r="BT85" s="86">
        <v>378</v>
      </c>
      <c r="BU85" s="86">
        <v>362</v>
      </c>
      <c r="BV85" s="86">
        <v>405</v>
      </c>
      <c r="BW85" s="86">
        <v>368</v>
      </c>
      <c r="BX85" s="86">
        <v>379</v>
      </c>
      <c r="BY85" s="86">
        <v>368</v>
      </c>
      <c r="BZ85" s="86">
        <v>338</v>
      </c>
      <c r="CA85" s="86">
        <v>349</v>
      </c>
      <c r="CB85" s="86">
        <v>367</v>
      </c>
      <c r="CC85" s="86">
        <v>359</v>
      </c>
      <c r="CD85" s="86">
        <v>361</v>
      </c>
      <c r="CE85" s="86">
        <v>337</v>
      </c>
      <c r="CF85" s="86">
        <v>338</v>
      </c>
      <c r="CG85" s="86">
        <v>3387</v>
      </c>
      <c r="CH85" s="86">
        <v>3279</v>
      </c>
      <c r="CI85" s="86">
        <v>3266</v>
      </c>
      <c r="CJ85" s="86">
        <v>3171</v>
      </c>
      <c r="CK85" s="86">
        <v>3109</v>
      </c>
      <c r="CL85" s="86">
        <v>3014</v>
      </c>
      <c r="CM85" s="86">
        <v>2955</v>
      </c>
      <c r="CN85" s="86">
        <v>2948</v>
      </c>
      <c r="CO85" s="86">
        <v>2955</v>
      </c>
      <c r="CP85" s="86">
        <v>2868</v>
      </c>
      <c r="CQ85" s="86">
        <v>2865</v>
      </c>
      <c r="CR85" s="86">
        <v>2784</v>
      </c>
      <c r="CS85" s="86">
        <v>2798</v>
      </c>
      <c r="CT85" s="86">
        <v>2765</v>
      </c>
      <c r="CU85" s="382"/>
    </row>
    <row r="86" spans="1:99" s="86" customFormat="1" x14ac:dyDescent="0.2">
      <c r="A86" s="375">
        <v>170</v>
      </c>
      <c r="B86" s="375">
        <v>36</v>
      </c>
      <c r="C86" s="349" t="s">
        <v>156</v>
      </c>
      <c r="D86" s="375">
        <v>1515</v>
      </c>
      <c r="E86" s="164">
        <f t="shared" si="2"/>
        <v>10841.65</v>
      </c>
      <c r="F86" s="394">
        <f t="shared" si="3"/>
        <v>34.167092696813505</v>
      </c>
      <c r="G86" s="86">
        <v>1157</v>
      </c>
      <c r="H86" s="86">
        <v>1184</v>
      </c>
      <c r="I86" s="86">
        <v>1107</v>
      </c>
      <c r="J86" s="86">
        <v>1186</v>
      </c>
      <c r="K86" s="86">
        <v>1183</v>
      </c>
      <c r="L86" s="86">
        <v>1172</v>
      </c>
      <c r="M86" s="86">
        <v>1166</v>
      </c>
      <c r="N86" s="86">
        <v>1168</v>
      </c>
      <c r="O86" s="86">
        <v>1179</v>
      </c>
      <c r="P86" s="86">
        <v>1197</v>
      </c>
      <c r="Q86" s="86">
        <v>1190</v>
      </c>
      <c r="R86" s="86">
        <v>1178</v>
      </c>
      <c r="S86" s="86">
        <v>1154</v>
      </c>
      <c r="T86" s="86">
        <v>1154</v>
      </c>
      <c r="U86" s="86">
        <v>1153</v>
      </c>
      <c r="V86" s="86">
        <v>1151</v>
      </c>
      <c r="W86" s="86">
        <v>1119</v>
      </c>
      <c r="X86" s="86">
        <v>1126</v>
      </c>
      <c r="Y86" s="86">
        <v>1082</v>
      </c>
      <c r="Z86" s="86">
        <v>1126</v>
      </c>
      <c r="AA86" s="86">
        <v>11015</v>
      </c>
      <c r="AB86" s="86">
        <v>10648</v>
      </c>
      <c r="AC86" s="86">
        <v>10239</v>
      </c>
      <c r="AD86" s="86">
        <v>9690</v>
      </c>
      <c r="AE86" s="86">
        <v>9330</v>
      </c>
      <c r="AF86" s="86">
        <v>8747</v>
      </c>
      <c r="AG86" s="86">
        <v>8489</v>
      </c>
      <c r="AH86" s="86">
        <v>8041</v>
      </c>
      <c r="AI86" s="86">
        <v>7622</v>
      </c>
      <c r="AJ86" s="86">
        <v>7318</v>
      </c>
      <c r="AK86" s="86">
        <v>7057</v>
      </c>
      <c r="AL86" s="86">
        <v>6801</v>
      </c>
      <c r="AM86" s="86">
        <v>6464</v>
      </c>
      <c r="AN86" s="86">
        <v>6152</v>
      </c>
      <c r="AO86" s="86">
        <v>5957</v>
      </c>
      <c r="AP86" s="86">
        <v>5759</v>
      </c>
      <c r="AQ86" s="86">
        <v>5636</v>
      </c>
      <c r="AR86" s="86">
        <v>5373</v>
      </c>
      <c r="AS86" s="86">
        <v>5133</v>
      </c>
      <c r="AT86" s="86">
        <v>4961</v>
      </c>
      <c r="AU86" s="86">
        <v>4785</v>
      </c>
      <c r="AV86" s="86">
        <v>4652</v>
      </c>
      <c r="AW86" s="86">
        <v>4620</v>
      </c>
      <c r="AX86" s="86">
        <v>4443</v>
      </c>
      <c r="AY86" s="86">
        <v>4234</v>
      </c>
      <c r="AZ86" s="86">
        <v>4223</v>
      </c>
      <c r="BA86" s="86">
        <v>3972</v>
      </c>
      <c r="BB86" s="86">
        <v>3872</v>
      </c>
      <c r="BC86" s="86">
        <v>3764</v>
      </c>
      <c r="BD86" s="86">
        <v>3692</v>
      </c>
      <c r="BE86" s="86">
        <v>3496</v>
      </c>
      <c r="BF86" s="86">
        <v>3486</v>
      </c>
      <c r="BG86" s="86">
        <v>3413</v>
      </c>
      <c r="BH86" s="86">
        <v>3341</v>
      </c>
      <c r="BI86" s="86">
        <v>3191</v>
      </c>
      <c r="BJ86" s="86">
        <v>3097</v>
      </c>
      <c r="BK86" s="86">
        <v>3052</v>
      </c>
      <c r="BL86" s="86">
        <v>2976</v>
      </c>
      <c r="BM86" s="86">
        <v>2891</v>
      </c>
      <c r="BN86" s="86">
        <v>2888</v>
      </c>
      <c r="BO86" s="86">
        <v>2809</v>
      </c>
      <c r="BP86" s="86">
        <v>2679</v>
      </c>
      <c r="BQ86" s="86">
        <v>2683</v>
      </c>
      <c r="BR86" s="86">
        <v>2663</v>
      </c>
      <c r="BS86" s="86">
        <v>2589</v>
      </c>
      <c r="BT86" s="86">
        <v>2523</v>
      </c>
      <c r="BU86" s="86">
        <v>2468</v>
      </c>
      <c r="BV86" s="86">
        <v>2391</v>
      </c>
      <c r="BW86" s="86">
        <v>2385</v>
      </c>
      <c r="BX86" s="86">
        <v>2299</v>
      </c>
      <c r="BY86" s="86">
        <v>2275</v>
      </c>
      <c r="BZ86" s="86">
        <v>2305</v>
      </c>
      <c r="CA86" s="86">
        <v>2180</v>
      </c>
      <c r="CB86" s="86">
        <v>2118</v>
      </c>
      <c r="CC86" s="86">
        <v>2106</v>
      </c>
      <c r="CD86" s="86">
        <v>2095</v>
      </c>
      <c r="CE86" s="86">
        <v>2001</v>
      </c>
      <c r="CF86" s="86">
        <v>2062</v>
      </c>
      <c r="CG86" s="86">
        <v>18533</v>
      </c>
      <c r="CH86" s="86">
        <v>16048</v>
      </c>
      <c r="CI86" s="86">
        <v>14349</v>
      </c>
      <c r="CJ86" s="86">
        <v>13025</v>
      </c>
      <c r="CK86" s="86">
        <v>11627</v>
      </c>
      <c r="CL86" s="86">
        <v>10869</v>
      </c>
      <c r="CM86" s="86">
        <v>10188</v>
      </c>
      <c r="CN86" s="86">
        <v>9410</v>
      </c>
      <c r="CO86" s="86">
        <v>9073</v>
      </c>
      <c r="CP86" s="86">
        <v>8489</v>
      </c>
      <c r="CQ86" s="86">
        <v>7928</v>
      </c>
      <c r="CR86" s="86">
        <v>7694</v>
      </c>
      <c r="CS86" s="86">
        <v>7437</v>
      </c>
      <c r="CT86" s="86">
        <v>7050</v>
      </c>
      <c r="CU86" s="382"/>
    </row>
    <row r="87" spans="1:99" s="86" customFormat="1" x14ac:dyDescent="0.2">
      <c r="A87" s="375">
        <v>175</v>
      </c>
      <c r="B87" s="375">
        <v>36</v>
      </c>
      <c r="C87" s="349" t="s">
        <v>155</v>
      </c>
      <c r="D87" s="375">
        <v>1010</v>
      </c>
      <c r="E87" s="164">
        <f t="shared" si="2"/>
        <v>7499.2</v>
      </c>
      <c r="F87" s="394">
        <f t="shared" si="3"/>
        <v>28.512609951198126</v>
      </c>
      <c r="G87" s="86">
        <v>826</v>
      </c>
      <c r="H87" s="86">
        <v>808</v>
      </c>
      <c r="I87" s="86">
        <v>803</v>
      </c>
      <c r="J87" s="86">
        <v>796</v>
      </c>
      <c r="K87" s="86">
        <v>802</v>
      </c>
      <c r="L87" s="86">
        <v>778</v>
      </c>
      <c r="M87" s="86">
        <v>811</v>
      </c>
      <c r="N87" s="86">
        <v>840</v>
      </c>
      <c r="O87" s="86">
        <v>820</v>
      </c>
      <c r="P87" s="86">
        <v>802</v>
      </c>
      <c r="Q87" s="86">
        <v>818</v>
      </c>
      <c r="R87" s="86">
        <v>827</v>
      </c>
      <c r="S87" s="86">
        <v>807</v>
      </c>
      <c r="T87" s="86">
        <v>793</v>
      </c>
      <c r="U87" s="86">
        <v>805</v>
      </c>
      <c r="V87" s="86">
        <v>816</v>
      </c>
      <c r="W87" s="86">
        <v>804</v>
      </c>
      <c r="X87" s="86">
        <v>781</v>
      </c>
      <c r="Y87" s="86">
        <v>774</v>
      </c>
      <c r="Z87" s="86">
        <v>791</v>
      </c>
      <c r="AA87" s="86">
        <v>7676</v>
      </c>
      <c r="AB87" s="86">
        <v>7332</v>
      </c>
      <c r="AC87" s="86">
        <v>7196</v>
      </c>
      <c r="AD87" s="86">
        <v>6810</v>
      </c>
      <c r="AE87" s="86">
        <v>6428</v>
      </c>
      <c r="AF87" s="86">
        <v>6133</v>
      </c>
      <c r="AG87" s="86">
        <v>5852</v>
      </c>
      <c r="AH87" s="86">
        <v>5562</v>
      </c>
      <c r="AI87" s="86">
        <v>5342</v>
      </c>
      <c r="AJ87" s="86">
        <v>5204</v>
      </c>
      <c r="AK87" s="86">
        <v>4896</v>
      </c>
      <c r="AL87" s="86">
        <v>4696</v>
      </c>
      <c r="AM87" s="86">
        <v>4564</v>
      </c>
      <c r="AN87" s="86">
        <v>4292</v>
      </c>
      <c r="AO87" s="86">
        <v>4178</v>
      </c>
      <c r="AP87" s="86">
        <v>3966</v>
      </c>
      <c r="AQ87" s="86">
        <v>3896</v>
      </c>
      <c r="AR87" s="86">
        <v>3716</v>
      </c>
      <c r="AS87" s="86">
        <v>3635</v>
      </c>
      <c r="AT87" s="86">
        <v>3583</v>
      </c>
      <c r="AU87" s="86">
        <v>3425</v>
      </c>
      <c r="AV87" s="86">
        <v>3198</v>
      </c>
      <c r="AW87" s="86">
        <v>3246</v>
      </c>
      <c r="AX87" s="86">
        <v>3039</v>
      </c>
      <c r="AY87" s="86">
        <v>3007</v>
      </c>
      <c r="AZ87" s="86">
        <v>2913</v>
      </c>
      <c r="BA87" s="86">
        <v>2861</v>
      </c>
      <c r="BB87" s="86">
        <v>2714</v>
      </c>
      <c r="BC87" s="86">
        <v>2655</v>
      </c>
      <c r="BD87" s="86">
        <v>2543</v>
      </c>
      <c r="BE87" s="86">
        <v>2597</v>
      </c>
      <c r="BF87" s="86">
        <v>2523</v>
      </c>
      <c r="BG87" s="86">
        <v>2374</v>
      </c>
      <c r="BH87" s="86">
        <v>2360</v>
      </c>
      <c r="BI87" s="86">
        <v>2253</v>
      </c>
      <c r="BJ87" s="86">
        <v>2301</v>
      </c>
      <c r="BK87" s="86">
        <v>2209</v>
      </c>
      <c r="BL87" s="86">
        <v>2125</v>
      </c>
      <c r="BM87" s="86">
        <v>2087</v>
      </c>
      <c r="BN87" s="86">
        <v>2060</v>
      </c>
      <c r="BO87" s="86">
        <v>1991</v>
      </c>
      <c r="BP87" s="86">
        <v>1957</v>
      </c>
      <c r="BQ87" s="86">
        <v>1942</v>
      </c>
      <c r="BR87" s="86">
        <v>1895</v>
      </c>
      <c r="BS87" s="86">
        <v>1878</v>
      </c>
      <c r="BT87" s="86">
        <v>1860</v>
      </c>
      <c r="BU87" s="86">
        <v>1786</v>
      </c>
      <c r="BV87" s="86">
        <v>1724</v>
      </c>
      <c r="BW87" s="86">
        <v>1685</v>
      </c>
      <c r="BX87" s="86">
        <v>1672</v>
      </c>
      <c r="BY87" s="86">
        <v>1603</v>
      </c>
      <c r="BZ87" s="86">
        <v>1650</v>
      </c>
      <c r="CA87" s="86">
        <v>1594</v>
      </c>
      <c r="CB87" s="86">
        <v>1555</v>
      </c>
      <c r="CC87" s="86">
        <v>1502</v>
      </c>
      <c r="CD87" s="86">
        <v>1460</v>
      </c>
      <c r="CE87" s="86">
        <v>1463</v>
      </c>
      <c r="CF87" s="86">
        <v>1458</v>
      </c>
      <c r="CG87" s="86">
        <v>13530</v>
      </c>
      <c r="CH87" s="86">
        <v>11677</v>
      </c>
      <c r="CI87" s="86">
        <v>10598</v>
      </c>
      <c r="CJ87" s="86">
        <v>9517</v>
      </c>
      <c r="CK87" s="86">
        <v>8768</v>
      </c>
      <c r="CL87" s="86">
        <v>8110</v>
      </c>
      <c r="CM87" s="86">
        <v>7568</v>
      </c>
      <c r="CN87" s="86">
        <v>7128</v>
      </c>
      <c r="CO87" s="86">
        <v>6709</v>
      </c>
      <c r="CP87" s="86">
        <v>6428</v>
      </c>
      <c r="CQ87" s="86">
        <v>6075</v>
      </c>
      <c r="CR87" s="86">
        <v>5846</v>
      </c>
      <c r="CS87" s="86">
        <v>5612</v>
      </c>
      <c r="CT87" s="86">
        <v>5424</v>
      </c>
      <c r="CU87" s="382"/>
    </row>
    <row r="88" spans="1:99" s="86" customFormat="1" x14ac:dyDescent="0.2">
      <c r="A88" s="379">
        <v>179</v>
      </c>
      <c r="B88" s="379">
        <v>36</v>
      </c>
      <c r="C88" s="351" t="s">
        <v>156</v>
      </c>
      <c r="D88" s="379">
        <v>1515</v>
      </c>
      <c r="E88" s="381">
        <f t="shared" si="2"/>
        <v>10828</v>
      </c>
      <c r="F88" s="395">
        <f t="shared" si="3"/>
        <v>34.247923760660974</v>
      </c>
      <c r="G88" s="87">
        <v>1198</v>
      </c>
      <c r="H88" s="87">
        <v>1197</v>
      </c>
      <c r="I88" s="87">
        <v>1183</v>
      </c>
      <c r="J88" s="87">
        <v>1208</v>
      </c>
      <c r="K88" s="87">
        <v>1134</v>
      </c>
      <c r="L88" s="87">
        <v>1196</v>
      </c>
      <c r="M88" s="87">
        <v>1223</v>
      </c>
      <c r="N88" s="87">
        <v>1198</v>
      </c>
      <c r="O88" s="87">
        <v>1171</v>
      </c>
      <c r="P88" s="87">
        <v>1166</v>
      </c>
      <c r="Q88" s="87">
        <v>1180</v>
      </c>
      <c r="R88" s="87">
        <v>1164</v>
      </c>
      <c r="S88" s="87">
        <v>1135</v>
      </c>
      <c r="T88" s="87">
        <v>1144</v>
      </c>
      <c r="U88" s="87">
        <v>1122</v>
      </c>
      <c r="V88" s="87">
        <v>1151</v>
      </c>
      <c r="W88" s="87">
        <v>1131</v>
      </c>
      <c r="X88" s="87">
        <v>1107</v>
      </c>
      <c r="Y88" s="87">
        <v>1095</v>
      </c>
      <c r="Z88" s="87">
        <v>1122</v>
      </c>
      <c r="AA88" s="87">
        <v>11044</v>
      </c>
      <c r="AB88" s="87">
        <v>10739</v>
      </c>
      <c r="AC88" s="87">
        <v>10197</v>
      </c>
      <c r="AD88" s="87">
        <v>9895</v>
      </c>
      <c r="AE88" s="87">
        <v>9326</v>
      </c>
      <c r="AF88" s="87">
        <v>8777</v>
      </c>
      <c r="AG88" s="87">
        <v>8530</v>
      </c>
      <c r="AH88" s="87">
        <v>8032</v>
      </c>
      <c r="AI88" s="87">
        <v>7770</v>
      </c>
      <c r="AJ88" s="87">
        <v>7450</v>
      </c>
      <c r="AK88" s="87">
        <v>7155</v>
      </c>
      <c r="AL88" s="87">
        <v>6733</v>
      </c>
      <c r="AM88" s="87">
        <v>6691</v>
      </c>
      <c r="AN88" s="87">
        <v>6300</v>
      </c>
      <c r="AO88" s="87">
        <v>5989</v>
      </c>
      <c r="AP88" s="87">
        <v>5883</v>
      </c>
      <c r="AQ88" s="87">
        <v>5639</v>
      </c>
      <c r="AR88" s="87">
        <v>5529</v>
      </c>
      <c r="AS88" s="87">
        <v>5021</v>
      </c>
      <c r="AT88" s="87">
        <v>5098</v>
      </c>
      <c r="AU88" s="87">
        <v>4975</v>
      </c>
      <c r="AV88" s="87">
        <v>4753</v>
      </c>
      <c r="AW88" s="87">
        <v>4634</v>
      </c>
      <c r="AX88" s="87">
        <v>4490</v>
      </c>
      <c r="AY88" s="87">
        <v>4332</v>
      </c>
      <c r="AZ88" s="87">
        <v>4251</v>
      </c>
      <c r="BA88" s="87">
        <v>4108</v>
      </c>
      <c r="BB88" s="87">
        <v>4039</v>
      </c>
      <c r="BC88" s="87">
        <v>3867</v>
      </c>
      <c r="BD88" s="87">
        <v>3751</v>
      </c>
      <c r="BE88" s="87">
        <v>3604</v>
      </c>
      <c r="BF88" s="87">
        <v>3630</v>
      </c>
      <c r="BG88" s="87">
        <v>3446</v>
      </c>
      <c r="BH88" s="87">
        <v>3459</v>
      </c>
      <c r="BI88" s="87">
        <v>3288</v>
      </c>
      <c r="BJ88" s="87">
        <v>3258</v>
      </c>
      <c r="BK88" s="87">
        <v>3170</v>
      </c>
      <c r="BL88" s="87">
        <v>3140</v>
      </c>
      <c r="BM88" s="87">
        <v>3069</v>
      </c>
      <c r="BN88" s="87">
        <v>3018</v>
      </c>
      <c r="BO88" s="87">
        <v>2955</v>
      </c>
      <c r="BP88" s="87">
        <v>2796</v>
      </c>
      <c r="BQ88" s="87">
        <v>2831</v>
      </c>
      <c r="BR88" s="87">
        <v>2678</v>
      </c>
      <c r="BS88" s="87">
        <v>2684</v>
      </c>
      <c r="BT88" s="87">
        <v>2619</v>
      </c>
      <c r="BU88" s="87">
        <v>2554</v>
      </c>
      <c r="BV88" s="87">
        <v>2588</v>
      </c>
      <c r="BW88" s="87">
        <v>2449</v>
      </c>
      <c r="BX88" s="87">
        <v>2394</v>
      </c>
      <c r="BY88" s="87">
        <v>2429</v>
      </c>
      <c r="BZ88" s="87">
        <v>2363</v>
      </c>
      <c r="CA88" s="87">
        <v>2298</v>
      </c>
      <c r="CB88" s="87">
        <v>2318</v>
      </c>
      <c r="CC88" s="87">
        <v>2225</v>
      </c>
      <c r="CD88" s="87">
        <v>2259</v>
      </c>
      <c r="CE88" s="87">
        <v>2109</v>
      </c>
      <c r="CF88" s="87">
        <v>2158</v>
      </c>
      <c r="CG88" s="87">
        <v>19761</v>
      </c>
      <c r="CH88" s="87">
        <v>17235</v>
      </c>
      <c r="CI88" s="87">
        <v>15411</v>
      </c>
      <c r="CJ88" s="87">
        <v>13766</v>
      </c>
      <c r="CK88" s="87">
        <v>12681</v>
      </c>
      <c r="CL88" s="87">
        <v>11791</v>
      </c>
      <c r="CM88" s="87">
        <v>10951</v>
      </c>
      <c r="CN88" s="87">
        <v>10120</v>
      </c>
      <c r="CO88" s="87">
        <v>9595</v>
      </c>
      <c r="CP88" s="87">
        <v>9196</v>
      </c>
      <c r="CQ88" s="87">
        <v>8703</v>
      </c>
      <c r="CR88" s="87">
        <v>8327</v>
      </c>
      <c r="CS88" s="87">
        <v>7936</v>
      </c>
      <c r="CT88" s="87">
        <v>7754</v>
      </c>
      <c r="CU88" s="382"/>
    </row>
    <row r="89" spans="1:99" s="86" customFormat="1" x14ac:dyDescent="0.2">
      <c r="A89" s="375">
        <v>59</v>
      </c>
      <c r="B89" s="375">
        <v>37</v>
      </c>
      <c r="C89" s="349" t="s">
        <v>155</v>
      </c>
      <c r="D89" s="376">
        <v>0</v>
      </c>
      <c r="E89" s="164">
        <f t="shared" si="2"/>
        <v>11739.9</v>
      </c>
      <c r="F89" s="394">
        <f t="shared" si="3"/>
        <v>35.625211029937105</v>
      </c>
      <c r="G89" s="83">
        <v>1303</v>
      </c>
      <c r="H89" s="83">
        <v>1331</v>
      </c>
      <c r="I89" s="83">
        <v>1325</v>
      </c>
      <c r="J89" s="83">
        <v>1316</v>
      </c>
      <c r="K89" s="83">
        <v>1291</v>
      </c>
      <c r="L89" s="83">
        <v>1329</v>
      </c>
      <c r="M89" s="83">
        <v>1276</v>
      </c>
      <c r="N89" s="83">
        <v>1315</v>
      </c>
      <c r="O89" s="83">
        <v>1259</v>
      </c>
      <c r="P89" s="83">
        <v>1295</v>
      </c>
      <c r="Q89" s="83">
        <v>1255</v>
      </c>
      <c r="R89" s="83">
        <v>1212</v>
      </c>
      <c r="S89" s="83">
        <v>1222</v>
      </c>
      <c r="T89" s="83">
        <v>1239</v>
      </c>
      <c r="U89" s="83">
        <v>1217</v>
      </c>
      <c r="V89" s="83">
        <v>1217</v>
      </c>
      <c r="W89" s="83">
        <v>1232</v>
      </c>
      <c r="X89" s="83">
        <v>1195</v>
      </c>
      <c r="Y89" s="83">
        <v>1205</v>
      </c>
      <c r="Z89" s="83">
        <v>1177</v>
      </c>
      <c r="AA89" s="83">
        <v>11780</v>
      </c>
      <c r="AB89" s="83">
        <v>11172</v>
      </c>
      <c r="AC89" s="83">
        <v>10472</v>
      </c>
      <c r="AD89" s="83">
        <v>9698</v>
      </c>
      <c r="AE89" s="83">
        <v>9165</v>
      </c>
      <c r="AF89" s="83">
        <v>8610</v>
      </c>
      <c r="AG89" s="83">
        <v>8205</v>
      </c>
      <c r="AH89" s="83">
        <v>7856</v>
      </c>
      <c r="AI89" s="83">
        <v>7276</v>
      </c>
      <c r="AJ89" s="83">
        <v>6991</v>
      </c>
      <c r="AK89" s="83">
        <v>6610</v>
      </c>
      <c r="AL89" s="83">
        <v>6197</v>
      </c>
      <c r="AM89" s="83">
        <v>6005</v>
      </c>
      <c r="AN89" s="83">
        <v>5735</v>
      </c>
      <c r="AO89" s="83">
        <v>5501</v>
      </c>
      <c r="AP89" s="83">
        <v>5244</v>
      </c>
      <c r="AQ89" s="83">
        <v>5108</v>
      </c>
      <c r="AR89" s="83">
        <v>4795</v>
      </c>
      <c r="AS89" s="83">
        <v>4700</v>
      </c>
      <c r="AT89" s="83">
        <v>4445</v>
      </c>
      <c r="AU89" s="83">
        <v>4347</v>
      </c>
      <c r="AV89" s="83">
        <v>4218</v>
      </c>
      <c r="AW89" s="83">
        <v>4013</v>
      </c>
      <c r="AX89" s="83">
        <v>3960</v>
      </c>
      <c r="AY89" s="83">
        <v>3876</v>
      </c>
      <c r="AZ89" s="83">
        <v>3646</v>
      </c>
      <c r="BA89" s="83">
        <v>3598</v>
      </c>
      <c r="BB89" s="83">
        <v>3509</v>
      </c>
      <c r="BC89" s="83">
        <v>3374</v>
      </c>
      <c r="BD89" s="83">
        <v>3281</v>
      </c>
      <c r="BE89" s="83">
        <v>3138</v>
      </c>
      <c r="BF89" s="83">
        <v>3118</v>
      </c>
      <c r="BG89" s="83">
        <v>3083</v>
      </c>
      <c r="BH89" s="83">
        <v>2967</v>
      </c>
      <c r="BI89" s="83">
        <v>2839</v>
      </c>
      <c r="BJ89" s="83">
        <v>2904</v>
      </c>
      <c r="BK89" s="83">
        <v>2805</v>
      </c>
      <c r="BL89" s="83">
        <v>2687</v>
      </c>
      <c r="BM89" s="83">
        <v>2653</v>
      </c>
      <c r="BN89" s="83">
        <v>2616</v>
      </c>
      <c r="BO89" s="83">
        <v>2561</v>
      </c>
      <c r="BP89" s="83">
        <v>2510</v>
      </c>
      <c r="BQ89" s="83">
        <v>2427</v>
      </c>
      <c r="BR89" s="83">
        <v>2427</v>
      </c>
      <c r="BS89" s="83">
        <v>2345</v>
      </c>
      <c r="BT89" s="83">
        <v>2343</v>
      </c>
      <c r="BU89" s="83">
        <v>2278</v>
      </c>
      <c r="BV89" s="83">
        <v>2184</v>
      </c>
      <c r="BW89" s="83">
        <v>2165</v>
      </c>
      <c r="BX89" s="83">
        <v>2207</v>
      </c>
      <c r="BY89" s="83">
        <v>2116</v>
      </c>
      <c r="BZ89" s="83">
        <v>2085</v>
      </c>
      <c r="CA89" s="83">
        <v>2020</v>
      </c>
      <c r="CB89" s="83">
        <v>2039</v>
      </c>
      <c r="CC89" s="83">
        <v>1992</v>
      </c>
      <c r="CD89" s="83">
        <v>1965</v>
      </c>
      <c r="CE89" s="83">
        <v>2001</v>
      </c>
      <c r="CF89" s="83">
        <v>1859</v>
      </c>
      <c r="CG89" s="83">
        <v>17804</v>
      </c>
      <c r="CH89" s="83">
        <v>15947</v>
      </c>
      <c r="CI89" s="83">
        <v>14467</v>
      </c>
      <c r="CJ89" s="83">
        <v>13297</v>
      </c>
      <c r="CK89" s="83">
        <v>12457</v>
      </c>
      <c r="CL89" s="83">
        <v>11737</v>
      </c>
      <c r="CM89" s="83">
        <v>10913</v>
      </c>
      <c r="CN89" s="83">
        <v>10489</v>
      </c>
      <c r="CO89" s="83">
        <v>10059</v>
      </c>
      <c r="CP89" s="83">
        <v>9683</v>
      </c>
      <c r="CQ89" s="83">
        <v>9175</v>
      </c>
      <c r="CR89" s="83">
        <v>9110</v>
      </c>
      <c r="CS89" s="83">
        <v>8728</v>
      </c>
      <c r="CT89" s="83">
        <v>8584</v>
      </c>
      <c r="CU89" s="382"/>
    </row>
    <row r="90" spans="1:99" s="86" customFormat="1" x14ac:dyDescent="0.2">
      <c r="A90" s="375">
        <v>63</v>
      </c>
      <c r="B90" s="375">
        <v>37</v>
      </c>
      <c r="C90" s="349" t="s">
        <v>156</v>
      </c>
      <c r="D90" s="376">
        <v>1515</v>
      </c>
      <c r="E90" s="164">
        <f t="shared" si="2"/>
        <v>9065.25</v>
      </c>
      <c r="F90" s="394">
        <f t="shared" si="3"/>
        <v>31.579683803580533</v>
      </c>
      <c r="G90" s="83">
        <v>982</v>
      </c>
      <c r="H90" s="83">
        <v>1019</v>
      </c>
      <c r="I90" s="83">
        <v>1050</v>
      </c>
      <c r="J90" s="83">
        <v>979</v>
      </c>
      <c r="K90" s="83">
        <v>1021</v>
      </c>
      <c r="L90" s="83">
        <v>1011</v>
      </c>
      <c r="M90" s="83">
        <v>1018</v>
      </c>
      <c r="N90" s="83">
        <v>997</v>
      </c>
      <c r="O90" s="83">
        <v>1022</v>
      </c>
      <c r="P90" s="83">
        <v>1005</v>
      </c>
      <c r="Q90" s="83">
        <v>986</v>
      </c>
      <c r="R90" s="83">
        <v>949</v>
      </c>
      <c r="S90" s="83">
        <v>1019</v>
      </c>
      <c r="T90" s="83">
        <v>962</v>
      </c>
      <c r="U90" s="83">
        <v>972</v>
      </c>
      <c r="V90" s="83">
        <v>963</v>
      </c>
      <c r="W90" s="83">
        <v>941</v>
      </c>
      <c r="X90" s="83">
        <v>968</v>
      </c>
      <c r="Y90" s="83">
        <v>925</v>
      </c>
      <c r="Z90" s="83">
        <v>977</v>
      </c>
      <c r="AA90" s="83">
        <v>9085</v>
      </c>
      <c r="AB90" s="83">
        <v>8758</v>
      </c>
      <c r="AC90" s="83">
        <v>8171</v>
      </c>
      <c r="AD90" s="83">
        <v>7806</v>
      </c>
      <c r="AE90" s="83">
        <v>7373</v>
      </c>
      <c r="AF90" s="83">
        <v>6900</v>
      </c>
      <c r="AG90" s="83">
        <v>6516</v>
      </c>
      <c r="AH90" s="83">
        <v>6337</v>
      </c>
      <c r="AI90" s="83">
        <v>5948</v>
      </c>
      <c r="AJ90" s="83">
        <v>5685</v>
      </c>
      <c r="AK90" s="83">
        <v>5326</v>
      </c>
      <c r="AL90" s="83">
        <v>5112</v>
      </c>
      <c r="AM90" s="83">
        <v>4828</v>
      </c>
      <c r="AN90" s="83">
        <v>4766</v>
      </c>
      <c r="AO90" s="83">
        <v>4502</v>
      </c>
      <c r="AP90" s="83">
        <v>4323</v>
      </c>
      <c r="AQ90" s="83">
        <v>4232</v>
      </c>
      <c r="AR90" s="83">
        <v>3987</v>
      </c>
      <c r="AS90" s="83">
        <v>3885</v>
      </c>
      <c r="AT90" s="83">
        <v>3752</v>
      </c>
      <c r="AU90" s="83">
        <v>3624</v>
      </c>
      <c r="AV90" s="83">
        <v>3518</v>
      </c>
      <c r="AW90" s="83">
        <v>3417</v>
      </c>
      <c r="AX90" s="83">
        <v>3255</v>
      </c>
      <c r="AY90" s="83">
        <v>3163</v>
      </c>
      <c r="AZ90" s="83">
        <v>3035</v>
      </c>
      <c r="BA90" s="83">
        <v>3005</v>
      </c>
      <c r="BB90" s="83">
        <v>2891</v>
      </c>
      <c r="BC90" s="83">
        <v>2878</v>
      </c>
      <c r="BD90" s="83">
        <v>2848</v>
      </c>
      <c r="BE90" s="83">
        <v>2790</v>
      </c>
      <c r="BF90" s="83">
        <v>2649</v>
      </c>
      <c r="BG90" s="83">
        <v>2649</v>
      </c>
      <c r="BH90" s="83">
        <v>2499</v>
      </c>
      <c r="BI90" s="83">
        <v>2520</v>
      </c>
      <c r="BJ90" s="83">
        <v>2430</v>
      </c>
      <c r="BK90" s="83">
        <v>2294</v>
      </c>
      <c r="BL90" s="83">
        <v>2282</v>
      </c>
      <c r="BM90" s="83">
        <v>2318</v>
      </c>
      <c r="BN90" s="83">
        <v>2309</v>
      </c>
      <c r="BO90" s="83">
        <v>2161</v>
      </c>
      <c r="BP90" s="83">
        <v>2202</v>
      </c>
      <c r="BQ90" s="83">
        <v>2070</v>
      </c>
      <c r="BR90" s="83">
        <v>2133</v>
      </c>
      <c r="BS90" s="83">
        <v>2065</v>
      </c>
      <c r="BT90" s="83">
        <v>1971</v>
      </c>
      <c r="BU90" s="83">
        <v>1995</v>
      </c>
      <c r="BV90" s="83">
        <v>1933</v>
      </c>
      <c r="BW90" s="83">
        <v>1937</v>
      </c>
      <c r="BX90" s="83">
        <v>1877</v>
      </c>
      <c r="BY90" s="83">
        <v>1856</v>
      </c>
      <c r="BZ90" s="83">
        <v>1832</v>
      </c>
      <c r="CA90" s="83">
        <v>1778</v>
      </c>
      <c r="CB90" s="83">
        <v>1742</v>
      </c>
      <c r="CC90" s="83">
        <v>1773</v>
      </c>
      <c r="CD90" s="83">
        <v>1759</v>
      </c>
      <c r="CE90" s="83">
        <v>1721</v>
      </c>
      <c r="CF90" s="83">
        <v>1756</v>
      </c>
      <c r="CG90" s="83">
        <v>15867</v>
      </c>
      <c r="CH90" s="83">
        <v>14387</v>
      </c>
      <c r="CI90" s="83">
        <v>13051</v>
      </c>
      <c r="CJ90" s="83">
        <v>12151</v>
      </c>
      <c r="CK90" s="83">
        <v>11506</v>
      </c>
      <c r="CL90" s="83">
        <v>10723</v>
      </c>
      <c r="CM90" s="83">
        <v>10224</v>
      </c>
      <c r="CN90" s="83">
        <v>10030</v>
      </c>
      <c r="CO90" s="83">
        <v>9570</v>
      </c>
      <c r="CP90" s="83">
        <v>9185</v>
      </c>
      <c r="CQ90" s="83">
        <v>8847</v>
      </c>
      <c r="CR90" s="83">
        <v>8564</v>
      </c>
      <c r="CS90" s="83">
        <v>8327</v>
      </c>
      <c r="CT90" s="83">
        <v>8028</v>
      </c>
      <c r="CU90" s="382"/>
    </row>
    <row r="91" spans="1:99" s="86" customFormat="1" x14ac:dyDescent="0.2">
      <c r="A91" s="375">
        <v>184</v>
      </c>
      <c r="B91" s="375">
        <v>37</v>
      </c>
      <c r="C91" s="349" t="s">
        <v>155</v>
      </c>
      <c r="D91" s="376">
        <v>1010</v>
      </c>
      <c r="E91" s="164">
        <f t="shared" si="2"/>
        <v>5895.7</v>
      </c>
      <c r="F91" s="394">
        <f t="shared" si="3"/>
        <v>25.425807663146653</v>
      </c>
      <c r="G91" s="83">
        <v>664</v>
      </c>
      <c r="H91" s="83">
        <v>657</v>
      </c>
      <c r="I91" s="83">
        <v>674</v>
      </c>
      <c r="J91" s="83">
        <v>671</v>
      </c>
      <c r="K91" s="83">
        <v>640</v>
      </c>
      <c r="L91" s="83">
        <v>673</v>
      </c>
      <c r="M91" s="83">
        <v>670</v>
      </c>
      <c r="N91" s="83">
        <v>646</v>
      </c>
      <c r="O91" s="83">
        <v>631</v>
      </c>
      <c r="P91" s="83">
        <v>636</v>
      </c>
      <c r="Q91" s="83">
        <v>675</v>
      </c>
      <c r="R91" s="83">
        <v>647</v>
      </c>
      <c r="S91" s="83">
        <v>637</v>
      </c>
      <c r="T91" s="83">
        <v>632</v>
      </c>
      <c r="U91" s="83">
        <v>626</v>
      </c>
      <c r="V91" s="83">
        <v>629</v>
      </c>
      <c r="W91" s="83">
        <v>612</v>
      </c>
      <c r="X91" s="83">
        <v>621</v>
      </c>
      <c r="Y91" s="83">
        <v>588</v>
      </c>
      <c r="Z91" s="83">
        <v>613</v>
      </c>
      <c r="AA91" s="83">
        <v>6157</v>
      </c>
      <c r="AB91" s="83">
        <v>5593</v>
      </c>
      <c r="AC91" s="83">
        <v>5405</v>
      </c>
      <c r="AD91" s="83">
        <v>4995</v>
      </c>
      <c r="AE91" s="83">
        <v>4838</v>
      </c>
      <c r="AF91" s="83">
        <v>4574</v>
      </c>
      <c r="AG91" s="83">
        <v>4188</v>
      </c>
      <c r="AH91" s="83">
        <v>4068</v>
      </c>
      <c r="AI91" s="83">
        <v>3858</v>
      </c>
      <c r="AJ91" s="83">
        <v>3657</v>
      </c>
      <c r="AK91" s="83">
        <v>3501</v>
      </c>
      <c r="AL91" s="83">
        <v>3345</v>
      </c>
      <c r="AM91" s="83">
        <v>3237</v>
      </c>
      <c r="AN91" s="83">
        <v>3038</v>
      </c>
      <c r="AO91" s="83">
        <v>2890</v>
      </c>
      <c r="AP91" s="83">
        <v>2775</v>
      </c>
      <c r="AQ91" s="83">
        <v>2738</v>
      </c>
      <c r="AR91" s="83">
        <v>2564</v>
      </c>
      <c r="AS91" s="83">
        <v>2503</v>
      </c>
      <c r="AT91" s="83">
        <v>2368</v>
      </c>
      <c r="AU91" s="83">
        <v>2392</v>
      </c>
      <c r="AV91" s="83">
        <v>2286</v>
      </c>
      <c r="AW91" s="83">
        <v>2224</v>
      </c>
      <c r="AX91" s="83">
        <v>2194</v>
      </c>
      <c r="AY91" s="83">
        <v>2033</v>
      </c>
      <c r="AZ91" s="83">
        <v>2044</v>
      </c>
      <c r="BA91" s="83">
        <v>1947</v>
      </c>
      <c r="BB91" s="83">
        <v>1953</v>
      </c>
      <c r="BC91" s="83">
        <v>1859</v>
      </c>
      <c r="BD91" s="83">
        <v>1757</v>
      </c>
      <c r="BE91" s="83">
        <v>1713</v>
      </c>
      <c r="BF91" s="83">
        <v>1684</v>
      </c>
      <c r="BG91" s="83">
        <v>1672</v>
      </c>
      <c r="BH91" s="83">
        <v>1603</v>
      </c>
      <c r="BI91" s="83">
        <v>1586</v>
      </c>
      <c r="BJ91" s="83">
        <v>1550</v>
      </c>
      <c r="BK91" s="83">
        <v>1460</v>
      </c>
      <c r="BL91" s="83">
        <v>1452</v>
      </c>
      <c r="BM91" s="83">
        <v>1420</v>
      </c>
      <c r="BN91" s="83">
        <v>1381</v>
      </c>
      <c r="BO91" s="83">
        <v>1407</v>
      </c>
      <c r="BP91" s="83">
        <v>1398</v>
      </c>
      <c r="BQ91" s="83">
        <v>1352</v>
      </c>
      <c r="BR91" s="83">
        <v>1325</v>
      </c>
      <c r="BS91" s="83">
        <v>1338</v>
      </c>
      <c r="BT91" s="83">
        <v>1227</v>
      </c>
      <c r="BU91" s="83">
        <v>1247</v>
      </c>
      <c r="BV91" s="83">
        <v>1273</v>
      </c>
      <c r="BW91" s="83">
        <v>1225</v>
      </c>
      <c r="BX91" s="83">
        <v>1193</v>
      </c>
      <c r="BY91" s="83">
        <v>1199</v>
      </c>
      <c r="BZ91" s="83">
        <v>1156</v>
      </c>
      <c r="CA91" s="83">
        <v>1177</v>
      </c>
      <c r="CB91" s="83">
        <v>1160</v>
      </c>
      <c r="CC91" s="83">
        <v>1132</v>
      </c>
      <c r="CD91" s="83">
        <v>1115</v>
      </c>
      <c r="CE91" s="83">
        <v>1084</v>
      </c>
      <c r="CF91" s="83">
        <v>1082</v>
      </c>
      <c r="CG91" s="83">
        <v>10028</v>
      </c>
      <c r="CH91" s="83">
        <v>9054</v>
      </c>
      <c r="CI91" s="83">
        <v>8304</v>
      </c>
      <c r="CJ91" s="83">
        <v>7771</v>
      </c>
      <c r="CK91" s="83">
        <v>7242</v>
      </c>
      <c r="CL91" s="83">
        <v>6729</v>
      </c>
      <c r="CM91" s="83">
        <v>6501</v>
      </c>
      <c r="CN91" s="83">
        <v>6168</v>
      </c>
      <c r="CO91" s="83">
        <v>5955</v>
      </c>
      <c r="CP91" s="83">
        <v>5705</v>
      </c>
      <c r="CQ91" s="83">
        <v>5616</v>
      </c>
      <c r="CR91" s="83">
        <v>5395</v>
      </c>
      <c r="CS91" s="83">
        <v>5348</v>
      </c>
      <c r="CT91" s="83">
        <v>5158</v>
      </c>
      <c r="CU91" s="382"/>
    </row>
    <row r="92" spans="1:99" s="86" customFormat="1" x14ac:dyDescent="0.2">
      <c r="A92" s="375">
        <v>188</v>
      </c>
      <c r="B92" s="375">
        <v>37</v>
      </c>
      <c r="C92" s="349" t="s">
        <v>156</v>
      </c>
      <c r="D92" s="376">
        <v>1515</v>
      </c>
      <c r="E92" s="164">
        <f t="shared" si="2"/>
        <v>8654.5499999999993</v>
      </c>
      <c r="F92" s="394">
        <f t="shared" si="3"/>
        <v>30.619619825378361</v>
      </c>
      <c r="G92" s="83">
        <v>968</v>
      </c>
      <c r="H92" s="83">
        <v>957</v>
      </c>
      <c r="I92" s="83">
        <v>939</v>
      </c>
      <c r="J92" s="83">
        <v>958</v>
      </c>
      <c r="K92" s="83">
        <v>950</v>
      </c>
      <c r="L92" s="83">
        <v>948</v>
      </c>
      <c r="M92" s="83">
        <v>956</v>
      </c>
      <c r="N92" s="83">
        <v>952</v>
      </c>
      <c r="O92" s="83">
        <v>943</v>
      </c>
      <c r="P92" s="83">
        <v>960</v>
      </c>
      <c r="Q92" s="83">
        <v>957</v>
      </c>
      <c r="R92" s="83">
        <v>923</v>
      </c>
      <c r="S92" s="83">
        <v>895</v>
      </c>
      <c r="T92" s="83">
        <v>937</v>
      </c>
      <c r="U92" s="83">
        <v>917</v>
      </c>
      <c r="V92" s="83">
        <v>906</v>
      </c>
      <c r="W92" s="83">
        <v>887</v>
      </c>
      <c r="X92" s="83">
        <v>879</v>
      </c>
      <c r="Y92" s="83">
        <v>925</v>
      </c>
      <c r="Z92" s="83">
        <v>859</v>
      </c>
      <c r="AA92" s="83">
        <v>8609</v>
      </c>
      <c r="AB92" s="83">
        <v>8206</v>
      </c>
      <c r="AC92" s="83">
        <v>7812</v>
      </c>
      <c r="AD92" s="83">
        <v>7292</v>
      </c>
      <c r="AE92" s="83">
        <v>6796</v>
      </c>
      <c r="AF92" s="83">
        <v>6382</v>
      </c>
      <c r="AG92" s="83">
        <v>6283</v>
      </c>
      <c r="AH92" s="83">
        <v>5836</v>
      </c>
      <c r="AI92" s="83">
        <v>5587</v>
      </c>
      <c r="AJ92" s="83">
        <v>5247</v>
      </c>
      <c r="AK92" s="83">
        <v>5011</v>
      </c>
      <c r="AL92" s="83">
        <v>4797</v>
      </c>
      <c r="AM92" s="83">
        <v>4500</v>
      </c>
      <c r="AN92" s="83">
        <v>4380</v>
      </c>
      <c r="AO92" s="83">
        <v>4200</v>
      </c>
      <c r="AP92" s="83">
        <v>3929</v>
      </c>
      <c r="AQ92" s="83">
        <v>4095</v>
      </c>
      <c r="AR92" s="83">
        <v>3621</v>
      </c>
      <c r="AS92" s="83">
        <v>3542</v>
      </c>
      <c r="AT92" s="83">
        <v>3415</v>
      </c>
      <c r="AU92" s="83">
        <v>3216</v>
      </c>
      <c r="AV92" s="83">
        <v>3140</v>
      </c>
      <c r="AW92" s="83">
        <v>3077</v>
      </c>
      <c r="AX92" s="83">
        <v>2993</v>
      </c>
      <c r="AY92" s="83">
        <v>2866</v>
      </c>
      <c r="AZ92" s="83">
        <v>2781</v>
      </c>
      <c r="BA92" s="83">
        <v>2597</v>
      </c>
      <c r="BB92" s="83">
        <v>2668</v>
      </c>
      <c r="BC92" s="83">
        <v>2537</v>
      </c>
      <c r="BD92" s="83">
        <v>2507</v>
      </c>
      <c r="BE92" s="83">
        <v>2457</v>
      </c>
      <c r="BF92" s="83">
        <v>2367</v>
      </c>
      <c r="BG92" s="83">
        <v>2320</v>
      </c>
      <c r="BH92" s="83">
        <v>2283</v>
      </c>
      <c r="BI92" s="83">
        <v>2127</v>
      </c>
      <c r="BJ92" s="83">
        <v>2068</v>
      </c>
      <c r="BK92" s="83">
        <v>2111</v>
      </c>
      <c r="BL92" s="83">
        <v>2038</v>
      </c>
      <c r="BM92" s="83">
        <v>2016</v>
      </c>
      <c r="BN92" s="83">
        <v>2020</v>
      </c>
      <c r="BO92" s="83">
        <v>1921</v>
      </c>
      <c r="BP92" s="83">
        <v>1861</v>
      </c>
      <c r="BQ92" s="83">
        <v>1836</v>
      </c>
      <c r="BR92" s="83">
        <v>1799</v>
      </c>
      <c r="BS92" s="83">
        <v>1806</v>
      </c>
      <c r="BT92" s="83">
        <v>1497</v>
      </c>
      <c r="BU92" s="83">
        <v>1735</v>
      </c>
      <c r="BV92" s="83">
        <v>1685</v>
      </c>
      <c r="BW92" s="83">
        <v>1681</v>
      </c>
      <c r="BX92" s="83">
        <v>1624</v>
      </c>
      <c r="BY92" s="83">
        <v>1880</v>
      </c>
      <c r="BZ92" s="83">
        <v>1625</v>
      </c>
      <c r="CA92" s="83">
        <v>1550</v>
      </c>
      <c r="CB92" s="83">
        <v>1548</v>
      </c>
      <c r="CC92" s="83">
        <v>1543</v>
      </c>
      <c r="CD92" s="83">
        <v>1497</v>
      </c>
      <c r="CE92" s="83">
        <v>1466</v>
      </c>
      <c r="CF92" s="83">
        <v>1395</v>
      </c>
      <c r="CG92" s="83">
        <v>13520</v>
      </c>
      <c r="CH92" s="83">
        <v>12142</v>
      </c>
      <c r="CI92" s="83">
        <v>11011</v>
      </c>
      <c r="CJ92" s="83">
        <v>10134</v>
      </c>
      <c r="CK92" s="83">
        <v>9537</v>
      </c>
      <c r="CL92" s="83">
        <v>8822</v>
      </c>
      <c r="CM92" s="83">
        <v>8266</v>
      </c>
      <c r="CN92" s="83">
        <v>8066</v>
      </c>
      <c r="CO92" s="83">
        <v>7759</v>
      </c>
      <c r="CP92" s="83">
        <v>7269</v>
      </c>
      <c r="CQ92" s="83">
        <v>7115</v>
      </c>
      <c r="CR92" s="83">
        <v>6835</v>
      </c>
      <c r="CS92" s="83">
        <v>6613</v>
      </c>
      <c r="CT92" s="83">
        <v>6456</v>
      </c>
      <c r="CU92" s="382"/>
    </row>
    <row r="93" spans="1:99" s="86" customFormat="1" x14ac:dyDescent="0.2">
      <c r="A93" s="375">
        <v>193</v>
      </c>
      <c r="B93" s="375">
        <v>37</v>
      </c>
      <c r="C93" s="349" t="s">
        <v>155</v>
      </c>
      <c r="D93" s="376">
        <v>2021</v>
      </c>
      <c r="E93" s="164">
        <f t="shared" si="2"/>
        <v>11169.75</v>
      </c>
      <c r="F93" s="394">
        <f t="shared" si="3"/>
        <v>34.506397764933176</v>
      </c>
      <c r="G93" s="83">
        <v>1268</v>
      </c>
      <c r="H93" s="83">
        <v>1217</v>
      </c>
      <c r="I93" s="83">
        <v>1211</v>
      </c>
      <c r="J93" s="83">
        <v>1235</v>
      </c>
      <c r="K93" s="83">
        <v>1216</v>
      </c>
      <c r="L93" s="83">
        <v>1224</v>
      </c>
      <c r="M93" s="83">
        <v>1241</v>
      </c>
      <c r="N93" s="83">
        <v>1178</v>
      </c>
      <c r="O93" s="83">
        <v>1167</v>
      </c>
      <c r="P93" s="83">
        <v>1131</v>
      </c>
      <c r="Q93" s="83">
        <v>1195</v>
      </c>
      <c r="R93" s="83">
        <v>1183</v>
      </c>
      <c r="S93" s="83">
        <v>1180</v>
      </c>
      <c r="T93" s="83">
        <v>1173</v>
      </c>
      <c r="U93" s="83">
        <v>1161</v>
      </c>
      <c r="V93" s="83">
        <v>1125</v>
      </c>
      <c r="W93" s="83">
        <v>1098</v>
      </c>
      <c r="X93" s="83">
        <v>1128</v>
      </c>
      <c r="Y93" s="83">
        <v>1153</v>
      </c>
      <c r="Z93" s="83">
        <v>1140</v>
      </c>
      <c r="AA93" s="83">
        <v>10952</v>
      </c>
      <c r="AB93" s="83">
        <v>10188</v>
      </c>
      <c r="AC93" s="83">
        <v>9666</v>
      </c>
      <c r="AD93" s="83">
        <v>9095</v>
      </c>
      <c r="AE93" s="83">
        <v>8656</v>
      </c>
      <c r="AF93" s="83">
        <v>8106</v>
      </c>
      <c r="AG93" s="83">
        <v>7595</v>
      </c>
      <c r="AH93" s="83">
        <v>7206</v>
      </c>
      <c r="AI93" s="83">
        <v>6761</v>
      </c>
      <c r="AJ93" s="83">
        <v>6529</v>
      </c>
      <c r="AK93" s="83">
        <v>5958</v>
      </c>
      <c r="AL93" s="83">
        <v>5734</v>
      </c>
      <c r="AM93" s="83">
        <v>5544</v>
      </c>
      <c r="AN93" s="83">
        <v>5358</v>
      </c>
      <c r="AO93" s="83">
        <v>5027</v>
      </c>
      <c r="AP93" s="83">
        <v>4812</v>
      </c>
      <c r="AQ93" s="83">
        <v>4581</v>
      </c>
      <c r="AR93" s="83">
        <v>4458</v>
      </c>
      <c r="AS93" s="83">
        <v>4195</v>
      </c>
      <c r="AT93" s="83">
        <v>4145</v>
      </c>
      <c r="AU93" s="83">
        <v>3918</v>
      </c>
      <c r="AV93" s="83">
        <v>3844</v>
      </c>
      <c r="AW93" s="83">
        <v>3703</v>
      </c>
      <c r="AX93" s="83">
        <v>3534</v>
      </c>
      <c r="AY93" s="83">
        <v>3503</v>
      </c>
      <c r="AZ93" s="83">
        <v>3306</v>
      </c>
      <c r="BA93" s="83">
        <v>3172</v>
      </c>
      <c r="BB93" s="83">
        <v>3123</v>
      </c>
      <c r="BC93" s="83">
        <v>2979</v>
      </c>
      <c r="BD93" s="83">
        <v>2936</v>
      </c>
      <c r="BE93" s="83">
        <v>2861</v>
      </c>
      <c r="BF93" s="83">
        <v>2725</v>
      </c>
      <c r="BG93" s="83">
        <v>2723</v>
      </c>
      <c r="BH93" s="83">
        <v>2554</v>
      </c>
      <c r="BI93" s="83">
        <v>2617</v>
      </c>
      <c r="BJ93" s="83">
        <v>2515</v>
      </c>
      <c r="BK93" s="83">
        <v>2411</v>
      </c>
      <c r="BL93" s="83">
        <v>2375</v>
      </c>
      <c r="BM93" s="83">
        <v>2347</v>
      </c>
      <c r="BN93" s="83">
        <v>2288</v>
      </c>
      <c r="BO93" s="83">
        <v>2191</v>
      </c>
      <c r="BP93" s="83">
        <v>2205</v>
      </c>
      <c r="BQ93" s="83">
        <v>2125</v>
      </c>
      <c r="BR93" s="83">
        <v>2091</v>
      </c>
      <c r="BS93" s="83">
        <v>2044</v>
      </c>
      <c r="BT93" s="83">
        <v>1982</v>
      </c>
      <c r="BU93" s="83">
        <v>1979</v>
      </c>
      <c r="BV93" s="83">
        <v>1926</v>
      </c>
      <c r="BW93" s="83">
        <v>1862</v>
      </c>
      <c r="BX93" s="83">
        <v>1857</v>
      </c>
      <c r="BY93" s="83">
        <v>1808</v>
      </c>
      <c r="BZ93" s="83">
        <v>1748</v>
      </c>
      <c r="CA93" s="83">
        <v>1754</v>
      </c>
      <c r="CB93" s="83">
        <v>1754</v>
      </c>
      <c r="CC93" s="83">
        <v>1660</v>
      </c>
      <c r="CD93" s="83">
        <v>1715</v>
      </c>
      <c r="CE93" s="83">
        <v>1643</v>
      </c>
      <c r="CF93" s="83">
        <v>1630</v>
      </c>
      <c r="CG93" s="83">
        <v>15121</v>
      </c>
      <c r="CH93" s="83">
        <v>13220</v>
      </c>
      <c r="CI93" s="83">
        <v>11885</v>
      </c>
      <c r="CJ93" s="83">
        <v>10866</v>
      </c>
      <c r="CK93" s="83">
        <v>9872</v>
      </c>
      <c r="CL93" s="83">
        <v>9129</v>
      </c>
      <c r="CM93" s="83">
        <v>8661</v>
      </c>
      <c r="CN93" s="83">
        <v>8164</v>
      </c>
      <c r="CO93" s="83">
        <v>7754</v>
      </c>
      <c r="CP93" s="83">
        <v>7452</v>
      </c>
      <c r="CQ93" s="83">
        <v>7156</v>
      </c>
      <c r="CR93" s="83">
        <v>6840</v>
      </c>
      <c r="CS93" s="83">
        <v>6622</v>
      </c>
      <c r="CT93" s="83">
        <v>6223</v>
      </c>
      <c r="CU93" s="382"/>
    </row>
    <row r="94" spans="1:99" s="86" customFormat="1" x14ac:dyDescent="0.2">
      <c r="A94" s="375">
        <v>197</v>
      </c>
      <c r="B94" s="375">
        <v>37</v>
      </c>
      <c r="C94" s="349" t="s">
        <v>156</v>
      </c>
      <c r="D94" s="376">
        <v>1515</v>
      </c>
      <c r="E94" s="164">
        <f t="shared" si="2"/>
        <v>8941.4</v>
      </c>
      <c r="F94" s="394">
        <f t="shared" si="3"/>
        <v>31.179598632982533</v>
      </c>
      <c r="G94" s="83">
        <v>975</v>
      </c>
      <c r="H94" s="83">
        <v>986</v>
      </c>
      <c r="I94" s="83">
        <v>1022</v>
      </c>
      <c r="J94" s="83">
        <v>1013</v>
      </c>
      <c r="K94" s="83">
        <v>974</v>
      </c>
      <c r="L94" s="83">
        <v>939</v>
      </c>
      <c r="M94" s="83">
        <v>972</v>
      </c>
      <c r="N94" s="83">
        <v>969</v>
      </c>
      <c r="O94" s="83">
        <v>954</v>
      </c>
      <c r="P94" s="83">
        <v>1013</v>
      </c>
      <c r="Q94" s="83">
        <v>975</v>
      </c>
      <c r="R94" s="83">
        <v>974</v>
      </c>
      <c r="S94" s="83">
        <v>975</v>
      </c>
      <c r="T94" s="83">
        <v>968</v>
      </c>
      <c r="U94" s="83">
        <v>924</v>
      </c>
      <c r="V94" s="83">
        <v>953</v>
      </c>
      <c r="W94" s="83">
        <v>923</v>
      </c>
      <c r="X94" s="83">
        <v>941</v>
      </c>
      <c r="Y94" s="83">
        <v>928</v>
      </c>
      <c r="Z94" s="83">
        <v>920</v>
      </c>
      <c r="AA94" s="83">
        <v>9062</v>
      </c>
      <c r="AB94" s="83">
        <v>8467</v>
      </c>
      <c r="AC94" s="83">
        <v>8045</v>
      </c>
      <c r="AD94" s="83">
        <v>7519</v>
      </c>
      <c r="AE94" s="83">
        <v>7103</v>
      </c>
      <c r="AF94" s="83">
        <v>6817</v>
      </c>
      <c r="AG94" s="83">
        <v>6378</v>
      </c>
      <c r="AH94" s="83">
        <v>6103</v>
      </c>
      <c r="AI94" s="83">
        <v>5649</v>
      </c>
      <c r="AJ94" s="83">
        <v>5422</v>
      </c>
      <c r="AK94" s="83">
        <v>5237</v>
      </c>
      <c r="AL94" s="83">
        <v>4943</v>
      </c>
      <c r="AM94" s="83">
        <v>4744</v>
      </c>
      <c r="AN94" s="83">
        <v>4583</v>
      </c>
      <c r="AO94" s="83">
        <v>4248</v>
      </c>
      <c r="AP94" s="83">
        <v>4124</v>
      </c>
      <c r="AQ94" s="83">
        <v>4027</v>
      </c>
      <c r="AR94" s="83">
        <v>3895</v>
      </c>
      <c r="AS94" s="83">
        <v>3656</v>
      </c>
      <c r="AT94" s="83">
        <v>3576</v>
      </c>
      <c r="AU94" s="83">
        <v>3458</v>
      </c>
      <c r="AV94" s="83">
        <v>3318</v>
      </c>
      <c r="AW94" s="83">
        <v>3109</v>
      </c>
      <c r="AX94" s="83">
        <v>3092</v>
      </c>
      <c r="AY94" s="83">
        <v>3048</v>
      </c>
      <c r="AZ94" s="83">
        <v>2967</v>
      </c>
      <c r="BA94" s="83">
        <v>2816</v>
      </c>
      <c r="BB94" s="83">
        <v>2746</v>
      </c>
      <c r="BC94" s="83">
        <v>2681</v>
      </c>
      <c r="BD94" s="83">
        <v>2584</v>
      </c>
      <c r="BE94" s="83">
        <v>2572</v>
      </c>
      <c r="BF94" s="83">
        <v>2488</v>
      </c>
      <c r="BG94" s="83">
        <v>2422</v>
      </c>
      <c r="BH94" s="83">
        <v>2388</v>
      </c>
      <c r="BI94" s="83">
        <v>2319</v>
      </c>
      <c r="BJ94" s="83">
        <v>2253</v>
      </c>
      <c r="BK94" s="83">
        <v>2149</v>
      </c>
      <c r="BL94" s="83">
        <v>2196</v>
      </c>
      <c r="BM94" s="83">
        <v>2086</v>
      </c>
      <c r="BN94" s="83">
        <v>2112</v>
      </c>
      <c r="BO94" s="83">
        <v>1997</v>
      </c>
      <c r="BP94" s="83">
        <v>2006</v>
      </c>
      <c r="BQ94" s="83">
        <v>1976</v>
      </c>
      <c r="BR94" s="83">
        <v>1924</v>
      </c>
      <c r="BS94" s="83">
        <v>1921</v>
      </c>
      <c r="BT94" s="83">
        <v>1869</v>
      </c>
      <c r="BU94" s="83">
        <v>1859</v>
      </c>
      <c r="BV94" s="83">
        <v>1812</v>
      </c>
      <c r="BW94" s="83">
        <v>1757</v>
      </c>
      <c r="BX94" s="83">
        <v>1748</v>
      </c>
      <c r="BY94" s="83">
        <v>1688</v>
      </c>
      <c r="BZ94" s="83">
        <v>1699</v>
      </c>
      <c r="CA94" s="83">
        <v>1624</v>
      </c>
      <c r="CB94" s="83">
        <v>1610</v>
      </c>
      <c r="CC94" s="83">
        <v>1637</v>
      </c>
      <c r="CD94" s="83">
        <v>1596</v>
      </c>
      <c r="CE94" s="83">
        <v>1563</v>
      </c>
      <c r="CF94" s="83">
        <v>1550</v>
      </c>
      <c r="CG94" s="83">
        <v>14424</v>
      </c>
      <c r="CH94" s="83">
        <v>12999</v>
      </c>
      <c r="CI94" s="83">
        <v>11798</v>
      </c>
      <c r="CJ94" s="83">
        <v>10859</v>
      </c>
      <c r="CK94" s="83">
        <v>10231</v>
      </c>
      <c r="CL94" s="83">
        <v>9529</v>
      </c>
      <c r="CM94" s="83">
        <v>9111</v>
      </c>
      <c r="CN94" s="83">
        <v>8658</v>
      </c>
      <c r="CO94" s="83">
        <v>8173</v>
      </c>
      <c r="CP94" s="83">
        <v>7845</v>
      </c>
      <c r="CQ94" s="83">
        <v>7612</v>
      </c>
      <c r="CR94" s="83">
        <v>7292</v>
      </c>
      <c r="CS94" s="83">
        <v>7257</v>
      </c>
      <c r="CT94" s="83">
        <v>6895</v>
      </c>
      <c r="CU94" s="382"/>
    </row>
    <row r="95" spans="1:99" s="86" customFormat="1" x14ac:dyDescent="0.2">
      <c r="A95" s="375">
        <v>202</v>
      </c>
      <c r="B95" s="375">
        <v>37</v>
      </c>
      <c r="C95" s="349" t="s">
        <v>155</v>
      </c>
      <c r="D95" s="376">
        <v>4167</v>
      </c>
      <c r="E95" s="164">
        <f t="shared" si="2"/>
        <v>20992.400000000001</v>
      </c>
      <c r="F95" s="394">
        <f t="shared" si="3"/>
        <v>47.041524900995064</v>
      </c>
      <c r="G95" s="83">
        <v>2327</v>
      </c>
      <c r="H95" s="83">
        <v>2309</v>
      </c>
      <c r="I95" s="83">
        <v>2277</v>
      </c>
      <c r="J95" s="83">
        <v>2291</v>
      </c>
      <c r="K95" s="83">
        <v>2266</v>
      </c>
      <c r="L95" s="83">
        <v>2194</v>
      </c>
      <c r="M95" s="83">
        <v>2194</v>
      </c>
      <c r="N95" s="83">
        <v>2237</v>
      </c>
      <c r="O95" s="83">
        <v>2229</v>
      </c>
      <c r="P95" s="83">
        <v>2208</v>
      </c>
      <c r="Q95" s="83">
        <v>2219</v>
      </c>
      <c r="R95" s="83">
        <v>2207</v>
      </c>
      <c r="S95" s="83">
        <v>2143</v>
      </c>
      <c r="T95" s="83">
        <v>2132</v>
      </c>
      <c r="U95" s="83">
        <v>2124</v>
      </c>
      <c r="V95" s="83">
        <v>2125</v>
      </c>
      <c r="W95" s="83">
        <v>2124</v>
      </c>
      <c r="X95" s="83">
        <v>2082</v>
      </c>
      <c r="Y95" s="83">
        <v>2177</v>
      </c>
      <c r="Z95" s="83">
        <v>2077</v>
      </c>
      <c r="AA95" s="83">
        <v>20465</v>
      </c>
      <c r="AB95" s="83">
        <v>19287</v>
      </c>
      <c r="AC95" s="83">
        <v>18040</v>
      </c>
      <c r="AD95" s="83">
        <v>17002</v>
      </c>
      <c r="AE95" s="83">
        <v>16024</v>
      </c>
      <c r="AF95" s="83">
        <v>15011</v>
      </c>
      <c r="AG95" s="83">
        <v>14227</v>
      </c>
      <c r="AH95" s="83">
        <v>13379</v>
      </c>
      <c r="AI95" s="83">
        <v>12644</v>
      </c>
      <c r="AJ95" s="83">
        <v>11957</v>
      </c>
      <c r="AK95" s="83">
        <v>11438</v>
      </c>
      <c r="AL95" s="83">
        <v>10746</v>
      </c>
      <c r="AM95" s="83">
        <v>10205</v>
      </c>
      <c r="AN95" s="83">
        <v>9701</v>
      </c>
      <c r="AO95" s="83">
        <v>9347</v>
      </c>
      <c r="AP95" s="83">
        <v>8898</v>
      </c>
      <c r="AQ95" s="83">
        <v>8437</v>
      </c>
      <c r="AR95" s="83">
        <v>8081</v>
      </c>
      <c r="AS95" s="83">
        <v>7874</v>
      </c>
      <c r="AT95" s="83">
        <v>7510</v>
      </c>
      <c r="AU95" s="83">
        <v>7188</v>
      </c>
      <c r="AV95" s="83">
        <v>6813</v>
      </c>
      <c r="AW95" s="83">
        <v>6646</v>
      </c>
      <c r="AX95" s="83">
        <v>6340</v>
      </c>
      <c r="AY95" s="83">
        <v>6264</v>
      </c>
      <c r="AZ95" s="83">
        <v>6008</v>
      </c>
      <c r="BA95" s="83">
        <v>5833</v>
      </c>
      <c r="BB95" s="83">
        <v>5640</v>
      </c>
      <c r="BC95" s="83">
        <v>5497</v>
      </c>
      <c r="BD95" s="83">
        <v>5274</v>
      </c>
      <c r="BE95" s="83">
        <v>4996</v>
      </c>
      <c r="BF95" s="83">
        <v>4996</v>
      </c>
      <c r="BG95" s="83">
        <v>4851</v>
      </c>
      <c r="BH95" s="83">
        <v>4687</v>
      </c>
      <c r="BI95" s="83">
        <v>4540</v>
      </c>
      <c r="BJ95" s="83">
        <v>4470</v>
      </c>
      <c r="BK95" s="83">
        <v>4326</v>
      </c>
      <c r="BL95" s="83">
        <v>4237</v>
      </c>
      <c r="BM95" s="83">
        <v>4081</v>
      </c>
      <c r="BN95" s="83">
        <v>4021</v>
      </c>
      <c r="BO95" s="83">
        <v>3928</v>
      </c>
      <c r="BP95" s="83">
        <v>3845</v>
      </c>
      <c r="BQ95" s="83">
        <v>3753</v>
      </c>
      <c r="BR95" s="83">
        <v>3727</v>
      </c>
      <c r="BS95" s="83">
        <v>3595</v>
      </c>
      <c r="BT95" s="83">
        <v>3512</v>
      </c>
      <c r="BU95" s="83">
        <v>3517</v>
      </c>
      <c r="BV95" s="83">
        <v>3312</v>
      </c>
      <c r="BW95" s="83">
        <v>3287</v>
      </c>
      <c r="BX95" s="83">
        <v>3291</v>
      </c>
      <c r="BY95" s="83">
        <v>3123</v>
      </c>
      <c r="BZ95" s="83">
        <v>3084</v>
      </c>
      <c r="CA95" s="83">
        <v>3089</v>
      </c>
      <c r="CB95" s="83">
        <v>3009</v>
      </c>
      <c r="CC95" s="83">
        <v>2933</v>
      </c>
      <c r="CD95" s="83">
        <v>2997</v>
      </c>
      <c r="CE95" s="83">
        <v>2870</v>
      </c>
      <c r="CF95" s="83">
        <v>2811</v>
      </c>
      <c r="CG95" s="83">
        <v>25708</v>
      </c>
      <c r="CH95" s="83">
        <v>22364</v>
      </c>
      <c r="CI95" s="83">
        <v>19693</v>
      </c>
      <c r="CJ95" s="83">
        <v>17799</v>
      </c>
      <c r="CK95" s="83">
        <v>16194</v>
      </c>
      <c r="CL95" s="83">
        <v>14866</v>
      </c>
      <c r="CM95" s="83">
        <v>13843</v>
      </c>
      <c r="CN95" s="83">
        <v>13068</v>
      </c>
      <c r="CO95" s="83">
        <v>12183</v>
      </c>
      <c r="CP95" s="83">
        <v>11567</v>
      </c>
      <c r="CQ95" s="83">
        <v>11005</v>
      </c>
      <c r="CR95" s="83">
        <v>10462</v>
      </c>
      <c r="CS95" s="83">
        <v>9993</v>
      </c>
      <c r="CT95" s="83">
        <v>9579</v>
      </c>
      <c r="CU95" s="382"/>
    </row>
    <row r="96" spans="1:99" s="86" customFormat="1" x14ac:dyDescent="0.2">
      <c r="A96" s="375">
        <v>206</v>
      </c>
      <c r="B96" s="375">
        <v>37</v>
      </c>
      <c r="C96" s="349" t="s">
        <v>156</v>
      </c>
      <c r="D96" s="376">
        <v>1515</v>
      </c>
      <c r="E96" s="164">
        <f t="shared" si="2"/>
        <v>9365.6</v>
      </c>
      <c r="F96" s="394">
        <f t="shared" si="3"/>
        <v>32.082682344225802</v>
      </c>
      <c r="G96" s="83">
        <v>1044</v>
      </c>
      <c r="H96" s="83">
        <v>1028</v>
      </c>
      <c r="I96" s="83">
        <v>1052</v>
      </c>
      <c r="J96" s="83">
        <v>1048</v>
      </c>
      <c r="K96" s="83">
        <v>1083</v>
      </c>
      <c r="L96" s="83">
        <v>1063</v>
      </c>
      <c r="M96" s="83">
        <v>1034</v>
      </c>
      <c r="N96" s="83">
        <v>1021</v>
      </c>
      <c r="O96" s="83">
        <v>980</v>
      </c>
      <c r="P96" s="83">
        <v>1006</v>
      </c>
      <c r="Q96" s="83">
        <v>1043</v>
      </c>
      <c r="R96" s="83">
        <v>1025</v>
      </c>
      <c r="S96" s="83">
        <v>1017</v>
      </c>
      <c r="T96" s="83">
        <v>1021</v>
      </c>
      <c r="U96" s="83">
        <v>993</v>
      </c>
      <c r="V96" s="83">
        <v>1036</v>
      </c>
      <c r="W96" s="83">
        <v>962</v>
      </c>
      <c r="X96" s="83">
        <v>1018</v>
      </c>
      <c r="Y96" s="83">
        <v>952</v>
      </c>
      <c r="Z96" s="83">
        <v>976</v>
      </c>
      <c r="AA96" s="83">
        <v>9499</v>
      </c>
      <c r="AB96" s="83">
        <v>8992</v>
      </c>
      <c r="AC96" s="83">
        <v>8301</v>
      </c>
      <c r="AD96" s="83">
        <v>7960</v>
      </c>
      <c r="AE96" s="83">
        <v>7599</v>
      </c>
      <c r="AF96" s="83">
        <v>7117</v>
      </c>
      <c r="AG96" s="83">
        <v>6739</v>
      </c>
      <c r="AH96" s="83">
        <v>6438</v>
      </c>
      <c r="AI96" s="83">
        <v>6370</v>
      </c>
      <c r="AJ96" s="83">
        <v>5837</v>
      </c>
      <c r="AK96" s="83">
        <v>5488</v>
      </c>
      <c r="AL96" s="83">
        <v>5376</v>
      </c>
      <c r="AM96" s="83">
        <v>5038</v>
      </c>
      <c r="AN96" s="83">
        <v>4878</v>
      </c>
      <c r="AO96" s="83">
        <v>4589</v>
      </c>
      <c r="AP96" s="83">
        <v>4426</v>
      </c>
      <c r="AQ96" s="83">
        <v>4346</v>
      </c>
      <c r="AR96" s="83">
        <v>4227</v>
      </c>
      <c r="AS96" s="83">
        <v>4067</v>
      </c>
      <c r="AT96" s="83">
        <v>3888</v>
      </c>
      <c r="AU96" s="83">
        <v>3741</v>
      </c>
      <c r="AV96" s="83">
        <v>3645</v>
      </c>
      <c r="AW96" s="83">
        <v>3526</v>
      </c>
      <c r="AX96" s="83">
        <v>3478</v>
      </c>
      <c r="AY96" s="83">
        <v>3357</v>
      </c>
      <c r="AZ96" s="83">
        <v>3067</v>
      </c>
      <c r="BA96" s="83">
        <v>3206</v>
      </c>
      <c r="BB96" s="83">
        <v>3039</v>
      </c>
      <c r="BC96" s="83">
        <v>2949</v>
      </c>
      <c r="BD96" s="83">
        <v>2930</v>
      </c>
      <c r="BE96" s="83">
        <v>2867</v>
      </c>
      <c r="BF96" s="83">
        <v>2824</v>
      </c>
      <c r="BG96" s="83">
        <v>2677</v>
      </c>
      <c r="BH96" s="83">
        <v>2586</v>
      </c>
      <c r="BI96" s="83">
        <v>2608</v>
      </c>
      <c r="BJ96" s="83">
        <v>2488</v>
      </c>
      <c r="BK96" s="83">
        <v>2397</v>
      </c>
      <c r="BL96" s="83">
        <v>2450</v>
      </c>
      <c r="BM96" s="83">
        <v>2326</v>
      </c>
      <c r="BN96" s="83">
        <v>2318</v>
      </c>
      <c r="BO96" s="83">
        <v>2259</v>
      </c>
      <c r="BP96" s="83">
        <v>2286</v>
      </c>
      <c r="BQ96" s="83">
        <v>2267</v>
      </c>
      <c r="BR96" s="83">
        <v>2217</v>
      </c>
      <c r="BS96" s="83">
        <v>2177</v>
      </c>
      <c r="BT96" s="83">
        <v>2175</v>
      </c>
      <c r="BU96" s="83">
        <v>2085</v>
      </c>
      <c r="BV96" s="83">
        <v>1993</v>
      </c>
      <c r="BW96" s="83">
        <v>2018</v>
      </c>
      <c r="BX96" s="83">
        <v>2006</v>
      </c>
      <c r="BY96" s="83">
        <v>1925</v>
      </c>
      <c r="BZ96" s="83">
        <v>1922</v>
      </c>
      <c r="CA96" s="83">
        <v>1880</v>
      </c>
      <c r="CB96" s="83">
        <v>1888</v>
      </c>
      <c r="CC96" s="83">
        <v>1821</v>
      </c>
      <c r="CD96" s="83">
        <v>1862</v>
      </c>
      <c r="CE96" s="83">
        <v>1794</v>
      </c>
      <c r="CF96" s="83">
        <v>1807</v>
      </c>
      <c r="CG96" s="83">
        <v>16672</v>
      </c>
      <c r="CH96" s="83">
        <v>14928</v>
      </c>
      <c r="CI96" s="83">
        <v>13794</v>
      </c>
      <c r="CJ96" s="83">
        <v>12869</v>
      </c>
      <c r="CK96" s="83">
        <v>11863</v>
      </c>
      <c r="CL96" s="83">
        <v>11358</v>
      </c>
      <c r="CM96" s="83">
        <v>10832</v>
      </c>
      <c r="CN96" s="83">
        <v>10143</v>
      </c>
      <c r="CO96" s="83">
        <v>9727</v>
      </c>
      <c r="CP96" s="83">
        <v>9399</v>
      </c>
      <c r="CQ96" s="83">
        <v>9086</v>
      </c>
      <c r="CR96" s="83">
        <v>8780</v>
      </c>
      <c r="CS96" s="83">
        <v>8415</v>
      </c>
      <c r="CT96" s="83">
        <v>8293</v>
      </c>
      <c r="CU96" s="382"/>
    </row>
    <row r="97" spans="1:99" s="86" customFormat="1" x14ac:dyDescent="0.2">
      <c r="A97" s="375">
        <v>211</v>
      </c>
      <c r="B97" s="375">
        <v>37</v>
      </c>
      <c r="C97" s="349" t="s">
        <v>155</v>
      </c>
      <c r="D97" s="376">
        <v>0</v>
      </c>
      <c r="E97" s="164">
        <f t="shared" si="2"/>
        <v>88.449999999999989</v>
      </c>
      <c r="F97" s="394">
        <f t="shared" si="3"/>
        <v>6.2632731322750059</v>
      </c>
      <c r="G97" s="83">
        <v>37</v>
      </c>
      <c r="H97" s="83">
        <v>43</v>
      </c>
      <c r="I97" s="83">
        <v>38</v>
      </c>
      <c r="J97" s="83">
        <v>30</v>
      </c>
      <c r="K97" s="83">
        <v>43</v>
      </c>
      <c r="L97" s="83">
        <v>41</v>
      </c>
      <c r="M97" s="83">
        <v>38</v>
      </c>
      <c r="N97" s="83">
        <v>37</v>
      </c>
      <c r="O97" s="83">
        <v>42</v>
      </c>
      <c r="P97" s="83">
        <v>41</v>
      </c>
      <c r="Q97" s="83">
        <v>41</v>
      </c>
      <c r="R97" s="83">
        <v>37</v>
      </c>
      <c r="S97" s="83">
        <v>36</v>
      </c>
      <c r="T97" s="83">
        <v>36</v>
      </c>
      <c r="U97" s="83">
        <v>39</v>
      </c>
      <c r="V97" s="83">
        <v>39</v>
      </c>
      <c r="W97" s="83">
        <v>38</v>
      </c>
      <c r="X97" s="83">
        <v>35</v>
      </c>
      <c r="Y97" s="83">
        <v>37</v>
      </c>
      <c r="Z97" s="83">
        <v>38</v>
      </c>
      <c r="AA97" s="83">
        <v>402</v>
      </c>
      <c r="AB97" s="83">
        <v>405</v>
      </c>
      <c r="AC97" s="83">
        <v>426</v>
      </c>
      <c r="AD97" s="83">
        <v>426</v>
      </c>
      <c r="AE97" s="83">
        <v>424</v>
      </c>
      <c r="AF97" s="83">
        <v>443</v>
      </c>
      <c r="AG97" s="83">
        <v>428</v>
      </c>
      <c r="AH97" s="83">
        <v>408</v>
      </c>
      <c r="AI97" s="83">
        <v>370</v>
      </c>
      <c r="AJ97" s="83">
        <v>413</v>
      </c>
      <c r="AK97" s="83">
        <v>412</v>
      </c>
      <c r="AL97" s="83">
        <v>397</v>
      </c>
      <c r="AM97" s="83">
        <v>368</v>
      </c>
      <c r="AN97" s="83">
        <v>398</v>
      </c>
      <c r="AO97" s="83">
        <v>398</v>
      </c>
      <c r="AP97" s="83">
        <v>398</v>
      </c>
      <c r="AQ97" s="83">
        <v>352</v>
      </c>
      <c r="AR97" s="83">
        <v>377</v>
      </c>
      <c r="AS97" s="83">
        <v>349</v>
      </c>
      <c r="AT97" s="83">
        <v>378</v>
      </c>
      <c r="AU97" s="83">
        <v>393</v>
      </c>
      <c r="AV97" s="83">
        <v>400</v>
      </c>
      <c r="AW97" s="83">
        <v>379</v>
      </c>
      <c r="AX97" s="83">
        <v>377</v>
      </c>
      <c r="AY97" s="83">
        <v>372</v>
      </c>
      <c r="AZ97" s="83">
        <v>354</v>
      </c>
      <c r="BA97" s="83">
        <v>370</v>
      </c>
      <c r="BB97" s="83">
        <v>355</v>
      </c>
      <c r="BC97" s="83">
        <v>358</v>
      </c>
      <c r="BD97" s="83">
        <v>348</v>
      </c>
      <c r="BE97" s="83">
        <v>332</v>
      </c>
      <c r="BF97" s="83">
        <v>345</v>
      </c>
      <c r="BG97" s="83">
        <v>355</v>
      </c>
      <c r="BH97" s="83">
        <v>362</v>
      </c>
      <c r="BI97" s="83">
        <v>348</v>
      </c>
      <c r="BJ97" s="83">
        <v>354</v>
      </c>
      <c r="BK97" s="83">
        <v>361</v>
      </c>
      <c r="BL97" s="83">
        <v>365</v>
      </c>
      <c r="BM97" s="83">
        <v>329</v>
      </c>
      <c r="BN97" s="83">
        <v>327</v>
      </c>
      <c r="BO97" s="83">
        <v>335</v>
      </c>
      <c r="BP97" s="83">
        <v>310</v>
      </c>
      <c r="BQ97" s="83">
        <v>339</v>
      </c>
      <c r="BR97" s="83">
        <v>328</v>
      </c>
      <c r="BS97" s="83">
        <v>333</v>
      </c>
      <c r="BT97" s="83">
        <v>363</v>
      </c>
      <c r="BU97" s="83">
        <v>355</v>
      </c>
      <c r="BV97" s="83">
        <v>343</v>
      </c>
      <c r="BW97" s="83">
        <v>324</v>
      </c>
      <c r="BX97" s="83">
        <v>324</v>
      </c>
      <c r="BY97" s="83">
        <v>352</v>
      </c>
      <c r="BZ97" s="83">
        <v>347</v>
      </c>
      <c r="CA97" s="83">
        <v>331</v>
      </c>
      <c r="CB97" s="83">
        <v>341</v>
      </c>
      <c r="CC97" s="83">
        <v>329</v>
      </c>
      <c r="CD97" s="83">
        <v>341</v>
      </c>
      <c r="CE97" s="83">
        <v>330</v>
      </c>
      <c r="CF97" s="83">
        <v>358</v>
      </c>
      <c r="CG97" s="83">
        <v>3314</v>
      </c>
      <c r="CH97" s="83">
        <v>3258</v>
      </c>
      <c r="CI97" s="83">
        <v>3193</v>
      </c>
      <c r="CJ97" s="83">
        <v>3113</v>
      </c>
      <c r="CK97" s="83">
        <v>3149</v>
      </c>
      <c r="CL97" s="83">
        <v>3079</v>
      </c>
      <c r="CM97" s="83">
        <v>3032</v>
      </c>
      <c r="CN97" s="83">
        <v>2977</v>
      </c>
      <c r="CO97" s="83">
        <v>2975</v>
      </c>
      <c r="CP97" s="83">
        <v>3010</v>
      </c>
      <c r="CQ97" s="83">
        <v>2951</v>
      </c>
      <c r="CR97" s="83">
        <v>2899</v>
      </c>
      <c r="CS97" s="83">
        <v>2980</v>
      </c>
      <c r="CT97" s="83">
        <v>2911</v>
      </c>
      <c r="CU97" s="382"/>
    </row>
    <row r="98" spans="1:99" s="86" customFormat="1" x14ac:dyDescent="0.2">
      <c r="A98" s="375">
        <v>215</v>
      </c>
      <c r="B98" s="375">
        <v>37</v>
      </c>
      <c r="C98" s="349" t="s">
        <v>156</v>
      </c>
      <c r="D98" s="376">
        <v>1515</v>
      </c>
      <c r="E98" s="164">
        <f t="shared" si="2"/>
        <v>8709</v>
      </c>
      <c r="F98" s="394">
        <f t="shared" si="3"/>
        <v>30.541599353224104</v>
      </c>
      <c r="G98" s="83">
        <v>951</v>
      </c>
      <c r="H98" s="83">
        <v>937</v>
      </c>
      <c r="I98" s="83">
        <v>978</v>
      </c>
      <c r="J98" s="83">
        <v>956</v>
      </c>
      <c r="K98" s="83">
        <v>984</v>
      </c>
      <c r="L98" s="83">
        <v>977</v>
      </c>
      <c r="M98" s="83">
        <v>946</v>
      </c>
      <c r="N98" s="83">
        <v>950</v>
      </c>
      <c r="O98" s="83">
        <v>909</v>
      </c>
      <c r="P98" s="83">
        <v>935</v>
      </c>
      <c r="Q98" s="83">
        <v>954</v>
      </c>
      <c r="R98" s="83">
        <v>958</v>
      </c>
      <c r="S98" s="83">
        <v>900</v>
      </c>
      <c r="T98" s="83">
        <v>877</v>
      </c>
      <c r="U98" s="83">
        <v>899</v>
      </c>
      <c r="V98" s="83">
        <v>897</v>
      </c>
      <c r="W98" s="83">
        <v>890</v>
      </c>
      <c r="X98" s="83">
        <v>878</v>
      </c>
      <c r="Y98" s="83">
        <v>883</v>
      </c>
      <c r="Z98" s="83">
        <v>880</v>
      </c>
      <c r="AA98" s="83">
        <v>8539</v>
      </c>
      <c r="AB98" s="83">
        <v>8096</v>
      </c>
      <c r="AC98" s="83">
        <v>7686</v>
      </c>
      <c r="AD98" s="83">
        <v>7252</v>
      </c>
      <c r="AE98" s="83">
        <v>6800</v>
      </c>
      <c r="AF98" s="83">
        <v>6309</v>
      </c>
      <c r="AG98" s="83">
        <v>5918</v>
      </c>
      <c r="AH98" s="83">
        <v>5713</v>
      </c>
      <c r="AI98" s="83">
        <v>5349</v>
      </c>
      <c r="AJ98" s="83">
        <v>5091</v>
      </c>
      <c r="AK98" s="83">
        <v>4890</v>
      </c>
      <c r="AL98" s="83">
        <v>4719</v>
      </c>
      <c r="AM98" s="83">
        <v>4353</v>
      </c>
      <c r="AN98" s="83">
        <v>4225</v>
      </c>
      <c r="AO98" s="83">
        <v>3970</v>
      </c>
      <c r="AP98" s="83">
        <v>3829</v>
      </c>
      <c r="AQ98" s="83">
        <v>3641</v>
      </c>
      <c r="AR98" s="83">
        <v>3526</v>
      </c>
      <c r="AS98" s="83">
        <v>3443</v>
      </c>
      <c r="AT98" s="83">
        <v>3200</v>
      </c>
      <c r="AU98" s="83">
        <v>3142</v>
      </c>
      <c r="AV98" s="83">
        <v>3067</v>
      </c>
      <c r="AW98" s="83">
        <v>2931</v>
      </c>
      <c r="AX98" s="83">
        <v>2843</v>
      </c>
      <c r="AY98" s="83">
        <v>2708</v>
      </c>
      <c r="AZ98" s="83">
        <v>2667</v>
      </c>
      <c r="BA98" s="83">
        <v>2544</v>
      </c>
      <c r="BB98" s="83">
        <v>2499</v>
      </c>
      <c r="BC98" s="83">
        <v>2489</v>
      </c>
      <c r="BD98" s="83">
        <v>2373</v>
      </c>
      <c r="BE98" s="83">
        <v>2277</v>
      </c>
      <c r="BF98" s="83">
        <v>2148</v>
      </c>
      <c r="BG98" s="83">
        <v>2150</v>
      </c>
      <c r="BH98" s="83">
        <v>2144</v>
      </c>
      <c r="BI98" s="83">
        <v>2065</v>
      </c>
      <c r="BJ98" s="83">
        <v>2023</v>
      </c>
      <c r="BK98" s="83">
        <v>1968</v>
      </c>
      <c r="BL98" s="83">
        <v>1880</v>
      </c>
      <c r="BM98" s="83">
        <v>1868</v>
      </c>
      <c r="BN98" s="83">
        <v>1756</v>
      </c>
      <c r="BO98" s="83">
        <v>1772</v>
      </c>
      <c r="BP98" s="83">
        <v>1757</v>
      </c>
      <c r="BQ98" s="83">
        <v>1788</v>
      </c>
      <c r="BR98" s="83">
        <v>1675</v>
      </c>
      <c r="BS98" s="83">
        <v>1624</v>
      </c>
      <c r="BT98" s="83">
        <v>1599</v>
      </c>
      <c r="BU98" s="83">
        <v>1565</v>
      </c>
      <c r="BV98" s="83">
        <v>1585</v>
      </c>
      <c r="BW98" s="83">
        <v>1552</v>
      </c>
      <c r="BX98" s="83">
        <v>1551</v>
      </c>
      <c r="BY98" s="83">
        <v>1461</v>
      </c>
      <c r="BZ98" s="83">
        <v>1418</v>
      </c>
      <c r="CA98" s="83">
        <v>1441</v>
      </c>
      <c r="CB98" s="83">
        <v>1396</v>
      </c>
      <c r="CC98" s="83">
        <v>1361</v>
      </c>
      <c r="CD98" s="83">
        <v>1381</v>
      </c>
      <c r="CE98" s="83">
        <v>1311</v>
      </c>
      <c r="CF98" s="83">
        <v>1301</v>
      </c>
      <c r="CG98" s="83">
        <v>12102</v>
      </c>
      <c r="CH98" s="83">
        <v>10674</v>
      </c>
      <c r="CI98" s="83">
        <v>9948</v>
      </c>
      <c r="CJ98" s="83">
        <v>8908</v>
      </c>
      <c r="CK98" s="83">
        <v>8257</v>
      </c>
      <c r="CL98" s="83">
        <v>7873</v>
      </c>
      <c r="CM98" s="83">
        <v>7353</v>
      </c>
      <c r="CN98" s="83">
        <v>6936</v>
      </c>
      <c r="CO98" s="83">
        <v>6663</v>
      </c>
      <c r="CP98" s="83">
        <v>6303</v>
      </c>
      <c r="CQ98" s="83">
        <v>5945</v>
      </c>
      <c r="CR98" s="83">
        <v>5854</v>
      </c>
      <c r="CS98" s="83">
        <v>5666</v>
      </c>
      <c r="CT98" s="83">
        <v>5544</v>
      </c>
      <c r="CU98" s="382"/>
    </row>
    <row r="99" spans="1:99" s="86" customFormat="1" x14ac:dyDescent="0.2">
      <c r="A99" s="375">
        <v>220</v>
      </c>
      <c r="B99" s="375">
        <v>37</v>
      </c>
      <c r="C99" s="349" t="s">
        <v>155</v>
      </c>
      <c r="D99" s="376">
        <v>1010</v>
      </c>
      <c r="E99" s="164">
        <f t="shared" si="2"/>
        <v>5893</v>
      </c>
      <c r="F99" s="394">
        <f t="shared" si="3"/>
        <v>25.257898363605797</v>
      </c>
      <c r="G99" s="83">
        <v>662</v>
      </c>
      <c r="H99" s="83">
        <v>685</v>
      </c>
      <c r="I99" s="83">
        <v>668</v>
      </c>
      <c r="J99" s="83">
        <v>622</v>
      </c>
      <c r="K99" s="83">
        <v>668</v>
      </c>
      <c r="L99" s="83">
        <v>665</v>
      </c>
      <c r="M99" s="83">
        <v>628</v>
      </c>
      <c r="N99" s="83">
        <v>683</v>
      </c>
      <c r="O99" s="83">
        <v>624</v>
      </c>
      <c r="P99" s="83">
        <v>619</v>
      </c>
      <c r="Q99" s="83">
        <v>642</v>
      </c>
      <c r="R99" s="83">
        <v>612</v>
      </c>
      <c r="S99" s="83">
        <v>622</v>
      </c>
      <c r="T99" s="83">
        <v>637</v>
      </c>
      <c r="U99" s="83">
        <v>617</v>
      </c>
      <c r="V99" s="83">
        <v>595</v>
      </c>
      <c r="W99" s="83">
        <v>628</v>
      </c>
      <c r="X99" s="83">
        <v>586</v>
      </c>
      <c r="Y99" s="83">
        <v>585</v>
      </c>
      <c r="Z99" s="83">
        <v>607</v>
      </c>
      <c r="AA99" s="83">
        <v>5855</v>
      </c>
      <c r="AB99" s="83">
        <v>5506</v>
      </c>
      <c r="AC99" s="83">
        <v>5224</v>
      </c>
      <c r="AD99" s="83">
        <v>4990</v>
      </c>
      <c r="AE99" s="83">
        <v>4555</v>
      </c>
      <c r="AF99" s="83">
        <v>4425</v>
      </c>
      <c r="AG99" s="83">
        <v>4124</v>
      </c>
      <c r="AH99" s="83">
        <v>3953</v>
      </c>
      <c r="AI99" s="83">
        <v>3717</v>
      </c>
      <c r="AJ99" s="83">
        <v>3523</v>
      </c>
      <c r="AK99" s="83">
        <v>3481</v>
      </c>
      <c r="AL99" s="83">
        <v>3308</v>
      </c>
      <c r="AM99" s="83">
        <v>3095</v>
      </c>
      <c r="AN99" s="83">
        <v>2994</v>
      </c>
      <c r="AO99" s="83">
        <v>2792</v>
      </c>
      <c r="AP99" s="83">
        <v>2643</v>
      </c>
      <c r="AQ99" s="83">
        <v>2564</v>
      </c>
      <c r="AR99" s="83">
        <v>2455</v>
      </c>
      <c r="AS99" s="83">
        <v>2341</v>
      </c>
      <c r="AT99" s="83">
        <v>2313</v>
      </c>
      <c r="AU99" s="83">
        <v>2161</v>
      </c>
      <c r="AV99" s="83">
        <v>2147</v>
      </c>
      <c r="AW99" s="83">
        <v>2085</v>
      </c>
      <c r="AX99" s="83">
        <v>1991</v>
      </c>
      <c r="AY99" s="83">
        <v>1961</v>
      </c>
      <c r="AZ99" s="83">
        <v>1822</v>
      </c>
      <c r="BA99" s="83">
        <v>1819</v>
      </c>
      <c r="BB99" s="83">
        <v>1742</v>
      </c>
      <c r="BC99" s="83">
        <v>1737</v>
      </c>
      <c r="BD99" s="83">
        <v>1685</v>
      </c>
      <c r="BE99" s="83">
        <v>1587</v>
      </c>
      <c r="BF99" s="83">
        <v>1579</v>
      </c>
      <c r="BG99" s="83">
        <v>1498</v>
      </c>
      <c r="BH99" s="83">
        <v>1514</v>
      </c>
      <c r="BI99" s="83">
        <v>1422</v>
      </c>
      <c r="BJ99" s="83">
        <v>1391</v>
      </c>
      <c r="BK99" s="83">
        <v>1418</v>
      </c>
      <c r="BL99" s="83">
        <v>1377</v>
      </c>
      <c r="BM99" s="83">
        <v>1329</v>
      </c>
      <c r="BN99" s="83">
        <v>1276</v>
      </c>
      <c r="BO99" s="83">
        <v>1267</v>
      </c>
      <c r="BP99" s="83">
        <v>1249</v>
      </c>
      <c r="BQ99" s="83">
        <v>1229</v>
      </c>
      <c r="BR99" s="83">
        <v>1192</v>
      </c>
      <c r="BS99" s="83">
        <v>1203</v>
      </c>
      <c r="BT99" s="83">
        <v>1154</v>
      </c>
      <c r="BU99" s="83">
        <v>1125</v>
      </c>
      <c r="BV99" s="83">
        <v>1122</v>
      </c>
      <c r="BW99" s="83">
        <v>1085</v>
      </c>
      <c r="BX99" s="83">
        <v>1067</v>
      </c>
      <c r="BY99" s="83">
        <v>1043</v>
      </c>
      <c r="BZ99" s="83">
        <v>1000</v>
      </c>
      <c r="CA99" s="83">
        <v>1064</v>
      </c>
      <c r="CB99" s="83">
        <v>1012</v>
      </c>
      <c r="CC99" s="83">
        <v>968</v>
      </c>
      <c r="CD99" s="83">
        <v>985</v>
      </c>
      <c r="CE99" s="83">
        <v>970</v>
      </c>
      <c r="CF99" s="83">
        <v>989</v>
      </c>
      <c r="CG99" s="83">
        <v>9047</v>
      </c>
      <c r="CH99" s="83">
        <v>8025</v>
      </c>
      <c r="CI99" s="83">
        <v>7256</v>
      </c>
      <c r="CJ99" s="83">
        <v>6625</v>
      </c>
      <c r="CK99" s="83">
        <v>6215</v>
      </c>
      <c r="CL99" s="83">
        <v>5817</v>
      </c>
      <c r="CM99" s="83">
        <v>5510</v>
      </c>
      <c r="CN99" s="83">
        <v>5384</v>
      </c>
      <c r="CO99" s="83">
        <v>5100</v>
      </c>
      <c r="CP99" s="83">
        <v>4896</v>
      </c>
      <c r="CQ99" s="83">
        <v>4809</v>
      </c>
      <c r="CR99" s="83">
        <v>4545</v>
      </c>
      <c r="CS99" s="83">
        <v>4408</v>
      </c>
      <c r="CT99" s="83">
        <v>4282</v>
      </c>
      <c r="CU99" s="382"/>
    </row>
    <row r="100" spans="1:99" s="86" customFormat="1" x14ac:dyDescent="0.2">
      <c r="A100" s="375">
        <v>224</v>
      </c>
      <c r="B100" s="375">
        <v>37</v>
      </c>
      <c r="C100" s="349" t="s">
        <v>156</v>
      </c>
      <c r="D100" s="376">
        <v>1515</v>
      </c>
      <c r="E100" s="381">
        <f t="shared" si="2"/>
        <v>8681.65</v>
      </c>
      <c r="F100" s="395">
        <f t="shared" si="3"/>
        <v>30.571999883938403</v>
      </c>
      <c r="G100" s="83">
        <v>944</v>
      </c>
      <c r="H100" s="83">
        <v>968</v>
      </c>
      <c r="I100" s="83">
        <v>973</v>
      </c>
      <c r="J100" s="83">
        <v>927</v>
      </c>
      <c r="K100" s="83">
        <v>943</v>
      </c>
      <c r="L100" s="83">
        <v>955</v>
      </c>
      <c r="M100" s="83">
        <v>935</v>
      </c>
      <c r="N100" s="83">
        <v>930</v>
      </c>
      <c r="O100" s="83">
        <v>963</v>
      </c>
      <c r="P100" s="83">
        <v>922</v>
      </c>
      <c r="Q100" s="83">
        <v>940</v>
      </c>
      <c r="R100" s="83">
        <v>941</v>
      </c>
      <c r="S100" s="83">
        <v>907</v>
      </c>
      <c r="T100" s="83">
        <v>926</v>
      </c>
      <c r="U100" s="83">
        <v>906</v>
      </c>
      <c r="V100" s="83">
        <v>918</v>
      </c>
      <c r="W100" s="83">
        <v>900</v>
      </c>
      <c r="X100" s="83">
        <v>926</v>
      </c>
      <c r="Y100" s="83">
        <v>847</v>
      </c>
      <c r="Z100" s="83">
        <v>880</v>
      </c>
      <c r="AA100" s="83">
        <v>8599</v>
      </c>
      <c r="AB100" s="83">
        <v>8192</v>
      </c>
      <c r="AC100" s="83">
        <v>7621</v>
      </c>
      <c r="AD100" s="83">
        <v>7251</v>
      </c>
      <c r="AE100" s="83">
        <v>6890</v>
      </c>
      <c r="AF100" s="83">
        <v>6568</v>
      </c>
      <c r="AG100" s="83">
        <v>6023</v>
      </c>
      <c r="AH100" s="83">
        <v>5812</v>
      </c>
      <c r="AI100" s="83">
        <v>5455</v>
      </c>
      <c r="AJ100" s="83">
        <v>5072</v>
      </c>
      <c r="AK100" s="83">
        <v>4958</v>
      </c>
      <c r="AL100" s="83">
        <v>4724</v>
      </c>
      <c r="AM100" s="83">
        <v>4508</v>
      </c>
      <c r="AN100" s="83">
        <v>4212</v>
      </c>
      <c r="AO100" s="83">
        <v>4110</v>
      </c>
      <c r="AP100" s="83">
        <v>3952</v>
      </c>
      <c r="AQ100" s="83">
        <v>3697</v>
      </c>
      <c r="AR100" s="83">
        <v>3608</v>
      </c>
      <c r="AS100" s="83">
        <v>3505</v>
      </c>
      <c r="AT100" s="83">
        <v>3326</v>
      </c>
      <c r="AU100" s="83">
        <v>3169</v>
      </c>
      <c r="AV100" s="83">
        <v>3172</v>
      </c>
      <c r="AW100" s="83">
        <v>2972</v>
      </c>
      <c r="AX100" s="83">
        <v>2881</v>
      </c>
      <c r="AY100" s="83">
        <v>2813</v>
      </c>
      <c r="AZ100" s="83">
        <v>2692</v>
      </c>
      <c r="BA100" s="83">
        <v>2672</v>
      </c>
      <c r="BB100" s="83">
        <v>2515</v>
      </c>
      <c r="BC100" s="83">
        <v>2474</v>
      </c>
      <c r="BD100" s="83">
        <v>2449</v>
      </c>
      <c r="BE100" s="83">
        <v>2315</v>
      </c>
      <c r="BF100" s="83">
        <v>2308</v>
      </c>
      <c r="BG100" s="83">
        <v>2243</v>
      </c>
      <c r="BH100" s="83">
        <v>2231</v>
      </c>
      <c r="BI100" s="83">
        <v>2091</v>
      </c>
      <c r="BJ100" s="83">
        <v>2051</v>
      </c>
      <c r="BK100" s="83">
        <v>1992</v>
      </c>
      <c r="BL100" s="83">
        <v>1995</v>
      </c>
      <c r="BM100" s="83">
        <v>1948</v>
      </c>
      <c r="BN100" s="83">
        <v>1924</v>
      </c>
      <c r="BO100" s="83">
        <v>1899</v>
      </c>
      <c r="BP100" s="83">
        <v>1772</v>
      </c>
      <c r="BQ100" s="83">
        <v>1798</v>
      </c>
      <c r="BR100" s="83">
        <v>1739</v>
      </c>
      <c r="BS100" s="83">
        <v>1732</v>
      </c>
      <c r="BT100" s="83">
        <v>1667</v>
      </c>
      <c r="BU100" s="83">
        <v>1623</v>
      </c>
      <c r="BV100" s="83">
        <v>1615</v>
      </c>
      <c r="BW100" s="83">
        <v>1602</v>
      </c>
      <c r="BX100" s="83">
        <v>1581</v>
      </c>
      <c r="BY100" s="83">
        <v>1537</v>
      </c>
      <c r="BZ100" s="83">
        <v>1532</v>
      </c>
      <c r="CA100" s="83">
        <v>1506</v>
      </c>
      <c r="CB100" s="83">
        <v>1455</v>
      </c>
      <c r="CC100" s="83">
        <v>1480</v>
      </c>
      <c r="CD100" s="83">
        <v>1423</v>
      </c>
      <c r="CE100" s="83">
        <v>1389</v>
      </c>
      <c r="CF100" s="83">
        <v>1364</v>
      </c>
      <c r="CG100" s="83">
        <v>12793</v>
      </c>
      <c r="CH100" s="83">
        <v>11421</v>
      </c>
      <c r="CI100" s="83">
        <v>10458</v>
      </c>
      <c r="CJ100" s="83">
        <v>9617</v>
      </c>
      <c r="CK100" s="83">
        <v>8743</v>
      </c>
      <c r="CL100" s="83">
        <v>8158</v>
      </c>
      <c r="CM100" s="83">
        <v>7791</v>
      </c>
      <c r="CN100" s="83">
        <v>7361</v>
      </c>
      <c r="CO100" s="83">
        <v>7053</v>
      </c>
      <c r="CP100" s="83">
        <v>6736</v>
      </c>
      <c r="CQ100" s="83">
        <v>6436</v>
      </c>
      <c r="CR100" s="83">
        <v>6098</v>
      </c>
      <c r="CS100" s="83">
        <v>6033</v>
      </c>
      <c r="CT100" s="83">
        <v>5844</v>
      </c>
      <c r="CU100" s="382"/>
    </row>
    <row r="101" spans="1:99" s="86" customFormat="1" x14ac:dyDescent="0.2">
      <c r="A101" s="377">
        <v>67</v>
      </c>
      <c r="B101" s="377">
        <v>38</v>
      </c>
      <c r="C101" s="347" t="s">
        <v>155</v>
      </c>
      <c r="D101" s="377">
        <v>0</v>
      </c>
      <c r="E101" s="164">
        <f t="shared" si="2"/>
        <v>246347.35</v>
      </c>
      <c r="F101" s="394">
        <f t="shared" si="3"/>
        <v>159.46475591624764</v>
      </c>
      <c r="G101" s="85">
        <v>26357</v>
      </c>
      <c r="H101" s="85">
        <v>26029</v>
      </c>
      <c r="I101" s="85">
        <v>26097</v>
      </c>
      <c r="J101" s="85">
        <v>25968</v>
      </c>
      <c r="K101" s="85">
        <v>25537</v>
      </c>
      <c r="L101" s="85">
        <v>25555</v>
      </c>
      <c r="M101" s="85">
        <v>25515</v>
      </c>
      <c r="N101" s="85">
        <v>25651</v>
      </c>
      <c r="O101" s="85">
        <v>25485</v>
      </c>
      <c r="P101" s="85">
        <v>25471</v>
      </c>
      <c r="Q101" s="85">
        <v>25139</v>
      </c>
      <c r="R101" s="85">
        <v>25340</v>
      </c>
      <c r="S101" s="85">
        <v>24717</v>
      </c>
      <c r="T101" s="85">
        <v>24868</v>
      </c>
      <c r="U101" s="85">
        <v>24953</v>
      </c>
      <c r="V101" s="85">
        <v>25047</v>
      </c>
      <c r="W101" s="85">
        <v>24457</v>
      </c>
      <c r="X101" s="85">
        <v>24696</v>
      </c>
      <c r="Y101" s="85">
        <v>24302</v>
      </c>
      <c r="Z101" s="85">
        <v>24348</v>
      </c>
      <c r="AA101" s="85">
        <v>237422</v>
      </c>
      <c r="AB101" s="85">
        <v>225238</v>
      </c>
      <c r="AC101" s="85">
        <v>211104</v>
      </c>
      <c r="AD101" s="85">
        <v>200916</v>
      </c>
      <c r="AE101" s="85">
        <v>189281</v>
      </c>
      <c r="AF101" s="85">
        <v>178356</v>
      </c>
      <c r="AG101" s="85">
        <v>168656</v>
      </c>
      <c r="AH101" s="85">
        <v>159362</v>
      </c>
      <c r="AI101" s="85">
        <v>151002</v>
      </c>
      <c r="AJ101" s="85">
        <v>143279</v>
      </c>
      <c r="AK101" s="85">
        <v>136313</v>
      </c>
      <c r="AL101" s="85">
        <v>129800</v>
      </c>
      <c r="AM101" s="85">
        <v>123326</v>
      </c>
      <c r="AN101" s="85">
        <v>117140</v>
      </c>
      <c r="AO101" s="85">
        <v>112088</v>
      </c>
      <c r="AP101" s="85">
        <v>106830</v>
      </c>
      <c r="AQ101" s="85">
        <v>101896</v>
      </c>
      <c r="AR101" s="85">
        <v>97903</v>
      </c>
      <c r="AS101" s="85">
        <v>93356</v>
      </c>
      <c r="AT101" s="85">
        <v>89122</v>
      </c>
      <c r="AU101" s="85">
        <v>85757</v>
      </c>
      <c r="AV101" s="85">
        <v>82811</v>
      </c>
      <c r="AW101" s="85">
        <v>79381</v>
      </c>
      <c r="AX101" s="85">
        <v>76468</v>
      </c>
      <c r="AY101" s="85">
        <v>73364</v>
      </c>
      <c r="AZ101" s="85">
        <v>70449</v>
      </c>
      <c r="BA101" s="85">
        <v>67653</v>
      </c>
      <c r="BB101" s="85">
        <v>65364</v>
      </c>
      <c r="BC101" s="85">
        <v>63278</v>
      </c>
      <c r="BD101" s="85">
        <v>61234</v>
      </c>
      <c r="BE101" s="85">
        <v>58724</v>
      </c>
      <c r="BF101" s="85">
        <v>57171</v>
      </c>
      <c r="BG101" s="85">
        <v>55137</v>
      </c>
      <c r="BH101" s="85">
        <v>53485</v>
      </c>
      <c r="BI101" s="85">
        <v>51349</v>
      </c>
      <c r="BJ101" s="85">
        <v>50069</v>
      </c>
      <c r="BK101" s="85">
        <v>48492</v>
      </c>
      <c r="BL101" s="85">
        <v>47122</v>
      </c>
      <c r="BM101" s="85">
        <v>45634</v>
      </c>
      <c r="BN101" s="85">
        <v>44225</v>
      </c>
      <c r="BO101" s="85">
        <v>42991</v>
      </c>
      <c r="BP101" s="85">
        <v>41964</v>
      </c>
      <c r="BQ101" s="85">
        <v>40714</v>
      </c>
      <c r="BR101" s="85">
        <v>39689</v>
      </c>
      <c r="BS101" s="85">
        <v>38313</v>
      </c>
      <c r="BT101" s="85">
        <v>37426</v>
      </c>
      <c r="BU101" s="85">
        <v>37025</v>
      </c>
      <c r="BV101" s="85">
        <v>35297</v>
      </c>
      <c r="BW101" s="85">
        <v>34953</v>
      </c>
      <c r="BX101" s="85">
        <v>33933</v>
      </c>
      <c r="BY101" s="85">
        <v>32954</v>
      </c>
      <c r="BZ101" s="85">
        <v>32123</v>
      </c>
      <c r="CA101" s="85">
        <v>31499</v>
      </c>
      <c r="CB101" s="85">
        <v>30700</v>
      </c>
      <c r="CC101" s="85">
        <v>30261</v>
      </c>
      <c r="CD101" s="85">
        <v>29303</v>
      </c>
      <c r="CE101" s="85">
        <v>28678</v>
      </c>
      <c r="CF101" s="85">
        <v>27821</v>
      </c>
      <c r="CG101" s="85">
        <v>251132</v>
      </c>
      <c r="CH101" s="85">
        <v>207440</v>
      </c>
      <c r="CI101" s="85">
        <v>175479</v>
      </c>
      <c r="CJ101" s="85">
        <v>151770</v>
      </c>
      <c r="CK101" s="85">
        <v>133288</v>
      </c>
      <c r="CL101" s="85">
        <v>117719</v>
      </c>
      <c r="CM101" s="85">
        <v>106079</v>
      </c>
      <c r="CN101" s="85">
        <v>96017</v>
      </c>
      <c r="CO101" s="85">
        <v>88282</v>
      </c>
      <c r="CP101" s="85">
        <v>81475</v>
      </c>
      <c r="CQ101" s="85">
        <v>75809</v>
      </c>
      <c r="CR101" s="85">
        <v>70890</v>
      </c>
      <c r="CS101" s="85">
        <v>66064</v>
      </c>
      <c r="CT101" s="85">
        <v>62309</v>
      </c>
      <c r="CU101" s="382"/>
    </row>
    <row r="102" spans="1:99" s="86" customFormat="1" x14ac:dyDescent="0.2">
      <c r="A102" s="375">
        <v>71</v>
      </c>
      <c r="B102" s="375">
        <v>38</v>
      </c>
      <c r="C102" s="349" t="s">
        <v>156</v>
      </c>
      <c r="D102" s="375">
        <v>1515</v>
      </c>
      <c r="E102" s="164">
        <f t="shared" si="2"/>
        <v>44956.95</v>
      </c>
      <c r="F102" s="394">
        <f t="shared" si="3"/>
        <v>69.989687575775477</v>
      </c>
      <c r="G102" s="86">
        <v>4897</v>
      </c>
      <c r="H102" s="86">
        <v>4893</v>
      </c>
      <c r="I102" s="86">
        <v>4951</v>
      </c>
      <c r="J102" s="86">
        <v>4999</v>
      </c>
      <c r="K102" s="86">
        <v>4980</v>
      </c>
      <c r="L102" s="86">
        <v>4910</v>
      </c>
      <c r="M102" s="86">
        <v>4839</v>
      </c>
      <c r="N102" s="86">
        <v>4884</v>
      </c>
      <c r="O102" s="86">
        <v>4964</v>
      </c>
      <c r="P102" s="86">
        <v>4830</v>
      </c>
      <c r="Q102" s="86">
        <v>4788</v>
      </c>
      <c r="R102" s="86">
        <v>4815</v>
      </c>
      <c r="S102" s="86">
        <v>4931</v>
      </c>
      <c r="T102" s="86">
        <v>4757</v>
      </c>
      <c r="U102" s="86">
        <v>4795</v>
      </c>
      <c r="V102" s="86">
        <v>4741</v>
      </c>
      <c r="W102" s="86">
        <v>4781</v>
      </c>
      <c r="X102" s="86">
        <v>4689</v>
      </c>
      <c r="Y102" s="86">
        <v>4751</v>
      </c>
      <c r="Z102" s="86">
        <v>4753</v>
      </c>
      <c r="AA102" s="86">
        <v>46028</v>
      </c>
      <c r="AB102" s="86">
        <v>43992</v>
      </c>
      <c r="AC102" s="86">
        <v>42083</v>
      </c>
      <c r="AD102" s="86">
        <v>40147</v>
      </c>
      <c r="AE102" s="86">
        <v>38019</v>
      </c>
      <c r="AF102" s="86">
        <v>36276</v>
      </c>
      <c r="AG102" s="86">
        <v>34265</v>
      </c>
      <c r="AH102" s="86">
        <v>32938</v>
      </c>
      <c r="AI102" s="86">
        <v>31177</v>
      </c>
      <c r="AJ102" s="86">
        <v>29939</v>
      </c>
      <c r="AK102" s="86">
        <v>28695</v>
      </c>
      <c r="AL102" s="86">
        <v>27457</v>
      </c>
      <c r="AM102" s="86">
        <v>26200</v>
      </c>
      <c r="AN102" s="86">
        <v>25134</v>
      </c>
      <c r="AO102" s="86">
        <v>24386</v>
      </c>
      <c r="AP102" s="86">
        <v>23514</v>
      </c>
      <c r="AQ102" s="86">
        <v>22284</v>
      </c>
      <c r="AR102" s="86">
        <v>21627</v>
      </c>
      <c r="AS102" s="86">
        <v>20774</v>
      </c>
      <c r="AT102" s="86">
        <v>20121</v>
      </c>
      <c r="AU102" s="86">
        <v>19500</v>
      </c>
      <c r="AV102" s="86">
        <v>18852</v>
      </c>
      <c r="AW102" s="86">
        <v>18370</v>
      </c>
      <c r="AX102" s="86">
        <v>17515</v>
      </c>
      <c r="AY102" s="86">
        <v>17105</v>
      </c>
      <c r="AZ102" s="86">
        <v>16678</v>
      </c>
      <c r="BA102" s="86">
        <v>16170</v>
      </c>
      <c r="BB102" s="86">
        <v>15712</v>
      </c>
      <c r="BC102" s="86">
        <v>15338</v>
      </c>
      <c r="BD102" s="86">
        <v>14828</v>
      </c>
      <c r="BE102" s="86">
        <v>14634</v>
      </c>
      <c r="BF102" s="86">
        <v>14185</v>
      </c>
      <c r="BG102" s="86">
        <v>13729</v>
      </c>
      <c r="BH102" s="86">
        <v>13274</v>
      </c>
      <c r="BI102" s="86">
        <v>13195</v>
      </c>
      <c r="BJ102" s="86">
        <v>12853</v>
      </c>
      <c r="BK102" s="86">
        <v>12515</v>
      </c>
      <c r="BL102" s="86">
        <v>12087</v>
      </c>
      <c r="BM102" s="86">
        <v>12028</v>
      </c>
      <c r="BN102" s="86">
        <v>11586</v>
      </c>
      <c r="BO102" s="86">
        <v>11531</v>
      </c>
      <c r="BP102" s="86">
        <v>11402</v>
      </c>
      <c r="BQ102" s="86">
        <v>11165</v>
      </c>
      <c r="BR102" s="86">
        <v>10918</v>
      </c>
      <c r="BS102" s="86">
        <v>10609</v>
      </c>
      <c r="BT102" s="86">
        <v>10541</v>
      </c>
      <c r="BU102" s="86">
        <v>10236</v>
      </c>
      <c r="BV102" s="86">
        <v>10083</v>
      </c>
      <c r="BW102" s="86">
        <v>9944</v>
      </c>
      <c r="BX102" s="86">
        <v>9737</v>
      </c>
      <c r="BY102" s="86">
        <v>9603</v>
      </c>
      <c r="BZ102" s="86">
        <v>9375</v>
      </c>
      <c r="CA102" s="86">
        <v>9260</v>
      </c>
      <c r="CB102" s="86">
        <v>9051</v>
      </c>
      <c r="CC102" s="86">
        <v>8993</v>
      </c>
      <c r="CD102" s="86">
        <v>8670</v>
      </c>
      <c r="CE102" s="86">
        <v>8610</v>
      </c>
      <c r="CF102" s="86">
        <v>8704</v>
      </c>
      <c r="CG102" s="86">
        <v>79939</v>
      </c>
      <c r="CH102" s="86">
        <v>70445</v>
      </c>
      <c r="CI102" s="86">
        <v>63485</v>
      </c>
      <c r="CJ102" s="86">
        <v>58250</v>
      </c>
      <c r="CK102" s="86">
        <v>54071</v>
      </c>
      <c r="CL102" s="86">
        <v>50375</v>
      </c>
      <c r="CM102" s="86">
        <v>47477</v>
      </c>
      <c r="CN102" s="86">
        <v>44703</v>
      </c>
      <c r="CO102" s="86">
        <v>42513</v>
      </c>
      <c r="CP102" s="86">
        <v>40984</v>
      </c>
      <c r="CQ102" s="86">
        <v>38710</v>
      </c>
      <c r="CR102" s="86">
        <v>37351</v>
      </c>
      <c r="CS102" s="86">
        <v>36091</v>
      </c>
      <c r="CT102" s="86">
        <v>34250</v>
      </c>
      <c r="CU102" s="382"/>
    </row>
    <row r="103" spans="1:99" s="86" customFormat="1" x14ac:dyDescent="0.2">
      <c r="A103" s="375">
        <v>139</v>
      </c>
      <c r="B103" s="375">
        <v>38</v>
      </c>
      <c r="C103" s="349" t="s">
        <v>155</v>
      </c>
      <c r="D103" s="375">
        <v>3790</v>
      </c>
      <c r="E103" s="164">
        <f t="shared" si="2"/>
        <v>81016.350000000006</v>
      </c>
      <c r="F103" s="394">
        <f t="shared" si="3"/>
        <v>91.814142352503822</v>
      </c>
      <c r="G103" s="86">
        <v>8534</v>
      </c>
      <c r="H103" s="86">
        <v>8648</v>
      </c>
      <c r="I103" s="86">
        <v>8486</v>
      </c>
      <c r="J103" s="86">
        <v>8622</v>
      </c>
      <c r="K103" s="86">
        <v>8485</v>
      </c>
      <c r="L103" s="86">
        <v>8590</v>
      </c>
      <c r="M103" s="86">
        <v>8486</v>
      </c>
      <c r="N103" s="86">
        <v>8700</v>
      </c>
      <c r="O103" s="86">
        <v>8393</v>
      </c>
      <c r="P103" s="86">
        <v>8351</v>
      </c>
      <c r="Q103" s="86">
        <v>8326</v>
      </c>
      <c r="R103" s="86">
        <v>8369</v>
      </c>
      <c r="S103" s="86">
        <v>8352</v>
      </c>
      <c r="T103" s="86">
        <v>8351</v>
      </c>
      <c r="U103" s="86">
        <v>8258</v>
      </c>
      <c r="V103" s="86">
        <v>8113</v>
      </c>
      <c r="W103" s="86">
        <v>8228</v>
      </c>
      <c r="X103" s="86">
        <v>8158</v>
      </c>
      <c r="Y103" s="86">
        <v>8082</v>
      </c>
      <c r="Z103" s="86">
        <v>7995</v>
      </c>
      <c r="AA103" s="86">
        <v>78773</v>
      </c>
      <c r="AB103" s="86">
        <v>74006</v>
      </c>
      <c r="AC103" s="86">
        <v>70655</v>
      </c>
      <c r="AD103" s="86">
        <v>66751</v>
      </c>
      <c r="AE103" s="86">
        <v>62890</v>
      </c>
      <c r="AF103" s="86">
        <v>59293</v>
      </c>
      <c r="AG103" s="86">
        <v>56137</v>
      </c>
      <c r="AH103" s="86">
        <v>53369</v>
      </c>
      <c r="AI103" s="86">
        <v>50534</v>
      </c>
      <c r="AJ103" s="86">
        <v>47835</v>
      </c>
      <c r="AK103" s="86">
        <v>45567</v>
      </c>
      <c r="AL103" s="86">
        <v>43260</v>
      </c>
      <c r="AM103" s="86">
        <v>41227</v>
      </c>
      <c r="AN103" s="86">
        <v>39113</v>
      </c>
      <c r="AO103" s="86">
        <v>37338</v>
      </c>
      <c r="AP103" s="86">
        <v>35920</v>
      </c>
      <c r="AQ103" s="86">
        <v>34198</v>
      </c>
      <c r="AR103" s="86">
        <v>32878</v>
      </c>
      <c r="AS103" s="86">
        <v>31675</v>
      </c>
      <c r="AT103" s="86">
        <v>30130</v>
      </c>
      <c r="AU103" s="86">
        <v>28746</v>
      </c>
      <c r="AV103" s="86">
        <v>27983</v>
      </c>
      <c r="AW103" s="86">
        <v>26730</v>
      </c>
      <c r="AX103" s="86">
        <v>25946</v>
      </c>
      <c r="AY103" s="86">
        <v>24828</v>
      </c>
      <c r="AZ103" s="86">
        <v>23894</v>
      </c>
      <c r="BA103" s="86">
        <v>22833</v>
      </c>
      <c r="BB103" s="86">
        <v>22163</v>
      </c>
      <c r="BC103" s="86">
        <v>21514</v>
      </c>
      <c r="BD103" s="86">
        <v>21017</v>
      </c>
      <c r="BE103" s="86">
        <v>20201</v>
      </c>
      <c r="BF103" s="86">
        <v>19626</v>
      </c>
      <c r="BG103" s="86">
        <v>18732</v>
      </c>
      <c r="BH103" s="86">
        <v>18251</v>
      </c>
      <c r="BI103" s="86">
        <v>17731</v>
      </c>
      <c r="BJ103" s="86">
        <v>17073</v>
      </c>
      <c r="BK103" s="86">
        <v>16737</v>
      </c>
      <c r="BL103" s="86">
        <v>16179</v>
      </c>
      <c r="BM103" s="86">
        <v>15637</v>
      </c>
      <c r="BN103" s="86">
        <v>15286</v>
      </c>
      <c r="BO103" s="86">
        <v>14894</v>
      </c>
      <c r="BP103" s="86">
        <v>14753</v>
      </c>
      <c r="BQ103" s="86">
        <v>14014</v>
      </c>
      <c r="BR103" s="86">
        <v>13698</v>
      </c>
      <c r="BS103" s="86">
        <v>13404</v>
      </c>
      <c r="BT103" s="86">
        <v>13156</v>
      </c>
      <c r="BU103" s="86">
        <v>12761</v>
      </c>
      <c r="BV103" s="86">
        <v>12512</v>
      </c>
      <c r="BW103" s="86">
        <v>12220</v>
      </c>
      <c r="BX103" s="86">
        <v>11898</v>
      </c>
      <c r="BY103" s="86">
        <v>11680</v>
      </c>
      <c r="BZ103" s="86">
        <v>11405</v>
      </c>
      <c r="CA103" s="86">
        <v>11175</v>
      </c>
      <c r="CB103" s="86">
        <v>10908</v>
      </c>
      <c r="CC103" s="86">
        <v>10733</v>
      </c>
      <c r="CD103" s="86">
        <v>10483</v>
      </c>
      <c r="CE103" s="86">
        <v>10098</v>
      </c>
      <c r="CF103" s="86">
        <v>10094</v>
      </c>
      <c r="CG103" s="86">
        <v>91056</v>
      </c>
      <c r="CH103" s="86">
        <v>75634</v>
      </c>
      <c r="CI103" s="86">
        <v>65427</v>
      </c>
      <c r="CJ103" s="86">
        <v>57414</v>
      </c>
      <c r="CK103" s="86">
        <v>51163</v>
      </c>
      <c r="CL103" s="86">
        <v>45940</v>
      </c>
      <c r="CM103" s="86">
        <v>42365</v>
      </c>
      <c r="CN103" s="86">
        <v>38989</v>
      </c>
      <c r="CO103" s="86">
        <v>35919</v>
      </c>
      <c r="CP103" s="86">
        <v>33550</v>
      </c>
      <c r="CQ103" s="86">
        <v>31417</v>
      </c>
      <c r="CR103" s="86">
        <v>29678</v>
      </c>
      <c r="CS103" s="86">
        <v>28227</v>
      </c>
      <c r="CT103" s="86">
        <v>26716</v>
      </c>
      <c r="CU103" s="382"/>
    </row>
    <row r="104" spans="1:99" s="86" customFormat="1" x14ac:dyDescent="0.2">
      <c r="A104" s="375">
        <v>143</v>
      </c>
      <c r="B104" s="375">
        <v>38</v>
      </c>
      <c r="C104" s="349" t="s">
        <v>156</v>
      </c>
      <c r="D104" s="375">
        <v>1516</v>
      </c>
      <c r="E104" s="164">
        <f t="shared" si="2"/>
        <v>37192.85</v>
      </c>
      <c r="F104" s="394">
        <f t="shared" si="3"/>
        <v>63.03214129525395</v>
      </c>
      <c r="G104" s="86">
        <v>3971</v>
      </c>
      <c r="H104" s="86">
        <v>4134</v>
      </c>
      <c r="I104" s="86">
        <v>4061</v>
      </c>
      <c r="J104" s="86">
        <v>4114</v>
      </c>
      <c r="K104" s="86">
        <v>4013</v>
      </c>
      <c r="L104" s="86">
        <v>4011</v>
      </c>
      <c r="M104" s="86">
        <v>3975</v>
      </c>
      <c r="N104" s="86">
        <v>3994</v>
      </c>
      <c r="O104" s="86">
        <v>3987</v>
      </c>
      <c r="P104" s="86">
        <v>3939</v>
      </c>
      <c r="Q104" s="86">
        <v>3913</v>
      </c>
      <c r="R104" s="86">
        <v>3952</v>
      </c>
      <c r="S104" s="86">
        <v>3907</v>
      </c>
      <c r="T104" s="86">
        <v>3851</v>
      </c>
      <c r="U104" s="86">
        <v>3827</v>
      </c>
      <c r="V104" s="86">
        <v>3865</v>
      </c>
      <c r="W104" s="86">
        <v>3899</v>
      </c>
      <c r="X104" s="86">
        <v>3805</v>
      </c>
      <c r="Y104" s="86">
        <v>3826</v>
      </c>
      <c r="Z104" s="86">
        <v>3794</v>
      </c>
      <c r="AA104" s="86">
        <v>37399</v>
      </c>
      <c r="AB104" s="86">
        <v>35209</v>
      </c>
      <c r="AC104" s="86">
        <v>33706</v>
      </c>
      <c r="AD104" s="86">
        <v>32145</v>
      </c>
      <c r="AE104" s="86">
        <v>30428</v>
      </c>
      <c r="AF104" s="86">
        <v>28849</v>
      </c>
      <c r="AG104" s="86">
        <v>27089</v>
      </c>
      <c r="AH104" s="86">
        <v>25753</v>
      </c>
      <c r="AI104" s="86">
        <v>24860</v>
      </c>
      <c r="AJ104" s="86">
        <v>23453</v>
      </c>
      <c r="AK104" s="86">
        <v>22351</v>
      </c>
      <c r="AL104" s="86">
        <v>21475</v>
      </c>
      <c r="AM104" s="86">
        <v>20305</v>
      </c>
      <c r="AN104" s="86">
        <v>19634</v>
      </c>
      <c r="AO104" s="86">
        <v>18825</v>
      </c>
      <c r="AP104" s="86">
        <v>17946</v>
      </c>
      <c r="AQ104" s="86">
        <v>17222</v>
      </c>
      <c r="AR104" s="86">
        <v>16698</v>
      </c>
      <c r="AS104" s="86">
        <v>15919</v>
      </c>
      <c r="AT104" s="86">
        <v>15355</v>
      </c>
      <c r="AU104" s="86">
        <v>14868</v>
      </c>
      <c r="AV104" s="86">
        <v>14287</v>
      </c>
      <c r="AW104" s="86">
        <v>13781</v>
      </c>
      <c r="AX104" s="86">
        <v>13189</v>
      </c>
      <c r="AY104" s="86">
        <v>12964</v>
      </c>
      <c r="AZ104" s="86">
        <v>12411</v>
      </c>
      <c r="BA104" s="86">
        <v>12123</v>
      </c>
      <c r="BB104" s="86">
        <v>11673</v>
      </c>
      <c r="BC104" s="86">
        <v>11349</v>
      </c>
      <c r="BD104" s="86">
        <v>11023</v>
      </c>
      <c r="BE104" s="86">
        <v>10706</v>
      </c>
      <c r="BF104" s="86">
        <v>10508</v>
      </c>
      <c r="BG104" s="86">
        <v>10043</v>
      </c>
      <c r="BH104" s="86">
        <v>9973</v>
      </c>
      <c r="BI104" s="86">
        <v>9578</v>
      </c>
      <c r="BJ104" s="86">
        <v>9376</v>
      </c>
      <c r="BK104" s="86">
        <v>9202</v>
      </c>
      <c r="BL104" s="86">
        <v>8931</v>
      </c>
      <c r="BM104" s="86">
        <v>8646</v>
      </c>
      <c r="BN104" s="86">
        <v>8463</v>
      </c>
      <c r="BO104" s="86">
        <v>8397</v>
      </c>
      <c r="BP104" s="86">
        <v>8206</v>
      </c>
      <c r="BQ104" s="86">
        <v>7998</v>
      </c>
      <c r="BR104" s="86">
        <v>7770</v>
      </c>
      <c r="BS104" s="86">
        <v>7670</v>
      </c>
      <c r="BT104" s="86">
        <v>7440</v>
      </c>
      <c r="BU104" s="86">
        <v>7349</v>
      </c>
      <c r="BV104" s="86">
        <v>7066</v>
      </c>
      <c r="BW104" s="86">
        <v>7032</v>
      </c>
      <c r="BX104" s="86">
        <v>6936</v>
      </c>
      <c r="BY104" s="86">
        <v>6695</v>
      </c>
      <c r="BZ104" s="86">
        <v>6665</v>
      </c>
      <c r="CA104" s="86">
        <v>6467</v>
      </c>
      <c r="CB104" s="86">
        <v>6376</v>
      </c>
      <c r="CC104" s="86">
        <v>6358</v>
      </c>
      <c r="CD104" s="86">
        <v>6196</v>
      </c>
      <c r="CE104" s="86">
        <v>6168</v>
      </c>
      <c r="CF104" s="86">
        <v>5974</v>
      </c>
      <c r="CG104" s="86">
        <v>54728</v>
      </c>
      <c r="CH104" s="86">
        <v>47910</v>
      </c>
      <c r="CI104" s="86">
        <v>42363</v>
      </c>
      <c r="CJ104" s="86">
        <v>38748</v>
      </c>
      <c r="CK104" s="86">
        <v>35217</v>
      </c>
      <c r="CL104" s="86">
        <v>32775</v>
      </c>
      <c r="CM104" s="86">
        <v>30529</v>
      </c>
      <c r="CN104" s="86">
        <v>28361</v>
      </c>
      <c r="CO104" s="86">
        <v>27240</v>
      </c>
      <c r="CP104" s="86">
        <v>25807</v>
      </c>
      <c r="CQ104" s="86">
        <v>24504</v>
      </c>
      <c r="CR104" s="86">
        <v>23596</v>
      </c>
      <c r="CS104" s="86">
        <v>22746</v>
      </c>
      <c r="CT104" s="86">
        <v>21777</v>
      </c>
      <c r="CU104" s="382"/>
    </row>
    <row r="105" spans="1:99" s="86" customFormat="1" x14ac:dyDescent="0.2">
      <c r="A105" s="375">
        <v>148</v>
      </c>
      <c r="B105" s="375">
        <v>38</v>
      </c>
      <c r="C105" s="349" t="s">
        <v>155</v>
      </c>
      <c r="D105" s="375">
        <v>7580</v>
      </c>
      <c r="E105" s="164">
        <f t="shared" si="2"/>
        <v>131050.3</v>
      </c>
      <c r="F105" s="394">
        <f t="shared" si="3"/>
        <v>116.47021371034195</v>
      </c>
      <c r="G105" s="86">
        <v>13913</v>
      </c>
      <c r="H105" s="86">
        <v>13684</v>
      </c>
      <c r="I105" s="86">
        <v>14028</v>
      </c>
      <c r="J105" s="86">
        <v>13858</v>
      </c>
      <c r="K105" s="86">
        <v>13888</v>
      </c>
      <c r="L105" s="86">
        <v>13868</v>
      </c>
      <c r="M105" s="86">
        <v>13618</v>
      </c>
      <c r="N105" s="86">
        <v>13808</v>
      </c>
      <c r="O105" s="86">
        <v>13744</v>
      </c>
      <c r="P105" s="86">
        <v>13580</v>
      </c>
      <c r="Q105" s="86">
        <v>13144</v>
      </c>
      <c r="R105" s="86">
        <v>13352</v>
      </c>
      <c r="S105" s="86">
        <v>13496</v>
      </c>
      <c r="T105" s="86">
        <v>13317</v>
      </c>
      <c r="U105" s="86">
        <v>13150</v>
      </c>
      <c r="V105" s="86">
        <v>13202</v>
      </c>
      <c r="W105" s="86">
        <v>13244</v>
      </c>
      <c r="X105" s="86">
        <v>12998</v>
      </c>
      <c r="Y105" s="86">
        <v>12936</v>
      </c>
      <c r="Z105" s="86">
        <v>12828</v>
      </c>
      <c r="AA105" s="86">
        <v>126709</v>
      </c>
      <c r="AB105" s="86">
        <v>120105</v>
      </c>
      <c r="AC105" s="86">
        <v>113036</v>
      </c>
      <c r="AD105" s="86">
        <v>107015</v>
      </c>
      <c r="AE105" s="86">
        <v>101301</v>
      </c>
      <c r="AF105" s="86">
        <v>95279</v>
      </c>
      <c r="AG105" s="86">
        <v>90079</v>
      </c>
      <c r="AH105" s="86">
        <v>85305</v>
      </c>
      <c r="AI105" s="86">
        <v>80258</v>
      </c>
      <c r="AJ105" s="86">
        <v>76873</v>
      </c>
      <c r="AK105" s="86">
        <v>72007</v>
      </c>
      <c r="AL105" s="86">
        <v>69143</v>
      </c>
      <c r="AM105" s="86">
        <v>65880</v>
      </c>
      <c r="AN105" s="86">
        <v>62786</v>
      </c>
      <c r="AO105" s="86">
        <v>59810</v>
      </c>
      <c r="AP105" s="86">
        <v>57026</v>
      </c>
      <c r="AQ105" s="86">
        <v>54468</v>
      </c>
      <c r="AR105" s="86">
        <v>51968</v>
      </c>
      <c r="AS105" s="86">
        <v>49768</v>
      </c>
      <c r="AT105" s="86">
        <v>47781</v>
      </c>
      <c r="AU105" s="86">
        <v>45552</v>
      </c>
      <c r="AV105" s="86">
        <v>43887</v>
      </c>
      <c r="AW105" s="86">
        <v>42577</v>
      </c>
      <c r="AX105" s="86">
        <v>40632</v>
      </c>
      <c r="AY105" s="86">
        <v>39106</v>
      </c>
      <c r="AZ105" s="86">
        <v>37654</v>
      </c>
      <c r="BA105" s="86">
        <v>35964</v>
      </c>
      <c r="BB105" s="86">
        <v>35120</v>
      </c>
      <c r="BC105" s="86">
        <v>33888</v>
      </c>
      <c r="BD105" s="86">
        <v>32666</v>
      </c>
      <c r="BE105" s="86">
        <v>31441</v>
      </c>
      <c r="BF105" s="86">
        <v>30474</v>
      </c>
      <c r="BG105" s="86">
        <v>29499</v>
      </c>
      <c r="BH105" s="86">
        <v>28664</v>
      </c>
      <c r="BI105" s="86">
        <v>27862</v>
      </c>
      <c r="BJ105" s="86">
        <v>27011</v>
      </c>
      <c r="BK105" s="86">
        <v>25930</v>
      </c>
      <c r="BL105" s="86">
        <v>25217</v>
      </c>
      <c r="BM105" s="86">
        <v>24442</v>
      </c>
      <c r="BN105" s="86">
        <v>23796</v>
      </c>
      <c r="BO105" s="86">
        <v>23357</v>
      </c>
      <c r="BP105" s="86">
        <v>22419</v>
      </c>
      <c r="BQ105" s="86">
        <v>21892</v>
      </c>
      <c r="BR105" s="86">
        <v>21581</v>
      </c>
      <c r="BS105" s="86">
        <v>20845</v>
      </c>
      <c r="BT105" s="86">
        <v>20267</v>
      </c>
      <c r="BU105" s="86">
        <v>19984</v>
      </c>
      <c r="BV105" s="86">
        <v>19362</v>
      </c>
      <c r="BW105" s="86">
        <v>18941</v>
      </c>
      <c r="BX105" s="86">
        <v>18469</v>
      </c>
      <c r="BY105" s="86">
        <v>18010</v>
      </c>
      <c r="BZ105" s="86">
        <v>17551</v>
      </c>
      <c r="CA105" s="86">
        <v>17105</v>
      </c>
      <c r="CB105" s="86">
        <v>16994</v>
      </c>
      <c r="CC105" s="86">
        <v>16366</v>
      </c>
      <c r="CD105" s="86">
        <v>16054</v>
      </c>
      <c r="CE105" s="86">
        <v>15756</v>
      </c>
      <c r="CF105" s="86">
        <v>15380</v>
      </c>
      <c r="CG105" s="86">
        <v>137279</v>
      </c>
      <c r="CH105" s="86">
        <v>114514</v>
      </c>
      <c r="CI105" s="86">
        <v>97656</v>
      </c>
      <c r="CJ105" s="86">
        <v>84906</v>
      </c>
      <c r="CK105" s="86">
        <v>74771</v>
      </c>
      <c r="CL105" s="86">
        <v>66833</v>
      </c>
      <c r="CM105" s="86">
        <v>60527</v>
      </c>
      <c r="CN105" s="86">
        <v>55548</v>
      </c>
      <c r="CO105" s="86">
        <v>50747</v>
      </c>
      <c r="CP105" s="86">
        <v>47074</v>
      </c>
      <c r="CQ105" s="86">
        <v>43994</v>
      </c>
      <c r="CR105" s="86">
        <v>41358</v>
      </c>
      <c r="CS105" s="86">
        <v>39021</v>
      </c>
      <c r="CT105" s="86">
        <v>36533</v>
      </c>
      <c r="CU105" s="382"/>
    </row>
    <row r="106" spans="1:99" s="86" customFormat="1" x14ac:dyDescent="0.2">
      <c r="A106" s="375">
        <v>152</v>
      </c>
      <c r="B106" s="375">
        <v>38</v>
      </c>
      <c r="C106" s="349" t="s">
        <v>156</v>
      </c>
      <c r="D106" s="375">
        <v>1516</v>
      </c>
      <c r="E106" s="164">
        <f t="shared" si="2"/>
        <v>36711.199999999997</v>
      </c>
      <c r="F106" s="394">
        <f t="shared" si="3"/>
        <v>62.880527011948359</v>
      </c>
      <c r="G106" s="86">
        <v>4020</v>
      </c>
      <c r="H106" s="86">
        <v>4041</v>
      </c>
      <c r="I106" s="86">
        <v>4007</v>
      </c>
      <c r="J106" s="86">
        <v>3976</v>
      </c>
      <c r="K106" s="86">
        <v>4016</v>
      </c>
      <c r="L106" s="86">
        <v>4038</v>
      </c>
      <c r="M106" s="86">
        <v>3937</v>
      </c>
      <c r="N106" s="86">
        <v>3934</v>
      </c>
      <c r="O106" s="86">
        <v>3897</v>
      </c>
      <c r="P106" s="86">
        <v>3919</v>
      </c>
      <c r="Q106" s="86">
        <v>3867</v>
      </c>
      <c r="R106" s="86">
        <v>3931</v>
      </c>
      <c r="S106" s="86">
        <v>3844</v>
      </c>
      <c r="T106" s="86">
        <v>3855</v>
      </c>
      <c r="U106" s="86">
        <v>3829</v>
      </c>
      <c r="V106" s="86">
        <v>3847</v>
      </c>
      <c r="W106" s="86">
        <v>3855</v>
      </c>
      <c r="X106" s="86">
        <v>3876</v>
      </c>
      <c r="Y106" s="86">
        <v>3833</v>
      </c>
      <c r="Z106" s="86">
        <v>3868</v>
      </c>
      <c r="AA106" s="86">
        <v>37371</v>
      </c>
      <c r="AB106" s="86">
        <v>35505</v>
      </c>
      <c r="AC106" s="86">
        <v>33555</v>
      </c>
      <c r="AD106" s="86">
        <v>32036</v>
      </c>
      <c r="AE106" s="86">
        <v>30537</v>
      </c>
      <c r="AF106" s="86">
        <v>29028</v>
      </c>
      <c r="AG106" s="86">
        <v>27377</v>
      </c>
      <c r="AH106" s="86">
        <v>26125</v>
      </c>
      <c r="AI106" s="86">
        <v>24594</v>
      </c>
      <c r="AJ106" s="86">
        <v>23588</v>
      </c>
      <c r="AK106" s="86">
        <v>22667</v>
      </c>
      <c r="AL106" s="86">
        <v>21772</v>
      </c>
      <c r="AM106" s="86">
        <v>20951</v>
      </c>
      <c r="AN106" s="86">
        <v>19818</v>
      </c>
      <c r="AO106" s="86">
        <v>19054</v>
      </c>
      <c r="AP106" s="86">
        <v>18356</v>
      </c>
      <c r="AQ106" s="86">
        <v>17673</v>
      </c>
      <c r="AR106" s="86">
        <v>16984</v>
      </c>
      <c r="AS106" s="86">
        <v>16351</v>
      </c>
      <c r="AT106" s="86">
        <v>15824</v>
      </c>
      <c r="AU106" s="86">
        <v>15063</v>
      </c>
      <c r="AV106" s="86">
        <v>14763</v>
      </c>
      <c r="AW106" s="86">
        <v>14142</v>
      </c>
      <c r="AX106" s="86">
        <v>13832</v>
      </c>
      <c r="AY106" s="86">
        <v>13465</v>
      </c>
      <c r="AZ106" s="86">
        <v>12807</v>
      </c>
      <c r="BA106" s="86">
        <v>12559</v>
      </c>
      <c r="BB106" s="86">
        <v>12130</v>
      </c>
      <c r="BC106" s="86">
        <v>11920</v>
      </c>
      <c r="BD106" s="86">
        <v>11597</v>
      </c>
      <c r="BE106" s="86">
        <v>11079</v>
      </c>
      <c r="BF106" s="86">
        <v>10791</v>
      </c>
      <c r="BG106" s="86">
        <v>10436</v>
      </c>
      <c r="BH106" s="86">
        <v>10339</v>
      </c>
      <c r="BI106" s="86">
        <v>10001</v>
      </c>
      <c r="BJ106" s="86">
        <v>9819</v>
      </c>
      <c r="BK106" s="86">
        <v>9519</v>
      </c>
      <c r="BL106" s="86">
        <v>9350</v>
      </c>
      <c r="BM106" s="86">
        <v>8999</v>
      </c>
      <c r="BN106" s="86">
        <v>8905</v>
      </c>
      <c r="BO106" s="86">
        <v>8744</v>
      </c>
      <c r="BP106" s="86">
        <v>8574</v>
      </c>
      <c r="BQ106" s="86">
        <v>8321</v>
      </c>
      <c r="BR106" s="86">
        <v>8161</v>
      </c>
      <c r="BS106" s="86">
        <v>7936</v>
      </c>
      <c r="BT106" s="86">
        <v>7868</v>
      </c>
      <c r="BU106" s="86">
        <v>7772</v>
      </c>
      <c r="BV106" s="86">
        <v>7540</v>
      </c>
      <c r="BW106" s="86">
        <v>7578</v>
      </c>
      <c r="BX106" s="86">
        <v>7324</v>
      </c>
      <c r="BY106" s="86">
        <v>7156</v>
      </c>
      <c r="BZ106" s="86">
        <v>7012</v>
      </c>
      <c r="CA106" s="86">
        <v>6818</v>
      </c>
      <c r="CB106" s="86">
        <v>6669</v>
      </c>
      <c r="CC106" s="86">
        <v>6639</v>
      </c>
      <c r="CD106" s="86">
        <v>6625</v>
      </c>
      <c r="CE106" s="86">
        <v>6472</v>
      </c>
      <c r="CF106" s="86">
        <v>6316</v>
      </c>
      <c r="CG106" s="86">
        <v>58764</v>
      </c>
      <c r="CH106" s="86">
        <v>51640</v>
      </c>
      <c r="CI106" s="86">
        <v>46243</v>
      </c>
      <c r="CJ106" s="86">
        <v>41659</v>
      </c>
      <c r="CK106" s="86">
        <v>38760</v>
      </c>
      <c r="CL106" s="86">
        <v>36056</v>
      </c>
      <c r="CM106" s="86">
        <v>33845</v>
      </c>
      <c r="CN106" s="86">
        <v>31878</v>
      </c>
      <c r="CO106" s="86">
        <v>30108</v>
      </c>
      <c r="CP106" s="86">
        <v>28600</v>
      </c>
      <c r="CQ106" s="86">
        <v>27736</v>
      </c>
      <c r="CR106" s="86">
        <v>26232</v>
      </c>
      <c r="CS106" s="86">
        <v>25259</v>
      </c>
      <c r="CT106" s="86">
        <v>24417</v>
      </c>
      <c r="CU106" s="382"/>
    </row>
    <row r="107" spans="1:99" s="86" customFormat="1" x14ac:dyDescent="0.2">
      <c r="A107" s="375">
        <v>157</v>
      </c>
      <c r="B107" s="375">
        <v>38</v>
      </c>
      <c r="C107" s="349" t="s">
        <v>155</v>
      </c>
      <c r="D107" s="375">
        <v>11370</v>
      </c>
      <c r="E107" s="164">
        <f t="shared" si="2"/>
        <v>168819.95</v>
      </c>
      <c r="F107" s="394">
        <f t="shared" si="3"/>
        <v>132.06848270498853</v>
      </c>
      <c r="G107" s="86">
        <v>17760</v>
      </c>
      <c r="H107" s="86">
        <v>17884</v>
      </c>
      <c r="I107" s="86">
        <v>17877</v>
      </c>
      <c r="J107" s="86">
        <v>17736</v>
      </c>
      <c r="K107" s="86">
        <v>17680</v>
      </c>
      <c r="L107" s="86">
        <v>17530</v>
      </c>
      <c r="M107" s="86">
        <v>17792</v>
      </c>
      <c r="N107" s="86">
        <v>17604</v>
      </c>
      <c r="O107" s="86">
        <v>17628</v>
      </c>
      <c r="P107" s="86">
        <v>17354</v>
      </c>
      <c r="Q107" s="86">
        <v>17320</v>
      </c>
      <c r="R107" s="86">
        <v>17329</v>
      </c>
      <c r="S107" s="86">
        <v>17240</v>
      </c>
      <c r="T107" s="86">
        <v>17189</v>
      </c>
      <c r="U107" s="86">
        <v>16975</v>
      </c>
      <c r="V107" s="86">
        <v>17011</v>
      </c>
      <c r="W107" s="86">
        <v>16958</v>
      </c>
      <c r="X107" s="86">
        <v>16750</v>
      </c>
      <c r="Y107" s="86">
        <v>16670</v>
      </c>
      <c r="Z107" s="86">
        <v>16464</v>
      </c>
      <c r="AA107" s="86">
        <v>162470</v>
      </c>
      <c r="AB107" s="86">
        <v>153515</v>
      </c>
      <c r="AC107" s="86">
        <v>144960</v>
      </c>
      <c r="AD107" s="86">
        <v>136718</v>
      </c>
      <c r="AE107" s="86">
        <v>129435</v>
      </c>
      <c r="AF107" s="86">
        <v>121315</v>
      </c>
      <c r="AG107" s="86">
        <v>115266</v>
      </c>
      <c r="AH107" s="86">
        <v>108934</v>
      </c>
      <c r="AI107" s="86">
        <v>103752</v>
      </c>
      <c r="AJ107" s="86">
        <v>97756</v>
      </c>
      <c r="AK107" s="86">
        <v>92784</v>
      </c>
      <c r="AL107" s="86">
        <v>88050</v>
      </c>
      <c r="AM107" s="86">
        <v>83556</v>
      </c>
      <c r="AN107" s="86">
        <v>79717</v>
      </c>
      <c r="AO107" s="86">
        <v>75648</v>
      </c>
      <c r="AP107" s="86">
        <v>72219</v>
      </c>
      <c r="AQ107" s="86">
        <v>69559</v>
      </c>
      <c r="AR107" s="86">
        <v>66339</v>
      </c>
      <c r="AS107" s="86">
        <v>63466</v>
      </c>
      <c r="AT107" s="86">
        <v>60361</v>
      </c>
      <c r="AU107" s="86">
        <v>58329</v>
      </c>
      <c r="AV107" s="86">
        <v>55665</v>
      </c>
      <c r="AW107" s="86">
        <v>53909</v>
      </c>
      <c r="AX107" s="86">
        <v>51739</v>
      </c>
      <c r="AY107" s="86">
        <v>49594</v>
      </c>
      <c r="AZ107" s="86">
        <v>47582</v>
      </c>
      <c r="BA107" s="86">
        <v>45965</v>
      </c>
      <c r="BB107" s="86">
        <v>43861</v>
      </c>
      <c r="BC107" s="86">
        <v>42997</v>
      </c>
      <c r="BD107" s="86">
        <v>41416</v>
      </c>
      <c r="BE107" s="86">
        <v>40107</v>
      </c>
      <c r="BF107" s="86">
        <v>38603</v>
      </c>
      <c r="BG107" s="86">
        <v>37193</v>
      </c>
      <c r="BH107" s="86">
        <v>35805</v>
      </c>
      <c r="BI107" s="86">
        <v>35160</v>
      </c>
      <c r="BJ107" s="86">
        <v>34111</v>
      </c>
      <c r="BK107" s="86">
        <v>33183</v>
      </c>
      <c r="BL107" s="86">
        <v>31905</v>
      </c>
      <c r="BM107" s="86">
        <v>31014</v>
      </c>
      <c r="BN107" s="86">
        <v>30105</v>
      </c>
      <c r="BO107" s="86">
        <v>29049</v>
      </c>
      <c r="BP107" s="86">
        <v>28201</v>
      </c>
      <c r="BQ107" s="86">
        <v>27609</v>
      </c>
      <c r="BR107" s="86">
        <v>26896</v>
      </c>
      <c r="BS107" s="86">
        <v>26142</v>
      </c>
      <c r="BT107" s="86">
        <v>25174</v>
      </c>
      <c r="BU107" s="86">
        <v>24979</v>
      </c>
      <c r="BV107" s="86">
        <v>24274</v>
      </c>
      <c r="BW107" s="86">
        <v>23612</v>
      </c>
      <c r="BX107" s="86">
        <v>23232</v>
      </c>
      <c r="BY107" s="86">
        <v>22470</v>
      </c>
      <c r="BZ107" s="86">
        <v>21994</v>
      </c>
      <c r="CA107" s="86">
        <v>21424</v>
      </c>
      <c r="CB107" s="86">
        <v>21020</v>
      </c>
      <c r="CC107" s="86">
        <v>20482</v>
      </c>
      <c r="CD107" s="86">
        <v>19836</v>
      </c>
      <c r="CE107" s="86">
        <v>19728</v>
      </c>
      <c r="CF107" s="86">
        <v>19292</v>
      </c>
      <c r="CG107" s="86">
        <v>172404</v>
      </c>
      <c r="CH107" s="86">
        <v>142814</v>
      </c>
      <c r="CI107" s="86">
        <v>121043</v>
      </c>
      <c r="CJ107" s="86">
        <v>105152</v>
      </c>
      <c r="CK107" s="86">
        <v>92557</v>
      </c>
      <c r="CL107" s="86">
        <v>82188</v>
      </c>
      <c r="CM107" s="86">
        <v>74780</v>
      </c>
      <c r="CN107" s="86">
        <v>67727</v>
      </c>
      <c r="CO107" s="86">
        <v>62491</v>
      </c>
      <c r="CP107" s="86">
        <v>57378</v>
      </c>
      <c r="CQ107" s="86">
        <v>53510</v>
      </c>
      <c r="CR107" s="86">
        <v>49857</v>
      </c>
      <c r="CS107" s="86">
        <v>46912</v>
      </c>
      <c r="CT107" s="86">
        <v>44199</v>
      </c>
      <c r="CU107" s="382"/>
    </row>
    <row r="108" spans="1:99" s="86" customFormat="1" x14ac:dyDescent="0.2">
      <c r="A108" s="375">
        <v>161</v>
      </c>
      <c r="B108" s="375">
        <v>38</v>
      </c>
      <c r="C108" s="349" t="s">
        <v>156</v>
      </c>
      <c r="D108" s="375">
        <v>1516</v>
      </c>
      <c r="E108" s="164">
        <f t="shared" si="2"/>
        <v>37505.949999999997</v>
      </c>
      <c r="F108" s="394">
        <f t="shared" si="3"/>
        <v>63.729406066556578</v>
      </c>
      <c r="G108" s="86">
        <v>4050</v>
      </c>
      <c r="H108" s="86">
        <v>4136</v>
      </c>
      <c r="I108" s="86">
        <v>4057</v>
      </c>
      <c r="J108" s="86">
        <v>4149</v>
      </c>
      <c r="K108" s="86">
        <v>4076</v>
      </c>
      <c r="L108" s="86">
        <v>4102</v>
      </c>
      <c r="M108" s="86">
        <v>4092</v>
      </c>
      <c r="N108" s="86">
        <v>4069</v>
      </c>
      <c r="O108" s="86">
        <v>4044</v>
      </c>
      <c r="P108" s="86">
        <v>4098</v>
      </c>
      <c r="Q108" s="86">
        <v>4056</v>
      </c>
      <c r="R108" s="86">
        <v>4065</v>
      </c>
      <c r="S108" s="86">
        <v>4070</v>
      </c>
      <c r="T108" s="86">
        <v>4041</v>
      </c>
      <c r="U108" s="86">
        <v>3908</v>
      </c>
      <c r="V108" s="86">
        <v>3873</v>
      </c>
      <c r="W108" s="86">
        <v>3902</v>
      </c>
      <c r="X108" s="86">
        <v>3855</v>
      </c>
      <c r="Y108" s="86">
        <v>3914</v>
      </c>
      <c r="Z108" s="86">
        <v>3907</v>
      </c>
      <c r="AA108" s="86">
        <v>38272</v>
      </c>
      <c r="AB108" s="86">
        <v>36261</v>
      </c>
      <c r="AC108" s="86">
        <v>34714</v>
      </c>
      <c r="AD108" s="86">
        <v>32953</v>
      </c>
      <c r="AE108" s="86">
        <v>31268</v>
      </c>
      <c r="AF108" s="86">
        <v>29873</v>
      </c>
      <c r="AG108" s="86">
        <v>28647</v>
      </c>
      <c r="AH108" s="86">
        <v>26857</v>
      </c>
      <c r="AI108" s="86">
        <v>25771</v>
      </c>
      <c r="AJ108" s="86">
        <v>24540</v>
      </c>
      <c r="AK108" s="86">
        <v>23467</v>
      </c>
      <c r="AL108" s="86">
        <v>22494</v>
      </c>
      <c r="AM108" s="86">
        <v>21537</v>
      </c>
      <c r="AN108" s="86">
        <v>20790</v>
      </c>
      <c r="AO108" s="86">
        <v>19809</v>
      </c>
      <c r="AP108" s="86">
        <v>18936</v>
      </c>
      <c r="AQ108" s="86">
        <v>18412</v>
      </c>
      <c r="AR108" s="86">
        <v>17710</v>
      </c>
      <c r="AS108" s="86">
        <v>16991</v>
      </c>
      <c r="AT108" s="86">
        <v>16409</v>
      </c>
      <c r="AU108" s="86">
        <v>15816</v>
      </c>
      <c r="AV108" s="86">
        <v>15235</v>
      </c>
      <c r="AW108" s="86">
        <v>14704</v>
      </c>
      <c r="AX108" s="86">
        <v>14410</v>
      </c>
      <c r="AY108" s="86">
        <v>13961</v>
      </c>
      <c r="AZ108" s="86">
        <v>13456</v>
      </c>
      <c r="BA108" s="86">
        <v>13129</v>
      </c>
      <c r="BB108" s="86">
        <v>12681</v>
      </c>
      <c r="BC108" s="86">
        <v>12096</v>
      </c>
      <c r="BD108" s="86">
        <v>12174</v>
      </c>
      <c r="BE108" s="86">
        <v>11740</v>
      </c>
      <c r="BF108" s="86">
        <v>11563</v>
      </c>
      <c r="BG108" s="86">
        <v>11083</v>
      </c>
      <c r="BH108" s="86">
        <v>10804</v>
      </c>
      <c r="BI108" s="86">
        <v>10561</v>
      </c>
      <c r="BJ108" s="86">
        <v>10373</v>
      </c>
      <c r="BK108" s="86">
        <v>10155</v>
      </c>
      <c r="BL108" s="86">
        <v>10017</v>
      </c>
      <c r="BM108" s="86">
        <v>9710</v>
      </c>
      <c r="BN108" s="86">
        <v>9537</v>
      </c>
      <c r="BO108" s="86">
        <v>9203</v>
      </c>
      <c r="BP108" s="86">
        <v>9092</v>
      </c>
      <c r="BQ108" s="86">
        <v>8864</v>
      </c>
      <c r="BR108" s="86">
        <v>8584</v>
      </c>
      <c r="BS108" s="86">
        <v>8547</v>
      </c>
      <c r="BT108" s="86">
        <v>8306</v>
      </c>
      <c r="BU108" s="86">
        <v>8183</v>
      </c>
      <c r="BV108" s="86">
        <v>8138</v>
      </c>
      <c r="BW108" s="86">
        <v>7897</v>
      </c>
      <c r="BX108" s="86">
        <v>7809</v>
      </c>
      <c r="BY108" s="86">
        <v>7617</v>
      </c>
      <c r="BZ108" s="86">
        <v>7566</v>
      </c>
      <c r="CA108" s="86">
        <v>7487</v>
      </c>
      <c r="CB108" s="86">
        <v>7282</v>
      </c>
      <c r="CC108" s="86">
        <v>7088</v>
      </c>
      <c r="CD108" s="86">
        <v>6993</v>
      </c>
      <c r="CE108" s="86">
        <v>6876</v>
      </c>
      <c r="CF108" s="86">
        <v>6792</v>
      </c>
      <c r="CG108" s="86">
        <v>63475</v>
      </c>
      <c r="CH108" s="86">
        <v>55899</v>
      </c>
      <c r="CI108" s="86">
        <v>50120</v>
      </c>
      <c r="CJ108" s="86">
        <v>45793</v>
      </c>
      <c r="CK108" s="86">
        <v>42105</v>
      </c>
      <c r="CL108" s="86">
        <v>39271</v>
      </c>
      <c r="CM108" s="86">
        <v>37420</v>
      </c>
      <c r="CN108" s="86">
        <v>34694</v>
      </c>
      <c r="CO108" s="86">
        <v>33024</v>
      </c>
      <c r="CP108" s="86">
        <v>31548</v>
      </c>
      <c r="CQ108" s="86">
        <v>30300</v>
      </c>
      <c r="CR108" s="86">
        <v>28940</v>
      </c>
      <c r="CS108" s="86">
        <v>27709</v>
      </c>
      <c r="CT108" s="86">
        <v>26812</v>
      </c>
      <c r="CU108" s="382"/>
    </row>
    <row r="109" spans="1:99" s="86" customFormat="1" x14ac:dyDescent="0.2">
      <c r="A109" s="375">
        <v>166</v>
      </c>
      <c r="B109" s="375">
        <v>38</v>
      </c>
      <c r="C109" s="349" t="s">
        <v>155</v>
      </c>
      <c r="D109" s="375">
        <v>0</v>
      </c>
      <c r="E109" s="164">
        <f t="shared" si="2"/>
        <v>1531.45</v>
      </c>
      <c r="F109" s="394">
        <f t="shared" si="3"/>
        <v>15.032389591407025</v>
      </c>
      <c r="G109" s="86">
        <v>216</v>
      </c>
      <c r="H109" s="86">
        <v>240</v>
      </c>
      <c r="I109" s="86">
        <v>210</v>
      </c>
      <c r="J109" s="86">
        <v>220</v>
      </c>
      <c r="K109" s="86">
        <v>216</v>
      </c>
      <c r="L109" s="86">
        <v>211</v>
      </c>
      <c r="M109" s="86">
        <v>230</v>
      </c>
      <c r="N109" s="86">
        <v>199</v>
      </c>
      <c r="O109" s="86">
        <v>235</v>
      </c>
      <c r="P109" s="86">
        <v>225</v>
      </c>
      <c r="Q109" s="86">
        <v>235</v>
      </c>
      <c r="R109" s="86">
        <v>219</v>
      </c>
      <c r="S109" s="86">
        <v>226</v>
      </c>
      <c r="T109" s="86">
        <v>221</v>
      </c>
      <c r="U109" s="86">
        <v>220</v>
      </c>
      <c r="V109" s="86">
        <v>216</v>
      </c>
      <c r="W109" s="86">
        <v>215</v>
      </c>
      <c r="X109" s="86">
        <v>243</v>
      </c>
      <c r="Y109" s="86">
        <v>229</v>
      </c>
      <c r="Z109" s="86">
        <v>208</v>
      </c>
      <c r="AA109" s="86">
        <v>2148</v>
      </c>
      <c r="AB109" s="86">
        <v>2106</v>
      </c>
      <c r="AC109" s="86">
        <v>2066</v>
      </c>
      <c r="AD109" s="86">
        <v>2027</v>
      </c>
      <c r="AE109" s="86">
        <v>1952</v>
      </c>
      <c r="AF109" s="86">
        <v>1884</v>
      </c>
      <c r="AG109" s="86">
        <v>1824</v>
      </c>
      <c r="AH109" s="86">
        <v>1835</v>
      </c>
      <c r="AI109" s="86">
        <v>1719</v>
      </c>
      <c r="AJ109" s="86">
        <v>1621</v>
      </c>
      <c r="AK109" s="86">
        <v>1682</v>
      </c>
      <c r="AL109" s="86">
        <v>1683</v>
      </c>
      <c r="AM109" s="86">
        <v>1614</v>
      </c>
      <c r="AN109" s="86">
        <v>1547</v>
      </c>
      <c r="AO109" s="86">
        <v>1539</v>
      </c>
      <c r="AP109" s="86">
        <v>1473</v>
      </c>
      <c r="AQ109" s="86">
        <v>1446</v>
      </c>
      <c r="AR109" s="86">
        <v>1465</v>
      </c>
      <c r="AS109" s="86">
        <v>1451</v>
      </c>
      <c r="AT109" s="86">
        <v>1420</v>
      </c>
      <c r="AU109" s="86">
        <v>1382</v>
      </c>
      <c r="AV109" s="86">
        <v>1350</v>
      </c>
      <c r="AW109" s="86">
        <v>1284</v>
      </c>
      <c r="AX109" s="86">
        <v>1310</v>
      </c>
      <c r="AY109" s="86">
        <v>1273</v>
      </c>
      <c r="AZ109" s="86">
        <v>1247</v>
      </c>
      <c r="BA109" s="86">
        <v>1201</v>
      </c>
      <c r="BB109" s="86">
        <v>1226</v>
      </c>
      <c r="BC109" s="86">
        <v>1190</v>
      </c>
      <c r="BD109" s="86">
        <v>1184</v>
      </c>
      <c r="BE109" s="86">
        <v>1203</v>
      </c>
      <c r="BF109" s="86">
        <v>1172</v>
      </c>
      <c r="BG109" s="86">
        <v>1162</v>
      </c>
      <c r="BH109" s="86">
        <v>1121</v>
      </c>
      <c r="BI109" s="86">
        <v>1148</v>
      </c>
      <c r="BJ109" s="86">
        <v>1078</v>
      </c>
      <c r="BK109" s="86">
        <v>1090</v>
      </c>
      <c r="BL109" s="86">
        <v>1101</v>
      </c>
      <c r="BM109" s="86">
        <v>1069</v>
      </c>
      <c r="BN109" s="86">
        <v>1017</v>
      </c>
      <c r="BO109" s="86">
        <v>1131</v>
      </c>
      <c r="BP109" s="86">
        <v>1059</v>
      </c>
      <c r="BQ109" s="86">
        <v>1020</v>
      </c>
      <c r="BR109" s="86">
        <v>1040</v>
      </c>
      <c r="BS109" s="86">
        <v>1003</v>
      </c>
      <c r="BT109" s="86">
        <v>1033</v>
      </c>
      <c r="BU109" s="86">
        <v>1015</v>
      </c>
      <c r="BV109" s="86">
        <v>985</v>
      </c>
      <c r="BW109" s="86">
        <v>1006</v>
      </c>
      <c r="BX109" s="86">
        <v>1000</v>
      </c>
      <c r="BY109" s="86">
        <v>942</v>
      </c>
      <c r="BZ109" s="86">
        <v>985</v>
      </c>
      <c r="CA109" s="86">
        <v>968</v>
      </c>
      <c r="CB109" s="86">
        <v>944</v>
      </c>
      <c r="CC109" s="86">
        <v>943</v>
      </c>
      <c r="CD109" s="86">
        <v>943</v>
      </c>
      <c r="CE109" s="86">
        <v>975</v>
      </c>
      <c r="CF109" s="86">
        <v>927</v>
      </c>
      <c r="CG109" s="86">
        <v>9087</v>
      </c>
      <c r="CH109" s="86">
        <v>8706</v>
      </c>
      <c r="CI109" s="86">
        <v>8412</v>
      </c>
      <c r="CJ109" s="86">
        <v>8143</v>
      </c>
      <c r="CK109" s="86">
        <v>8019</v>
      </c>
      <c r="CL109" s="86">
        <v>7689</v>
      </c>
      <c r="CM109" s="86">
        <v>7514</v>
      </c>
      <c r="CN109" s="86">
        <v>7537</v>
      </c>
      <c r="CO109" s="86">
        <v>7284</v>
      </c>
      <c r="CP109" s="86">
        <v>7303</v>
      </c>
      <c r="CQ109" s="86">
        <v>7198</v>
      </c>
      <c r="CR109" s="86">
        <v>6994</v>
      </c>
      <c r="CS109" s="86">
        <v>6951</v>
      </c>
      <c r="CT109" s="86">
        <v>6760</v>
      </c>
      <c r="CU109" s="382"/>
    </row>
    <row r="110" spans="1:99" s="86" customFormat="1" x14ac:dyDescent="0.2">
      <c r="A110" s="375">
        <v>170</v>
      </c>
      <c r="B110" s="375">
        <v>38</v>
      </c>
      <c r="C110" s="349" t="s">
        <v>156</v>
      </c>
      <c r="D110" s="375">
        <v>1516</v>
      </c>
      <c r="E110" s="164">
        <f t="shared" si="2"/>
        <v>33399.449999999997</v>
      </c>
      <c r="F110" s="394">
        <f t="shared" si="3"/>
        <v>59.228804600334854</v>
      </c>
      <c r="G110" s="86">
        <v>3459</v>
      </c>
      <c r="H110" s="86">
        <v>3564</v>
      </c>
      <c r="I110" s="86">
        <v>3605</v>
      </c>
      <c r="J110" s="86">
        <v>3596</v>
      </c>
      <c r="K110" s="86">
        <v>3575</v>
      </c>
      <c r="L110" s="86">
        <v>3592</v>
      </c>
      <c r="M110" s="86">
        <v>3548</v>
      </c>
      <c r="N110" s="86">
        <v>3529</v>
      </c>
      <c r="O110" s="86">
        <v>3541</v>
      </c>
      <c r="P110" s="86">
        <v>3555</v>
      </c>
      <c r="Q110" s="86">
        <v>3401</v>
      </c>
      <c r="R110" s="86">
        <v>3473</v>
      </c>
      <c r="S110" s="86">
        <v>3450</v>
      </c>
      <c r="T110" s="86">
        <v>3386</v>
      </c>
      <c r="U110" s="86">
        <v>3480</v>
      </c>
      <c r="V110" s="86">
        <v>3432</v>
      </c>
      <c r="W110" s="86">
        <v>3389</v>
      </c>
      <c r="X110" s="86">
        <v>3393</v>
      </c>
      <c r="Y110" s="86">
        <v>3383</v>
      </c>
      <c r="Z110" s="86">
        <v>3344</v>
      </c>
      <c r="AA110" s="86">
        <v>32790</v>
      </c>
      <c r="AB110" s="86">
        <v>31395</v>
      </c>
      <c r="AC110" s="86">
        <v>29613</v>
      </c>
      <c r="AD110" s="86">
        <v>28044</v>
      </c>
      <c r="AE110" s="86">
        <v>26304</v>
      </c>
      <c r="AF110" s="86">
        <v>24803</v>
      </c>
      <c r="AG110" s="86">
        <v>23550</v>
      </c>
      <c r="AH110" s="86">
        <v>22426</v>
      </c>
      <c r="AI110" s="86">
        <v>21387</v>
      </c>
      <c r="AJ110" s="86">
        <v>20172</v>
      </c>
      <c r="AK110" s="86">
        <v>19125</v>
      </c>
      <c r="AL110" s="86">
        <v>18236</v>
      </c>
      <c r="AM110" s="86">
        <v>17442</v>
      </c>
      <c r="AN110" s="86">
        <v>16735</v>
      </c>
      <c r="AO110" s="86">
        <v>15949</v>
      </c>
      <c r="AP110" s="86">
        <v>15249</v>
      </c>
      <c r="AQ110" s="86">
        <v>14277</v>
      </c>
      <c r="AR110" s="86">
        <v>14054</v>
      </c>
      <c r="AS110" s="86">
        <v>13478</v>
      </c>
      <c r="AT110" s="86">
        <v>12984</v>
      </c>
      <c r="AU110" s="86">
        <v>12459</v>
      </c>
      <c r="AV110" s="86">
        <v>12015</v>
      </c>
      <c r="AW110" s="86">
        <v>11489</v>
      </c>
      <c r="AX110" s="86">
        <v>11215</v>
      </c>
      <c r="AY110" s="86">
        <v>10588</v>
      </c>
      <c r="AZ110" s="86">
        <v>10171</v>
      </c>
      <c r="BA110" s="86">
        <v>10025</v>
      </c>
      <c r="BB110" s="86">
        <v>9669</v>
      </c>
      <c r="BC110" s="86">
        <v>9308</v>
      </c>
      <c r="BD110" s="86">
        <v>8985</v>
      </c>
      <c r="BE110" s="86">
        <v>8800</v>
      </c>
      <c r="BF110" s="86">
        <v>8510</v>
      </c>
      <c r="BG110" s="86">
        <v>8327</v>
      </c>
      <c r="BH110" s="86">
        <v>7865</v>
      </c>
      <c r="BI110" s="86">
        <v>7774</v>
      </c>
      <c r="BJ110" s="86">
        <v>7484</v>
      </c>
      <c r="BK110" s="86">
        <v>7380</v>
      </c>
      <c r="BL110" s="86">
        <v>7164</v>
      </c>
      <c r="BM110" s="86">
        <v>6923</v>
      </c>
      <c r="BN110" s="86">
        <v>6781</v>
      </c>
      <c r="BO110" s="86">
        <v>6624</v>
      </c>
      <c r="BP110" s="86">
        <v>6509</v>
      </c>
      <c r="BQ110" s="86">
        <v>6275</v>
      </c>
      <c r="BR110" s="86">
        <v>6203</v>
      </c>
      <c r="BS110" s="86">
        <v>5971</v>
      </c>
      <c r="BT110" s="86">
        <v>5825</v>
      </c>
      <c r="BU110" s="86">
        <v>5604</v>
      </c>
      <c r="BV110" s="86">
        <v>5544</v>
      </c>
      <c r="BW110" s="86">
        <v>5440</v>
      </c>
      <c r="BX110" s="86">
        <v>5370</v>
      </c>
      <c r="BY110" s="86">
        <v>5144</v>
      </c>
      <c r="BZ110" s="86">
        <v>5078</v>
      </c>
      <c r="CA110" s="86">
        <v>5092</v>
      </c>
      <c r="CB110" s="86">
        <v>4858</v>
      </c>
      <c r="CC110" s="86">
        <v>4815</v>
      </c>
      <c r="CD110" s="86">
        <v>4501</v>
      </c>
      <c r="CE110" s="86">
        <v>4651</v>
      </c>
      <c r="CF110" s="86">
        <v>4579</v>
      </c>
      <c r="CG110" s="86">
        <v>41540</v>
      </c>
      <c r="CH110" s="86">
        <v>34920</v>
      </c>
      <c r="CI110" s="86">
        <v>30601</v>
      </c>
      <c r="CJ110" s="86">
        <v>27331</v>
      </c>
      <c r="CK110" s="86">
        <v>24424</v>
      </c>
      <c r="CL110" s="86">
        <v>22426</v>
      </c>
      <c r="CM110" s="86">
        <v>20592</v>
      </c>
      <c r="CN110" s="86">
        <v>19245</v>
      </c>
      <c r="CO110" s="86">
        <v>18188</v>
      </c>
      <c r="CP110" s="86">
        <v>17076</v>
      </c>
      <c r="CQ110" s="86">
        <v>16168</v>
      </c>
      <c r="CR110" s="86">
        <v>15042</v>
      </c>
      <c r="CS110" s="86">
        <v>14815</v>
      </c>
      <c r="CT110" s="86">
        <v>14146</v>
      </c>
      <c r="CU110" s="382"/>
    </row>
    <row r="111" spans="1:99" s="86" customFormat="1" x14ac:dyDescent="0.2">
      <c r="A111" s="375">
        <v>175</v>
      </c>
      <c r="B111" s="375">
        <v>38</v>
      </c>
      <c r="C111" s="349" t="s">
        <v>155</v>
      </c>
      <c r="D111" s="375">
        <v>3790</v>
      </c>
      <c r="E111" s="164">
        <f t="shared" si="2"/>
        <v>73004</v>
      </c>
      <c r="F111" s="394">
        <f t="shared" si="3"/>
        <v>87.072135786915354</v>
      </c>
      <c r="G111" s="86">
        <v>7648</v>
      </c>
      <c r="H111" s="86">
        <v>7681</v>
      </c>
      <c r="I111" s="86">
        <v>7834</v>
      </c>
      <c r="J111" s="86">
        <v>7825</v>
      </c>
      <c r="K111" s="86">
        <v>7935</v>
      </c>
      <c r="L111" s="86">
        <v>7637</v>
      </c>
      <c r="M111" s="86">
        <v>7572</v>
      </c>
      <c r="N111" s="86">
        <v>7578</v>
      </c>
      <c r="O111" s="86">
        <v>7658</v>
      </c>
      <c r="P111" s="86">
        <v>7571</v>
      </c>
      <c r="Q111" s="86">
        <v>7466</v>
      </c>
      <c r="R111" s="86">
        <v>7578</v>
      </c>
      <c r="S111" s="86">
        <v>7467</v>
      </c>
      <c r="T111" s="86">
        <v>7303</v>
      </c>
      <c r="U111" s="86">
        <v>7399</v>
      </c>
      <c r="V111" s="86">
        <v>7354</v>
      </c>
      <c r="W111" s="86">
        <v>7372</v>
      </c>
      <c r="X111" s="86">
        <v>7277</v>
      </c>
      <c r="Y111" s="86">
        <v>7233</v>
      </c>
      <c r="Z111" s="86">
        <v>7327</v>
      </c>
      <c r="AA111" s="86">
        <v>70839</v>
      </c>
      <c r="AB111" s="86">
        <v>66838</v>
      </c>
      <c r="AC111" s="86">
        <v>63581</v>
      </c>
      <c r="AD111" s="86">
        <v>59915</v>
      </c>
      <c r="AE111" s="86">
        <v>56297</v>
      </c>
      <c r="AF111" s="86">
        <v>53361</v>
      </c>
      <c r="AG111" s="86">
        <v>50201</v>
      </c>
      <c r="AH111" s="86">
        <v>47545</v>
      </c>
      <c r="AI111" s="86">
        <v>45228</v>
      </c>
      <c r="AJ111" s="86">
        <v>43262</v>
      </c>
      <c r="AK111" s="86">
        <v>40639</v>
      </c>
      <c r="AL111" s="86">
        <v>38981</v>
      </c>
      <c r="AM111" s="86">
        <v>37059</v>
      </c>
      <c r="AN111" s="86">
        <v>35297</v>
      </c>
      <c r="AO111" s="86">
        <v>33740</v>
      </c>
      <c r="AP111" s="86">
        <v>32062</v>
      </c>
      <c r="AQ111" s="86">
        <v>30565</v>
      </c>
      <c r="AR111" s="86">
        <v>29691</v>
      </c>
      <c r="AS111" s="86">
        <v>28304</v>
      </c>
      <c r="AT111" s="86">
        <v>27120</v>
      </c>
      <c r="AU111" s="86">
        <v>26130</v>
      </c>
      <c r="AV111" s="86">
        <v>24906</v>
      </c>
      <c r="AW111" s="86">
        <v>24109</v>
      </c>
      <c r="AX111" s="86">
        <v>22995</v>
      </c>
      <c r="AY111" s="86">
        <v>22320</v>
      </c>
      <c r="AZ111" s="86">
        <v>21361</v>
      </c>
      <c r="BA111" s="86">
        <v>20728</v>
      </c>
      <c r="BB111" s="86">
        <v>19931</v>
      </c>
      <c r="BC111" s="86">
        <v>19432</v>
      </c>
      <c r="BD111" s="86">
        <v>18826</v>
      </c>
      <c r="BE111" s="86">
        <v>18042</v>
      </c>
      <c r="BF111" s="86">
        <v>17564</v>
      </c>
      <c r="BG111" s="86">
        <v>16960</v>
      </c>
      <c r="BH111" s="86">
        <v>16331</v>
      </c>
      <c r="BI111" s="86">
        <v>15804</v>
      </c>
      <c r="BJ111" s="86">
        <v>15245</v>
      </c>
      <c r="BK111" s="86">
        <v>15073</v>
      </c>
      <c r="BL111" s="86">
        <v>14562</v>
      </c>
      <c r="BM111" s="86">
        <v>14095</v>
      </c>
      <c r="BN111" s="86">
        <v>13665</v>
      </c>
      <c r="BO111" s="86">
        <v>13405</v>
      </c>
      <c r="BP111" s="86">
        <v>12934</v>
      </c>
      <c r="BQ111" s="86">
        <v>12653</v>
      </c>
      <c r="BR111" s="86">
        <v>12411</v>
      </c>
      <c r="BS111" s="86">
        <v>12003</v>
      </c>
      <c r="BT111" s="86">
        <v>11627</v>
      </c>
      <c r="BU111" s="86">
        <v>11380</v>
      </c>
      <c r="BV111" s="86">
        <v>11144</v>
      </c>
      <c r="BW111" s="86">
        <v>10881</v>
      </c>
      <c r="BX111" s="86">
        <v>10542</v>
      </c>
      <c r="BY111" s="86">
        <v>10269</v>
      </c>
      <c r="BZ111" s="86">
        <v>10076</v>
      </c>
      <c r="CA111" s="86">
        <v>10033</v>
      </c>
      <c r="CB111" s="86">
        <v>9716</v>
      </c>
      <c r="CC111" s="86">
        <v>9470</v>
      </c>
      <c r="CD111" s="86">
        <v>9360</v>
      </c>
      <c r="CE111" s="86">
        <v>9148</v>
      </c>
      <c r="CF111" s="86">
        <v>8992</v>
      </c>
      <c r="CG111" s="86">
        <v>80195</v>
      </c>
      <c r="CH111" s="86">
        <v>67254</v>
      </c>
      <c r="CI111" s="86">
        <v>56953</v>
      </c>
      <c r="CJ111" s="86">
        <v>49992</v>
      </c>
      <c r="CK111" s="86">
        <v>44853</v>
      </c>
      <c r="CL111" s="86">
        <v>40165</v>
      </c>
      <c r="CM111" s="86">
        <v>36530</v>
      </c>
      <c r="CN111" s="86">
        <v>33313</v>
      </c>
      <c r="CO111" s="86">
        <v>30874</v>
      </c>
      <c r="CP111" s="86">
        <v>28741</v>
      </c>
      <c r="CQ111" s="86">
        <v>26812</v>
      </c>
      <c r="CR111" s="86">
        <v>25545</v>
      </c>
      <c r="CS111" s="86">
        <v>24284</v>
      </c>
      <c r="CT111" s="86">
        <v>22786</v>
      </c>
      <c r="CU111" s="382"/>
    </row>
    <row r="112" spans="1:99" s="86" customFormat="1" x14ac:dyDescent="0.2">
      <c r="A112" s="379">
        <v>179</v>
      </c>
      <c r="B112" s="379">
        <v>38</v>
      </c>
      <c r="C112" s="351" t="s">
        <v>156</v>
      </c>
      <c r="D112" s="379">
        <v>1516</v>
      </c>
      <c r="E112" s="381">
        <f t="shared" si="2"/>
        <v>34504.800000000003</v>
      </c>
      <c r="F112" s="395">
        <f t="shared" si="3"/>
        <v>60.588346271408867</v>
      </c>
      <c r="G112" s="87">
        <v>3769</v>
      </c>
      <c r="H112" s="87">
        <v>3758</v>
      </c>
      <c r="I112" s="87">
        <v>3716</v>
      </c>
      <c r="J112" s="87">
        <v>3714</v>
      </c>
      <c r="K112" s="87">
        <v>3740</v>
      </c>
      <c r="L112" s="87">
        <v>3675</v>
      </c>
      <c r="M112" s="87">
        <v>3628</v>
      </c>
      <c r="N112" s="87">
        <v>3636</v>
      </c>
      <c r="O112" s="87">
        <v>3665</v>
      </c>
      <c r="P112" s="87">
        <v>3623</v>
      </c>
      <c r="Q112" s="87">
        <v>3646</v>
      </c>
      <c r="R112" s="87">
        <v>3670</v>
      </c>
      <c r="S112" s="87">
        <v>3648</v>
      </c>
      <c r="T112" s="87">
        <v>3669</v>
      </c>
      <c r="U112" s="87">
        <v>3542</v>
      </c>
      <c r="V112" s="87">
        <v>3519</v>
      </c>
      <c r="W112" s="87">
        <v>3548</v>
      </c>
      <c r="X112" s="87">
        <v>3602</v>
      </c>
      <c r="Y112" s="87">
        <v>3515</v>
      </c>
      <c r="Z112" s="87">
        <v>3586</v>
      </c>
      <c r="AA112" s="87">
        <v>34361</v>
      </c>
      <c r="AB112" s="87">
        <v>32228</v>
      </c>
      <c r="AC112" s="87">
        <v>30611</v>
      </c>
      <c r="AD112" s="87">
        <v>28920</v>
      </c>
      <c r="AE112" s="87">
        <v>27788</v>
      </c>
      <c r="AF112" s="87">
        <v>26230</v>
      </c>
      <c r="AG112" s="87">
        <v>25104</v>
      </c>
      <c r="AH112" s="87">
        <v>23568</v>
      </c>
      <c r="AI112" s="87">
        <v>22524</v>
      </c>
      <c r="AJ112" s="87">
        <v>21447</v>
      </c>
      <c r="AK112" s="87">
        <v>20224</v>
      </c>
      <c r="AL112" s="87">
        <v>19515</v>
      </c>
      <c r="AM112" s="87">
        <v>18633</v>
      </c>
      <c r="AN112" s="87">
        <v>17788</v>
      </c>
      <c r="AO112" s="87">
        <v>17143</v>
      </c>
      <c r="AP112" s="87">
        <v>16440</v>
      </c>
      <c r="AQ112" s="87">
        <v>15602</v>
      </c>
      <c r="AR112" s="87">
        <v>15036</v>
      </c>
      <c r="AS112" s="87">
        <v>14455</v>
      </c>
      <c r="AT112" s="87">
        <v>14056</v>
      </c>
      <c r="AU112" s="87">
        <v>13364</v>
      </c>
      <c r="AV112" s="87">
        <v>13121</v>
      </c>
      <c r="AW112" s="87">
        <v>12411</v>
      </c>
      <c r="AX112" s="87">
        <v>12223</v>
      </c>
      <c r="AY112" s="87">
        <v>11719</v>
      </c>
      <c r="AZ112" s="87">
        <v>11378</v>
      </c>
      <c r="BA112" s="87">
        <v>10928</v>
      </c>
      <c r="BB112" s="87">
        <v>10244</v>
      </c>
      <c r="BC112" s="87">
        <v>10459</v>
      </c>
      <c r="BD112" s="87">
        <v>10115</v>
      </c>
      <c r="BE112" s="87">
        <v>9768</v>
      </c>
      <c r="BF112" s="87">
        <v>9608</v>
      </c>
      <c r="BG112" s="87">
        <v>9199</v>
      </c>
      <c r="BH112" s="87">
        <v>8879</v>
      </c>
      <c r="BI112" s="87">
        <v>8646</v>
      </c>
      <c r="BJ112" s="87">
        <v>8606</v>
      </c>
      <c r="BK112" s="87">
        <v>8229</v>
      </c>
      <c r="BL112" s="87">
        <v>8115</v>
      </c>
      <c r="BM112" s="87">
        <v>7721</v>
      </c>
      <c r="BN112" s="87">
        <v>7671</v>
      </c>
      <c r="BO112" s="87">
        <v>7502</v>
      </c>
      <c r="BP112" s="87">
        <v>7347</v>
      </c>
      <c r="BQ112" s="87">
        <v>7133</v>
      </c>
      <c r="BR112" s="87">
        <v>7062</v>
      </c>
      <c r="BS112" s="87">
        <v>6897</v>
      </c>
      <c r="BT112" s="87">
        <v>6798</v>
      </c>
      <c r="BU112" s="87">
        <v>6561</v>
      </c>
      <c r="BV112" s="87">
        <v>6477</v>
      </c>
      <c r="BW112" s="87">
        <v>6271</v>
      </c>
      <c r="BX112" s="87">
        <v>6115</v>
      </c>
      <c r="BY112" s="87">
        <v>6115</v>
      </c>
      <c r="BZ112" s="87">
        <v>6016</v>
      </c>
      <c r="CA112" s="87">
        <v>5916</v>
      </c>
      <c r="CB112" s="87">
        <v>5678</v>
      </c>
      <c r="CC112" s="87">
        <v>5627</v>
      </c>
      <c r="CD112" s="87">
        <v>5521</v>
      </c>
      <c r="CE112" s="87">
        <v>5417</v>
      </c>
      <c r="CF112" s="87">
        <v>5297</v>
      </c>
      <c r="CG112" s="87">
        <v>49209</v>
      </c>
      <c r="CH112" s="87">
        <v>42978</v>
      </c>
      <c r="CI112" s="87">
        <v>38054</v>
      </c>
      <c r="CJ112" s="87">
        <v>34015</v>
      </c>
      <c r="CK112" s="87">
        <v>31008</v>
      </c>
      <c r="CL112" s="87">
        <v>28878</v>
      </c>
      <c r="CM112" s="87">
        <v>26817</v>
      </c>
      <c r="CN112" s="87">
        <v>24998</v>
      </c>
      <c r="CO112" s="87">
        <v>23734</v>
      </c>
      <c r="CP112" s="87">
        <v>22397</v>
      </c>
      <c r="CQ112" s="87">
        <v>21344</v>
      </c>
      <c r="CR112" s="87">
        <v>20443</v>
      </c>
      <c r="CS112" s="87">
        <v>19726</v>
      </c>
      <c r="CT112" s="87">
        <v>18868</v>
      </c>
      <c r="CU112" s="382"/>
    </row>
    <row r="113" spans="1:99" s="86" customFormat="1" x14ac:dyDescent="0.2">
      <c r="A113" s="375">
        <v>75</v>
      </c>
      <c r="B113" s="375">
        <v>39</v>
      </c>
      <c r="C113" s="349" t="s">
        <v>155</v>
      </c>
      <c r="D113" s="376">
        <v>0</v>
      </c>
      <c r="E113" s="164">
        <f t="shared" si="2"/>
        <v>31037.3</v>
      </c>
      <c r="F113" s="394">
        <f t="shared" si="3"/>
        <v>57.711885069793659</v>
      </c>
      <c r="G113" s="83">
        <v>3340</v>
      </c>
      <c r="H113" s="83">
        <v>3334</v>
      </c>
      <c r="I113" s="83">
        <v>3381</v>
      </c>
      <c r="J113" s="83">
        <v>3346</v>
      </c>
      <c r="K113" s="83">
        <v>3316</v>
      </c>
      <c r="L113" s="83">
        <v>3389</v>
      </c>
      <c r="M113" s="83">
        <v>3395</v>
      </c>
      <c r="N113" s="83">
        <v>3395</v>
      </c>
      <c r="O113" s="83">
        <v>3269</v>
      </c>
      <c r="P113" s="83">
        <v>3300</v>
      </c>
      <c r="Q113" s="83">
        <v>3275</v>
      </c>
      <c r="R113" s="83">
        <v>3286</v>
      </c>
      <c r="S113" s="83">
        <v>3287</v>
      </c>
      <c r="T113" s="83">
        <v>3294</v>
      </c>
      <c r="U113" s="83">
        <v>3268</v>
      </c>
      <c r="V113" s="83">
        <v>3338</v>
      </c>
      <c r="W113" s="83">
        <v>3233</v>
      </c>
      <c r="X113" s="83">
        <v>3221</v>
      </c>
      <c r="Y113" s="83">
        <v>3168</v>
      </c>
      <c r="Z113" s="83">
        <v>3208</v>
      </c>
      <c r="AA113" s="83">
        <v>31253</v>
      </c>
      <c r="AB113" s="83">
        <v>29915</v>
      </c>
      <c r="AC113" s="83">
        <v>28300</v>
      </c>
      <c r="AD113" s="83">
        <v>26856</v>
      </c>
      <c r="AE113" s="83">
        <v>25657</v>
      </c>
      <c r="AF113" s="83">
        <v>24537</v>
      </c>
      <c r="AG113" s="83">
        <v>23213</v>
      </c>
      <c r="AH113" s="83">
        <v>22504</v>
      </c>
      <c r="AI113" s="83">
        <v>21367</v>
      </c>
      <c r="AJ113" s="83">
        <v>20428</v>
      </c>
      <c r="AK113" s="83">
        <v>19648</v>
      </c>
      <c r="AL113" s="83">
        <v>18799</v>
      </c>
      <c r="AM113" s="83">
        <v>17840</v>
      </c>
      <c r="AN113" s="83">
        <v>17136</v>
      </c>
      <c r="AO113" s="83">
        <v>16602</v>
      </c>
      <c r="AP113" s="83">
        <v>15935</v>
      </c>
      <c r="AQ113" s="83">
        <v>15241</v>
      </c>
      <c r="AR113" s="83">
        <v>14816</v>
      </c>
      <c r="AS113" s="83">
        <v>14312</v>
      </c>
      <c r="AT113" s="83">
        <v>13694</v>
      </c>
      <c r="AU113" s="83">
        <v>13322</v>
      </c>
      <c r="AV113" s="83">
        <v>12877</v>
      </c>
      <c r="AW113" s="83">
        <v>12506</v>
      </c>
      <c r="AX113" s="83">
        <v>12111</v>
      </c>
      <c r="AY113" s="83">
        <v>11692</v>
      </c>
      <c r="AZ113" s="83">
        <v>11350</v>
      </c>
      <c r="BA113" s="83">
        <v>11038</v>
      </c>
      <c r="BB113" s="83">
        <v>10693</v>
      </c>
      <c r="BC113" s="83">
        <v>10520</v>
      </c>
      <c r="BD113" s="83">
        <v>10069</v>
      </c>
      <c r="BE113" s="83">
        <v>9925</v>
      </c>
      <c r="BF113" s="83">
        <v>9568</v>
      </c>
      <c r="BG113" s="83">
        <v>9280</v>
      </c>
      <c r="BH113" s="83">
        <v>9131</v>
      </c>
      <c r="BI113" s="83">
        <v>8938</v>
      </c>
      <c r="BJ113" s="83">
        <v>8667</v>
      </c>
      <c r="BK113" s="83">
        <v>8456</v>
      </c>
      <c r="BL113" s="83">
        <v>8154</v>
      </c>
      <c r="BM113" s="83">
        <v>7981</v>
      </c>
      <c r="BN113" s="83">
        <v>7914</v>
      </c>
      <c r="BO113" s="83">
        <v>7689</v>
      </c>
      <c r="BP113" s="83">
        <v>7547</v>
      </c>
      <c r="BQ113" s="83">
        <v>7416</v>
      </c>
      <c r="BR113" s="83">
        <v>7303</v>
      </c>
      <c r="BS113" s="83">
        <v>6956</v>
      </c>
      <c r="BT113" s="83">
        <v>6954</v>
      </c>
      <c r="BU113" s="83">
        <v>6671</v>
      </c>
      <c r="BV113" s="83">
        <v>6578</v>
      </c>
      <c r="BW113" s="83">
        <v>6492</v>
      </c>
      <c r="BX113" s="83">
        <v>6403</v>
      </c>
      <c r="BY113" s="83">
        <v>6372</v>
      </c>
      <c r="BZ113" s="83">
        <v>6150</v>
      </c>
      <c r="CA113" s="83">
        <v>6048</v>
      </c>
      <c r="CB113" s="83">
        <v>6012</v>
      </c>
      <c r="CC113" s="83">
        <v>5871</v>
      </c>
      <c r="CD113" s="83">
        <v>5785</v>
      </c>
      <c r="CE113" s="83">
        <v>5703</v>
      </c>
      <c r="CF113" s="83">
        <v>5611</v>
      </c>
      <c r="CG113" s="83">
        <v>50876</v>
      </c>
      <c r="CH113" s="83">
        <v>44350</v>
      </c>
      <c r="CI113" s="83">
        <v>39427</v>
      </c>
      <c r="CJ113" s="83">
        <v>35408</v>
      </c>
      <c r="CK113" s="83">
        <v>32409</v>
      </c>
      <c r="CL113" s="83">
        <v>30018</v>
      </c>
      <c r="CM113" s="83">
        <v>27674</v>
      </c>
      <c r="CN113" s="83">
        <v>26041</v>
      </c>
      <c r="CO113" s="83">
        <v>24924</v>
      </c>
      <c r="CP113" s="83">
        <v>23071</v>
      </c>
      <c r="CQ113" s="83">
        <v>22059</v>
      </c>
      <c r="CR113" s="83">
        <v>21261</v>
      </c>
      <c r="CS113" s="83">
        <v>20158</v>
      </c>
      <c r="CT113" s="83">
        <v>19526</v>
      </c>
      <c r="CU113" s="382"/>
    </row>
    <row r="114" spans="1:99" s="86" customFormat="1" x14ac:dyDescent="0.2">
      <c r="A114" s="375">
        <v>79</v>
      </c>
      <c r="B114" s="375">
        <v>39</v>
      </c>
      <c r="C114" s="349" t="s">
        <v>156</v>
      </c>
      <c r="D114" s="376">
        <v>1515</v>
      </c>
      <c r="E114" s="164">
        <f t="shared" si="2"/>
        <v>6409.9</v>
      </c>
      <c r="F114" s="394">
        <f t="shared" si="3"/>
        <v>27.975252786292245</v>
      </c>
      <c r="G114" s="83">
        <v>825</v>
      </c>
      <c r="H114" s="83">
        <v>781</v>
      </c>
      <c r="I114" s="83">
        <v>758</v>
      </c>
      <c r="J114" s="83">
        <v>778</v>
      </c>
      <c r="K114" s="83">
        <v>782</v>
      </c>
      <c r="L114" s="83">
        <v>766</v>
      </c>
      <c r="M114" s="83">
        <v>766</v>
      </c>
      <c r="N114" s="83">
        <v>826</v>
      </c>
      <c r="O114" s="83">
        <v>777</v>
      </c>
      <c r="P114" s="83">
        <v>787</v>
      </c>
      <c r="Q114" s="83">
        <v>783</v>
      </c>
      <c r="R114" s="83">
        <v>769</v>
      </c>
      <c r="S114" s="83">
        <v>747</v>
      </c>
      <c r="T114" s="83">
        <v>736</v>
      </c>
      <c r="U114" s="83">
        <v>742</v>
      </c>
      <c r="V114" s="83">
        <v>771</v>
      </c>
      <c r="W114" s="83">
        <v>778</v>
      </c>
      <c r="X114" s="83">
        <v>788</v>
      </c>
      <c r="Y114" s="83">
        <v>743</v>
      </c>
      <c r="Z114" s="83">
        <v>715</v>
      </c>
      <c r="AA114" s="83">
        <v>7365</v>
      </c>
      <c r="AB114" s="83">
        <v>7179</v>
      </c>
      <c r="AC114" s="83">
        <v>6969</v>
      </c>
      <c r="AD114" s="83">
        <v>6759</v>
      </c>
      <c r="AE114" s="83">
        <v>6525</v>
      </c>
      <c r="AF114" s="83">
        <v>6201</v>
      </c>
      <c r="AG114" s="83">
        <v>6057</v>
      </c>
      <c r="AH114" s="83">
        <v>5673</v>
      </c>
      <c r="AI114" s="83">
        <v>5587</v>
      </c>
      <c r="AJ114" s="83">
        <v>5374</v>
      </c>
      <c r="AK114" s="83">
        <v>5135</v>
      </c>
      <c r="AL114" s="83">
        <v>5111</v>
      </c>
      <c r="AM114" s="83">
        <v>4851</v>
      </c>
      <c r="AN114" s="83">
        <v>4752</v>
      </c>
      <c r="AO114" s="83">
        <v>4647</v>
      </c>
      <c r="AP114" s="83">
        <v>4438</v>
      </c>
      <c r="AQ114" s="83">
        <v>4350</v>
      </c>
      <c r="AR114" s="83">
        <v>4329</v>
      </c>
      <c r="AS114" s="83">
        <v>4086</v>
      </c>
      <c r="AT114" s="83">
        <v>4064</v>
      </c>
      <c r="AU114" s="83">
        <v>4003</v>
      </c>
      <c r="AV114" s="83">
        <v>3802</v>
      </c>
      <c r="AW114" s="83">
        <v>3815</v>
      </c>
      <c r="AX114" s="83">
        <v>3707</v>
      </c>
      <c r="AY114" s="83">
        <v>3544</v>
      </c>
      <c r="AZ114" s="83">
        <v>3573</v>
      </c>
      <c r="BA114" s="83">
        <v>3472</v>
      </c>
      <c r="BB114" s="83">
        <v>3356</v>
      </c>
      <c r="BC114" s="83">
        <v>3387</v>
      </c>
      <c r="BD114" s="83">
        <v>3234</v>
      </c>
      <c r="BE114" s="83">
        <v>3255</v>
      </c>
      <c r="BF114" s="83">
        <v>3129</v>
      </c>
      <c r="BG114" s="83">
        <v>3130</v>
      </c>
      <c r="BH114" s="83">
        <v>3060</v>
      </c>
      <c r="BI114" s="83">
        <v>3012</v>
      </c>
      <c r="BJ114" s="83">
        <v>2991</v>
      </c>
      <c r="BK114" s="83">
        <v>2942</v>
      </c>
      <c r="BL114" s="83">
        <v>2882</v>
      </c>
      <c r="BM114" s="83">
        <v>2887</v>
      </c>
      <c r="BN114" s="83">
        <v>2750</v>
      </c>
      <c r="BO114" s="83">
        <v>2784</v>
      </c>
      <c r="BP114" s="83">
        <v>2699</v>
      </c>
      <c r="BQ114" s="83">
        <v>2662</v>
      </c>
      <c r="BR114" s="83">
        <v>2697</v>
      </c>
      <c r="BS114" s="83">
        <v>2671</v>
      </c>
      <c r="BT114" s="83">
        <v>2578</v>
      </c>
      <c r="BU114" s="83">
        <v>2534</v>
      </c>
      <c r="BV114" s="83">
        <v>2554</v>
      </c>
      <c r="BW114" s="83">
        <v>2453</v>
      </c>
      <c r="BX114" s="83">
        <v>2435</v>
      </c>
      <c r="BY114" s="83">
        <v>2481</v>
      </c>
      <c r="BZ114" s="83">
        <v>2431</v>
      </c>
      <c r="CA114" s="83">
        <v>2376</v>
      </c>
      <c r="CB114" s="83">
        <v>2397</v>
      </c>
      <c r="CC114" s="83">
        <v>2377</v>
      </c>
      <c r="CD114" s="83">
        <v>2300</v>
      </c>
      <c r="CE114" s="83">
        <v>2414</v>
      </c>
      <c r="CF114" s="83">
        <v>2302</v>
      </c>
      <c r="CG114" s="83">
        <v>21568</v>
      </c>
      <c r="CH114" s="83">
        <v>19951</v>
      </c>
      <c r="CI114" s="83">
        <v>18818</v>
      </c>
      <c r="CJ114" s="83">
        <v>17881</v>
      </c>
      <c r="CK114" s="83">
        <v>16825</v>
      </c>
      <c r="CL114" s="83">
        <v>16192</v>
      </c>
      <c r="CM114" s="83">
        <v>15668</v>
      </c>
      <c r="CN114" s="83">
        <v>14958</v>
      </c>
      <c r="CO114" s="83">
        <v>14598</v>
      </c>
      <c r="CP114" s="83">
        <v>14233</v>
      </c>
      <c r="CQ114" s="83">
        <v>13929</v>
      </c>
      <c r="CR114" s="83">
        <v>13386</v>
      </c>
      <c r="CS114" s="83">
        <v>13236</v>
      </c>
      <c r="CT114" s="83">
        <v>12746</v>
      </c>
      <c r="CU114" s="382"/>
    </row>
    <row r="115" spans="1:99" s="86" customFormat="1" x14ac:dyDescent="0.2">
      <c r="A115" s="375">
        <v>184</v>
      </c>
      <c r="B115" s="375">
        <v>39</v>
      </c>
      <c r="C115" s="349" t="s">
        <v>155</v>
      </c>
      <c r="D115" s="376">
        <v>3790</v>
      </c>
      <c r="E115" s="164">
        <f t="shared" si="2"/>
        <v>12930.25</v>
      </c>
      <c r="F115" s="394">
        <f t="shared" si="3"/>
        <v>37.61853638313535</v>
      </c>
      <c r="G115" s="83">
        <v>1467</v>
      </c>
      <c r="H115" s="83">
        <v>1456</v>
      </c>
      <c r="I115" s="83">
        <v>1415</v>
      </c>
      <c r="J115" s="83">
        <v>1412</v>
      </c>
      <c r="K115" s="83">
        <v>1417</v>
      </c>
      <c r="L115" s="83">
        <v>1423</v>
      </c>
      <c r="M115" s="83">
        <v>1394</v>
      </c>
      <c r="N115" s="83">
        <v>1407</v>
      </c>
      <c r="O115" s="83">
        <v>1359</v>
      </c>
      <c r="P115" s="83">
        <v>1453</v>
      </c>
      <c r="Q115" s="83">
        <v>1385</v>
      </c>
      <c r="R115" s="83">
        <v>1402</v>
      </c>
      <c r="S115" s="83">
        <v>1412</v>
      </c>
      <c r="T115" s="83">
        <v>1419</v>
      </c>
      <c r="U115" s="83">
        <v>1379</v>
      </c>
      <c r="V115" s="83">
        <v>1319</v>
      </c>
      <c r="W115" s="83">
        <v>1374</v>
      </c>
      <c r="X115" s="83">
        <v>1400</v>
      </c>
      <c r="Y115" s="83">
        <v>1369</v>
      </c>
      <c r="Z115" s="83">
        <v>1377</v>
      </c>
      <c r="AA115" s="83">
        <v>13472</v>
      </c>
      <c r="AB115" s="83">
        <v>12721</v>
      </c>
      <c r="AC115" s="83">
        <v>12087</v>
      </c>
      <c r="AD115" s="83">
        <v>11580</v>
      </c>
      <c r="AE115" s="83">
        <v>11060</v>
      </c>
      <c r="AF115" s="83">
        <v>10538</v>
      </c>
      <c r="AG115" s="83">
        <v>9996</v>
      </c>
      <c r="AH115" s="83">
        <v>9477</v>
      </c>
      <c r="AI115" s="83">
        <v>9056</v>
      </c>
      <c r="AJ115" s="83">
        <v>8738</v>
      </c>
      <c r="AK115" s="83">
        <v>8427</v>
      </c>
      <c r="AL115" s="83">
        <v>7966</v>
      </c>
      <c r="AM115" s="83">
        <v>7720</v>
      </c>
      <c r="AN115" s="83">
        <v>7463</v>
      </c>
      <c r="AO115" s="83">
        <v>7113</v>
      </c>
      <c r="AP115" s="83">
        <v>6858</v>
      </c>
      <c r="AQ115" s="83">
        <v>6554</v>
      </c>
      <c r="AR115" s="83">
        <v>6365</v>
      </c>
      <c r="AS115" s="83">
        <v>6110</v>
      </c>
      <c r="AT115" s="83">
        <v>6024</v>
      </c>
      <c r="AU115" s="83">
        <v>5754</v>
      </c>
      <c r="AV115" s="83">
        <v>5600</v>
      </c>
      <c r="AW115" s="83">
        <v>5521</v>
      </c>
      <c r="AX115" s="83">
        <v>5320</v>
      </c>
      <c r="AY115" s="83">
        <v>5180</v>
      </c>
      <c r="AZ115" s="83">
        <v>5064</v>
      </c>
      <c r="BA115" s="83">
        <v>4733</v>
      </c>
      <c r="BB115" s="83">
        <v>4756</v>
      </c>
      <c r="BC115" s="83">
        <v>4639</v>
      </c>
      <c r="BD115" s="83">
        <v>4452</v>
      </c>
      <c r="BE115" s="83">
        <v>4377</v>
      </c>
      <c r="BF115" s="83">
        <v>4240</v>
      </c>
      <c r="BG115" s="83">
        <v>4209</v>
      </c>
      <c r="BH115" s="83">
        <v>4023</v>
      </c>
      <c r="BI115" s="83">
        <v>3998</v>
      </c>
      <c r="BJ115" s="83">
        <v>3900</v>
      </c>
      <c r="BK115" s="83">
        <v>3845</v>
      </c>
      <c r="BL115" s="83">
        <v>3771</v>
      </c>
      <c r="BM115" s="83">
        <v>3615</v>
      </c>
      <c r="BN115" s="83">
        <v>3505</v>
      </c>
      <c r="BO115" s="83">
        <v>3506</v>
      </c>
      <c r="BP115" s="83">
        <v>3423</v>
      </c>
      <c r="BQ115" s="83">
        <v>3368</v>
      </c>
      <c r="BR115" s="83">
        <v>3364</v>
      </c>
      <c r="BS115" s="83">
        <v>3234</v>
      </c>
      <c r="BT115" s="83">
        <v>3158</v>
      </c>
      <c r="BU115" s="83">
        <v>3094</v>
      </c>
      <c r="BV115" s="83">
        <v>2992</v>
      </c>
      <c r="BW115" s="83">
        <v>2993</v>
      </c>
      <c r="BX115" s="83">
        <v>3015</v>
      </c>
      <c r="BY115" s="83">
        <v>2816</v>
      </c>
      <c r="BZ115" s="83">
        <v>2897</v>
      </c>
      <c r="CA115" s="83">
        <v>2849</v>
      </c>
      <c r="CB115" s="83">
        <v>2833</v>
      </c>
      <c r="CC115" s="83">
        <v>2720</v>
      </c>
      <c r="CD115" s="83">
        <v>2674</v>
      </c>
      <c r="CE115" s="83">
        <v>2646</v>
      </c>
      <c r="CF115" s="83">
        <v>2692</v>
      </c>
      <c r="CG115" s="83">
        <v>24226</v>
      </c>
      <c r="CH115" s="83">
        <v>21578</v>
      </c>
      <c r="CI115" s="83">
        <v>19392</v>
      </c>
      <c r="CJ115" s="83">
        <v>17709</v>
      </c>
      <c r="CK115" s="83">
        <v>16323</v>
      </c>
      <c r="CL115" s="83">
        <v>15207</v>
      </c>
      <c r="CM115" s="83">
        <v>14226</v>
      </c>
      <c r="CN115" s="83">
        <v>13698</v>
      </c>
      <c r="CO115" s="83">
        <v>13031</v>
      </c>
      <c r="CP115" s="83">
        <v>12429</v>
      </c>
      <c r="CQ115" s="83">
        <v>11770</v>
      </c>
      <c r="CR115" s="83">
        <v>11526</v>
      </c>
      <c r="CS115" s="83">
        <v>11078</v>
      </c>
      <c r="CT115" s="83">
        <v>10707</v>
      </c>
      <c r="CU115" s="382"/>
    </row>
    <row r="116" spans="1:99" s="86" customFormat="1" x14ac:dyDescent="0.2">
      <c r="A116" s="375">
        <v>188</v>
      </c>
      <c r="B116" s="375">
        <v>39</v>
      </c>
      <c r="C116" s="349" t="s">
        <v>156</v>
      </c>
      <c r="D116" s="376">
        <v>1516</v>
      </c>
      <c r="E116" s="164">
        <f t="shared" si="2"/>
        <v>6031.25</v>
      </c>
      <c r="F116" s="394">
        <f t="shared" si="3"/>
        <v>26.481297474425645</v>
      </c>
      <c r="G116" s="83">
        <v>689</v>
      </c>
      <c r="H116" s="83">
        <v>719</v>
      </c>
      <c r="I116" s="83">
        <v>734</v>
      </c>
      <c r="J116" s="83">
        <v>665</v>
      </c>
      <c r="K116" s="83">
        <v>650</v>
      </c>
      <c r="L116" s="83">
        <v>738</v>
      </c>
      <c r="M116" s="83">
        <v>663</v>
      </c>
      <c r="N116" s="83">
        <v>731</v>
      </c>
      <c r="O116" s="83">
        <v>718</v>
      </c>
      <c r="P116" s="83">
        <v>687</v>
      </c>
      <c r="Q116" s="83">
        <v>710</v>
      </c>
      <c r="R116" s="83">
        <v>645</v>
      </c>
      <c r="S116" s="83">
        <v>694</v>
      </c>
      <c r="T116" s="83">
        <v>728</v>
      </c>
      <c r="U116" s="83">
        <v>693</v>
      </c>
      <c r="V116" s="83">
        <v>716</v>
      </c>
      <c r="W116" s="83">
        <v>698</v>
      </c>
      <c r="X116" s="83">
        <v>689</v>
      </c>
      <c r="Y116" s="83">
        <v>630</v>
      </c>
      <c r="Z116" s="83">
        <v>673</v>
      </c>
      <c r="AA116" s="83">
        <v>6646</v>
      </c>
      <c r="AB116" s="83">
        <v>6467</v>
      </c>
      <c r="AC116" s="83">
        <v>6063</v>
      </c>
      <c r="AD116" s="83">
        <v>5878</v>
      </c>
      <c r="AE116" s="83">
        <v>5514</v>
      </c>
      <c r="AF116" s="83">
        <v>5377</v>
      </c>
      <c r="AG116" s="83">
        <v>5226</v>
      </c>
      <c r="AH116" s="83">
        <v>4985</v>
      </c>
      <c r="AI116" s="83">
        <v>4725</v>
      </c>
      <c r="AJ116" s="83">
        <v>4686</v>
      </c>
      <c r="AK116" s="83">
        <v>4450</v>
      </c>
      <c r="AL116" s="83">
        <v>4256</v>
      </c>
      <c r="AM116" s="83">
        <v>4163</v>
      </c>
      <c r="AN116" s="83">
        <v>4043</v>
      </c>
      <c r="AO116" s="83">
        <v>3936</v>
      </c>
      <c r="AP116" s="83">
        <v>3759</v>
      </c>
      <c r="AQ116" s="83">
        <v>3609</v>
      </c>
      <c r="AR116" s="83">
        <v>3523</v>
      </c>
      <c r="AS116" s="83">
        <v>3466</v>
      </c>
      <c r="AT116" s="83">
        <v>3329</v>
      </c>
      <c r="AU116" s="83">
        <v>3277</v>
      </c>
      <c r="AV116" s="83">
        <v>3140</v>
      </c>
      <c r="AW116" s="83">
        <v>3097</v>
      </c>
      <c r="AX116" s="83">
        <v>2980</v>
      </c>
      <c r="AY116" s="83">
        <v>3001</v>
      </c>
      <c r="AZ116" s="83">
        <v>2818</v>
      </c>
      <c r="BA116" s="83">
        <v>2847</v>
      </c>
      <c r="BB116" s="83">
        <v>2728</v>
      </c>
      <c r="BC116" s="83">
        <v>2690</v>
      </c>
      <c r="BD116" s="83">
        <v>2661</v>
      </c>
      <c r="BE116" s="83">
        <v>2566</v>
      </c>
      <c r="BF116" s="83">
        <v>2459</v>
      </c>
      <c r="BG116" s="83">
        <v>2495</v>
      </c>
      <c r="BH116" s="83">
        <v>2415</v>
      </c>
      <c r="BI116" s="83">
        <v>2458</v>
      </c>
      <c r="BJ116" s="83">
        <v>2370</v>
      </c>
      <c r="BK116" s="83">
        <v>2229</v>
      </c>
      <c r="BL116" s="83">
        <v>2272</v>
      </c>
      <c r="BM116" s="83">
        <v>2212</v>
      </c>
      <c r="BN116" s="83">
        <v>2187</v>
      </c>
      <c r="BO116" s="83">
        <v>2175</v>
      </c>
      <c r="BP116" s="83">
        <v>2193</v>
      </c>
      <c r="BQ116" s="83">
        <v>2056</v>
      </c>
      <c r="BR116" s="83">
        <v>2042</v>
      </c>
      <c r="BS116" s="83">
        <v>2004</v>
      </c>
      <c r="BT116" s="83">
        <v>1998</v>
      </c>
      <c r="BU116" s="83">
        <v>1984</v>
      </c>
      <c r="BV116" s="83">
        <v>1937</v>
      </c>
      <c r="BW116" s="83">
        <v>1916</v>
      </c>
      <c r="BX116" s="83">
        <v>1806</v>
      </c>
      <c r="BY116" s="83">
        <v>1873</v>
      </c>
      <c r="BZ116" s="83">
        <v>1894</v>
      </c>
      <c r="CA116" s="83">
        <v>1841</v>
      </c>
      <c r="CB116" s="83">
        <v>1845</v>
      </c>
      <c r="CC116" s="83">
        <v>1784</v>
      </c>
      <c r="CD116" s="83">
        <v>1718</v>
      </c>
      <c r="CE116" s="83">
        <v>1718</v>
      </c>
      <c r="CF116" s="83">
        <v>1689</v>
      </c>
      <c r="CG116" s="83">
        <v>16188</v>
      </c>
      <c r="CH116" s="83">
        <v>14832</v>
      </c>
      <c r="CI116" s="83">
        <v>13793</v>
      </c>
      <c r="CJ116" s="83">
        <v>13101</v>
      </c>
      <c r="CK116" s="83">
        <v>12200</v>
      </c>
      <c r="CL116" s="83">
        <v>11601</v>
      </c>
      <c r="CM116" s="83">
        <v>10938</v>
      </c>
      <c r="CN116" s="83">
        <v>10647</v>
      </c>
      <c r="CO116" s="83">
        <v>10154</v>
      </c>
      <c r="CP116" s="83">
        <v>9895</v>
      </c>
      <c r="CQ116" s="83">
        <v>9669</v>
      </c>
      <c r="CR116" s="83">
        <v>9460</v>
      </c>
      <c r="CS116" s="83">
        <v>9138</v>
      </c>
      <c r="CT116" s="83">
        <v>8937</v>
      </c>
      <c r="CU116" s="382"/>
    </row>
    <row r="117" spans="1:99" s="86" customFormat="1" x14ac:dyDescent="0.2">
      <c r="A117" s="375">
        <v>193</v>
      </c>
      <c r="B117" s="375">
        <v>39</v>
      </c>
      <c r="C117" s="349" t="s">
        <v>155</v>
      </c>
      <c r="D117" s="376">
        <v>7581</v>
      </c>
      <c r="E117" s="164">
        <f t="shared" si="2"/>
        <v>21524.35</v>
      </c>
      <c r="F117" s="394">
        <f t="shared" si="3"/>
        <v>48.020389201493607</v>
      </c>
      <c r="G117" s="83">
        <v>2409</v>
      </c>
      <c r="H117" s="83">
        <v>2300</v>
      </c>
      <c r="I117" s="83">
        <v>2331</v>
      </c>
      <c r="J117" s="83">
        <v>2338</v>
      </c>
      <c r="K117" s="83">
        <v>2325</v>
      </c>
      <c r="L117" s="83">
        <v>2297</v>
      </c>
      <c r="M117" s="83">
        <v>2270</v>
      </c>
      <c r="N117" s="83">
        <v>2559</v>
      </c>
      <c r="O117" s="83">
        <v>2256</v>
      </c>
      <c r="P117" s="83">
        <v>2235</v>
      </c>
      <c r="Q117" s="83">
        <v>2250</v>
      </c>
      <c r="R117" s="83">
        <v>2272</v>
      </c>
      <c r="S117" s="83">
        <v>2341</v>
      </c>
      <c r="T117" s="83">
        <v>2244</v>
      </c>
      <c r="U117" s="83">
        <v>2199</v>
      </c>
      <c r="V117" s="83">
        <v>2247</v>
      </c>
      <c r="W117" s="83">
        <v>2270</v>
      </c>
      <c r="X117" s="83">
        <v>2200</v>
      </c>
      <c r="Y117" s="83">
        <v>2181</v>
      </c>
      <c r="Z117" s="83">
        <v>2184</v>
      </c>
      <c r="AA117" s="83">
        <v>21624</v>
      </c>
      <c r="AB117" s="83">
        <v>20678</v>
      </c>
      <c r="AC117" s="83">
        <v>19532</v>
      </c>
      <c r="AD117" s="83">
        <v>18668</v>
      </c>
      <c r="AE117" s="83">
        <v>17671</v>
      </c>
      <c r="AF117" s="83">
        <v>16802</v>
      </c>
      <c r="AG117" s="83">
        <v>16082</v>
      </c>
      <c r="AH117" s="83">
        <v>15402</v>
      </c>
      <c r="AI117" s="83">
        <v>14575</v>
      </c>
      <c r="AJ117" s="83">
        <v>13926</v>
      </c>
      <c r="AK117" s="83">
        <v>13328</v>
      </c>
      <c r="AL117" s="83">
        <v>12682</v>
      </c>
      <c r="AM117" s="83">
        <v>12132</v>
      </c>
      <c r="AN117" s="83">
        <v>11760</v>
      </c>
      <c r="AO117" s="83">
        <v>11354</v>
      </c>
      <c r="AP117" s="83">
        <v>10783</v>
      </c>
      <c r="AQ117" s="83">
        <v>10463</v>
      </c>
      <c r="AR117" s="83">
        <v>10097</v>
      </c>
      <c r="AS117" s="83">
        <v>9673</v>
      </c>
      <c r="AT117" s="83">
        <v>9375</v>
      </c>
      <c r="AU117" s="83">
        <v>8826</v>
      </c>
      <c r="AV117" s="83">
        <v>8878</v>
      </c>
      <c r="AW117" s="83">
        <v>8439</v>
      </c>
      <c r="AX117" s="83">
        <v>8128</v>
      </c>
      <c r="AY117" s="83">
        <v>7879</v>
      </c>
      <c r="AZ117" s="83">
        <v>7663</v>
      </c>
      <c r="BA117" s="83">
        <v>7430</v>
      </c>
      <c r="BB117" s="83">
        <v>7100</v>
      </c>
      <c r="BC117" s="83">
        <v>7056</v>
      </c>
      <c r="BD117" s="83">
        <v>6782</v>
      </c>
      <c r="BE117" s="83">
        <v>6685</v>
      </c>
      <c r="BF117" s="83">
        <v>6532</v>
      </c>
      <c r="BG117" s="83">
        <v>6299</v>
      </c>
      <c r="BH117" s="83">
        <v>6119</v>
      </c>
      <c r="BI117" s="83">
        <v>6155</v>
      </c>
      <c r="BJ117" s="83">
        <v>5814</v>
      </c>
      <c r="BK117" s="83">
        <v>5822</v>
      </c>
      <c r="BL117" s="83">
        <v>5539</v>
      </c>
      <c r="BM117" s="83">
        <v>5461</v>
      </c>
      <c r="BN117" s="83">
        <v>5248</v>
      </c>
      <c r="BO117" s="83">
        <v>5351</v>
      </c>
      <c r="BP117" s="83">
        <v>5099</v>
      </c>
      <c r="BQ117" s="83">
        <v>4995</v>
      </c>
      <c r="BR117" s="83">
        <v>4927</v>
      </c>
      <c r="BS117" s="83">
        <v>4801</v>
      </c>
      <c r="BT117" s="83">
        <v>4667</v>
      </c>
      <c r="BU117" s="83">
        <v>4588</v>
      </c>
      <c r="BV117" s="83">
        <v>4544</v>
      </c>
      <c r="BW117" s="83">
        <v>4423</v>
      </c>
      <c r="BX117" s="83">
        <v>4296</v>
      </c>
      <c r="BY117" s="83">
        <v>4242</v>
      </c>
      <c r="BZ117" s="83">
        <v>4077</v>
      </c>
      <c r="CA117" s="83">
        <v>4142</v>
      </c>
      <c r="CB117" s="83">
        <v>4017</v>
      </c>
      <c r="CC117" s="83">
        <v>4009</v>
      </c>
      <c r="CD117" s="83">
        <v>3957</v>
      </c>
      <c r="CE117" s="83">
        <v>3818</v>
      </c>
      <c r="CF117" s="83">
        <v>3797</v>
      </c>
      <c r="CG117" s="83">
        <v>34667</v>
      </c>
      <c r="CH117" s="83">
        <v>30167</v>
      </c>
      <c r="CI117" s="83">
        <v>26696</v>
      </c>
      <c r="CJ117" s="83">
        <v>24034</v>
      </c>
      <c r="CK117" s="83">
        <v>21920</v>
      </c>
      <c r="CL117" s="83">
        <v>20113</v>
      </c>
      <c r="CM117" s="83">
        <v>18652</v>
      </c>
      <c r="CN117" s="83">
        <v>17413</v>
      </c>
      <c r="CO117" s="83">
        <v>16561</v>
      </c>
      <c r="CP117" s="83">
        <v>15592</v>
      </c>
      <c r="CQ117" s="83">
        <v>14878</v>
      </c>
      <c r="CR117" s="83">
        <v>14091</v>
      </c>
      <c r="CS117" s="83">
        <v>13604</v>
      </c>
      <c r="CT117" s="83">
        <v>12989</v>
      </c>
      <c r="CU117" s="382"/>
    </row>
    <row r="118" spans="1:99" s="86" customFormat="1" x14ac:dyDescent="0.2">
      <c r="A118" s="375">
        <v>197</v>
      </c>
      <c r="B118" s="375">
        <v>39</v>
      </c>
      <c r="C118" s="349" t="s">
        <v>156</v>
      </c>
      <c r="D118" s="376">
        <v>1516</v>
      </c>
      <c r="E118" s="164">
        <f t="shared" si="2"/>
        <v>6214.85</v>
      </c>
      <c r="F118" s="394">
        <f t="shared" si="3"/>
        <v>26.949907036813574</v>
      </c>
      <c r="G118" s="83">
        <v>720</v>
      </c>
      <c r="H118" s="83">
        <v>732</v>
      </c>
      <c r="I118" s="83">
        <v>740</v>
      </c>
      <c r="J118" s="83">
        <v>698</v>
      </c>
      <c r="K118" s="83">
        <v>693</v>
      </c>
      <c r="L118" s="83">
        <v>680</v>
      </c>
      <c r="M118" s="83">
        <v>719</v>
      </c>
      <c r="N118" s="83">
        <v>749</v>
      </c>
      <c r="O118" s="83">
        <v>700</v>
      </c>
      <c r="P118" s="83">
        <v>730</v>
      </c>
      <c r="Q118" s="83">
        <v>743</v>
      </c>
      <c r="R118" s="83">
        <v>736</v>
      </c>
      <c r="S118" s="83">
        <v>739</v>
      </c>
      <c r="T118" s="83">
        <v>732</v>
      </c>
      <c r="U118" s="83">
        <v>694</v>
      </c>
      <c r="V118" s="83">
        <v>738</v>
      </c>
      <c r="W118" s="83">
        <v>711</v>
      </c>
      <c r="X118" s="83">
        <v>721</v>
      </c>
      <c r="Y118" s="83">
        <v>677</v>
      </c>
      <c r="Z118" s="83">
        <v>700</v>
      </c>
      <c r="AA118" s="83">
        <v>6871</v>
      </c>
      <c r="AB118" s="83">
        <v>6785</v>
      </c>
      <c r="AC118" s="83">
        <v>6408</v>
      </c>
      <c r="AD118" s="83">
        <v>6169</v>
      </c>
      <c r="AE118" s="83">
        <v>5840</v>
      </c>
      <c r="AF118" s="83">
        <v>5644</v>
      </c>
      <c r="AG118" s="83">
        <v>5418</v>
      </c>
      <c r="AH118" s="83">
        <v>5205</v>
      </c>
      <c r="AI118" s="83">
        <v>4990</v>
      </c>
      <c r="AJ118" s="83">
        <v>4831</v>
      </c>
      <c r="AK118" s="83">
        <v>4750</v>
      </c>
      <c r="AL118" s="83">
        <v>4516</v>
      </c>
      <c r="AM118" s="83">
        <v>4347</v>
      </c>
      <c r="AN118" s="83">
        <v>4190</v>
      </c>
      <c r="AO118" s="83">
        <v>4143</v>
      </c>
      <c r="AP118" s="83">
        <v>4027</v>
      </c>
      <c r="AQ118" s="83">
        <v>3924</v>
      </c>
      <c r="AR118" s="83">
        <v>3737</v>
      </c>
      <c r="AS118" s="83">
        <v>3678</v>
      </c>
      <c r="AT118" s="83">
        <v>3572</v>
      </c>
      <c r="AU118" s="83">
        <v>3402</v>
      </c>
      <c r="AV118" s="83">
        <v>3366</v>
      </c>
      <c r="AW118" s="83">
        <v>3252</v>
      </c>
      <c r="AX118" s="83">
        <v>3192</v>
      </c>
      <c r="AY118" s="83">
        <v>3148</v>
      </c>
      <c r="AZ118" s="83">
        <v>3058</v>
      </c>
      <c r="BA118" s="83">
        <v>3025</v>
      </c>
      <c r="BB118" s="83">
        <v>2929</v>
      </c>
      <c r="BC118" s="83">
        <v>2843</v>
      </c>
      <c r="BD118" s="83">
        <v>2738</v>
      </c>
      <c r="BE118" s="83">
        <v>2748</v>
      </c>
      <c r="BF118" s="83">
        <v>2724</v>
      </c>
      <c r="BG118" s="83">
        <v>2774</v>
      </c>
      <c r="BH118" s="83">
        <v>2597</v>
      </c>
      <c r="BI118" s="83">
        <v>2507</v>
      </c>
      <c r="BJ118" s="83">
        <v>2561</v>
      </c>
      <c r="BK118" s="83">
        <v>2511</v>
      </c>
      <c r="BL118" s="83">
        <v>2457</v>
      </c>
      <c r="BM118" s="83">
        <v>2358</v>
      </c>
      <c r="BN118" s="83">
        <v>2307</v>
      </c>
      <c r="BO118" s="83">
        <v>2323</v>
      </c>
      <c r="BP118" s="83">
        <v>2256</v>
      </c>
      <c r="BQ118" s="83">
        <v>2228</v>
      </c>
      <c r="BR118" s="83">
        <v>2201</v>
      </c>
      <c r="BS118" s="83">
        <v>2163</v>
      </c>
      <c r="BT118" s="83">
        <v>2210</v>
      </c>
      <c r="BU118" s="83">
        <v>2120</v>
      </c>
      <c r="BV118" s="83">
        <v>2048</v>
      </c>
      <c r="BW118" s="83">
        <v>2028</v>
      </c>
      <c r="BX118" s="83">
        <v>2030</v>
      </c>
      <c r="BY118" s="83">
        <v>2032</v>
      </c>
      <c r="BZ118" s="83">
        <v>1982</v>
      </c>
      <c r="CA118" s="83">
        <v>1961</v>
      </c>
      <c r="CB118" s="83">
        <v>1945</v>
      </c>
      <c r="CC118" s="83">
        <v>1950</v>
      </c>
      <c r="CD118" s="83">
        <v>1694</v>
      </c>
      <c r="CE118" s="83">
        <v>1873</v>
      </c>
      <c r="CF118" s="83">
        <v>1885</v>
      </c>
      <c r="CG118" s="83">
        <v>17390</v>
      </c>
      <c r="CH118" s="83">
        <v>15876</v>
      </c>
      <c r="CI118" s="83">
        <v>14764</v>
      </c>
      <c r="CJ118" s="83">
        <v>13981</v>
      </c>
      <c r="CK118" s="83">
        <v>13105</v>
      </c>
      <c r="CL118" s="83">
        <v>12388</v>
      </c>
      <c r="CM118" s="83">
        <v>11969</v>
      </c>
      <c r="CN118" s="83">
        <v>11424</v>
      </c>
      <c r="CO118" s="83">
        <v>10872</v>
      </c>
      <c r="CP118" s="83">
        <v>10599</v>
      </c>
      <c r="CQ118" s="83">
        <v>10305</v>
      </c>
      <c r="CR118" s="83">
        <v>9995</v>
      </c>
      <c r="CS118" s="83">
        <v>9665</v>
      </c>
      <c r="CT118" s="83">
        <v>9558</v>
      </c>
      <c r="CU118" s="382"/>
    </row>
    <row r="119" spans="1:99" s="86" customFormat="1" x14ac:dyDescent="0.2">
      <c r="A119" s="375">
        <v>202</v>
      </c>
      <c r="B119" s="375">
        <v>39</v>
      </c>
      <c r="C119" s="349" t="s">
        <v>155</v>
      </c>
      <c r="D119" s="376">
        <v>11371</v>
      </c>
      <c r="E119" s="164">
        <f t="shared" si="2"/>
        <v>28921.35</v>
      </c>
      <c r="F119" s="394">
        <f t="shared" si="3"/>
        <v>55.479755600347261</v>
      </c>
      <c r="G119" s="83">
        <v>3146</v>
      </c>
      <c r="H119" s="83">
        <v>3099</v>
      </c>
      <c r="I119" s="83">
        <v>3088</v>
      </c>
      <c r="J119" s="83">
        <v>3152</v>
      </c>
      <c r="K119" s="83">
        <v>3175</v>
      </c>
      <c r="L119" s="83">
        <v>3052</v>
      </c>
      <c r="M119" s="83">
        <v>3082</v>
      </c>
      <c r="N119" s="83">
        <v>3327</v>
      </c>
      <c r="O119" s="83">
        <v>3009</v>
      </c>
      <c r="P119" s="83">
        <v>3030</v>
      </c>
      <c r="Q119" s="83">
        <v>3065</v>
      </c>
      <c r="R119" s="83">
        <v>3056</v>
      </c>
      <c r="S119" s="83">
        <v>3034</v>
      </c>
      <c r="T119" s="83">
        <v>2917</v>
      </c>
      <c r="U119" s="83">
        <v>2980</v>
      </c>
      <c r="V119" s="83">
        <v>2909</v>
      </c>
      <c r="W119" s="83">
        <v>2910</v>
      </c>
      <c r="X119" s="83">
        <v>3193</v>
      </c>
      <c r="Y119" s="83">
        <v>2883</v>
      </c>
      <c r="Z119" s="83">
        <v>2902</v>
      </c>
      <c r="AA119" s="83">
        <v>28512</v>
      </c>
      <c r="AB119" s="83">
        <v>27150</v>
      </c>
      <c r="AC119" s="83">
        <v>25880</v>
      </c>
      <c r="AD119" s="83">
        <v>24343</v>
      </c>
      <c r="AE119" s="83">
        <v>23198</v>
      </c>
      <c r="AF119" s="83">
        <v>22120</v>
      </c>
      <c r="AG119" s="83">
        <v>20982</v>
      </c>
      <c r="AH119" s="83">
        <v>19973</v>
      </c>
      <c r="AI119" s="83">
        <v>19047</v>
      </c>
      <c r="AJ119" s="83">
        <v>18375</v>
      </c>
      <c r="AK119" s="83">
        <v>17485</v>
      </c>
      <c r="AL119" s="83">
        <v>16749</v>
      </c>
      <c r="AM119" s="83">
        <v>15864</v>
      </c>
      <c r="AN119" s="83">
        <v>15275</v>
      </c>
      <c r="AO119" s="83">
        <v>14790</v>
      </c>
      <c r="AP119" s="83">
        <v>14184</v>
      </c>
      <c r="AQ119" s="83">
        <v>13647</v>
      </c>
      <c r="AR119" s="83">
        <v>13011</v>
      </c>
      <c r="AS119" s="83">
        <v>12813</v>
      </c>
      <c r="AT119" s="83">
        <v>12324</v>
      </c>
      <c r="AU119" s="83">
        <v>11695</v>
      </c>
      <c r="AV119" s="83">
        <v>11365</v>
      </c>
      <c r="AW119" s="83">
        <v>11031</v>
      </c>
      <c r="AX119" s="83">
        <v>10591</v>
      </c>
      <c r="AY119" s="83">
        <v>10507</v>
      </c>
      <c r="AZ119" s="83">
        <v>9920</v>
      </c>
      <c r="BA119" s="83">
        <v>9779</v>
      </c>
      <c r="BB119" s="83">
        <v>9489</v>
      </c>
      <c r="BC119" s="83">
        <v>9271</v>
      </c>
      <c r="BD119" s="83">
        <v>8878</v>
      </c>
      <c r="BE119" s="83">
        <v>8551</v>
      </c>
      <c r="BF119" s="83">
        <v>8347</v>
      </c>
      <c r="BG119" s="83">
        <v>8007</v>
      </c>
      <c r="BH119" s="83">
        <v>7782</v>
      </c>
      <c r="BI119" s="83">
        <v>7834</v>
      </c>
      <c r="BJ119" s="83">
        <v>7576</v>
      </c>
      <c r="BK119" s="83">
        <v>7355</v>
      </c>
      <c r="BL119" s="83">
        <v>7135</v>
      </c>
      <c r="BM119" s="83">
        <v>7084</v>
      </c>
      <c r="BN119" s="83">
        <v>6876</v>
      </c>
      <c r="BO119" s="83">
        <v>6694</v>
      </c>
      <c r="BP119" s="83">
        <v>6541</v>
      </c>
      <c r="BQ119" s="83">
        <v>6435</v>
      </c>
      <c r="BR119" s="83">
        <v>6237</v>
      </c>
      <c r="BS119" s="83">
        <v>6133</v>
      </c>
      <c r="BT119" s="83">
        <v>6033</v>
      </c>
      <c r="BU119" s="83">
        <v>5835</v>
      </c>
      <c r="BV119" s="83">
        <v>5750</v>
      </c>
      <c r="BW119" s="83">
        <v>5662</v>
      </c>
      <c r="BX119" s="83">
        <v>5543</v>
      </c>
      <c r="BY119" s="83">
        <v>5459</v>
      </c>
      <c r="BZ119" s="83">
        <v>5354</v>
      </c>
      <c r="CA119" s="83">
        <v>5174</v>
      </c>
      <c r="CB119" s="83">
        <v>5116</v>
      </c>
      <c r="CC119" s="83">
        <v>5028</v>
      </c>
      <c r="CD119" s="83">
        <v>4919</v>
      </c>
      <c r="CE119" s="83">
        <v>4856</v>
      </c>
      <c r="CF119" s="83">
        <v>4758</v>
      </c>
      <c r="CG119" s="83">
        <v>43706</v>
      </c>
      <c r="CH119" s="83">
        <v>37842</v>
      </c>
      <c r="CI119" s="83">
        <v>33445</v>
      </c>
      <c r="CJ119" s="83">
        <v>30252</v>
      </c>
      <c r="CK119" s="83">
        <v>27118</v>
      </c>
      <c r="CL119" s="83">
        <v>24717</v>
      </c>
      <c r="CM119" s="83">
        <v>23111</v>
      </c>
      <c r="CN119" s="83">
        <v>21374</v>
      </c>
      <c r="CO119" s="83">
        <v>19985</v>
      </c>
      <c r="CP119" s="83">
        <v>18985</v>
      </c>
      <c r="CQ119" s="83">
        <v>17867</v>
      </c>
      <c r="CR119" s="83">
        <v>16948</v>
      </c>
      <c r="CS119" s="83">
        <v>16155</v>
      </c>
      <c r="CT119" s="83">
        <v>15508</v>
      </c>
      <c r="CU119" s="382"/>
    </row>
    <row r="120" spans="1:99" s="86" customFormat="1" x14ac:dyDescent="0.2">
      <c r="A120" s="375">
        <v>206</v>
      </c>
      <c r="B120" s="375">
        <v>39</v>
      </c>
      <c r="C120" s="349" t="s">
        <v>156</v>
      </c>
      <c r="D120" s="376">
        <v>1516</v>
      </c>
      <c r="E120" s="164">
        <f t="shared" si="2"/>
        <v>6304.4</v>
      </c>
      <c r="F120" s="394">
        <f t="shared" si="3"/>
        <v>27.272461290474592</v>
      </c>
      <c r="G120" s="83">
        <v>769</v>
      </c>
      <c r="H120" s="83">
        <v>727</v>
      </c>
      <c r="I120" s="83">
        <v>722</v>
      </c>
      <c r="J120" s="83">
        <v>732</v>
      </c>
      <c r="K120" s="83">
        <v>761</v>
      </c>
      <c r="L120" s="83">
        <v>713</v>
      </c>
      <c r="M120" s="83">
        <v>732</v>
      </c>
      <c r="N120" s="83">
        <v>757</v>
      </c>
      <c r="O120" s="83">
        <v>737</v>
      </c>
      <c r="P120" s="83">
        <v>755</v>
      </c>
      <c r="Q120" s="83">
        <v>718</v>
      </c>
      <c r="R120" s="83">
        <v>751</v>
      </c>
      <c r="S120" s="83">
        <v>747</v>
      </c>
      <c r="T120" s="83">
        <v>731</v>
      </c>
      <c r="U120" s="83">
        <v>727</v>
      </c>
      <c r="V120" s="83">
        <v>704</v>
      </c>
      <c r="W120" s="83">
        <v>729</v>
      </c>
      <c r="X120" s="83">
        <v>701</v>
      </c>
      <c r="Y120" s="83">
        <v>724</v>
      </c>
      <c r="Z120" s="83">
        <v>735</v>
      </c>
      <c r="AA120" s="83">
        <v>7141</v>
      </c>
      <c r="AB120" s="83">
        <v>6790</v>
      </c>
      <c r="AC120" s="83">
        <v>6603</v>
      </c>
      <c r="AD120" s="83">
        <v>6654</v>
      </c>
      <c r="AE120" s="83">
        <v>6142</v>
      </c>
      <c r="AF120" s="83">
        <v>5824</v>
      </c>
      <c r="AG120" s="83">
        <v>5605</v>
      </c>
      <c r="AH120" s="83">
        <v>5423</v>
      </c>
      <c r="AI120" s="83">
        <v>5353</v>
      </c>
      <c r="AJ120" s="83">
        <v>5112</v>
      </c>
      <c r="AK120" s="83">
        <v>4938</v>
      </c>
      <c r="AL120" s="83">
        <v>4722</v>
      </c>
      <c r="AM120" s="83">
        <v>4494</v>
      </c>
      <c r="AN120" s="83">
        <v>4355</v>
      </c>
      <c r="AO120" s="83">
        <v>4324</v>
      </c>
      <c r="AP120" s="83">
        <v>4261</v>
      </c>
      <c r="AQ120" s="83">
        <v>4002</v>
      </c>
      <c r="AR120" s="83">
        <v>3934</v>
      </c>
      <c r="AS120" s="83">
        <v>3818</v>
      </c>
      <c r="AT120" s="83">
        <v>3674</v>
      </c>
      <c r="AU120" s="83">
        <v>3636</v>
      </c>
      <c r="AV120" s="83">
        <v>3501</v>
      </c>
      <c r="AW120" s="83">
        <v>3485</v>
      </c>
      <c r="AX120" s="83">
        <v>3316</v>
      </c>
      <c r="AY120" s="83">
        <v>3279</v>
      </c>
      <c r="AZ120" s="83">
        <v>3213</v>
      </c>
      <c r="BA120" s="83">
        <v>3180</v>
      </c>
      <c r="BB120" s="83">
        <v>3107</v>
      </c>
      <c r="BC120" s="83">
        <v>2952</v>
      </c>
      <c r="BD120" s="83">
        <v>2970</v>
      </c>
      <c r="BE120" s="83">
        <v>2979</v>
      </c>
      <c r="BF120" s="83">
        <v>2912</v>
      </c>
      <c r="BG120" s="83">
        <v>2835</v>
      </c>
      <c r="BH120" s="83">
        <v>2791</v>
      </c>
      <c r="BI120" s="83">
        <v>2750</v>
      </c>
      <c r="BJ120" s="83">
        <v>2630</v>
      </c>
      <c r="BK120" s="83">
        <v>2574</v>
      </c>
      <c r="BL120" s="83">
        <v>2583</v>
      </c>
      <c r="BM120" s="83">
        <v>2581</v>
      </c>
      <c r="BN120" s="83">
        <v>2483</v>
      </c>
      <c r="BO120" s="83">
        <v>2436</v>
      </c>
      <c r="BP120" s="83">
        <v>2399</v>
      </c>
      <c r="BQ120" s="83">
        <v>2394</v>
      </c>
      <c r="BR120" s="83">
        <v>2321</v>
      </c>
      <c r="BS120" s="83">
        <v>2307</v>
      </c>
      <c r="BT120" s="83">
        <v>2331</v>
      </c>
      <c r="BU120" s="83">
        <v>2266</v>
      </c>
      <c r="BV120" s="83">
        <v>2240</v>
      </c>
      <c r="BW120" s="83">
        <v>2141</v>
      </c>
      <c r="BX120" s="83">
        <v>2137</v>
      </c>
      <c r="BY120" s="83">
        <v>2088</v>
      </c>
      <c r="BZ120" s="83">
        <v>2111</v>
      </c>
      <c r="CA120" s="83">
        <v>2090</v>
      </c>
      <c r="CB120" s="83">
        <v>2056</v>
      </c>
      <c r="CC120" s="83">
        <v>2061</v>
      </c>
      <c r="CD120" s="83">
        <v>2032</v>
      </c>
      <c r="CE120" s="83">
        <v>1973</v>
      </c>
      <c r="CF120" s="83">
        <v>1984</v>
      </c>
      <c r="CG120" s="83">
        <v>18860</v>
      </c>
      <c r="CH120" s="83">
        <v>17095</v>
      </c>
      <c r="CI120" s="83">
        <v>16004</v>
      </c>
      <c r="CJ120" s="83">
        <v>14894</v>
      </c>
      <c r="CK120" s="83">
        <v>14102</v>
      </c>
      <c r="CL120" s="83">
        <v>13470</v>
      </c>
      <c r="CM120" s="83">
        <v>12875</v>
      </c>
      <c r="CN120" s="83">
        <v>12307</v>
      </c>
      <c r="CO120" s="83">
        <v>11753</v>
      </c>
      <c r="CP120" s="83">
        <v>11452</v>
      </c>
      <c r="CQ120" s="83">
        <v>11133</v>
      </c>
      <c r="CR120" s="83">
        <v>10725</v>
      </c>
      <c r="CS120" s="83">
        <v>10435</v>
      </c>
      <c r="CT120" s="83">
        <v>10197</v>
      </c>
      <c r="CU120" s="382"/>
    </row>
    <row r="121" spans="1:99" s="86" customFormat="1" x14ac:dyDescent="0.2">
      <c r="A121" s="375">
        <v>211</v>
      </c>
      <c r="B121" s="375">
        <v>39</v>
      </c>
      <c r="C121" s="349" t="s">
        <v>155</v>
      </c>
      <c r="D121" s="376">
        <v>0</v>
      </c>
      <c r="E121" s="164">
        <f t="shared" si="2"/>
        <v>106.75</v>
      </c>
      <c r="F121" s="394">
        <f t="shared" si="3"/>
        <v>6.9204389893930953</v>
      </c>
      <c r="G121" s="83">
        <v>48</v>
      </c>
      <c r="H121" s="83">
        <v>50</v>
      </c>
      <c r="I121" s="83">
        <v>44</v>
      </c>
      <c r="J121" s="83">
        <v>46</v>
      </c>
      <c r="K121" s="83">
        <v>45</v>
      </c>
      <c r="L121" s="83">
        <v>48</v>
      </c>
      <c r="M121" s="83">
        <v>45</v>
      </c>
      <c r="N121" s="83">
        <v>53</v>
      </c>
      <c r="O121" s="83">
        <v>37</v>
      </c>
      <c r="P121" s="83">
        <v>51</v>
      </c>
      <c r="Q121" s="83">
        <v>44</v>
      </c>
      <c r="R121" s="83">
        <v>44</v>
      </c>
      <c r="S121" s="83">
        <v>38</v>
      </c>
      <c r="T121" s="83">
        <v>53</v>
      </c>
      <c r="U121" s="83">
        <v>47</v>
      </c>
      <c r="V121" s="83">
        <v>51</v>
      </c>
      <c r="W121" s="83">
        <v>53</v>
      </c>
      <c r="X121" s="83">
        <v>52</v>
      </c>
      <c r="Y121" s="83">
        <v>50</v>
      </c>
      <c r="Z121" s="83">
        <v>48</v>
      </c>
      <c r="AA121" s="83">
        <v>497</v>
      </c>
      <c r="AB121" s="83">
        <v>525</v>
      </c>
      <c r="AC121" s="83">
        <v>499</v>
      </c>
      <c r="AD121" s="83">
        <v>476</v>
      </c>
      <c r="AE121" s="83">
        <v>495</v>
      </c>
      <c r="AF121" s="83">
        <v>497</v>
      </c>
      <c r="AG121" s="83">
        <v>483</v>
      </c>
      <c r="AH121" s="83">
        <v>488</v>
      </c>
      <c r="AI121" s="83">
        <v>481</v>
      </c>
      <c r="AJ121" s="83">
        <v>503</v>
      </c>
      <c r="AK121" s="83">
        <v>463</v>
      </c>
      <c r="AL121" s="83">
        <v>480</v>
      </c>
      <c r="AM121" s="83">
        <v>475</v>
      </c>
      <c r="AN121" s="83">
        <v>497</v>
      </c>
      <c r="AO121" s="83">
        <v>486</v>
      </c>
      <c r="AP121" s="83">
        <v>467</v>
      </c>
      <c r="AQ121" s="83">
        <v>456</v>
      </c>
      <c r="AR121" s="83">
        <v>451</v>
      </c>
      <c r="AS121" s="83">
        <v>444</v>
      </c>
      <c r="AT121" s="83">
        <v>448</v>
      </c>
      <c r="AU121" s="83">
        <v>448</v>
      </c>
      <c r="AV121" s="83">
        <v>463</v>
      </c>
      <c r="AW121" s="83">
        <v>466</v>
      </c>
      <c r="AX121" s="83">
        <v>444</v>
      </c>
      <c r="AY121" s="83">
        <v>456</v>
      </c>
      <c r="AZ121" s="83">
        <v>442</v>
      </c>
      <c r="BA121" s="83">
        <v>432</v>
      </c>
      <c r="BB121" s="83">
        <v>439</v>
      </c>
      <c r="BC121" s="83">
        <v>424</v>
      </c>
      <c r="BD121" s="83">
        <v>441</v>
      </c>
      <c r="BE121" s="83">
        <v>449</v>
      </c>
      <c r="BF121" s="83">
        <v>436</v>
      </c>
      <c r="BG121" s="83">
        <v>441</v>
      </c>
      <c r="BH121" s="83">
        <v>441</v>
      </c>
      <c r="BI121" s="83">
        <v>425</v>
      </c>
      <c r="BJ121" s="83">
        <v>423</v>
      </c>
      <c r="BK121" s="83">
        <v>424</v>
      </c>
      <c r="BL121" s="83">
        <v>396</v>
      </c>
      <c r="BM121" s="83">
        <v>429</v>
      </c>
      <c r="BN121" s="83">
        <v>443</v>
      </c>
      <c r="BO121" s="83">
        <v>446</v>
      </c>
      <c r="BP121" s="83">
        <v>413</v>
      </c>
      <c r="BQ121" s="83">
        <v>404</v>
      </c>
      <c r="BR121" s="83">
        <v>423</v>
      </c>
      <c r="BS121" s="83">
        <v>415</v>
      </c>
      <c r="BT121" s="83">
        <v>429</v>
      </c>
      <c r="BU121" s="83">
        <v>425</v>
      </c>
      <c r="BV121" s="83">
        <v>402</v>
      </c>
      <c r="BW121" s="83">
        <v>409</v>
      </c>
      <c r="BX121" s="83">
        <v>403</v>
      </c>
      <c r="BY121" s="83">
        <v>422</v>
      </c>
      <c r="BZ121" s="83">
        <v>401</v>
      </c>
      <c r="CA121" s="83">
        <v>434</v>
      </c>
      <c r="CB121" s="83">
        <v>415</v>
      </c>
      <c r="CC121" s="83">
        <v>384</v>
      </c>
      <c r="CD121" s="83">
        <v>409</v>
      </c>
      <c r="CE121" s="83">
        <v>377</v>
      </c>
      <c r="CF121" s="83">
        <v>405</v>
      </c>
      <c r="CG121" s="83">
        <v>3934</v>
      </c>
      <c r="CH121" s="83">
        <v>3955</v>
      </c>
      <c r="CI121" s="83">
        <v>3905</v>
      </c>
      <c r="CJ121" s="83">
        <v>3822</v>
      </c>
      <c r="CK121" s="83">
        <v>3733</v>
      </c>
      <c r="CL121" s="83">
        <v>3823</v>
      </c>
      <c r="CM121" s="83">
        <v>3735</v>
      </c>
      <c r="CN121" s="83">
        <v>3751</v>
      </c>
      <c r="CO121" s="83">
        <v>3647</v>
      </c>
      <c r="CP121" s="83">
        <v>3670</v>
      </c>
      <c r="CQ121" s="83">
        <v>3727</v>
      </c>
      <c r="CR121" s="83">
        <v>3704</v>
      </c>
      <c r="CS121" s="83">
        <v>3666</v>
      </c>
      <c r="CT121" s="83">
        <v>3669</v>
      </c>
      <c r="CU121" s="382"/>
    </row>
    <row r="122" spans="1:99" s="86" customFormat="1" x14ac:dyDescent="0.2">
      <c r="A122" s="375">
        <v>215</v>
      </c>
      <c r="B122" s="375">
        <v>39</v>
      </c>
      <c r="C122" s="349" t="s">
        <v>156</v>
      </c>
      <c r="D122" s="376">
        <v>1516</v>
      </c>
      <c r="E122" s="164">
        <f t="shared" si="2"/>
        <v>5869.45</v>
      </c>
      <c r="F122" s="394">
        <f t="shared" si="3"/>
        <v>25.53455283516033</v>
      </c>
      <c r="G122" s="83">
        <v>673</v>
      </c>
      <c r="H122" s="83">
        <v>639</v>
      </c>
      <c r="I122" s="83">
        <v>645</v>
      </c>
      <c r="J122" s="83">
        <v>679</v>
      </c>
      <c r="K122" s="83">
        <v>660</v>
      </c>
      <c r="L122" s="83">
        <v>681</v>
      </c>
      <c r="M122" s="83">
        <v>661</v>
      </c>
      <c r="N122" s="83">
        <v>648</v>
      </c>
      <c r="O122" s="83">
        <v>648</v>
      </c>
      <c r="P122" s="83">
        <v>654</v>
      </c>
      <c r="Q122" s="83">
        <v>642</v>
      </c>
      <c r="R122" s="83">
        <v>642</v>
      </c>
      <c r="S122" s="83">
        <v>643</v>
      </c>
      <c r="T122" s="83">
        <v>626</v>
      </c>
      <c r="U122" s="83">
        <v>629</v>
      </c>
      <c r="V122" s="83">
        <v>623</v>
      </c>
      <c r="W122" s="83">
        <v>642</v>
      </c>
      <c r="X122" s="83">
        <v>653</v>
      </c>
      <c r="Y122" s="83">
        <v>616</v>
      </c>
      <c r="Z122" s="83">
        <v>615</v>
      </c>
      <c r="AA122" s="83">
        <v>6026</v>
      </c>
      <c r="AB122" s="83">
        <v>5871</v>
      </c>
      <c r="AC122" s="83">
        <v>5610</v>
      </c>
      <c r="AD122" s="83">
        <v>5229</v>
      </c>
      <c r="AE122" s="83">
        <v>5044</v>
      </c>
      <c r="AF122" s="83">
        <v>4849</v>
      </c>
      <c r="AG122" s="83">
        <v>4530</v>
      </c>
      <c r="AH122" s="83">
        <v>4456</v>
      </c>
      <c r="AI122" s="83">
        <v>4237</v>
      </c>
      <c r="AJ122" s="83">
        <v>4133</v>
      </c>
      <c r="AK122" s="83">
        <v>3944</v>
      </c>
      <c r="AL122" s="83">
        <v>3821</v>
      </c>
      <c r="AM122" s="83">
        <v>3571</v>
      </c>
      <c r="AN122" s="83">
        <v>3506</v>
      </c>
      <c r="AO122" s="83">
        <v>3316</v>
      </c>
      <c r="AP122" s="83">
        <v>3243</v>
      </c>
      <c r="AQ122" s="83">
        <v>3174</v>
      </c>
      <c r="AR122" s="83">
        <v>3115</v>
      </c>
      <c r="AS122" s="83">
        <v>2893</v>
      </c>
      <c r="AT122" s="83">
        <v>2819</v>
      </c>
      <c r="AU122" s="83">
        <v>2688</v>
      </c>
      <c r="AV122" s="83">
        <v>2868</v>
      </c>
      <c r="AW122" s="83">
        <v>2589</v>
      </c>
      <c r="AX122" s="83">
        <v>2486</v>
      </c>
      <c r="AY122" s="83">
        <v>2427</v>
      </c>
      <c r="AZ122" s="83">
        <v>2365</v>
      </c>
      <c r="BA122" s="83">
        <v>2283</v>
      </c>
      <c r="BB122" s="83">
        <v>2232</v>
      </c>
      <c r="BC122" s="83">
        <v>2172</v>
      </c>
      <c r="BD122" s="83">
        <v>2103</v>
      </c>
      <c r="BE122" s="83">
        <v>2083</v>
      </c>
      <c r="BF122" s="83">
        <v>2044</v>
      </c>
      <c r="BG122" s="83">
        <v>1981</v>
      </c>
      <c r="BH122" s="83">
        <v>1971</v>
      </c>
      <c r="BI122" s="83">
        <v>1964</v>
      </c>
      <c r="BJ122" s="83">
        <v>1895</v>
      </c>
      <c r="BK122" s="83">
        <v>1786</v>
      </c>
      <c r="BL122" s="83">
        <v>1780</v>
      </c>
      <c r="BM122" s="83">
        <v>1744</v>
      </c>
      <c r="BN122" s="83">
        <v>1705</v>
      </c>
      <c r="BO122" s="83">
        <v>1719</v>
      </c>
      <c r="BP122" s="83">
        <v>1632</v>
      </c>
      <c r="BQ122" s="83">
        <v>1601</v>
      </c>
      <c r="BR122" s="83">
        <v>1664</v>
      </c>
      <c r="BS122" s="83">
        <v>1613</v>
      </c>
      <c r="BT122" s="83">
        <v>1537</v>
      </c>
      <c r="BU122" s="83">
        <v>1532</v>
      </c>
      <c r="BV122" s="83">
        <v>1502</v>
      </c>
      <c r="BW122" s="83">
        <v>1473</v>
      </c>
      <c r="BX122" s="83">
        <v>1440</v>
      </c>
      <c r="BY122" s="83">
        <v>1456</v>
      </c>
      <c r="BZ122" s="83">
        <v>1387</v>
      </c>
      <c r="CA122" s="83">
        <v>1387</v>
      </c>
      <c r="CB122" s="83">
        <v>1313</v>
      </c>
      <c r="CC122" s="83">
        <v>1334</v>
      </c>
      <c r="CD122" s="83">
        <v>1307</v>
      </c>
      <c r="CE122" s="83">
        <v>1292</v>
      </c>
      <c r="CF122" s="83">
        <v>1256</v>
      </c>
      <c r="CG122" s="83">
        <v>11939</v>
      </c>
      <c r="CH122" s="83">
        <v>10640</v>
      </c>
      <c r="CI122" s="83">
        <v>9661</v>
      </c>
      <c r="CJ122" s="83">
        <v>8968</v>
      </c>
      <c r="CK122" s="83">
        <v>8413</v>
      </c>
      <c r="CL122" s="83">
        <v>7806</v>
      </c>
      <c r="CM122" s="83">
        <v>7507</v>
      </c>
      <c r="CN122" s="83">
        <v>7131</v>
      </c>
      <c r="CO122" s="83">
        <v>6832</v>
      </c>
      <c r="CP122" s="83">
        <v>6614</v>
      </c>
      <c r="CQ122" s="83">
        <v>6315</v>
      </c>
      <c r="CR122" s="83">
        <v>6146</v>
      </c>
      <c r="CS122" s="83">
        <v>5944</v>
      </c>
      <c r="CT122" s="83">
        <v>5857</v>
      </c>
      <c r="CU122" s="382"/>
    </row>
    <row r="123" spans="1:99" s="86" customFormat="1" x14ac:dyDescent="0.2">
      <c r="A123" s="375">
        <v>220</v>
      </c>
      <c r="B123" s="375">
        <v>39</v>
      </c>
      <c r="C123" s="349" t="s">
        <v>155</v>
      </c>
      <c r="D123" s="376">
        <v>3790</v>
      </c>
      <c r="E123" s="164">
        <f t="shared" si="2"/>
        <v>12628.75</v>
      </c>
      <c r="F123" s="394">
        <f t="shared" si="3"/>
        <v>36.883940634086272</v>
      </c>
      <c r="G123" s="83">
        <v>1385</v>
      </c>
      <c r="H123" s="83">
        <v>1372</v>
      </c>
      <c r="I123" s="83">
        <v>1373</v>
      </c>
      <c r="J123" s="83">
        <v>1345</v>
      </c>
      <c r="K123" s="83">
        <v>1363</v>
      </c>
      <c r="L123" s="83">
        <v>1345</v>
      </c>
      <c r="M123" s="83">
        <v>1357</v>
      </c>
      <c r="N123" s="83">
        <v>1355</v>
      </c>
      <c r="O123" s="83">
        <v>1355</v>
      </c>
      <c r="P123" s="83">
        <v>1363</v>
      </c>
      <c r="Q123" s="83">
        <v>1424</v>
      </c>
      <c r="R123" s="83">
        <v>1343</v>
      </c>
      <c r="S123" s="83">
        <v>1370</v>
      </c>
      <c r="T123" s="83">
        <v>1369</v>
      </c>
      <c r="U123" s="83">
        <v>1315</v>
      </c>
      <c r="V123" s="83">
        <v>1332</v>
      </c>
      <c r="W123" s="83">
        <v>1315</v>
      </c>
      <c r="X123" s="83">
        <v>1279</v>
      </c>
      <c r="Y123" s="83">
        <v>1308</v>
      </c>
      <c r="Z123" s="83">
        <v>1283</v>
      </c>
      <c r="AA123" s="83">
        <v>12696</v>
      </c>
      <c r="AB123" s="83">
        <v>12120</v>
      </c>
      <c r="AC123" s="83">
        <v>11417</v>
      </c>
      <c r="AD123" s="83">
        <v>10897</v>
      </c>
      <c r="AE123" s="83">
        <v>10345</v>
      </c>
      <c r="AF123" s="83">
        <v>10028</v>
      </c>
      <c r="AG123" s="83">
        <v>9390</v>
      </c>
      <c r="AH123" s="83">
        <v>9067</v>
      </c>
      <c r="AI123" s="83">
        <v>8573</v>
      </c>
      <c r="AJ123" s="83">
        <v>8236</v>
      </c>
      <c r="AK123" s="83">
        <v>7883</v>
      </c>
      <c r="AL123" s="83">
        <v>7592</v>
      </c>
      <c r="AM123" s="83">
        <v>7230</v>
      </c>
      <c r="AN123" s="83">
        <v>7002</v>
      </c>
      <c r="AO123" s="83">
        <v>6745</v>
      </c>
      <c r="AP123" s="83">
        <v>6420</v>
      </c>
      <c r="AQ123" s="83">
        <v>6185</v>
      </c>
      <c r="AR123" s="83">
        <v>5935</v>
      </c>
      <c r="AS123" s="83">
        <v>5855</v>
      </c>
      <c r="AT123" s="83">
        <v>5622</v>
      </c>
      <c r="AU123" s="83">
        <v>5421</v>
      </c>
      <c r="AV123" s="83">
        <v>5219</v>
      </c>
      <c r="AW123" s="83">
        <v>4970</v>
      </c>
      <c r="AX123" s="83">
        <v>4929</v>
      </c>
      <c r="AY123" s="83">
        <v>4742</v>
      </c>
      <c r="AZ123" s="83">
        <v>4594</v>
      </c>
      <c r="BA123" s="83">
        <v>4373</v>
      </c>
      <c r="BB123" s="83">
        <v>4305</v>
      </c>
      <c r="BC123" s="83">
        <v>4305</v>
      </c>
      <c r="BD123" s="83">
        <v>4210</v>
      </c>
      <c r="BE123" s="83">
        <v>3997</v>
      </c>
      <c r="BF123" s="83">
        <v>3845</v>
      </c>
      <c r="BG123" s="83">
        <v>3771</v>
      </c>
      <c r="BH123" s="83">
        <v>3593</v>
      </c>
      <c r="BI123" s="83">
        <v>3616</v>
      </c>
      <c r="BJ123" s="83">
        <v>3390</v>
      </c>
      <c r="BK123" s="83">
        <v>3379</v>
      </c>
      <c r="BL123" s="83">
        <v>3352</v>
      </c>
      <c r="BM123" s="83">
        <v>3237</v>
      </c>
      <c r="BN123" s="83">
        <v>3152</v>
      </c>
      <c r="BO123" s="83">
        <v>3100</v>
      </c>
      <c r="BP123" s="83">
        <v>3111</v>
      </c>
      <c r="BQ123" s="83">
        <v>2939</v>
      </c>
      <c r="BR123" s="83">
        <v>2986</v>
      </c>
      <c r="BS123" s="83">
        <v>2854</v>
      </c>
      <c r="BT123" s="83">
        <v>2799</v>
      </c>
      <c r="BU123" s="83">
        <v>2746</v>
      </c>
      <c r="BV123" s="83">
        <v>2655</v>
      </c>
      <c r="BW123" s="83">
        <v>2683</v>
      </c>
      <c r="BX123" s="83">
        <v>2537</v>
      </c>
      <c r="BY123" s="83">
        <v>2573</v>
      </c>
      <c r="BZ123" s="83">
        <v>2520</v>
      </c>
      <c r="CA123" s="83">
        <v>2457</v>
      </c>
      <c r="CB123" s="83">
        <v>2393</v>
      </c>
      <c r="CC123" s="83">
        <v>2388</v>
      </c>
      <c r="CD123" s="83">
        <v>2383</v>
      </c>
      <c r="CE123" s="83">
        <v>2288</v>
      </c>
      <c r="CF123" s="83">
        <v>2280</v>
      </c>
      <c r="CG123" s="83">
        <v>20986</v>
      </c>
      <c r="CH123" s="83">
        <v>18066</v>
      </c>
      <c r="CI123" s="83">
        <v>16572</v>
      </c>
      <c r="CJ123" s="83">
        <v>14711</v>
      </c>
      <c r="CK123" s="83">
        <v>13543</v>
      </c>
      <c r="CL123" s="83">
        <v>12450</v>
      </c>
      <c r="CM123" s="83">
        <v>11680</v>
      </c>
      <c r="CN123" s="83">
        <v>10949</v>
      </c>
      <c r="CO123" s="83">
        <v>10338</v>
      </c>
      <c r="CP123" s="83">
        <v>9947</v>
      </c>
      <c r="CQ123" s="83">
        <v>9391</v>
      </c>
      <c r="CR123" s="83">
        <v>8997</v>
      </c>
      <c r="CS123" s="83">
        <v>8634</v>
      </c>
      <c r="CT123" s="83">
        <v>8301</v>
      </c>
      <c r="CU123" s="382"/>
    </row>
    <row r="124" spans="1:99" s="86" customFormat="1" x14ac:dyDescent="0.2">
      <c r="A124" s="375">
        <v>224</v>
      </c>
      <c r="B124" s="375">
        <v>39</v>
      </c>
      <c r="C124" s="349" t="s">
        <v>156</v>
      </c>
      <c r="D124" s="376">
        <v>1516</v>
      </c>
      <c r="E124" s="381">
        <f t="shared" si="2"/>
        <v>5969.4</v>
      </c>
      <c r="F124" s="395">
        <f t="shared" si="3"/>
        <v>26.025840605581362</v>
      </c>
      <c r="G124" s="83">
        <v>697</v>
      </c>
      <c r="H124" s="83">
        <v>718</v>
      </c>
      <c r="I124" s="83">
        <v>678</v>
      </c>
      <c r="J124" s="83">
        <v>714</v>
      </c>
      <c r="K124" s="83">
        <v>682</v>
      </c>
      <c r="L124" s="83">
        <v>666</v>
      </c>
      <c r="M124" s="83">
        <v>682</v>
      </c>
      <c r="N124" s="83">
        <v>669</v>
      </c>
      <c r="O124" s="83">
        <v>687</v>
      </c>
      <c r="P124" s="83">
        <v>693</v>
      </c>
      <c r="Q124" s="83">
        <v>661</v>
      </c>
      <c r="R124" s="83">
        <v>646</v>
      </c>
      <c r="S124" s="83">
        <v>643</v>
      </c>
      <c r="T124" s="83">
        <v>648</v>
      </c>
      <c r="U124" s="83">
        <v>630</v>
      </c>
      <c r="V124" s="83">
        <v>657</v>
      </c>
      <c r="W124" s="83">
        <v>646</v>
      </c>
      <c r="X124" s="83">
        <v>659</v>
      </c>
      <c r="Y124" s="83">
        <v>653</v>
      </c>
      <c r="Z124" s="83">
        <v>668</v>
      </c>
      <c r="AA124" s="83">
        <v>6382</v>
      </c>
      <c r="AB124" s="83">
        <v>6203</v>
      </c>
      <c r="AC124" s="83">
        <v>5925</v>
      </c>
      <c r="AD124" s="83">
        <v>5573</v>
      </c>
      <c r="AE124" s="83">
        <v>5436</v>
      </c>
      <c r="AF124" s="83">
        <v>5173</v>
      </c>
      <c r="AG124" s="83">
        <v>4921</v>
      </c>
      <c r="AH124" s="83">
        <v>4808</v>
      </c>
      <c r="AI124" s="83">
        <v>4571</v>
      </c>
      <c r="AJ124" s="83">
        <v>4397</v>
      </c>
      <c r="AK124" s="83">
        <v>4256</v>
      </c>
      <c r="AL124" s="83">
        <v>4039</v>
      </c>
      <c r="AM124" s="83">
        <v>3966</v>
      </c>
      <c r="AN124" s="83">
        <v>3774</v>
      </c>
      <c r="AO124" s="83">
        <v>3614</v>
      </c>
      <c r="AP124" s="83">
        <v>3478</v>
      </c>
      <c r="AQ124" s="83">
        <v>3391</v>
      </c>
      <c r="AR124" s="83">
        <v>3266</v>
      </c>
      <c r="AS124" s="83">
        <v>3215</v>
      </c>
      <c r="AT124" s="83">
        <v>3098</v>
      </c>
      <c r="AU124" s="83">
        <v>3073</v>
      </c>
      <c r="AV124" s="83">
        <v>2909</v>
      </c>
      <c r="AW124" s="83">
        <v>2849</v>
      </c>
      <c r="AX124" s="83">
        <v>2812</v>
      </c>
      <c r="AY124" s="83">
        <v>2763</v>
      </c>
      <c r="AZ124" s="83">
        <v>2555</v>
      </c>
      <c r="BA124" s="83">
        <v>2591</v>
      </c>
      <c r="BB124" s="83">
        <v>2526</v>
      </c>
      <c r="BC124" s="83">
        <v>2425</v>
      </c>
      <c r="BD124" s="83">
        <v>2351</v>
      </c>
      <c r="BE124" s="83">
        <v>2294</v>
      </c>
      <c r="BF124" s="83">
        <v>2324</v>
      </c>
      <c r="BG124" s="83">
        <v>2225</v>
      </c>
      <c r="BH124" s="83">
        <v>2223</v>
      </c>
      <c r="BI124" s="83">
        <v>2245</v>
      </c>
      <c r="BJ124" s="83">
        <v>2127</v>
      </c>
      <c r="BK124" s="83">
        <v>2131</v>
      </c>
      <c r="BL124" s="83">
        <v>2104</v>
      </c>
      <c r="BM124" s="83">
        <v>2012</v>
      </c>
      <c r="BN124" s="83">
        <v>1957</v>
      </c>
      <c r="BO124" s="83">
        <v>1971</v>
      </c>
      <c r="BP124" s="83">
        <v>1920</v>
      </c>
      <c r="BQ124" s="83">
        <v>1792</v>
      </c>
      <c r="BR124" s="83">
        <v>1842</v>
      </c>
      <c r="BS124" s="83">
        <v>1822</v>
      </c>
      <c r="BT124" s="83">
        <v>1803</v>
      </c>
      <c r="BU124" s="83">
        <v>1763</v>
      </c>
      <c r="BV124" s="83">
        <v>1763</v>
      </c>
      <c r="BW124" s="83">
        <v>1934</v>
      </c>
      <c r="BX124" s="83">
        <v>1677</v>
      </c>
      <c r="BY124" s="83">
        <v>1656</v>
      </c>
      <c r="BZ124" s="83">
        <v>1618</v>
      </c>
      <c r="CA124" s="83">
        <v>1559</v>
      </c>
      <c r="CB124" s="83">
        <v>1598</v>
      </c>
      <c r="CC124" s="83">
        <v>1559</v>
      </c>
      <c r="CD124" s="83">
        <v>1541</v>
      </c>
      <c r="CE124" s="83">
        <v>1582</v>
      </c>
      <c r="CF124" s="83">
        <v>1500</v>
      </c>
      <c r="CG124" s="83">
        <v>14425</v>
      </c>
      <c r="CH124" s="83">
        <v>12902</v>
      </c>
      <c r="CI124" s="83">
        <v>11762</v>
      </c>
      <c r="CJ124" s="83">
        <v>10948</v>
      </c>
      <c r="CK124" s="83">
        <v>10375</v>
      </c>
      <c r="CL124" s="83">
        <v>9757</v>
      </c>
      <c r="CM124" s="83">
        <v>9308</v>
      </c>
      <c r="CN124" s="83">
        <v>8801</v>
      </c>
      <c r="CO124" s="83">
        <v>8451</v>
      </c>
      <c r="CP124" s="83">
        <v>8160</v>
      </c>
      <c r="CQ124" s="83">
        <v>7827</v>
      </c>
      <c r="CR124" s="83">
        <v>7708</v>
      </c>
      <c r="CS124" s="83">
        <v>7359</v>
      </c>
      <c r="CT124" s="83">
        <v>7223</v>
      </c>
      <c r="CU124" s="382"/>
    </row>
    <row r="125" spans="1:99" s="86" customFormat="1" x14ac:dyDescent="0.2">
      <c r="A125" s="377">
        <v>83</v>
      </c>
      <c r="B125" s="377">
        <v>40</v>
      </c>
      <c r="C125" s="347" t="s">
        <v>155</v>
      </c>
      <c r="D125" s="377">
        <v>0</v>
      </c>
      <c r="E125" s="164">
        <f t="shared" si="2"/>
        <v>399.95000000000005</v>
      </c>
      <c r="F125" s="394">
        <f t="shared" si="3"/>
        <v>10.990320830813239</v>
      </c>
      <c r="G125" s="85">
        <v>103</v>
      </c>
      <c r="H125" s="85">
        <v>104</v>
      </c>
      <c r="I125" s="85">
        <v>115</v>
      </c>
      <c r="J125" s="85">
        <v>104</v>
      </c>
      <c r="K125" s="85">
        <v>132</v>
      </c>
      <c r="L125" s="85">
        <v>113</v>
      </c>
      <c r="M125" s="85">
        <v>119</v>
      </c>
      <c r="N125" s="85">
        <v>114</v>
      </c>
      <c r="O125" s="85">
        <v>134</v>
      </c>
      <c r="P125" s="85">
        <v>106</v>
      </c>
      <c r="Q125" s="85">
        <v>114</v>
      </c>
      <c r="R125" s="85">
        <v>107</v>
      </c>
      <c r="S125" s="85">
        <v>121</v>
      </c>
      <c r="T125" s="85">
        <v>137</v>
      </c>
      <c r="U125" s="85">
        <v>115</v>
      </c>
      <c r="V125" s="85">
        <v>119</v>
      </c>
      <c r="W125" s="85">
        <v>112</v>
      </c>
      <c r="X125" s="85">
        <v>115</v>
      </c>
      <c r="Y125" s="85">
        <v>126</v>
      </c>
      <c r="Z125" s="85">
        <v>130</v>
      </c>
      <c r="AA125" s="85">
        <v>1259</v>
      </c>
      <c r="AB125" s="85">
        <v>1257</v>
      </c>
      <c r="AC125" s="85">
        <v>1298</v>
      </c>
      <c r="AD125" s="85">
        <v>1243</v>
      </c>
      <c r="AE125" s="85">
        <v>1240</v>
      </c>
      <c r="AF125" s="85">
        <v>1230</v>
      </c>
      <c r="AG125" s="85">
        <v>1239</v>
      </c>
      <c r="AH125" s="85">
        <v>1227</v>
      </c>
      <c r="AI125" s="85">
        <v>1221</v>
      </c>
      <c r="AJ125" s="85">
        <v>1186</v>
      </c>
      <c r="AK125" s="85">
        <v>1187</v>
      </c>
      <c r="AL125" s="85">
        <v>1147</v>
      </c>
      <c r="AM125" s="85">
        <v>1169</v>
      </c>
      <c r="AN125" s="85">
        <v>1156</v>
      </c>
      <c r="AO125" s="85">
        <v>1164</v>
      </c>
      <c r="AP125" s="85">
        <v>1133</v>
      </c>
      <c r="AQ125" s="85">
        <v>1114</v>
      </c>
      <c r="AR125" s="85">
        <v>1124</v>
      </c>
      <c r="AS125" s="85">
        <v>1127</v>
      </c>
      <c r="AT125" s="85">
        <v>1078</v>
      </c>
      <c r="AU125" s="85">
        <v>1072</v>
      </c>
      <c r="AV125" s="85">
        <v>1138</v>
      </c>
      <c r="AW125" s="85">
        <v>1066</v>
      </c>
      <c r="AX125" s="85">
        <v>1075</v>
      </c>
      <c r="AY125" s="85">
        <v>1097</v>
      </c>
      <c r="AZ125" s="85">
        <v>1050</v>
      </c>
      <c r="BA125" s="85">
        <v>1066</v>
      </c>
      <c r="BB125" s="85">
        <v>1061</v>
      </c>
      <c r="BC125" s="85">
        <v>1028</v>
      </c>
      <c r="BD125" s="85">
        <v>1059</v>
      </c>
      <c r="BE125" s="85">
        <v>997</v>
      </c>
      <c r="BF125" s="85">
        <v>1268</v>
      </c>
      <c r="BG125" s="85">
        <v>1046</v>
      </c>
      <c r="BH125" s="85">
        <v>1022</v>
      </c>
      <c r="BI125" s="85">
        <v>945</v>
      </c>
      <c r="BJ125" s="85">
        <v>1105</v>
      </c>
      <c r="BK125" s="85">
        <v>994</v>
      </c>
      <c r="BL125" s="85">
        <v>977</v>
      </c>
      <c r="BM125" s="85">
        <v>982</v>
      </c>
      <c r="BN125" s="85">
        <v>1001</v>
      </c>
      <c r="BO125" s="85">
        <v>955</v>
      </c>
      <c r="BP125" s="85">
        <v>931</v>
      </c>
      <c r="BQ125" s="85">
        <v>1002</v>
      </c>
      <c r="BR125" s="85">
        <v>964</v>
      </c>
      <c r="BS125" s="85">
        <v>922</v>
      </c>
      <c r="BT125" s="85">
        <v>980</v>
      </c>
      <c r="BU125" s="85">
        <v>979</v>
      </c>
      <c r="BV125" s="85">
        <v>1002</v>
      </c>
      <c r="BW125" s="85">
        <v>944</v>
      </c>
      <c r="BX125" s="85">
        <v>980</v>
      </c>
      <c r="BY125" s="85">
        <v>976</v>
      </c>
      <c r="BZ125" s="85">
        <v>969</v>
      </c>
      <c r="CA125" s="85">
        <v>927</v>
      </c>
      <c r="CB125" s="85">
        <v>967</v>
      </c>
      <c r="CC125" s="85">
        <v>967</v>
      </c>
      <c r="CD125" s="85">
        <v>949</v>
      </c>
      <c r="CE125" s="85">
        <v>919</v>
      </c>
      <c r="CF125" s="85">
        <v>932</v>
      </c>
      <c r="CG125" s="85">
        <v>9186</v>
      </c>
      <c r="CH125" s="85">
        <v>8980</v>
      </c>
      <c r="CI125" s="85">
        <v>8653</v>
      </c>
      <c r="CJ125" s="85">
        <v>8633</v>
      </c>
      <c r="CK125" s="85">
        <v>8518</v>
      </c>
      <c r="CL125" s="85">
        <v>8434</v>
      </c>
      <c r="CM125" s="85">
        <v>8250</v>
      </c>
      <c r="CN125" s="85">
        <v>8159</v>
      </c>
      <c r="CO125" s="85">
        <v>8136</v>
      </c>
      <c r="CP125" s="85">
        <v>8048</v>
      </c>
      <c r="CQ125" s="85">
        <v>7977</v>
      </c>
      <c r="CR125" s="85">
        <v>7802</v>
      </c>
      <c r="CS125" s="85">
        <v>7844</v>
      </c>
      <c r="CT125" s="85">
        <v>7557</v>
      </c>
      <c r="CU125" s="382"/>
    </row>
    <row r="126" spans="1:99" s="86" customFormat="1" x14ac:dyDescent="0.2">
      <c r="A126" s="375">
        <v>87</v>
      </c>
      <c r="B126" s="375">
        <v>40</v>
      </c>
      <c r="C126" s="349" t="s">
        <v>156</v>
      </c>
      <c r="D126" s="375">
        <v>1515</v>
      </c>
      <c r="E126" s="164">
        <f t="shared" si="2"/>
        <v>167.89999999999998</v>
      </c>
      <c r="F126" s="394">
        <f t="shared" si="3"/>
        <v>8.8312393991236124</v>
      </c>
      <c r="G126" s="86">
        <v>76</v>
      </c>
      <c r="H126" s="86">
        <v>71</v>
      </c>
      <c r="I126" s="86">
        <v>62</v>
      </c>
      <c r="J126" s="86">
        <v>80</v>
      </c>
      <c r="K126" s="86">
        <v>74</v>
      </c>
      <c r="L126" s="86">
        <v>83</v>
      </c>
      <c r="M126" s="86">
        <v>82</v>
      </c>
      <c r="N126" s="86">
        <v>70</v>
      </c>
      <c r="O126" s="86">
        <v>72</v>
      </c>
      <c r="P126" s="86">
        <v>74</v>
      </c>
      <c r="Q126" s="86">
        <v>69</v>
      </c>
      <c r="R126" s="86">
        <v>72</v>
      </c>
      <c r="S126" s="86">
        <v>66</v>
      </c>
      <c r="T126" s="86">
        <v>73</v>
      </c>
      <c r="U126" s="86">
        <v>85</v>
      </c>
      <c r="V126" s="86">
        <v>74</v>
      </c>
      <c r="W126" s="86">
        <v>76</v>
      </c>
      <c r="X126" s="86">
        <v>91</v>
      </c>
      <c r="Y126" s="86">
        <v>87</v>
      </c>
      <c r="Z126" s="86">
        <v>81</v>
      </c>
      <c r="AA126" s="86">
        <v>799</v>
      </c>
      <c r="AB126" s="86">
        <v>833</v>
      </c>
      <c r="AC126" s="86">
        <v>857</v>
      </c>
      <c r="AD126" s="86">
        <v>798</v>
      </c>
      <c r="AE126" s="86">
        <v>810</v>
      </c>
      <c r="AF126" s="86">
        <v>825</v>
      </c>
      <c r="AG126" s="86">
        <v>855</v>
      </c>
      <c r="AH126" s="86">
        <v>823</v>
      </c>
      <c r="AI126" s="86">
        <v>823</v>
      </c>
      <c r="AJ126" s="86">
        <v>829</v>
      </c>
      <c r="AK126" s="86">
        <v>776</v>
      </c>
      <c r="AL126" s="86">
        <v>824</v>
      </c>
      <c r="AM126" s="86">
        <v>767</v>
      </c>
      <c r="AN126" s="86">
        <v>776</v>
      </c>
      <c r="AO126" s="86">
        <v>740</v>
      </c>
      <c r="AP126" s="86">
        <v>803</v>
      </c>
      <c r="AQ126" s="86">
        <v>714</v>
      </c>
      <c r="AR126" s="86">
        <v>793</v>
      </c>
      <c r="AS126" s="86">
        <v>758</v>
      </c>
      <c r="AT126" s="86">
        <v>740</v>
      </c>
      <c r="AU126" s="86">
        <v>764</v>
      </c>
      <c r="AV126" s="86">
        <v>731</v>
      </c>
      <c r="AW126" s="86">
        <v>724</v>
      </c>
      <c r="AX126" s="86">
        <v>740</v>
      </c>
      <c r="AY126" s="86">
        <v>732</v>
      </c>
      <c r="AZ126" s="86">
        <v>725</v>
      </c>
      <c r="BA126" s="86">
        <v>709</v>
      </c>
      <c r="BB126" s="86">
        <v>710</v>
      </c>
      <c r="BC126" s="86">
        <v>733</v>
      </c>
      <c r="BD126" s="86">
        <v>725</v>
      </c>
      <c r="BE126" s="86">
        <v>697</v>
      </c>
      <c r="BF126" s="86">
        <v>738</v>
      </c>
      <c r="BG126" s="86">
        <v>714</v>
      </c>
      <c r="BH126" s="86">
        <v>712</v>
      </c>
      <c r="BI126" s="86">
        <v>692</v>
      </c>
      <c r="BJ126" s="86">
        <v>695</v>
      </c>
      <c r="BK126" s="86">
        <v>675</v>
      </c>
      <c r="BL126" s="86">
        <v>710</v>
      </c>
      <c r="BM126" s="86">
        <v>727</v>
      </c>
      <c r="BN126" s="86">
        <v>696</v>
      </c>
      <c r="BO126" s="86">
        <v>713</v>
      </c>
      <c r="BP126" s="86">
        <v>656</v>
      </c>
      <c r="BQ126" s="86">
        <v>685</v>
      </c>
      <c r="BR126" s="86">
        <v>699</v>
      </c>
      <c r="BS126" s="86">
        <v>682</v>
      </c>
      <c r="BT126" s="86">
        <v>671</v>
      </c>
      <c r="BU126" s="86">
        <v>688</v>
      </c>
      <c r="BV126" s="86">
        <v>636</v>
      </c>
      <c r="BW126" s="86">
        <v>673</v>
      </c>
      <c r="BX126" s="86">
        <v>687</v>
      </c>
      <c r="BY126" s="86">
        <v>666</v>
      </c>
      <c r="BZ126" s="86">
        <v>638</v>
      </c>
      <c r="CA126" s="86">
        <v>667</v>
      </c>
      <c r="CB126" s="86">
        <v>638</v>
      </c>
      <c r="CC126" s="86">
        <v>686</v>
      </c>
      <c r="CD126" s="86">
        <v>661</v>
      </c>
      <c r="CE126" s="86">
        <v>649</v>
      </c>
      <c r="CF126" s="86">
        <v>688</v>
      </c>
      <c r="CG126" s="86">
        <v>6524</v>
      </c>
      <c r="CH126" s="86">
        <v>6279</v>
      </c>
      <c r="CI126" s="86">
        <v>6273</v>
      </c>
      <c r="CJ126" s="86">
        <v>6213</v>
      </c>
      <c r="CK126" s="86">
        <v>6143</v>
      </c>
      <c r="CL126" s="86">
        <v>6155</v>
      </c>
      <c r="CM126" s="86">
        <v>6138</v>
      </c>
      <c r="CN126" s="86">
        <v>6054</v>
      </c>
      <c r="CO126" s="86">
        <v>5919</v>
      </c>
      <c r="CP126" s="86">
        <v>6134</v>
      </c>
      <c r="CQ126" s="86">
        <v>5960</v>
      </c>
      <c r="CR126" s="86">
        <v>5919</v>
      </c>
      <c r="CS126" s="86">
        <v>5851</v>
      </c>
      <c r="CT126" s="86">
        <v>5971</v>
      </c>
      <c r="CU126" s="382"/>
    </row>
    <row r="127" spans="1:99" s="86" customFormat="1" x14ac:dyDescent="0.2">
      <c r="A127" s="375">
        <v>229</v>
      </c>
      <c r="B127" s="375">
        <v>40</v>
      </c>
      <c r="C127" s="349" t="s">
        <v>155</v>
      </c>
      <c r="D127" s="375">
        <v>3790</v>
      </c>
      <c r="E127" s="164">
        <f t="shared" si="2"/>
        <v>274.25</v>
      </c>
      <c r="F127" s="394">
        <f t="shared" si="3"/>
        <v>8.8287212433737672</v>
      </c>
      <c r="G127" s="86">
        <v>70</v>
      </c>
      <c r="H127" s="86">
        <v>64</v>
      </c>
      <c r="I127" s="86">
        <v>71</v>
      </c>
      <c r="J127" s="86">
        <v>70</v>
      </c>
      <c r="K127" s="86">
        <v>76</v>
      </c>
      <c r="L127" s="86">
        <v>73</v>
      </c>
      <c r="M127" s="86">
        <v>67</v>
      </c>
      <c r="N127" s="86">
        <v>81</v>
      </c>
      <c r="O127" s="86">
        <v>78</v>
      </c>
      <c r="P127" s="86">
        <v>78</v>
      </c>
      <c r="Q127" s="86">
        <v>81</v>
      </c>
      <c r="R127" s="86">
        <v>82</v>
      </c>
      <c r="S127" s="86">
        <v>78</v>
      </c>
      <c r="T127" s="86">
        <v>85</v>
      </c>
      <c r="U127" s="86">
        <v>79</v>
      </c>
      <c r="V127" s="86">
        <v>67</v>
      </c>
      <c r="W127" s="86">
        <v>77</v>
      </c>
      <c r="X127" s="86">
        <v>79</v>
      </c>
      <c r="Y127" s="86">
        <v>76</v>
      </c>
      <c r="Z127" s="86">
        <v>81</v>
      </c>
      <c r="AA127" s="86">
        <v>828</v>
      </c>
      <c r="AB127" s="86">
        <v>811</v>
      </c>
      <c r="AC127" s="86">
        <v>827</v>
      </c>
      <c r="AD127" s="86">
        <v>855</v>
      </c>
      <c r="AE127" s="86">
        <v>806</v>
      </c>
      <c r="AF127" s="86">
        <v>816</v>
      </c>
      <c r="AG127" s="86">
        <v>856</v>
      </c>
      <c r="AH127" s="86">
        <v>817</v>
      </c>
      <c r="AI127" s="86">
        <v>815</v>
      </c>
      <c r="AJ127" s="86">
        <v>816</v>
      </c>
      <c r="AK127" s="86">
        <v>747</v>
      </c>
      <c r="AL127" s="86">
        <v>757</v>
      </c>
      <c r="AM127" s="86">
        <v>734</v>
      </c>
      <c r="AN127" s="86">
        <v>722</v>
      </c>
      <c r="AO127" s="86">
        <v>756</v>
      </c>
      <c r="AP127" s="86">
        <v>706</v>
      </c>
      <c r="AQ127" s="86">
        <v>720</v>
      </c>
      <c r="AR127" s="86">
        <v>724</v>
      </c>
      <c r="AS127" s="86">
        <v>705</v>
      </c>
      <c r="AT127" s="86">
        <v>723</v>
      </c>
      <c r="AU127" s="86">
        <v>690</v>
      </c>
      <c r="AV127" s="86">
        <v>730</v>
      </c>
      <c r="AW127" s="86">
        <v>714</v>
      </c>
      <c r="AX127" s="86">
        <v>698</v>
      </c>
      <c r="AY127" s="86">
        <v>682</v>
      </c>
      <c r="AZ127" s="86">
        <v>683</v>
      </c>
      <c r="BA127" s="86">
        <v>636</v>
      </c>
      <c r="BB127" s="86">
        <v>677</v>
      </c>
      <c r="BC127" s="86">
        <v>671</v>
      </c>
      <c r="BD127" s="86">
        <v>652</v>
      </c>
      <c r="BE127" s="86">
        <v>674</v>
      </c>
      <c r="BF127" s="86">
        <v>654</v>
      </c>
      <c r="BG127" s="86">
        <v>677</v>
      </c>
      <c r="BH127" s="86">
        <v>667</v>
      </c>
      <c r="BI127" s="86">
        <v>655</v>
      </c>
      <c r="BJ127" s="86">
        <v>640</v>
      </c>
      <c r="BK127" s="86">
        <v>630</v>
      </c>
      <c r="BL127" s="86">
        <v>645</v>
      </c>
      <c r="BM127" s="86">
        <v>620</v>
      </c>
      <c r="BN127" s="86">
        <v>635</v>
      </c>
      <c r="BO127" s="86">
        <v>619</v>
      </c>
      <c r="BP127" s="86">
        <v>635</v>
      </c>
      <c r="BQ127" s="86">
        <v>648</v>
      </c>
      <c r="BR127" s="86">
        <v>637</v>
      </c>
      <c r="BS127" s="86">
        <v>652</v>
      </c>
      <c r="BT127" s="86">
        <v>616</v>
      </c>
      <c r="BU127" s="86">
        <v>629</v>
      </c>
      <c r="BV127" s="86">
        <v>647</v>
      </c>
      <c r="BW127" s="86">
        <v>583</v>
      </c>
      <c r="BX127" s="86">
        <v>613</v>
      </c>
      <c r="BY127" s="86">
        <v>642</v>
      </c>
      <c r="BZ127" s="86">
        <v>593</v>
      </c>
      <c r="CA127" s="86">
        <v>587</v>
      </c>
      <c r="CB127" s="86">
        <v>601</v>
      </c>
      <c r="CC127" s="86">
        <v>571</v>
      </c>
      <c r="CD127" s="86">
        <v>576</v>
      </c>
      <c r="CE127" s="86">
        <v>572</v>
      </c>
      <c r="CF127" s="86">
        <v>588</v>
      </c>
      <c r="CG127" s="86">
        <v>5768</v>
      </c>
      <c r="CH127" s="86">
        <v>5610</v>
      </c>
      <c r="CI127" s="86">
        <v>5505</v>
      </c>
      <c r="CJ127" s="86">
        <v>5473</v>
      </c>
      <c r="CK127" s="86">
        <v>5306</v>
      </c>
      <c r="CL127" s="86">
        <v>5236</v>
      </c>
      <c r="CM127" s="86">
        <v>5168</v>
      </c>
      <c r="CN127" s="86">
        <v>5112</v>
      </c>
      <c r="CO127" s="86">
        <v>5046</v>
      </c>
      <c r="CP127" s="86">
        <v>4976</v>
      </c>
      <c r="CQ127" s="86">
        <v>4975</v>
      </c>
      <c r="CR127" s="86">
        <v>5073</v>
      </c>
      <c r="CS127" s="86">
        <v>4873</v>
      </c>
      <c r="CT127" s="86">
        <v>4772</v>
      </c>
      <c r="CU127" s="382"/>
    </row>
    <row r="128" spans="1:99" s="86" customFormat="1" x14ac:dyDescent="0.2">
      <c r="A128" s="375">
        <v>233</v>
      </c>
      <c r="B128" s="375">
        <v>40</v>
      </c>
      <c r="C128" s="349" t="s">
        <v>156</v>
      </c>
      <c r="D128" s="375">
        <v>1516</v>
      </c>
      <c r="E128" s="164">
        <f t="shared" si="2"/>
        <v>114.80000000000001</v>
      </c>
      <c r="F128" s="394">
        <f t="shared" si="3"/>
        <v>7.3244622612782688</v>
      </c>
      <c r="G128" s="86">
        <v>48</v>
      </c>
      <c r="H128" s="86">
        <v>40</v>
      </c>
      <c r="I128" s="86">
        <v>61</v>
      </c>
      <c r="J128" s="86">
        <v>48</v>
      </c>
      <c r="K128" s="86">
        <v>46</v>
      </c>
      <c r="L128" s="86">
        <v>43</v>
      </c>
      <c r="M128" s="86">
        <v>55</v>
      </c>
      <c r="N128" s="86">
        <v>53</v>
      </c>
      <c r="O128" s="86">
        <v>53</v>
      </c>
      <c r="P128" s="86">
        <v>46</v>
      </c>
      <c r="Q128" s="86">
        <v>56</v>
      </c>
      <c r="R128" s="86">
        <v>46</v>
      </c>
      <c r="S128" s="86">
        <v>55</v>
      </c>
      <c r="T128" s="86">
        <v>50</v>
      </c>
      <c r="U128" s="86">
        <v>59</v>
      </c>
      <c r="V128" s="86">
        <v>53</v>
      </c>
      <c r="W128" s="86">
        <v>51</v>
      </c>
      <c r="X128" s="86">
        <v>47</v>
      </c>
      <c r="Y128" s="86">
        <v>61</v>
      </c>
      <c r="Z128" s="86">
        <v>63</v>
      </c>
      <c r="AA128" s="86">
        <v>571</v>
      </c>
      <c r="AB128" s="86">
        <v>592</v>
      </c>
      <c r="AC128" s="86">
        <v>573</v>
      </c>
      <c r="AD128" s="86">
        <v>571</v>
      </c>
      <c r="AE128" s="86">
        <v>586</v>
      </c>
      <c r="AF128" s="86">
        <v>569</v>
      </c>
      <c r="AG128" s="86">
        <v>575</v>
      </c>
      <c r="AH128" s="86">
        <v>569</v>
      </c>
      <c r="AI128" s="86">
        <v>594</v>
      </c>
      <c r="AJ128" s="86">
        <v>573</v>
      </c>
      <c r="AK128" s="86">
        <v>568</v>
      </c>
      <c r="AL128" s="86">
        <v>557</v>
      </c>
      <c r="AM128" s="86">
        <v>531</v>
      </c>
      <c r="AN128" s="86">
        <v>537</v>
      </c>
      <c r="AO128" s="86">
        <v>553</v>
      </c>
      <c r="AP128" s="86">
        <v>563</v>
      </c>
      <c r="AQ128" s="86">
        <v>526</v>
      </c>
      <c r="AR128" s="86">
        <v>554</v>
      </c>
      <c r="AS128" s="86">
        <v>532</v>
      </c>
      <c r="AT128" s="86">
        <v>521</v>
      </c>
      <c r="AU128" s="86">
        <v>497</v>
      </c>
      <c r="AV128" s="86">
        <v>511</v>
      </c>
      <c r="AW128" s="86">
        <v>498</v>
      </c>
      <c r="AX128" s="86">
        <v>512</v>
      </c>
      <c r="AY128" s="86">
        <v>539</v>
      </c>
      <c r="AZ128" s="86">
        <v>517</v>
      </c>
      <c r="BA128" s="86">
        <v>540</v>
      </c>
      <c r="BB128" s="86">
        <v>497</v>
      </c>
      <c r="BC128" s="86">
        <v>493</v>
      </c>
      <c r="BD128" s="86">
        <v>483</v>
      </c>
      <c r="BE128" s="86">
        <v>474</v>
      </c>
      <c r="BF128" s="86">
        <v>522</v>
      </c>
      <c r="BG128" s="86">
        <v>441</v>
      </c>
      <c r="BH128" s="86">
        <v>505</v>
      </c>
      <c r="BI128" s="86">
        <v>460</v>
      </c>
      <c r="BJ128" s="86">
        <v>477</v>
      </c>
      <c r="BK128" s="86">
        <v>473</v>
      </c>
      <c r="BL128" s="86">
        <v>482</v>
      </c>
      <c r="BM128" s="86">
        <v>494</v>
      </c>
      <c r="BN128" s="86">
        <v>454</v>
      </c>
      <c r="BO128" s="86">
        <v>469</v>
      </c>
      <c r="BP128" s="86">
        <v>511</v>
      </c>
      <c r="BQ128" s="86">
        <v>494</v>
      </c>
      <c r="BR128" s="86">
        <v>471</v>
      </c>
      <c r="BS128" s="86">
        <v>492</v>
      </c>
      <c r="BT128" s="86">
        <v>486</v>
      </c>
      <c r="BU128" s="86">
        <v>469</v>
      </c>
      <c r="BV128" s="86">
        <v>480</v>
      </c>
      <c r="BW128" s="86">
        <v>470</v>
      </c>
      <c r="BX128" s="86">
        <v>427</v>
      </c>
      <c r="BY128" s="86">
        <v>439</v>
      </c>
      <c r="BZ128" s="86">
        <v>443</v>
      </c>
      <c r="CA128" s="86">
        <v>450</v>
      </c>
      <c r="CB128" s="86">
        <v>442</v>
      </c>
      <c r="CC128" s="86">
        <v>462</v>
      </c>
      <c r="CD128" s="86">
        <v>473</v>
      </c>
      <c r="CE128" s="86">
        <v>479</v>
      </c>
      <c r="CF128" s="86">
        <v>458</v>
      </c>
      <c r="CG128" s="86">
        <v>4510</v>
      </c>
      <c r="CH128" s="86">
        <v>4468</v>
      </c>
      <c r="CI128" s="86">
        <v>4328</v>
      </c>
      <c r="CJ128" s="86">
        <v>4284</v>
      </c>
      <c r="CK128" s="86">
        <v>4254</v>
      </c>
      <c r="CL128" s="86">
        <v>4275</v>
      </c>
      <c r="CM128" s="86">
        <v>4259</v>
      </c>
      <c r="CN128" s="86">
        <v>4232</v>
      </c>
      <c r="CO128" s="86">
        <v>4082</v>
      </c>
      <c r="CP128" s="86">
        <v>4223</v>
      </c>
      <c r="CQ128" s="86">
        <v>4093</v>
      </c>
      <c r="CR128" s="86">
        <v>4017</v>
      </c>
      <c r="CS128" s="86">
        <v>4080</v>
      </c>
      <c r="CT128" s="86">
        <v>3964</v>
      </c>
      <c r="CU128" s="382"/>
    </row>
    <row r="129" spans="1:99" s="86" customFormat="1" x14ac:dyDescent="0.2">
      <c r="A129" s="375">
        <v>238</v>
      </c>
      <c r="B129" s="375">
        <v>40</v>
      </c>
      <c r="C129" s="349" t="s">
        <v>155</v>
      </c>
      <c r="D129" s="375">
        <v>7581</v>
      </c>
      <c r="E129" s="164">
        <f t="shared" si="2"/>
        <v>200.95</v>
      </c>
      <c r="F129" s="394">
        <f t="shared" si="3"/>
        <v>7.5538283188812798</v>
      </c>
      <c r="G129" s="86">
        <v>49</v>
      </c>
      <c r="H129" s="86">
        <v>45</v>
      </c>
      <c r="I129" s="86">
        <v>57</v>
      </c>
      <c r="J129" s="86">
        <v>57</v>
      </c>
      <c r="K129" s="86">
        <v>61</v>
      </c>
      <c r="L129" s="86">
        <v>68</v>
      </c>
      <c r="M129" s="86">
        <v>60</v>
      </c>
      <c r="N129" s="86">
        <v>53</v>
      </c>
      <c r="O129" s="86">
        <v>54</v>
      </c>
      <c r="P129" s="86">
        <v>55</v>
      </c>
      <c r="Q129" s="86">
        <v>46</v>
      </c>
      <c r="R129" s="86">
        <v>58</v>
      </c>
      <c r="S129" s="86">
        <v>52</v>
      </c>
      <c r="T129" s="86">
        <v>64</v>
      </c>
      <c r="U129" s="86">
        <v>53</v>
      </c>
      <c r="V129" s="86">
        <v>53</v>
      </c>
      <c r="W129" s="86">
        <v>61</v>
      </c>
      <c r="X129" s="86">
        <v>51</v>
      </c>
      <c r="Y129" s="86">
        <v>65</v>
      </c>
      <c r="Z129" s="86">
        <v>55</v>
      </c>
      <c r="AA129" s="86">
        <v>606</v>
      </c>
      <c r="AB129" s="86">
        <v>622</v>
      </c>
      <c r="AC129" s="86">
        <v>599</v>
      </c>
      <c r="AD129" s="86">
        <v>582</v>
      </c>
      <c r="AE129" s="86">
        <v>584</v>
      </c>
      <c r="AF129" s="86">
        <v>588</v>
      </c>
      <c r="AG129" s="86">
        <v>569</v>
      </c>
      <c r="AH129" s="86">
        <v>561</v>
      </c>
      <c r="AI129" s="86">
        <v>563</v>
      </c>
      <c r="AJ129" s="86">
        <v>561</v>
      </c>
      <c r="AK129" s="86">
        <v>528</v>
      </c>
      <c r="AL129" s="86">
        <v>569</v>
      </c>
      <c r="AM129" s="86">
        <v>561</v>
      </c>
      <c r="AN129" s="86">
        <v>546</v>
      </c>
      <c r="AO129" s="86">
        <v>536</v>
      </c>
      <c r="AP129" s="86">
        <v>533</v>
      </c>
      <c r="AQ129" s="86">
        <v>512</v>
      </c>
      <c r="AR129" s="86">
        <v>520</v>
      </c>
      <c r="AS129" s="86">
        <v>505</v>
      </c>
      <c r="AT129" s="86">
        <v>529</v>
      </c>
      <c r="AU129" s="86">
        <v>544</v>
      </c>
      <c r="AV129" s="86">
        <v>474</v>
      </c>
      <c r="AW129" s="86">
        <v>502</v>
      </c>
      <c r="AX129" s="86">
        <v>517</v>
      </c>
      <c r="AY129" s="86">
        <v>516</v>
      </c>
      <c r="AZ129" s="86">
        <v>502</v>
      </c>
      <c r="BA129" s="86">
        <v>502</v>
      </c>
      <c r="BB129" s="86">
        <v>502</v>
      </c>
      <c r="BC129" s="86">
        <v>477</v>
      </c>
      <c r="BD129" s="86">
        <v>503</v>
      </c>
      <c r="BE129" s="86">
        <v>447</v>
      </c>
      <c r="BF129" s="86">
        <v>469</v>
      </c>
      <c r="BG129" s="86">
        <v>444</v>
      </c>
      <c r="BH129" s="86">
        <v>472</v>
      </c>
      <c r="BI129" s="86">
        <v>466</v>
      </c>
      <c r="BJ129" s="86">
        <v>500</v>
      </c>
      <c r="BK129" s="86">
        <v>487</v>
      </c>
      <c r="BL129" s="86">
        <v>434</v>
      </c>
      <c r="BM129" s="86">
        <v>455</v>
      </c>
      <c r="BN129" s="86">
        <v>466</v>
      </c>
      <c r="BO129" s="86">
        <v>453</v>
      </c>
      <c r="BP129" s="86">
        <v>453</v>
      </c>
      <c r="BQ129" s="86">
        <v>473</v>
      </c>
      <c r="BR129" s="86">
        <v>473</v>
      </c>
      <c r="BS129" s="86">
        <v>458</v>
      </c>
      <c r="BT129" s="86">
        <v>428</v>
      </c>
      <c r="BU129" s="86">
        <v>453</v>
      </c>
      <c r="BV129" s="86">
        <v>419</v>
      </c>
      <c r="BW129" s="86">
        <v>437</v>
      </c>
      <c r="BX129" s="86">
        <v>420</v>
      </c>
      <c r="BY129" s="86">
        <v>432</v>
      </c>
      <c r="BZ129" s="86">
        <v>423</v>
      </c>
      <c r="CA129" s="86">
        <v>439</v>
      </c>
      <c r="CB129" s="86">
        <v>420</v>
      </c>
      <c r="CC129" s="86">
        <v>414</v>
      </c>
      <c r="CD129" s="86">
        <v>423</v>
      </c>
      <c r="CE129" s="86">
        <v>441</v>
      </c>
      <c r="CF129" s="86">
        <v>445</v>
      </c>
      <c r="CG129" s="86">
        <v>4127</v>
      </c>
      <c r="CH129" s="86">
        <v>4179</v>
      </c>
      <c r="CI129" s="86">
        <v>3966</v>
      </c>
      <c r="CJ129" s="86">
        <v>3963</v>
      </c>
      <c r="CK129" s="86">
        <v>3920</v>
      </c>
      <c r="CL129" s="86">
        <v>3784</v>
      </c>
      <c r="CM129" s="86">
        <v>3741</v>
      </c>
      <c r="CN129" s="86">
        <v>3748</v>
      </c>
      <c r="CO129" s="86">
        <v>3655</v>
      </c>
      <c r="CP129" s="86">
        <v>3660</v>
      </c>
      <c r="CQ129" s="86">
        <v>3628</v>
      </c>
      <c r="CR129" s="86">
        <v>3710</v>
      </c>
      <c r="CS129" s="86">
        <v>3549</v>
      </c>
      <c r="CT129" s="86">
        <v>3602</v>
      </c>
      <c r="CU129" s="382"/>
    </row>
    <row r="130" spans="1:99" s="86" customFormat="1" x14ac:dyDescent="0.2">
      <c r="A130" s="375">
        <v>242</v>
      </c>
      <c r="B130" s="375">
        <v>40</v>
      </c>
      <c r="C130" s="349" t="s">
        <v>156</v>
      </c>
      <c r="D130" s="375">
        <v>1516</v>
      </c>
      <c r="E130" s="164">
        <f t="shared" si="2"/>
        <v>125.35000000000002</v>
      </c>
      <c r="F130" s="394">
        <f t="shared" si="3"/>
        <v>6.7207851768567002</v>
      </c>
      <c r="G130" s="86">
        <v>55</v>
      </c>
      <c r="H130" s="86">
        <v>48</v>
      </c>
      <c r="I130" s="86">
        <v>46</v>
      </c>
      <c r="J130" s="86">
        <v>38</v>
      </c>
      <c r="K130" s="86">
        <v>45</v>
      </c>
      <c r="L130" s="86">
        <v>42</v>
      </c>
      <c r="M130" s="86">
        <v>45</v>
      </c>
      <c r="N130" s="86">
        <v>47</v>
      </c>
      <c r="O130" s="86">
        <v>38</v>
      </c>
      <c r="P130" s="86">
        <v>41</v>
      </c>
      <c r="Q130" s="86">
        <v>45</v>
      </c>
      <c r="R130" s="86">
        <v>43</v>
      </c>
      <c r="S130" s="86">
        <v>38</v>
      </c>
      <c r="T130" s="86">
        <v>44</v>
      </c>
      <c r="U130" s="86">
        <v>42</v>
      </c>
      <c r="V130" s="86">
        <v>43</v>
      </c>
      <c r="W130" s="86">
        <v>48</v>
      </c>
      <c r="X130" s="86">
        <v>50</v>
      </c>
      <c r="Y130" s="86">
        <v>46</v>
      </c>
      <c r="Z130" s="86">
        <v>42</v>
      </c>
      <c r="AA130" s="86">
        <v>449</v>
      </c>
      <c r="AB130" s="86">
        <v>457</v>
      </c>
      <c r="AC130" s="86">
        <v>469</v>
      </c>
      <c r="AD130" s="86">
        <v>448</v>
      </c>
      <c r="AE130" s="86">
        <v>477</v>
      </c>
      <c r="AF130" s="86">
        <v>468</v>
      </c>
      <c r="AG130" s="86">
        <v>463</v>
      </c>
      <c r="AH130" s="86">
        <v>436</v>
      </c>
      <c r="AI130" s="86">
        <v>431</v>
      </c>
      <c r="AJ130" s="86">
        <v>435</v>
      </c>
      <c r="AK130" s="86">
        <v>427</v>
      </c>
      <c r="AL130" s="86">
        <v>448</v>
      </c>
      <c r="AM130" s="86">
        <v>456</v>
      </c>
      <c r="AN130" s="86">
        <v>420</v>
      </c>
      <c r="AO130" s="86">
        <v>428</v>
      </c>
      <c r="AP130" s="86">
        <v>398</v>
      </c>
      <c r="AQ130" s="86">
        <v>405</v>
      </c>
      <c r="AR130" s="86">
        <v>408</v>
      </c>
      <c r="AS130" s="86">
        <v>395</v>
      </c>
      <c r="AT130" s="86">
        <v>427</v>
      </c>
      <c r="AU130" s="86">
        <v>431</v>
      </c>
      <c r="AV130" s="86">
        <v>415</v>
      </c>
      <c r="AW130" s="86">
        <v>387</v>
      </c>
      <c r="AX130" s="86">
        <v>390</v>
      </c>
      <c r="AY130" s="86">
        <v>414</v>
      </c>
      <c r="AZ130" s="86">
        <v>406</v>
      </c>
      <c r="BA130" s="86">
        <v>405</v>
      </c>
      <c r="BB130" s="86">
        <v>392</v>
      </c>
      <c r="BC130" s="86">
        <v>390</v>
      </c>
      <c r="BD130" s="86">
        <v>381</v>
      </c>
      <c r="BE130" s="86">
        <v>413</v>
      </c>
      <c r="BF130" s="86">
        <v>394</v>
      </c>
      <c r="BG130" s="86">
        <v>384</v>
      </c>
      <c r="BH130" s="86">
        <v>390</v>
      </c>
      <c r="BI130" s="86">
        <v>379</v>
      </c>
      <c r="BJ130" s="86">
        <v>380</v>
      </c>
      <c r="BK130" s="86">
        <v>384</v>
      </c>
      <c r="BL130" s="86">
        <v>368</v>
      </c>
      <c r="BM130" s="86">
        <v>382</v>
      </c>
      <c r="BN130" s="86">
        <v>368</v>
      </c>
      <c r="BO130" s="86">
        <v>361</v>
      </c>
      <c r="BP130" s="86">
        <v>388</v>
      </c>
      <c r="BQ130" s="86">
        <v>371</v>
      </c>
      <c r="BR130" s="86">
        <v>383</v>
      </c>
      <c r="BS130" s="86">
        <v>384</v>
      </c>
      <c r="BT130" s="86">
        <v>350</v>
      </c>
      <c r="BU130" s="86">
        <v>358</v>
      </c>
      <c r="BV130" s="86">
        <v>366</v>
      </c>
      <c r="BW130" s="86">
        <v>344</v>
      </c>
      <c r="BX130" s="86">
        <v>351</v>
      </c>
      <c r="BY130" s="86">
        <v>378</v>
      </c>
      <c r="BZ130" s="86">
        <v>351</v>
      </c>
      <c r="CA130" s="86">
        <v>336</v>
      </c>
      <c r="CB130" s="86">
        <v>376</v>
      </c>
      <c r="CC130" s="86">
        <v>349</v>
      </c>
      <c r="CD130" s="86">
        <v>379</v>
      </c>
      <c r="CE130" s="86">
        <v>352</v>
      </c>
      <c r="CF130" s="86">
        <v>353</v>
      </c>
      <c r="CG130" s="86">
        <v>3632</v>
      </c>
      <c r="CH130" s="86">
        <v>3513</v>
      </c>
      <c r="CI130" s="86">
        <v>3431</v>
      </c>
      <c r="CJ130" s="86">
        <v>3412</v>
      </c>
      <c r="CK130" s="86">
        <v>3395</v>
      </c>
      <c r="CL130" s="86">
        <v>3301</v>
      </c>
      <c r="CM130" s="86">
        <v>3237</v>
      </c>
      <c r="CN130" s="86">
        <v>3260</v>
      </c>
      <c r="CO130" s="86">
        <v>3230</v>
      </c>
      <c r="CP130" s="86">
        <v>3235</v>
      </c>
      <c r="CQ130" s="86">
        <v>3169</v>
      </c>
      <c r="CR130" s="86">
        <v>3152</v>
      </c>
      <c r="CS130" s="86">
        <v>3219</v>
      </c>
      <c r="CT130" s="86">
        <v>3134</v>
      </c>
      <c r="CU130" s="382"/>
    </row>
    <row r="131" spans="1:99" s="86" customFormat="1" x14ac:dyDescent="0.2">
      <c r="A131" s="375">
        <v>247</v>
      </c>
      <c r="B131" s="375">
        <v>40</v>
      </c>
      <c r="C131" s="349" t="s">
        <v>155</v>
      </c>
      <c r="D131" s="375">
        <v>11371</v>
      </c>
      <c r="E131" s="164">
        <f t="shared" si="2"/>
        <v>231.85000000000002</v>
      </c>
      <c r="F131" s="394">
        <f t="shared" si="3"/>
        <v>7.4975866090044212</v>
      </c>
      <c r="G131" s="86">
        <v>48</v>
      </c>
      <c r="H131" s="86">
        <v>58</v>
      </c>
      <c r="I131" s="86">
        <v>50</v>
      </c>
      <c r="J131" s="86">
        <v>49</v>
      </c>
      <c r="K131" s="86">
        <v>61</v>
      </c>
      <c r="L131" s="86">
        <v>61</v>
      </c>
      <c r="M131" s="86">
        <v>63</v>
      </c>
      <c r="N131" s="86">
        <v>62</v>
      </c>
      <c r="O131" s="86">
        <v>50</v>
      </c>
      <c r="P131" s="86">
        <v>60</v>
      </c>
      <c r="Q131" s="86">
        <v>49</v>
      </c>
      <c r="R131" s="86">
        <v>58</v>
      </c>
      <c r="S131" s="86">
        <v>43</v>
      </c>
      <c r="T131" s="86">
        <v>42</v>
      </c>
      <c r="U131" s="86">
        <v>59</v>
      </c>
      <c r="V131" s="86">
        <v>57</v>
      </c>
      <c r="W131" s="86">
        <v>57</v>
      </c>
      <c r="X131" s="86">
        <v>52</v>
      </c>
      <c r="Y131" s="86">
        <v>59</v>
      </c>
      <c r="Z131" s="86">
        <v>67</v>
      </c>
      <c r="AA131" s="86">
        <v>565</v>
      </c>
      <c r="AB131" s="86">
        <v>567</v>
      </c>
      <c r="AC131" s="86">
        <v>595</v>
      </c>
      <c r="AD131" s="86">
        <v>580</v>
      </c>
      <c r="AE131" s="86">
        <v>540</v>
      </c>
      <c r="AF131" s="86">
        <v>593</v>
      </c>
      <c r="AG131" s="86">
        <v>549</v>
      </c>
      <c r="AH131" s="86">
        <v>543</v>
      </c>
      <c r="AI131" s="86">
        <v>533</v>
      </c>
      <c r="AJ131" s="86">
        <v>540</v>
      </c>
      <c r="AK131" s="86">
        <v>517</v>
      </c>
      <c r="AL131" s="86">
        <v>483</v>
      </c>
      <c r="AM131" s="86">
        <v>520</v>
      </c>
      <c r="AN131" s="86">
        <v>506</v>
      </c>
      <c r="AO131" s="86">
        <v>523</v>
      </c>
      <c r="AP131" s="86">
        <v>513</v>
      </c>
      <c r="AQ131" s="86">
        <v>482</v>
      </c>
      <c r="AR131" s="86">
        <v>494</v>
      </c>
      <c r="AS131" s="86">
        <v>485</v>
      </c>
      <c r="AT131" s="86">
        <v>459</v>
      </c>
      <c r="AU131" s="86">
        <v>485</v>
      </c>
      <c r="AV131" s="86">
        <v>470</v>
      </c>
      <c r="AW131" s="86">
        <v>496</v>
      </c>
      <c r="AX131" s="86">
        <v>460</v>
      </c>
      <c r="AY131" s="86">
        <v>476</v>
      </c>
      <c r="AZ131" s="86">
        <v>463</v>
      </c>
      <c r="BA131" s="86">
        <v>439</v>
      </c>
      <c r="BB131" s="86">
        <v>449</v>
      </c>
      <c r="BC131" s="86">
        <v>454</v>
      </c>
      <c r="BD131" s="86">
        <v>463</v>
      </c>
      <c r="BE131" s="86">
        <v>420</v>
      </c>
      <c r="BF131" s="86">
        <v>462</v>
      </c>
      <c r="BG131" s="86">
        <v>452</v>
      </c>
      <c r="BH131" s="86">
        <v>433</v>
      </c>
      <c r="BI131" s="86">
        <v>452</v>
      </c>
      <c r="BJ131" s="86">
        <v>413</v>
      </c>
      <c r="BK131" s="86">
        <v>437</v>
      </c>
      <c r="BL131" s="86">
        <v>435</v>
      </c>
      <c r="BM131" s="86">
        <v>433</v>
      </c>
      <c r="BN131" s="86">
        <v>388</v>
      </c>
      <c r="BO131" s="86">
        <v>429</v>
      </c>
      <c r="BP131" s="86">
        <v>417</v>
      </c>
      <c r="BQ131" s="86">
        <v>438</v>
      </c>
      <c r="BR131" s="86">
        <v>413</v>
      </c>
      <c r="BS131" s="86">
        <v>413</v>
      </c>
      <c r="BT131" s="86">
        <v>417</v>
      </c>
      <c r="BU131" s="86">
        <v>412</v>
      </c>
      <c r="BV131" s="86">
        <v>443</v>
      </c>
      <c r="BW131" s="86">
        <v>383</v>
      </c>
      <c r="BX131" s="86">
        <v>399</v>
      </c>
      <c r="BY131" s="86">
        <v>407</v>
      </c>
      <c r="BZ131" s="86">
        <v>418</v>
      </c>
      <c r="CA131" s="86">
        <v>407</v>
      </c>
      <c r="CB131" s="86">
        <v>411</v>
      </c>
      <c r="CC131" s="86">
        <v>407</v>
      </c>
      <c r="CD131" s="86">
        <v>400</v>
      </c>
      <c r="CE131" s="86">
        <v>379</v>
      </c>
      <c r="CF131" s="86">
        <v>394</v>
      </c>
      <c r="CG131" s="86">
        <v>3845</v>
      </c>
      <c r="CH131" s="86">
        <v>3697</v>
      </c>
      <c r="CI131" s="86">
        <v>3693</v>
      </c>
      <c r="CJ131" s="86">
        <v>3564</v>
      </c>
      <c r="CK131" s="86">
        <v>3523</v>
      </c>
      <c r="CL131" s="86">
        <v>3498</v>
      </c>
      <c r="CM131" s="86">
        <v>3404</v>
      </c>
      <c r="CN131" s="86">
        <v>3339</v>
      </c>
      <c r="CO131" s="86">
        <v>3328</v>
      </c>
      <c r="CP131" s="86">
        <v>3291</v>
      </c>
      <c r="CQ131" s="86">
        <v>3306</v>
      </c>
      <c r="CR131" s="86">
        <v>3267</v>
      </c>
      <c r="CS131" s="86">
        <v>3223</v>
      </c>
      <c r="CT131" s="86">
        <v>3190</v>
      </c>
      <c r="CU131" s="382"/>
    </row>
    <row r="132" spans="1:99" s="86" customFormat="1" x14ac:dyDescent="0.2">
      <c r="A132" s="375">
        <v>251</v>
      </c>
      <c r="B132" s="375">
        <v>40</v>
      </c>
      <c r="C132" s="349" t="s">
        <v>156</v>
      </c>
      <c r="D132" s="375">
        <v>1516</v>
      </c>
      <c r="E132" s="164">
        <f t="shared" si="2"/>
        <v>96.449999999999989</v>
      </c>
      <c r="F132" s="394">
        <f t="shared" si="3"/>
        <v>6.2078133696368516</v>
      </c>
      <c r="G132" s="86">
        <v>35</v>
      </c>
      <c r="H132" s="86">
        <v>33</v>
      </c>
      <c r="I132" s="86">
        <v>40</v>
      </c>
      <c r="J132" s="86">
        <v>31</v>
      </c>
      <c r="K132" s="86">
        <v>35</v>
      </c>
      <c r="L132" s="86">
        <v>33</v>
      </c>
      <c r="M132" s="86">
        <v>41</v>
      </c>
      <c r="N132" s="86">
        <v>35</v>
      </c>
      <c r="O132" s="86">
        <v>39</v>
      </c>
      <c r="P132" s="86">
        <v>35</v>
      </c>
      <c r="Q132" s="86">
        <v>39</v>
      </c>
      <c r="R132" s="86">
        <v>36</v>
      </c>
      <c r="S132" s="86">
        <v>44</v>
      </c>
      <c r="T132" s="86">
        <v>40</v>
      </c>
      <c r="U132" s="86">
        <v>41</v>
      </c>
      <c r="V132" s="86">
        <v>34</v>
      </c>
      <c r="W132" s="86">
        <v>37</v>
      </c>
      <c r="X132" s="86">
        <v>43</v>
      </c>
      <c r="Y132" s="86">
        <v>40</v>
      </c>
      <c r="Z132" s="86">
        <v>43</v>
      </c>
      <c r="AA132" s="86">
        <v>389</v>
      </c>
      <c r="AB132" s="86">
        <v>413</v>
      </c>
      <c r="AC132" s="86">
        <v>423</v>
      </c>
      <c r="AD132" s="86">
        <v>405</v>
      </c>
      <c r="AE132" s="86">
        <v>429</v>
      </c>
      <c r="AF132" s="86">
        <v>417</v>
      </c>
      <c r="AG132" s="86">
        <v>384</v>
      </c>
      <c r="AH132" s="86">
        <v>384</v>
      </c>
      <c r="AI132" s="86">
        <v>382</v>
      </c>
      <c r="AJ132" s="86">
        <v>398</v>
      </c>
      <c r="AK132" s="86">
        <v>386</v>
      </c>
      <c r="AL132" s="86">
        <v>384</v>
      </c>
      <c r="AM132" s="86">
        <v>379</v>
      </c>
      <c r="AN132" s="86">
        <v>407</v>
      </c>
      <c r="AO132" s="86">
        <v>374</v>
      </c>
      <c r="AP132" s="86">
        <v>389</v>
      </c>
      <c r="AQ132" s="86">
        <v>384</v>
      </c>
      <c r="AR132" s="86">
        <v>392</v>
      </c>
      <c r="AS132" s="86">
        <v>357</v>
      </c>
      <c r="AT132" s="86">
        <v>343</v>
      </c>
      <c r="AU132" s="86">
        <v>355</v>
      </c>
      <c r="AV132" s="86">
        <v>361</v>
      </c>
      <c r="AW132" s="86">
        <v>342</v>
      </c>
      <c r="AX132" s="86">
        <v>342</v>
      </c>
      <c r="AY132" s="86">
        <v>378</v>
      </c>
      <c r="AZ132" s="86">
        <v>376</v>
      </c>
      <c r="BA132" s="86">
        <v>342</v>
      </c>
      <c r="BB132" s="86">
        <v>339</v>
      </c>
      <c r="BC132" s="86">
        <v>345</v>
      </c>
      <c r="BD132" s="86">
        <v>320</v>
      </c>
      <c r="BE132" s="86">
        <v>361</v>
      </c>
      <c r="BF132" s="86">
        <v>330</v>
      </c>
      <c r="BG132" s="86">
        <v>331</v>
      </c>
      <c r="BH132" s="86">
        <v>328</v>
      </c>
      <c r="BI132" s="86">
        <v>334</v>
      </c>
      <c r="BJ132" s="86">
        <v>340</v>
      </c>
      <c r="BK132" s="86">
        <v>354</v>
      </c>
      <c r="BL132" s="86">
        <v>340</v>
      </c>
      <c r="BM132" s="86">
        <v>319</v>
      </c>
      <c r="BN132" s="86">
        <v>336</v>
      </c>
      <c r="BO132" s="86">
        <v>325</v>
      </c>
      <c r="BP132" s="86">
        <v>313</v>
      </c>
      <c r="BQ132" s="86">
        <v>315</v>
      </c>
      <c r="BR132" s="86">
        <v>338</v>
      </c>
      <c r="BS132" s="86">
        <v>323</v>
      </c>
      <c r="BT132" s="86">
        <v>338</v>
      </c>
      <c r="BU132" s="86">
        <v>312</v>
      </c>
      <c r="BV132" s="86">
        <v>342</v>
      </c>
      <c r="BW132" s="86">
        <v>339</v>
      </c>
      <c r="BX132" s="86">
        <v>353</v>
      </c>
      <c r="BY132" s="86">
        <v>337</v>
      </c>
      <c r="BZ132" s="86">
        <v>320</v>
      </c>
      <c r="CA132" s="86">
        <v>330</v>
      </c>
      <c r="CB132" s="86">
        <v>352</v>
      </c>
      <c r="CC132" s="86">
        <v>326</v>
      </c>
      <c r="CD132" s="86">
        <v>305</v>
      </c>
      <c r="CE132" s="86">
        <v>314</v>
      </c>
      <c r="CF132" s="86">
        <v>323</v>
      </c>
      <c r="CG132" s="86">
        <v>3158</v>
      </c>
      <c r="CH132" s="86">
        <v>3086</v>
      </c>
      <c r="CI132" s="86">
        <v>3093</v>
      </c>
      <c r="CJ132" s="86">
        <v>2988</v>
      </c>
      <c r="CK132" s="86">
        <v>2756</v>
      </c>
      <c r="CL132" s="86">
        <v>2879</v>
      </c>
      <c r="CM132" s="86">
        <v>2919</v>
      </c>
      <c r="CN132" s="86">
        <v>2899</v>
      </c>
      <c r="CO132" s="86">
        <v>2882</v>
      </c>
      <c r="CP132" s="86">
        <v>2820</v>
      </c>
      <c r="CQ132" s="86">
        <v>2876</v>
      </c>
      <c r="CR132" s="86">
        <v>2864</v>
      </c>
      <c r="CS132" s="86">
        <v>2841</v>
      </c>
      <c r="CT132" s="86">
        <v>2770</v>
      </c>
      <c r="CU132" s="382"/>
    </row>
    <row r="133" spans="1:99" s="86" customFormat="1" x14ac:dyDescent="0.2">
      <c r="A133" s="375">
        <v>256</v>
      </c>
      <c r="B133" s="375">
        <v>40</v>
      </c>
      <c r="C133" s="349" t="s">
        <v>155</v>
      </c>
      <c r="D133" s="375">
        <v>0</v>
      </c>
      <c r="E133" s="164">
        <f t="shared" si="2"/>
        <v>71.599999999999994</v>
      </c>
      <c r="F133" s="394">
        <f t="shared" si="3"/>
        <v>5.4914014478474957</v>
      </c>
      <c r="G133" s="86">
        <v>35</v>
      </c>
      <c r="H133" s="86">
        <v>29</v>
      </c>
      <c r="I133" s="86">
        <v>23</v>
      </c>
      <c r="J133" s="86">
        <v>30</v>
      </c>
      <c r="K133" s="86">
        <v>26</v>
      </c>
      <c r="L133" s="86">
        <v>35</v>
      </c>
      <c r="M133" s="86">
        <v>36</v>
      </c>
      <c r="N133" s="86">
        <v>30</v>
      </c>
      <c r="O133" s="86">
        <v>27</v>
      </c>
      <c r="P133" s="86">
        <v>28</v>
      </c>
      <c r="Q133" s="86">
        <v>28</v>
      </c>
      <c r="R133" s="86">
        <v>34</v>
      </c>
      <c r="S133" s="86">
        <v>33</v>
      </c>
      <c r="T133" s="86">
        <v>29</v>
      </c>
      <c r="U133" s="86">
        <v>29</v>
      </c>
      <c r="V133" s="86">
        <v>32</v>
      </c>
      <c r="W133" s="86">
        <v>27</v>
      </c>
      <c r="X133" s="86">
        <v>29</v>
      </c>
      <c r="Y133" s="86">
        <v>25</v>
      </c>
      <c r="Z133" s="86">
        <v>28</v>
      </c>
      <c r="AA133" s="86">
        <v>296</v>
      </c>
      <c r="AB133" s="86">
        <v>304</v>
      </c>
      <c r="AC133" s="86">
        <v>317</v>
      </c>
      <c r="AD133" s="86">
        <v>314</v>
      </c>
      <c r="AE133" s="86">
        <v>297</v>
      </c>
      <c r="AF133" s="86">
        <v>296</v>
      </c>
      <c r="AG133" s="86">
        <v>286</v>
      </c>
      <c r="AH133" s="86">
        <v>297</v>
      </c>
      <c r="AI133" s="86">
        <v>290</v>
      </c>
      <c r="AJ133" s="86">
        <v>292</v>
      </c>
      <c r="AK133" s="86">
        <v>290</v>
      </c>
      <c r="AL133" s="86">
        <v>285</v>
      </c>
      <c r="AM133" s="86">
        <v>291</v>
      </c>
      <c r="AN133" s="86">
        <v>276</v>
      </c>
      <c r="AO133" s="86">
        <v>261</v>
      </c>
      <c r="AP133" s="86">
        <v>292</v>
      </c>
      <c r="AQ133" s="86">
        <v>267</v>
      </c>
      <c r="AR133" s="86">
        <v>276</v>
      </c>
      <c r="AS133" s="86">
        <v>269</v>
      </c>
      <c r="AT133" s="86">
        <v>279</v>
      </c>
      <c r="AU133" s="86">
        <v>268</v>
      </c>
      <c r="AV133" s="86">
        <v>265</v>
      </c>
      <c r="AW133" s="86">
        <v>264</v>
      </c>
      <c r="AX133" s="86">
        <v>264</v>
      </c>
      <c r="AY133" s="86">
        <v>286</v>
      </c>
      <c r="AZ133" s="86">
        <v>257</v>
      </c>
      <c r="BA133" s="86">
        <v>253</v>
      </c>
      <c r="BB133" s="86">
        <v>265</v>
      </c>
      <c r="BC133" s="86">
        <v>250</v>
      </c>
      <c r="BD133" s="86">
        <v>245</v>
      </c>
      <c r="BE133" s="86">
        <v>279</v>
      </c>
      <c r="BF133" s="86">
        <v>279</v>
      </c>
      <c r="BG133" s="86">
        <v>256</v>
      </c>
      <c r="BH133" s="86">
        <v>232</v>
      </c>
      <c r="BI133" s="86">
        <v>250</v>
      </c>
      <c r="BJ133" s="86">
        <v>246</v>
      </c>
      <c r="BK133" s="86">
        <v>251</v>
      </c>
      <c r="BL133" s="86">
        <v>254</v>
      </c>
      <c r="BM133" s="86">
        <v>264</v>
      </c>
      <c r="BN133" s="86">
        <v>273</v>
      </c>
      <c r="BO133" s="86">
        <v>263</v>
      </c>
      <c r="BP133" s="86">
        <v>241</v>
      </c>
      <c r="BQ133" s="86">
        <v>257</v>
      </c>
      <c r="BR133" s="86">
        <v>241</v>
      </c>
      <c r="BS133" s="86">
        <v>257</v>
      </c>
      <c r="BT133" s="86">
        <v>243</v>
      </c>
      <c r="BU133" s="86">
        <v>250</v>
      </c>
      <c r="BV133" s="86">
        <v>242</v>
      </c>
      <c r="BW133" s="86">
        <v>250</v>
      </c>
      <c r="BX133" s="86">
        <v>258</v>
      </c>
      <c r="BY133" s="86">
        <v>241</v>
      </c>
      <c r="BZ133" s="86">
        <v>257</v>
      </c>
      <c r="CA133" s="86">
        <v>250</v>
      </c>
      <c r="CB133" s="86">
        <v>248</v>
      </c>
      <c r="CC133" s="86">
        <v>246</v>
      </c>
      <c r="CD133" s="86">
        <v>260</v>
      </c>
      <c r="CE133" s="86">
        <v>251</v>
      </c>
      <c r="CF133" s="86">
        <v>258</v>
      </c>
      <c r="CG133" s="86">
        <v>2387</v>
      </c>
      <c r="CH133" s="86">
        <v>2397</v>
      </c>
      <c r="CI133" s="86">
        <v>2397</v>
      </c>
      <c r="CJ133" s="86">
        <v>2332</v>
      </c>
      <c r="CK133" s="86">
        <v>2365</v>
      </c>
      <c r="CL133" s="86">
        <v>2294</v>
      </c>
      <c r="CM133" s="86">
        <v>2299</v>
      </c>
      <c r="CN133" s="86">
        <v>2269</v>
      </c>
      <c r="CO133" s="86">
        <v>2233</v>
      </c>
      <c r="CP133" s="86">
        <v>2307</v>
      </c>
      <c r="CQ133" s="86">
        <v>2255</v>
      </c>
      <c r="CR133" s="86">
        <v>2257</v>
      </c>
      <c r="CS133" s="86">
        <v>2241</v>
      </c>
      <c r="CT133" s="86">
        <v>2257</v>
      </c>
      <c r="CU133" s="382"/>
    </row>
    <row r="134" spans="1:99" s="86" customFormat="1" x14ac:dyDescent="0.2">
      <c r="A134" s="375">
        <v>260</v>
      </c>
      <c r="B134" s="375">
        <v>40</v>
      </c>
      <c r="C134" s="349" t="s">
        <v>156</v>
      </c>
      <c r="D134" s="375">
        <v>1516</v>
      </c>
      <c r="E134" s="164">
        <f t="shared" ref="E134:E197" si="4">MAX((SUM(G134:Z134)/2)-(SUM(CS134:CT134)/20),0.1)</f>
        <v>82.300000000000011</v>
      </c>
      <c r="F134" s="394">
        <f t="shared" ref="F134:F197" si="5">SQRT((STDEV(CP134:CT134)/SQRT(50)^2+(AVERAGE(G134:Z134)^(1/2))^2))</f>
        <v>5.6687390197645167</v>
      </c>
      <c r="G134" s="86">
        <v>31</v>
      </c>
      <c r="H134" s="86">
        <v>35</v>
      </c>
      <c r="I134" s="86">
        <v>27</v>
      </c>
      <c r="J134" s="86">
        <v>30</v>
      </c>
      <c r="K134" s="86">
        <v>32</v>
      </c>
      <c r="L134" s="86">
        <v>26</v>
      </c>
      <c r="M134" s="86">
        <v>33</v>
      </c>
      <c r="N134" s="86">
        <v>36</v>
      </c>
      <c r="O134" s="86">
        <v>32</v>
      </c>
      <c r="P134" s="86">
        <v>36</v>
      </c>
      <c r="Q134" s="86">
        <v>28</v>
      </c>
      <c r="R134" s="86">
        <v>38</v>
      </c>
      <c r="S134" s="86">
        <v>30</v>
      </c>
      <c r="T134" s="86">
        <v>34</v>
      </c>
      <c r="U134" s="86">
        <v>34</v>
      </c>
      <c r="V134" s="86">
        <v>23</v>
      </c>
      <c r="W134" s="86">
        <v>25</v>
      </c>
      <c r="X134" s="86">
        <v>31</v>
      </c>
      <c r="Y134" s="86">
        <v>35</v>
      </c>
      <c r="Z134" s="86">
        <v>33</v>
      </c>
      <c r="AA134" s="86">
        <v>336</v>
      </c>
      <c r="AB134" s="86">
        <v>331</v>
      </c>
      <c r="AC134" s="86">
        <v>327</v>
      </c>
      <c r="AD134" s="86">
        <v>325</v>
      </c>
      <c r="AE134" s="86">
        <v>322</v>
      </c>
      <c r="AF134" s="86">
        <v>324</v>
      </c>
      <c r="AG134" s="86">
        <v>302</v>
      </c>
      <c r="AH134" s="86">
        <v>340</v>
      </c>
      <c r="AI134" s="86">
        <v>317</v>
      </c>
      <c r="AJ134" s="86">
        <v>295</v>
      </c>
      <c r="AK134" s="86">
        <v>311</v>
      </c>
      <c r="AL134" s="86">
        <v>310</v>
      </c>
      <c r="AM134" s="86">
        <v>308</v>
      </c>
      <c r="AN134" s="86">
        <v>315</v>
      </c>
      <c r="AO134" s="86">
        <v>307</v>
      </c>
      <c r="AP134" s="86">
        <v>278</v>
      </c>
      <c r="AQ134" s="86">
        <v>301</v>
      </c>
      <c r="AR134" s="86">
        <v>285</v>
      </c>
      <c r="AS134" s="86">
        <v>293</v>
      </c>
      <c r="AT134" s="86">
        <v>313</v>
      </c>
      <c r="AU134" s="86">
        <v>277</v>
      </c>
      <c r="AV134" s="86">
        <v>277</v>
      </c>
      <c r="AW134" s="86">
        <v>278</v>
      </c>
      <c r="AX134" s="86">
        <v>299</v>
      </c>
      <c r="AY134" s="86">
        <v>312</v>
      </c>
      <c r="AZ134" s="86">
        <v>299</v>
      </c>
      <c r="BA134" s="86">
        <v>282</v>
      </c>
      <c r="BB134" s="86">
        <v>292</v>
      </c>
      <c r="BC134" s="86">
        <v>284</v>
      </c>
      <c r="BD134" s="86">
        <v>287</v>
      </c>
      <c r="BE134" s="86">
        <v>281</v>
      </c>
      <c r="BF134" s="86">
        <v>263</v>
      </c>
      <c r="BG134" s="86">
        <v>265</v>
      </c>
      <c r="BH134" s="86">
        <v>289</v>
      </c>
      <c r="BI134" s="86">
        <v>278</v>
      </c>
      <c r="BJ134" s="86">
        <v>282</v>
      </c>
      <c r="BK134" s="86">
        <v>285</v>
      </c>
      <c r="BL134" s="86">
        <v>255</v>
      </c>
      <c r="BM134" s="86">
        <v>260</v>
      </c>
      <c r="BN134" s="86">
        <v>249</v>
      </c>
      <c r="BO134" s="86">
        <v>278</v>
      </c>
      <c r="BP134" s="86">
        <v>285</v>
      </c>
      <c r="BQ134" s="86">
        <v>269</v>
      </c>
      <c r="BR134" s="86">
        <v>224</v>
      </c>
      <c r="BS134" s="86">
        <v>253</v>
      </c>
      <c r="BT134" s="86">
        <v>262</v>
      </c>
      <c r="BU134" s="86">
        <v>250</v>
      </c>
      <c r="BV134" s="86">
        <v>248</v>
      </c>
      <c r="BW134" s="86">
        <v>234</v>
      </c>
      <c r="BX134" s="86">
        <v>258</v>
      </c>
      <c r="BY134" s="86">
        <v>256</v>
      </c>
      <c r="BZ134" s="86">
        <v>267</v>
      </c>
      <c r="CA134" s="86">
        <v>275</v>
      </c>
      <c r="CB134" s="86">
        <v>258</v>
      </c>
      <c r="CC134" s="86">
        <v>262</v>
      </c>
      <c r="CD134" s="86">
        <v>249</v>
      </c>
      <c r="CE134" s="86">
        <v>245</v>
      </c>
      <c r="CF134" s="86">
        <v>233</v>
      </c>
      <c r="CG134" s="86">
        <v>2576</v>
      </c>
      <c r="CH134" s="86">
        <v>2468</v>
      </c>
      <c r="CI134" s="86">
        <v>2520</v>
      </c>
      <c r="CJ134" s="86">
        <v>2392</v>
      </c>
      <c r="CK134" s="86">
        <v>2415</v>
      </c>
      <c r="CL134" s="86">
        <v>2491</v>
      </c>
      <c r="CM134" s="86">
        <v>2460</v>
      </c>
      <c r="CN134" s="86">
        <v>2374</v>
      </c>
      <c r="CO134" s="86">
        <v>2312</v>
      </c>
      <c r="CP134" s="86">
        <v>2350</v>
      </c>
      <c r="CQ134" s="86">
        <v>2383</v>
      </c>
      <c r="CR134" s="86">
        <v>2317</v>
      </c>
      <c r="CS134" s="86">
        <v>2350</v>
      </c>
      <c r="CT134" s="86">
        <v>2294</v>
      </c>
      <c r="CU134" s="382"/>
    </row>
    <row r="135" spans="1:99" s="86" customFormat="1" x14ac:dyDescent="0.2">
      <c r="A135" s="375">
        <v>265</v>
      </c>
      <c r="B135" s="375">
        <v>40</v>
      </c>
      <c r="C135" s="349" t="s">
        <v>155</v>
      </c>
      <c r="D135" s="375">
        <v>3790</v>
      </c>
      <c r="E135" s="164">
        <f t="shared" si="4"/>
        <v>140.80000000000001</v>
      </c>
      <c r="F135" s="394">
        <f t="shared" si="5"/>
        <v>6.224095918514891</v>
      </c>
      <c r="G135" s="86">
        <v>37</v>
      </c>
      <c r="H135" s="86">
        <v>33</v>
      </c>
      <c r="I135" s="86">
        <v>44</v>
      </c>
      <c r="J135" s="86">
        <v>34</v>
      </c>
      <c r="K135" s="86">
        <v>33</v>
      </c>
      <c r="L135" s="86">
        <v>36</v>
      </c>
      <c r="M135" s="86">
        <v>46</v>
      </c>
      <c r="N135" s="86">
        <v>42</v>
      </c>
      <c r="O135" s="86">
        <v>41</v>
      </c>
      <c r="P135" s="86">
        <v>42</v>
      </c>
      <c r="Q135" s="86">
        <v>40</v>
      </c>
      <c r="R135" s="86">
        <v>38</v>
      </c>
      <c r="S135" s="86">
        <v>38</v>
      </c>
      <c r="T135" s="86">
        <v>42</v>
      </c>
      <c r="U135" s="86">
        <v>42</v>
      </c>
      <c r="V135" s="86">
        <v>32</v>
      </c>
      <c r="W135" s="86">
        <v>35</v>
      </c>
      <c r="X135" s="86">
        <v>34</v>
      </c>
      <c r="Y135" s="86">
        <v>35</v>
      </c>
      <c r="Z135" s="86">
        <v>40</v>
      </c>
      <c r="AA135" s="86">
        <v>398</v>
      </c>
      <c r="AB135" s="86">
        <v>391</v>
      </c>
      <c r="AC135" s="86">
        <v>413</v>
      </c>
      <c r="AD135" s="86">
        <v>395</v>
      </c>
      <c r="AE135" s="86">
        <v>384</v>
      </c>
      <c r="AF135" s="86">
        <v>397</v>
      </c>
      <c r="AG135" s="86">
        <v>399</v>
      </c>
      <c r="AH135" s="86">
        <v>355</v>
      </c>
      <c r="AI135" s="86">
        <v>390</v>
      </c>
      <c r="AJ135" s="86">
        <v>363</v>
      </c>
      <c r="AK135" s="86">
        <v>356</v>
      </c>
      <c r="AL135" s="86">
        <v>359</v>
      </c>
      <c r="AM135" s="86">
        <v>376</v>
      </c>
      <c r="AN135" s="86">
        <v>337</v>
      </c>
      <c r="AO135" s="86">
        <v>359</v>
      </c>
      <c r="AP135" s="86">
        <v>325</v>
      </c>
      <c r="AQ135" s="86">
        <v>336</v>
      </c>
      <c r="AR135" s="86">
        <v>327</v>
      </c>
      <c r="AS135" s="86">
        <v>349</v>
      </c>
      <c r="AT135" s="86">
        <v>321</v>
      </c>
      <c r="AU135" s="86">
        <v>335</v>
      </c>
      <c r="AV135" s="86">
        <v>320</v>
      </c>
      <c r="AW135" s="86">
        <v>323</v>
      </c>
      <c r="AX135" s="86">
        <v>313</v>
      </c>
      <c r="AY135" s="86">
        <v>340</v>
      </c>
      <c r="AZ135" s="86">
        <v>300</v>
      </c>
      <c r="BA135" s="86">
        <v>351</v>
      </c>
      <c r="BB135" s="86">
        <v>329</v>
      </c>
      <c r="BC135" s="86">
        <v>340</v>
      </c>
      <c r="BD135" s="86">
        <v>316</v>
      </c>
      <c r="BE135" s="86">
        <v>342</v>
      </c>
      <c r="BF135" s="86">
        <v>302</v>
      </c>
      <c r="BG135" s="86">
        <v>316</v>
      </c>
      <c r="BH135" s="86">
        <v>319</v>
      </c>
      <c r="BI135" s="86">
        <v>314</v>
      </c>
      <c r="BJ135" s="86">
        <v>303</v>
      </c>
      <c r="BK135" s="86">
        <v>285</v>
      </c>
      <c r="BL135" s="86">
        <v>302</v>
      </c>
      <c r="BM135" s="86">
        <v>279</v>
      </c>
      <c r="BN135" s="86">
        <v>304</v>
      </c>
      <c r="BO135" s="86">
        <v>282</v>
      </c>
      <c r="BP135" s="86">
        <v>296</v>
      </c>
      <c r="BQ135" s="86">
        <v>321</v>
      </c>
      <c r="BR135" s="86">
        <v>279</v>
      </c>
      <c r="BS135" s="86">
        <v>275</v>
      </c>
      <c r="BT135" s="86">
        <v>292</v>
      </c>
      <c r="BU135" s="86">
        <v>293</v>
      </c>
      <c r="BV135" s="86">
        <v>300</v>
      </c>
      <c r="BW135" s="86">
        <v>292</v>
      </c>
      <c r="BX135" s="86">
        <v>300</v>
      </c>
      <c r="BY135" s="86">
        <v>286</v>
      </c>
      <c r="BZ135" s="86">
        <v>308</v>
      </c>
      <c r="CA135" s="86">
        <v>293</v>
      </c>
      <c r="CB135" s="86">
        <v>286</v>
      </c>
      <c r="CC135" s="86">
        <v>273</v>
      </c>
      <c r="CD135" s="86">
        <v>311</v>
      </c>
      <c r="CE135" s="86">
        <v>280</v>
      </c>
      <c r="CF135" s="86">
        <v>281</v>
      </c>
      <c r="CG135" s="86">
        <v>2835</v>
      </c>
      <c r="CH135" s="86">
        <v>2702</v>
      </c>
      <c r="CI135" s="86">
        <v>2623</v>
      </c>
      <c r="CJ135" s="86">
        <v>2575</v>
      </c>
      <c r="CK135" s="86">
        <v>2512</v>
      </c>
      <c r="CL135" s="86">
        <v>2606</v>
      </c>
      <c r="CM135" s="86">
        <v>2512</v>
      </c>
      <c r="CN135" s="86">
        <v>2500</v>
      </c>
      <c r="CO135" s="86">
        <v>2478</v>
      </c>
      <c r="CP135" s="86">
        <v>2464</v>
      </c>
      <c r="CQ135" s="86">
        <v>2394</v>
      </c>
      <c r="CR135" s="86">
        <v>2411</v>
      </c>
      <c r="CS135" s="86">
        <v>2405</v>
      </c>
      <c r="CT135" s="86">
        <v>2419</v>
      </c>
      <c r="CU135" s="382"/>
    </row>
    <row r="136" spans="1:99" s="86" customFormat="1" x14ac:dyDescent="0.2">
      <c r="A136" s="379">
        <v>269</v>
      </c>
      <c r="B136" s="379">
        <v>40</v>
      </c>
      <c r="C136" s="351" t="s">
        <v>156</v>
      </c>
      <c r="D136" s="379">
        <v>1516</v>
      </c>
      <c r="E136" s="381">
        <f t="shared" si="4"/>
        <v>79.599999999999994</v>
      </c>
      <c r="F136" s="395">
        <f t="shared" si="5"/>
        <v>5.591064299397746</v>
      </c>
      <c r="G136" s="87">
        <v>28</v>
      </c>
      <c r="H136" s="87">
        <v>36</v>
      </c>
      <c r="I136" s="87">
        <v>30</v>
      </c>
      <c r="J136" s="87">
        <v>25</v>
      </c>
      <c r="K136" s="87">
        <v>37</v>
      </c>
      <c r="L136" s="87">
        <v>32</v>
      </c>
      <c r="M136" s="87">
        <v>26</v>
      </c>
      <c r="N136" s="87">
        <v>27</v>
      </c>
      <c r="O136" s="87">
        <v>36</v>
      </c>
      <c r="P136" s="87">
        <v>26</v>
      </c>
      <c r="Q136" s="87">
        <v>31</v>
      </c>
      <c r="R136" s="87">
        <v>30</v>
      </c>
      <c r="S136" s="87">
        <v>35</v>
      </c>
      <c r="T136" s="87">
        <v>34</v>
      </c>
      <c r="U136" s="87">
        <v>33</v>
      </c>
      <c r="V136" s="87">
        <v>32</v>
      </c>
      <c r="W136" s="87">
        <v>27</v>
      </c>
      <c r="X136" s="87">
        <v>31</v>
      </c>
      <c r="Y136" s="87">
        <v>27</v>
      </c>
      <c r="Z136" s="87">
        <v>27</v>
      </c>
      <c r="AA136" s="87">
        <v>322</v>
      </c>
      <c r="AB136" s="87">
        <v>308</v>
      </c>
      <c r="AC136" s="87">
        <v>334</v>
      </c>
      <c r="AD136" s="87">
        <v>335</v>
      </c>
      <c r="AE136" s="87">
        <v>355</v>
      </c>
      <c r="AF136" s="87">
        <v>343</v>
      </c>
      <c r="AG136" s="87">
        <v>333</v>
      </c>
      <c r="AH136" s="87">
        <v>317</v>
      </c>
      <c r="AI136" s="87">
        <v>330</v>
      </c>
      <c r="AJ136" s="87">
        <v>313</v>
      </c>
      <c r="AK136" s="87">
        <v>297</v>
      </c>
      <c r="AL136" s="87">
        <v>302</v>
      </c>
      <c r="AM136" s="87">
        <v>308</v>
      </c>
      <c r="AN136" s="87">
        <v>301</v>
      </c>
      <c r="AO136" s="87">
        <v>310</v>
      </c>
      <c r="AP136" s="87">
        <v>305</v>
      </c>
      <c r="AQ136" s="87">
        <v>280</v>
      </c>
      <c r="AR136" s="87">
        <v>315</v>
      </c>
      <c r="AS136" s="87">
        <v>276</v>
      </c>
      <c r="AT136" s="87">
        <v>282</v>
      </c>
      <c r="AU136" s="87">
        <v>285</v>
      </c>
      <c r="AV136" s="87">
        <v>292</v>
      </c>
      <c r="AW136" s="87">
        <v>265</v>
      </c>
      <c r="AX136" s="87">
        <v>266</v>
      </c>
      <c r="AY136" s="87">
        <v>291</v>
      </c>
      <c r="AZ136" s="87">
        <v>284</v>
      </c>
      <c r="BA136" s="87">
        <v>271</v>
      </c>
      <c r="BB136" s="87">
        <v>280</v>
      </c>
      <c r="BC136" s="87">
        <v>272</v>
      </c>
      <c r="BD136" s="87">
        <v>250</v>
      </c>
      <c r="BE136" s="87">
        <v>286</v>
      </c>
      <c r="BF136" s="87">
        <v>268</v>
      </c>
      <c r="BG136" s="87">
        <v>274</v>
      </c>
      <c r="BH136" s="87">
        <v>286</v>
      </c>
      <c r="BI136" s="87">
        <v>255</v>
      </c>
      <c r="BJ136" s="87">
        <v>258</v>
      </c>
      <c r="BK136" s="87">
        <v>269</v>
      </c>
      <c r="BL136" s="87">
        <v>258</v>
      </c>
      <c r="BM136" s="87">
        <v>251</v>
      </c>
      <c r="BN136" s="87">
        <v>260</v>
      </c>
      <c r="BO136" s="87">
        <v>251</v>
      </c>
      <c r="BP136" s="87">
        <v>256</v>
      </c>
      <c r="BQ136" s="87">
        <v>271</v>
      </c>
      <c r="BR136" s="87">
        <v>253</v>
      </c>
      <c r="BS136" s="87">
        <v>268</v>
      </c>
      <c r="BT136" s="87">
        <v>269</v>
      </c>
      <c r="BU136" s="87">
        <v>260</v>
      </c>
      <c r="BV136" s="87">
        <v>241</v>
      </c>
      <c r="BW136" s="87">
        <v>251</v>
      </c>
      <c r="BX136" s="87">
        <v>266</v>
      </c>
      <c r="BY136" s="87">
        <v>257</v>
      </c>
      <c r="BZ136" s="87">
        <v>269</v>
      </c>
      <c r="CA136" s="87">
        <v>260</v>
      </c>
      <c r="CB136" s="87">
        <v>282</v>
      </c>
      <c r="CC136" s="87">
        <v>266</v>
      </c>
      <c r="CD136" s="87">
        <v>256</v>
      </c>
      <c r="CE136" s="87">
        <v>259</v>
      </c>
      <c r="CF136" s="87">
        <v>261</v>
      </c>
      <c r="CG136" s="87">
        <v>2506</v>
      </c>
      <c r="CH136" s="87">
        <v>2438</v>
      </c>
      <c r="CI136" s="87">
        <v>2371</v>
      </c>
      <c r="CJ136" s="87">
        <v>2296</v>
      </c>
      <c r="CK136" s="87">
        <v>2324</v>
      </c>
      <c r="CL136" s="87">
        <v>2345</v>
      </c>
      <c r="CM136" s="87">
        <v>2272</v>
      </c>
      <c r="CN136" s="87">
        <v>2264</v>
      </c>
      <c r="CO136" s="87">
        <v>2249</v>
      </c>
      <c r="CP136" s="87">
        <v>2218</v>
      </c>
      <c r="CQ136" s="87">
        <v>2251</v>
      </c>
      <c r="CR136" s="87">
        <v>2168</v>
      </c>
      <c r="CS136" s="87">
        <v>2264</v>
      </c>
      <c r="CT136" s="87">
        <v>2244</v>
      </c>
      <c r="CU136" s="382"/>
    </row>
    <row r="137" spans="1:99" s="86" customFormat="1" x14ac:dyDescent="0.2">
      <c r="A137" s="375">
        <v>91</v>
      </c>
      <c r="B137" s="375">
        <v>41</v>
      </c>
      <c r="C137" s="349" t="s">
        <v>155</v>
      </c>
      <c r="D137" s="376">
        <v>0</v>
      </c>
      <c r="E137" s="164">
        <f t="shared" si="4"/>
        <v>1653.9</v>
      </c>
      <c r="F137" s="394">
        <f t="shared" si="5"/>
        <v>14.038051111879403</v>
      </c>
      <c r="G137" s="83">
        <v>208</v>
      </c>
      <c r="H137" s="83">
        <v>189</v>
      </c>
      <c r="I137" s="83">
        <v>206</v>
      </c>
      <c r="J137" s="83">
        <v>198</v>
      </c>
      <c r="K137" s="83">
        <v>187</v>
      </c>
      <c r="L137" s="83">
        <v>184</v>
      </c>
      <c r="M137" s="83">
        <v>198</v>
      </c>
      <c r="N137" s="83">
        <v>199</v>
      </c>
      <c r="O137" s="83">
        <v>190</v>
      </c>
      <c r="P137" s="83">
        <v>179</v>
      </c>
      <c r="Q137" s="83">
        <v>196</v>
      </c>
      <c r="R137" s="83">
        <v>194</v>
      </c>
      <c r="S137" s="83">
        <v>204</v>
      </c>
      <c r="T137" s="83">
        <v>198</v>
      </c>
      <c r="U137" s="83">
        <v>188</v>
      </c>
      <c r="V137" s="83">
        <v>191</v>
      </c>
      <c r="W137" s="83">
        <v>196</v>
      </c>
      <c r="X137" s="83">
        <v>180</v>
      </c>
      <c r="Y137" s="83">
        <v>199</v>
      </c>
      <c r="Z137" s="83">
        <v>207</v>
      </c>
      <c r="AA137" s="83">
        <v>1885</v>
      </c>
      <c r="AB137" s="83">
        <v>1843</v>
      </c>
      <c r="AC137" s="83">
        <v>1785</v>
      </c>
      <c r="AD137" s="83">
        <v>1734</v>
      </c>
      <c r="AE137" s="83">
        <v>1647</v>
      </c>
      <c r="AF137" s="83">
        <v>1574</v>
      </c>
      <c r="AG137" s="83">
        <v>1497</v>
      </c>
      <c r="AH137" s="83">
        <v>1483</v>
      </c>
      <c r="AI137" s="83">
        <v>1385</v>
      </c>
      <c r="AJ137" s="83">
        <v>1360</v>
      </c>
      <c r="AK137" s="83">
        <v>1323</v>
      </c>
      <c r="AL137" s="83">
        <v>1296</v>
      </c>
      <c r="AM137" s="83">
        <v>1230</v>
      </c>
      <c r="AN137" s="83">
        <v>1202</v>
      </c>
      <c r="AO137" s="83">
        <v>1167</v>
      </c>
      <c r="AP137" s="83">
        <v>1169</v>
      </c>
      <c r="AQ137" s="83">
        <v>1101</v>
      </c>
      <c r="AR137" s="83">
        <v>1105</v>
      </c>
      <c r="AS137" s="83">
        <v>1035</v>
      </c>
      <c r="AT137" s="83">
        <v>1030</v>
      </c>
      <c r="AU137" s="83">
        <v>955</v>
      </c>
      <c r="AV137" s="83">
        <v>925</v>
      </c>
      <c r="AW137" s="83">
        <v>956</v>
      </c>
      <c r="AX137" s="83">
        <v>905</v>
      </c>
      <c r="AY137" s="83">
        <v>878</v>
      </c>
      <c r="AZ137" s="83">
        <v>877</v>
      </c>
      <c r="BA137" s="83">
        <v>848</v>
      </c>
      <c r="BB137" s="83">
        <v>808</v>
      </c>
      <c r="BC137" s="83">
        <v>841</v>
      </c>
      <c r="BD137" s="83">
        <v>808</v>
      </c>
      <c r="BE137" s="83">
        <v>801</v>
      </c>
      <c r="BF137" s="83">
        <v>775</v>
      </c>
      <c r="BG137" s="83">
        <v>755</v>
      </c>
      <c r="BH137" s="83">
        <v>721</v>
      </c>
      <c r="BI137" s="83">
        <v>703</v>
      </c>
      <c r="BJ137" s="83">
        <v>732</v>
      </c>
      <c r="BK137" s="83">
        <v>688</v>
      </c>
      <c r="BL137" s="83">
        <v>657</v>
      </c>
      <c r="BM137" s="83">
        <v>691</v>
      </c>
      <c r="BN137" s="83">
        <v>677</v>
      </c>
      <c r="BO137" s="83">
        <v>622</v>
      </c>
      <c r="BP137" s="83">
        <v>649</v>
      </c>
      <c r="BQ137" s="83">
        <v>636</v>
      </c>
      <c r="BR137" s="83">
        <v>657</v>
      </c>
      <c r="BS137" s="83">
        <v>624</v>
      </c>
      <c r="BT137" s="83">
        <v>610</v>
      </c>
      <c r="BU137" s="83">
        <v>594</v>
      </c>
      <c r="BV137" s="83">
        <v>597</v>
      </c>
      <c r="BW137" s="83">
        <v>599</v>
      </c>
      <c r="BX137" s="83">
        <v>608</v>
      </c>
      <c r="BY137" s="83">
        <v>559</v>
      </c>
      <c r="BZ137" s="83">
        <v>624</v>
      </c>
      <c r="CA137" s="83">
        <v>566</v>
      </c>
      <c r="CB137" s="83">
        <v>555</v>
      </c>
      <c r="CC137" s="83">
        <v>563</v>
      </c>
      <c r="CD137" s="83">
        <v>570</v>
      </c>
      <c r="CE137" s="83">
        <v>550</v>
      </c>
      <c r="CF137" s="83">
        <v>504</v>
      </c>
      <c r="CG137" s="83">
        <v>5114</v>
      </c>
      <c r="CH137" s="83">
        <v>4617</v>
      </c>
      <c r="CI137" s="83">
        <v>4316</v>
      </c>
      <c r="CJ137" s="83">
        <v>3956</v>
      </c>
      <c r="CK137" s="83">
        <v>3855</v>
      </c>
      <c r="CL137" s="83">
        <v>3642</v>
      </c>
      <c r="CM137" s="83">
        <v>3536</v>
      </c>
      <c r="CN137" s="83">
        <v>3406</v>
      </c>
      <c r="CO137" s="83">
        <v>3275</v>
      </c>
      <c r="CP137" s="83">
        <v>3200</v>
      </c>
      <c r="CQ137" s="83">
        <v>3088</v>
      </c>
      <c r="CR137" s="83">
        <v>2959</v>
      </c>
      <c r="CS137" s="83">
        <v>2939</v>
      </c>
      <c r="CT137" s="83">
        <v>2893</v>
      </c>
      <c r="CU137" s="382"/>
    </row>
    <row r="138" spans="1:99" s="86" customFormat="1" x14ac:dyDescent="0.2">
      <c r="A138" s="375">
        <v>95</v>
      </c>
      <c r="B138" s="375">
        <v>41</v>
      </c>
      <c r="C138" s="349" t="s">
        <v>156</v>
      </c>
      <c r="D138" s="376">
        <v>1515</v>
      </c>
      <c r="E138" s="164">
        <f t="shared" si="4"/>
        <v>933.15</v>
      </c>
      <c r="F138" s="394">
        <f t="shared" si="5"/>
        <v>11.013449469429045</v>
      </c>
      <c r="G138" s="83">
        <v>123</v>
      </c>
      <c r="H138" s="83">
        <v>111</v>
      </c>
      <c r="I138" s="83">
        <v>117</v>
      </c>
      <c r="J138" s="83">
        <v>110</v>
      </c>
      <c r="K138" s="83">
        <v>115</v>
      </c>
      <c r="L138" s="83">
        <v>119</v>
      </c>
      <c r="M138" s="83">
        <v>127</v>
      </c>
      <c r="N138" s="83">
        <v>134</v>
      </c>
      <c r="O138" s="83">
        <v>127</v>
      </c>
      <c r="P138" s="83">
        <v>115</v>
      </c>
      <c r="Q138" s="83">
        <v>120</v>
      </c>
      <c r="R138" s="83">
        <v>130</v>
      </c>
      <c r="S138" s="83">
        <v>109</v>
      </c>
      <c r="T138" s="83">
        <v>109</v>
      </c>
      <c r="U138" s="83">
        <v>121</v>
      </c>
      <c r="V138" s="83">
        <v>121</v>
      </c>
      <c r="W138" s="83">
        <v>116</v>
      </c>
      <c r="X138" s="83">
        <v>127</v>
      </c>
      <c r="Y138" s="83">
        <v>110</v>
      </c>
      <c r="Z138" s="83">
        <v>121</v>
      </c>
      <c r="AA138" s="83">
        <v>1158</v>
      </c>
      <c r="AB138" s="83">
        <v>1126</v>
      </c>
      <c r="AC138" s="83">
        <v>1081</v>
      </c>
      <c r="AD138" s="83">
        <v>1122</v>
      </c>
      <c r="AE138" s="83">
        <v>1048</v>
      </c>
      <c r="AF138" s="83">
        <v>1013</v>
      </c>
      <c r="AG138" s="83">
        <v>1031</v>
      </c>
      <c r="AH138" s="83">
        <v>950</v>
      </c>
      <c r="AI138" s="83">
        <v>938</v>
      </c>
      <c r="AJ138" s="83">
        <v>866</v>
      </c>
      <c r="AK138" s="83">
        <v>885</v>
      </c>
      <c r="AL138" s="83">
        <v>859</v>
      </c>
      <c r="AM138" s="83">
        <v>816</v>
      </c>
      <c r="AN138" s="83">
        <v>807</v>
      </c>
      <c r="AO138" s="83">
        <v>755</v>
      </c>
      <c r="AP138" s="83">
        <v>724</v>
      </c>
      <c r="AQ138" s="83">
        <v>752</v>
      </c>
      <c r="AR138" s="83">
        <v>737</v>
      </c>
      <c r="AS138" s="83">
        <v>700</v>
      </c>
      <c r="AT138" s="83">
        <v>685</v>
      </c>
      <c r="AU138" s="83">
        <v>659</v>
      </c>
      <c r="AV138" s="83">
        <v>687</v>
      </c>
      <c r="AW138" s="83">
        <v>629</v>
      </c>
      <c r="AX138" s="83">
        <v>619</v>
      </c>
      <c r="AY138" s="83">
        <v>597</v>
      </c>
      <c r="AZ138" s="83">
        <v>609</v>
      </c>
      <c r="BA138" s="83">
        <v>604</v>
      </c>
      <c r="BB138" s="83">
        <v>586</v>
      </c>
      <c r="BC138" s="83">
        <v>581</v>
      </c>
      <c r="BD138" s="83">
        <v>544</v>
      </c>
      <c r="BE138" s="83">
        <v>601</v>
      </c>
      <c r="BF138" s="83">
        <v>519</v>
      </c>
      <c r="BG138" s="83">
        <v>569</v>
      </c>
      <c r="BH138" s="83">
        <v>549</v>
      </c>
      <c r="BI138" s="83">
        <v>503</v>
      </c>
      <c r="BJ138" s="83">
        <v>537</v>
      </c>
      <c r="BK138" s="83">
        <v>538</v>
      </c>
      <c r="BL138" s="83">
        <v>484</v>
      </c>
      <c r="BM138" s="83">
        <v>500</v>
      </c>
      <c r="BN138" s="83">
        <v>487</v>
      </c>
      <c r="BO138" s="83">
        <v>507</v>
      </c>
      <c r="BP138" s="83">
        <v>470</v>
      </c>
      <c r="BQ138" s="83">
        <v>485</v>
      </c>
      <c r="BR138" s="83">
        <v>481</v>
      </c>
      <c r="BS138" s="83">
        <v>488</v>
      </c>
      <c r="BT138" s="83">
        <v>472</v>
      </c>
      <c r="BU138" s="83">
        <v>483</v>
      </c>
      <c r="BV138" s="83">
        <v>449</v>
      </c>
      <c r="BW138" s="83">
        <v>464</v>
      </c>
      <c r="BX138" s="83">
        <v>437</v>
      </c>
      <c r="BY138" s="83">
        <v>444</v>
      </c>
      <c r="BZ138" s="83">
        <v>436</v>
      </c>
      <c r="CA138" s="83">
        <v>419</v>
      </c>
      <c r="CB138" s="83">
        <v>419</v>
      </c>
      <c r="CC138" s="83">
        <v>430</v>
      </c>
      <c r="CD138" s="83">
        <v>438</v>
      </c>
      <c r="CE138" s="83">
        <v>436</v>
      </c>
      <c r="CF138" s="83">
        <v>411</v>
      </c>
      <c r="CG138" s="83">
        <v>4032</v>
      </c>
      <c r="CH138" s="83">
        <v>3758</v>
      </c>
      <c r="CI138" s="83">
        <v>3576</v>
      </c>
      <c r="CJ138" s="83">
        <v>3400</v>
      </c>
      <c r="CK138" s="83">
        <v>3235</v>
      </c>
      <c r="CL138" s="83">
        <v>3133</v>
      </c>
      <c r="CM138" s="83">
        <v>2988</v>
      </c>
      <c r="CN138" s="83">
        <v>2919</v>
      </c>
      <c r="CO138" s="83">
        <v>2800</v>
      </c>
      <c r="CP138" s="83">
        <v>2781</v>
      </c>
      <c r="CQ138" s="83">
        <v>2785</v>
      </c>
      <c r="CR138" s="83">
        <v>2685</v>
      </c>
      <c r="CS138" s="83">
        <v>2635</v>
      </c>
      <c r="CT138" s="83">
        <v>2522</v>
      </c>
      <c r="CU138" s="382"/>
    </row>
    <row r="139" spans="1:99" s="86" customFormat="1" x14ac:dyDescent="0.2">
      <c r="A139" s="375">
        <v>229</v>
      </c>
      <c r="B139" s="375">
        <v>41</v>
      </c>
      <c r="C139" s="349" t="s">
        <v>155</v>
      </c>
      <c r="D139" s="376">
        <v>1010</v>
      </c>
      <c r="E139" s="164">
        <f t="shared" si="4"/>
        <v>634.25</v>
      </c>
      <c r="F139" s="394">
        <f t="shared" si="5"/>
        <v>8.9990968726239693</v>
      </c>
      <c r="G139" s="83">
        <v>89</v>
      </c>
      <c r="H139" s="83">
        <v>98</v>
      </c>
      <c r="I139" s="83">
        <v>79</v>
      </c>
      <c r="J139" s="83">
        <v>75</v>
      </c>
      <c r="K139" s="83">
        <v>74</v>
      </c>
      <c r="L139" s="83">
        <v>78</v>
      </c>
      <c r="M139" s="83">
        <v>86</v>
      </c>
      <c r="N139" s="83">
        <v>89</v>
      </c>
      <c r="O139" s="83">
        <v>70</v>
      </c>
      <c r="P139" s="83">
        <v>80</v>
      </c>
      <c r="Q139" s="83">
        <v>75</v>
      </c>
      <c r="R139" s="83">
        <v>75</v>
      </c>
      <c r="S139" s="83">
        <v>74</v>
      </c>
      <c r="T139" s="83">
        <v>74</v>
      </c>
      <c r="U139" s="83">
        <v>77</v>
      </c>
      <c r="V139" s="83">
        <v>74</v>
      </c>
      <c r="W139" s="83">
        <v>83</v>
      </c>
      <c r="X139" s="83">
        <v>83</v>
      </c>
      <c r="Y139" s="83">
        <v>84</v>
      </c>
      <c r="Z139" s="83">
        <v>77</v>
      </c>
      <c r="AA139" s="83">
        <v>762</v>
      </c>
      <c r="AB139" s="83">
        <v>718</v>
      </c>
      <c r="AC139" s="83">
        <v>783</v>
      </c>
      <c r="AD139" s="83">
        <v>749</v>
      </c>
      <c r="AE139" s="83">
        <v>696</v>
      </c>
      <c r="AF139" s="83">
        <v>664</v>
      </c>
      <c r="AG139" s="83">
        <v>654</v>
      </c>
      <c r="AH139" s="83">
        <v>606</v>
      </c>
      <c r="AI139" s="83">
        <v>593</v>
      </c>
      <c r="AJ139" s="83">
        <v>577</v>
      </c>
      <c r="AK139" s="83">
        <v>571</v>
      </c>
      <c r="AL139" s="83">
        <v>543</v>
      </c>
      <c r="AM139" s="83">
        <v>560</v>
      </c>
      <c r="AN139" s="83">
        <v>534</v>
      </c>
      <c r="AO139" s="83">
        <v>533</v>
      </c>
      <c r="AP139" s="83">
        <v>488</v>
      </c>
      <c r="AQ139" s="83">
        <v>480</v>
      </c>
      <c r="AR139" s="83">
        <v>492</v>
      </c>
      <c r="AS139" s="83">
        <v>480</v>
      </c>
      <c r="AT139" s="83">
        <v>424</v>
      </c>
      <c r="AU139" s="83">
        <v>423</v>
      </c>
      <c r="AV139" s="83">
        <v>431</v>
      </c>
      <c r="AW139" s="83">
        <v>404</v>
      </c>
      <c r="AX139" s="83">
        <v>407</v>
      </c>
      <c r="AY139" s="83">
        <v>389</v>
      </c>
      <c r="AZ139" s="83">
        <v>385</v>
      </c>
      <c r="BA139" s="83">
        <v>404</v>
      </c>
      <c r="BB139" s="83">
        <v>407</v>
      </c>
      <c r="BC139" s="83">
        <v>380</v>
      </c>
      <c r="BD139" s="83">
        <v>340</v>
      </c>
      <c r="BE139" s="83">
        <v>356</v>
      </c>
      <c r="BF139" s="83">
        <v>355</v>
      </c>
      <c r="BG139" s="83">
        <v>353</v>
      </c>
      <c r="BH139" s="83">
        <v>357</v>
      </c>
      <c r="BI139" s="83">
        <v>360</v>
      </c>
      <c r="BJ139" s="83">
        <v>339</v>
      </c>
      <c r="BK139" s="83">
        <v>342</v>
      </c>
      <c r="BL139" s="83">
        <v>329</v>
      </c>
      <c r="BM139" s="83">
        <v>303</v>
      </c>
      <c r="BN139" s="83">
        <v>301</v>
      </c>
      <c r="BO139" s="83">
        <v>303</v>
      </c>
      <c r="BP139" s="83">
        <v>310</v>
      </c>
      <c r="BQ139" s="83">
        <v>308</v>
      </c>
      <c r="BR139" s="83">
        <v>293</v>
      </c>
      <c r="BS139" s="83">
        <v>299</v>
      </c>
      <c r="BT139" s="83">
        <v>302</v>
      </c>
      <c r="BU139" s="83">
        <v>305</v>
      </c>
      <c r="BV139" s="83">
        <v>272</v>
      </c>
      <c r="BW139" s="83">
        <v>283</v>
      </c>
      <c r="BX139" s="83">
        <v>276</v>
      </c>
      <c r="BY139" s="83">
        <v>276</v>
      </c>
      <c r="BZ139" s="83">
        <v>253</v>
      </c>
      <c r="CA139" s="83">
        <v>288</v>
      </c>
      <c r="CB139" s="83">
        <v>272</v>
      </c>
      <c r="CC139" s="83">
        <v>276</v>
      </c>
      <c r="CD139" s="83">
        <v>265</v>
      </c>
      <c r="CE139" s="83">
        <v>263</v>
      </c>
      <c r="CF139" s="83">
        <v>243</v>
      </c>
      <c r="CG139" s="83">
        <v>2450</v>
      </c>
      <c r="CH139" s="83">
        <v>2382</v>
      </c>
      <c r="CI139" s="83">
        <v>2220</v>
      </c>
      <c r="CJ139" s="83">
        <v>2092</v>
      </c>
      <c r="CK139" s="83">
        <v>2028</v>
      </c>
      <c r="CL139" s="83">
        <v>1967</v>
      </c>
      <c r="CM139" s="83">
        <v>1884</v>
      </c>
      <c r="CN139" s="83">
        <v>1799</v>
      </c>
      <c r="CO139" s="83">
        <v>1805</v>
      </c>
      <c r="CP139" s="83">
        <v>1729</v>
      </c>
      <c r="CQ139" s="83">
        <v>1761</v>
      </c>
      <c r="CR139" s="83">
        <v>1635</v>
      </c>
      <c r="CS139" s="83">
        <v>1633</v>
      </c>
      <c r="CT139" s="83">
        <v>1622</v>
      </c>
      <c r="CU139" s="382"/>
    </row>
    <row r="140" spans="1:99" s="86" customFormat="1" x14ac:dyDescent="0.2">
      <c r="A140" s="375">
        <v>233</v>
      </c>
      <c r="B140" s="375">
        <v>41</v>
      </c>
      <c r="C140" s="349" t="s">
        <v>156</v>
      </c>
      <c r="D140" s="376">
        <v>1515</v>
      </c>
      <c r="E140" s="164">
        <f t="shared" si="4"/>
        <v>953.35</v>
      </c>
      <c r="F140" s="394">
        <f t="shared" si="5"/>
        <v>10.796924926606833</v>
      </c>
      <c r="G140" s="83">
        <v>121</v>
      </c>
      <c r="H140" s="83">
        <v>119</v>
      </c>
      <c r="I140" s="83">
        <v>118</v>
      </c>
      <c r="J140" s="83">
        <v>111</v>
      </c>
      <c r="K140" s="83">
        <v>104</v>
      </c>
      <c r="L140" s="83">
        <v>109</v>
      </c>
      <c r="M140" s="83">
        <v>129</v>
      </c>
      <c r="N140" s="83">
        <v>120</v>
      </c>
      <c r="O140" s="83">
        <v>119</v>
      </c>
      <c r="P140" s="83">
        <v>111</v>
      </c>
      <c r="Q140" s="83">
        <v>123</v>
      </c>
      <c r="R140" s="83">
        <v>114</v>
      </c>
      <c r="S140" s="83">
        <v>111</v>
      </c>
      <c r="T140" s="83">
        <v>98</v>
      </c>
      <c r="U140" s="83">
        <v>126</v>
      </c>
      <c r="V140" s="83">
        <v>112</v>
      </c>
      <c r="W140" s="83">
        <v>107</v>
      </c>
      <c r="X140" s="83">
        <v>111</v>
      </c>
      <c r="Y140" s="83">
        <v>130</v>
      </c>
      <c r="Z140" s="83">
        <v>108</v>
      </c>
      <c r="AA140" s="83">
        <v>1121</v>
      </c>
      <c r="AB140" s="83">
        <v>1070</v>
      </c>
      <c r="AC140" s="83">
        <v>1054</v>
      </c>
      <c r="AD140" s="83">
        <v>1004</v>
      </c>
      <c r="AE140" s="83">
        <v>985</v>
      </c>
      <c r="AF140" s="83">
        <v>958</v>
      </c>
      <c r="AG140" s="83">
        <v>877</v>
      </c>
      <c r="AH140" s="83">
        <v>900</v>
      </c>
      <c r="AI140" s="83">
        <v>869</v>
      </c>
      <c r="AJ140" s="83">
        <v>823</v>
      </c>
      <c r="AK140" s="83">
        <v>788</v>
      </c>
      <c r="AL140" s="83">
        <v>737</v>
      </c>
      <c r="AM140" s="83">
        <v>757</v>
      </c>
      <c r="AN140" s="83">
        <v>753</v>
      </c>
      <c r="AO140" s="83">
        <v>759</v>
      </c>
      <c r="AP140" s="83">
        <v>682</v>
      </c>
      <c r="AQ140" s="83">
        <v>668</v>
      </c>
      <c r="AR140" s="83">
        <v>667</v>
      </c>
      <c r="AS140" s="83">
        <v>645</v>
      </c>
      <c r="AT140" s="83">
        <v>624</v>
      </c>
      <c r="AU140" s="83">
        <v>595</v>
      </c>
      <c r="AV140" s="83">
        <v>597</v>
      </c>
      <c r="AW140" s="83">
        <v>569</v>
      </c>
      <c r="AX140" s="83">
        <v>580</v>
      </c>
      <c r="AY140" s="83">
        <v>557</v>
      </c>
      <c r="AZ140" s="83">
        <v>550</v>
      </c>
      <c r="BA140" s="83">
        <v>532</v>
      </c>
      <c r="BB140" s="83">
        <v>491</v>
      </c>
      <c r="BC140" s="83">
        <v>541</v>
      </c>
      <c r="BD140" s="83">
        <v>479</v>
      </c>
      <c r="BE140" s="83">
        <v>481</v>
      </c>
      <c r="BF140" s="83">
        <v>473</v>
      </c>
      <c r="BG140" s="83">
        <v>490</v>
      </c>
      <c r="BH140" s="83">
        <v>478</v>
      </c>
      <c r="BI140" s="83">
        <v>454</v>
      </c>
      <c r="BJ140" s="83">
        <v>435</v>
      </c>
      <c r="BK140" s="83">
        <v>457</v>
      </c>
      <c r="BL140" s="83">
        <v>456</v>
      </c>
      <c r="BM140" s="83">
        <v>444</v>
      </c>
      <c r="BN140" s="83">
        <v>433</v>
      </c>
      <c r="BO140" s="83">
        <v>390</v>
      </c>
      <c r="BP140" s="83">
        <v>447</v>
      </c>
      <c r="BQ140" s="83">
        <v>405</v>
      </c>
      <c r="BR140" s="83">
        <v>411</v>
      </c>
      <c r="BS140" s="83">
        <v>367</v>
      </c>
      <c r="BT140" s="83">
        <v>385</v>
      </c>
      <c r="BU140" s="83">
        <v>361</v>
      </c>
      <c r="BV140" s="83">
        <v>377</v>
      </c>
      <c r="BW140" s="83">
        <v>390</v>
      </c>
      <c r="BX140" s="83">
        <v>346</v>
      </c>
      <c r="BY140" s="83">
        <v>370</v>
      </c>
      <c r="BZ140" s="83">
        <v>376</v>
      </c>
      <c r="CA140" s="83">
        <v>333</v>
      </c>
      <c r="CB140" s="83">
        <v>358</v>
      </c>
      <c r="CC140" s="83">
        <v>343</v>
      </c>
      <c r="CD140" s="83">
        <v>383</v>
      </c>
      <c r="CE140" s="83">
        <v>323</v>
      </c>
      <c r="CF140" s="83">
        <v>336</v>
      </c>
      <c r="CG140" s="83">
        <v>3332</v>
      </c>
      <c r="CH140" s="83">
        <v>2985</v>
      </c>
      <c r="CI140" s="83">
        <v>2837</v>
      </c>
      <c r="CJ140" s="83">
        <v>2674</v>
      </c>
      <c r="CK140" s="83">
        <v>2584</v>
      </c>
      <c r="CL140" s="83">
        <v>2472</v>
      </c>
      <c r="CM140" s="83">
        <v>2380</v>
      </c>
      <c r="CN140" s="83">
        <v>2325</v>
      </c>
      <c r="CO140" s="83">
        <v>2209</v>
      </c>
      <c r="CP140" s="83">
        <v>2152</v>
      </c>
      <c r="CQ140" s="83">
        <v>2074</v>
      </c>
      <c r="CR140" s="83">
        <v>2049</v>
      </c>
      <c r="CS140" s="83">
        <v>1964</v>
      </c>
      <c r="CT140" s="83">
        <v>1979</v>
      </c>
      <c r="CU140" s="382"/>
    </row>
    <row r="141" spans="1:99" s="86" customFormat="1" x14ac:dyDescent="0.2">
      <c r="A141" s="375">
        <v>238</v>
      </c>
      <c r="B141" s="375">
        <v>41</v>
      </c>
      <c r="C141" s="349" t="s">
        <v>155</v>
      </c>
      <c r="D141" s="376">
        <v>2021</v>
      </c>
      <c r="E141" s="164">
        <f t="shared" si="4"/>
        <v>1180.1500000000001</v>
      </c>
      <c r="F141" s="394">
        <f t="shared" si="5"/>
        <v>11.804352696143503</v>
      </c>
      <c r="G141" s="83">
        <v>136</v>
      </c>
      <c r="H141" s="83">
        <v>139</v>
      </c>
      <c r="I141" s="83">
        <v>153</v>
      </c>
      <c r="J141" s="83">
        <v>153</v>
      </c>
      <c r="K141" s="83">
        <v>132</v>
      </c>
      <c r="L141" s="83">
        <v>150</v>
      </c>
      <c r="M141" s="83">
        <v>142</v>
      </c>
      <c r="N141" s="83">
        <v>145</v>
      </c>
      <c r="O141" s="83">
        <v>133</v>
      </c>
      <c r="P141" s="83">
        <v>134</v>
      </c>
      <c r="Q141" s="83">
        <v>147</v>
      </c>
      <c r="R141" s="83">
        <v>128</v>
      </c>
      <c r="S141" s="83">
        <v>130</v>
      </c>
      <c r="T141" s="83">
        <v>145</v>
      </c>
      <c r="U141" s="83">
        <v>135</v>
      </c>
      <c r="V141" s="83">
        <v>134</v>
      </c>
      <c r="W141" s="83">
        <v>118</v>
      </c>
      <c r="X141" s="83">
        <v>125</v>
      </c>
      <c r="Y141" s="83">
        <v>132</v>
      </c>
      <c r="Z141" s="83">
        <v>132</v>
      </c>
      <c r="AA141" s="83">
        <v>1348</v>
      </c>
      <c r="AB141" s="83">
        <v>1329</v>
      </c>
      <c r="AC141" s="83">
        <v>1231</v>
      </c>
      <c r="AD141" s="83">
        <v>1243</v>
      </c>
      <c r="AE141" s="83">
        <v>1185</v>
      </c>
      <c r="AF141" s="83">
        <v>1127</v>
      </c>
      <c r="AG141" s="83">
        <v>1084</v>
      </c>
      <c r="AH141" s="83">
        <v>1041</v>
      </c>
      <c r="AI141" s="83">
        <v>1044</v>
      </c>
      <c r="AJ141" s="83">
        <v>981</v>
      </c>
      <c r="AK141" s="83">
        <v>966</v>
      </c>
      <c r="AL141" s="83">
        <v>910</v>
      </c>
      <c r="AM141" s="83">
        <v>919</v>
      </c>
      <c r="AN141" s="83">
        <v>841</v>
      </c>
      <c r="AO141" s="83">
        <v>844</v>
      </c>
      <c r="AP141" s="83">
        <v>818</v>
      </c>
      <c r="AQ141" s="83">
        <v>802</v>
      </c>
      <c r="AR141" s="83">
        <v>774</v>
      </c>
      <c r="AS141" s="83">
        <v>732</v>
      </c>
      <c r="AT141" s="83">
        <v>788</v>
      </c>
      <c r="AU141" s="83">
        <v>720</v>
      </c>
      <c r="AV141" s="83">
        <v>685</v>
      </c>
      <c r="AW141" s="83">
        <v>654</v>
      </c>
      <c r="AX141" s="83">
        <v>660</v>
      </c>
      <c r="AY141" s="83">
        <v>638</v>
      </c>
      <c r="AZ141" s="83">
        <v>622</v>
      </c>
      <c r="BA141" s="83">
        <v>626</v>
      </c>
      <c r="BB141" s="83">
        <v>604</v>
      </c>
      <c r="BC141" s="83">
        <v>580</v>
      </c>
      <c r="BD141" s="83">
        <v>569</v>
      </c>
      <c r="BE141" s="83">
        <v>514</v>
      </c>
      <c r="BF141" s="83">
        <v>535</v>
      </c>
      <c r="BG141" s="83">
        <v>537</v>
      </c>
      <c r="BH141" s="83">
        <v>521</v>
      </c>
      <c r="BI141" s="83">
        <v>503</v>
      </c>
      <c r="BJ141" s="83">
        <v>509</v>
      </c>
      <c r="BK141" s="83">
        <v>461</v>
      </c>
      <c r="BL141" s="83">
        <v>494</v>
      </c>
      <c r="BM141" s="83">
        <v>470</v>
      </c>
      <c r="BN141" s="83">
        <v>453</v>
      </c>
      <c r="BO141" s="83">
        <v>467</v>
      </c>
      <c r="BP141" s="83">
        <v>448</v>
      </c>
      <c r="BQ141" s="83">
        <v>454</v>
      </c>
      <c r="BR141" s="83">
        <v>432</v>
      </c>
      <c r="BS141" s="83">
        <v>423</v>
      </c>
      <c r="BT141" s="83">
        <v>423</v>
      </c>
      <c r="BU141" s="83">
        <v>406</v>
      </c>
      <c r="BV141" s="83">
        <v>398</v>
      </c>
      <c r="BW141" s="83">
        <v>415</v>
      </c>
      <c r="BX141" s="83">
        <v>392</v>
      </c>
      <c r="BY141" s="83">
        <v>404</v>
      </c>
      <c r="BZ141" s="83">
        <v>393</v>
      </c>
      <c r="CA141" s="83">
        <v>359</v>
      </c>
      <c r="CB141" s="83">
        <v>347</v>
      </c>
      <c r="CC141" s="83">
        <v>373</v>
      </c>
      <c r="CD141" s="83">
        <v>381</v>
      </c>
      <c r="CE141" s="83">
        <v>394</v>
      </c>
      <c r="CF141" s="83">
        <v>330</v>
      </c>
      <c r="CG141" s="83">
        <v>3531</v>
      </c>
      <c r="CH141" s="83">
        <v>3211</v>
      </c>
      <c r="CI141" s="83">
        <v>2971</v>
      </c>
      <c r="CJ141" s="83">
        <v>2761</v>
      </c>
      <c r="CK141" s="83">
        <v>2566</v>
      </c>
      <c r="CL141" s="83">
        <v>2497</v>
      </c>
      <c r="CM141" s="83">
        <v>2416</v>
      </c>
      <c r="CN141" s="83">
        <v>2231</v>
      </c>
      <c r="CO141" s="83">
        <v>2222</v>
      </c>
      <c r="CP141" s="83">
        <v>2154</v>
      </c>
      <c r="CQ141" s="83">
        <v>2098</v>
      </c>
      <c r="CR141" s="83">
        <v>1999</v>
      </c>
      <c r="CS141" s="83">
        <v>1936</v>
      </c>
      <c r="CT141" s="83">
        <v>1891</v>
      </c>
      <c r="CU141" s="382"/>
    </row>
    <row r="142" spans="1:99" s="86" customFormat="1" x14ac:dyDescent="0.2">
      <c r="A142" s="375">
        <v>242</v>
      </c>
      <c r="B142" s="375">
        <v>41</v>
      </c>
      <c r="C142" s="349" t="s">
        <v>156</v>
      </c>
      <c r="D142" s="376">
        <v>1515</v>
      </c>
      <c r="E142" s="164">
        <f t="shared" si="4"/>
        <v>926.95</v>
      </c>
      <c r="F142" s="394">
        <f t="shared" si="5"/>
        <v>10.73487873894771</v>
      </c>
      <c r="G142" s="83">
        <v>116</v>
      </c>
      <c r="H142" s="83">
        <v>121</v>
      </c>
      <c r="I142" s="83">
        <v>118</v>
      </c>
      <c r="J142" s="83">
        <v>105</v>
      </c>
      <c r="K142" s="83">
        <v>107</v>
      </c>
      <c r="L142" s="83">
        <v>107</v>
      </c>
      <c r="M142" s="83">
        <v>102</v>
      </c>
      <c r="N142" s="83">
        <v>112</v>
      </c>
      <c r="O142" s="83">
        <v>106</v>
      </c>
      <c r="P142" s="83">
        <v>109</v>
      </c>
      <c r="Q142" s="83">
        <v>130</v>
      </c>
      <c r="R142" s="83">
        <v>127</v>
      </c>
      <c r="S142" s="83">
        <v>110</v>
      </c>
      <c r="T142" s="83">
        <v>125</v>
      </c>
      <c r="U142" s="83">
        <v>114</v>
      </c>
      <c r="V142" s="83">
        <v>114</v>
      </c>
      <c r="W142" s="83">
        <v>121</v>
      </c>
      <c r="X142" s="83">
        <v>106</v>
      </c>
      <c r="Y142" s="83">
        <v>106</v>
      </c>
      <c r="Z142" s="83">
        <v>118</v>
      </c>
      <c r="AA142" s="83">
        <v>1127</v>
      </c>
      <c r="AB142" s="83">
        <v>1095</v>
      </c>
      <c r="AC142" s="83">
        <v>1067</v>
      </c>
      <c r="AD142" s="83">
        <v>1023</v>
      </c>
      <c r="AE142" s="83">
        <v>1026</v>
      </c>
      <c r="AF142" s="83">
        <v>932</v>
      </c>
      <c r="AG142" s="83">
        <v>897</v>
      </c>
      <c r="AH142" s="83">
        <v>923</v>
      </c>
      <c r="AI142" s="83">
        <v>887</v>
      </c>
      <c r="AJ142" s="83">
        <v>855</v>
      </c>
      <c r="AK142" s="83">
        <v>810</v>
      </c>
      <c r="AL142" s="83">
        <v>809</v>
      </c>
      <c r="AM142" s="83">
        <v>772</v>
      </c>
      <c r="AN142" s="83">
        <v>740</v>
      </c>
      <c r="AO142" s="83">
        <v>708</v>
      </c>
      <c r="AP142" s="83">
        <v>719</v>
      </c>
      <c r="AQ142" s="83">
        <v>704</v>
      </c>
      <c r="AR142" s="83">
        <v>667</v>
      </c>
      <c r="AS142" s="83">
        <v>673</v>
      </c>
      <c r="AT142" s="83">
        <v>673</v>
      </c>
      <c r="AU142" s="83">
        <v>631</v>
      </c>
      <c r="AV142" s="83">
        <v>621</v>
      </c>
      <c r="AW142" s="83">
        <v>603</v>
      </c>
      <c r="AX142" s="83">
        <v>621</v>
      </c>
      <c r="AY142" s="83">
        <v>597</v>
      </c>
      <c r="AZ142" s="83">
        <v>596</v>
      </c>
      <c r="BA142" s="83">
        <v>583</v>
      </c>
      <c r="BB142" s="83">
        <v>560</v>
      </c>
      <c r="BC142" s="83">
        <v>534</v>
      </c>
      <c r="BD142" s="83">
        <v>534</v>
      </c>
      <c r="BE142" s="83">
        <v>518</v>
      </c>
      <c r="BF142" s="83">
        <v>512</v>
      </c>
      <c r="BG142" s="83">
        <v>470</v>
      </c>
      <c r="BH142" s="83">
        <v>504</v>
      </c>
      <c r="BI142" s="83">
        <v>477</v>
      </c>
      <c r="BJ142" s="83">
        <v>482</v>
      </c>
      <c r="BK142" s="83">
        <v>483</v>
      </c>
      <c r="BL142" s="83">
        <v>475</v>
      </c>
      <c r="BM142" s="83">
        <v>452</v>
      </c>
      <c r="BN142" s="83">
        <v>461</v>
      </c>
      <c r="BO142" s="83">
        <v>463</v>
      </c>
      <c r="BP142" s="83">
        <v>448</v>
      </c>
      <c r="BQ142" s="83">
        <v>415</v>
      </c>
      <c r="BR142" s="83">
        <v>422</v>
      </c>
      <c r="BS142" s="83">
        <v>442</v>
      </c>
      <c r="BT142" s="83">
        <v>430</v>
      </c>
      <c r="BU142" s="83">
        <v>424</v>
      </c>
      <c r="BV142" s="83">
        <v>388</v>
      </c>
      <c r="BW142" s="83">
        <v>408</v>
      </c>
      <c r="BX142" s="83">
        <v>407</v>
      </c>
      <c r="BY142" s="83">
        <v>423</v>
      </c>
      <c r="BZ142" s="83">
        <v>377</v>
      </c>
      <c r="CA142" s="83">
        <v>386</v>
      </c>
      <c r="CB142" s="83">
        <v>363</v>
      </c>
      <c r="CC142" s="83">
        <v>353</v>
      </c>
      <c r="CD142" s="83">
        <v>385</v>
      </c>
      <c r="CE142" s="83">
        <v>346</v>
      </c>
      <c r="CF142" s="83">
        <v>371</v>
      </c>
      <c r="CG142" s="83">
        <v>3443</v>
      </c>
      <c r="CH142" s="83">
        <v>3221</v>
      </c>
      <c r="CI142" s="83">
        <v>3092</v>
      </c>
      <c r="CJ142" s="83">
        <v>2914</v>
      </c>
      <c r="CK142" s="83">
        <v>2805</v>
      </c>
      <c r="CL142" s="83">
        <v>2610</v>
      </c>
      <c r="CM142" s="83">
        <v>2480</v>
      </c>
      <c r="CN142" s="83">
        <v>2399</v>
      </c>
      <c r="CO142" s="83">
        <v>2317</v>
      </c>
      <c r="CP142" s="83">
        <v>2264</v>
      </c>
      <c r="CQ142" s="83">
        <v>2185</v>
      </c>
      <c r="CR142" s="83">
        <v>2124</v>
      </c>
      <c r="CS142" s="83">
        <v>2145</v>
      </c>
      <c r="CT142" s="83">
        <v>2056</v>
      </c>
      <c r="CU142" s="382"/>
    </row>
    <row r="143" spans="1:99" s="86" customFormat="1" x14ac:dyDescent="0.2">
      <c r="A143" s="375">
        <v>247</v>
      </c>
      <c r="B143" s="375">
        <v>41</v>
      </c>
      <c r="C143" s="349" t="s">
        <v>155</v>
      </c>
      <c r="D143" s="376">
        <v>4167</v>
      </c>
      <c r="E143" s="164">
        <f t="shared" si="4"/>
        <v>2289.4499999999998</v>
      </c>
      <c r="F143" s="394">
        <f t="shared" si="5"/>
        <v>16.185943073353616</v>
      </c>
      <c r="G143" s="83">
        <v>295</v>
      </c>
      <c r="H143" s="83">
        <v>270</v>
      </c>
      <c r="I143" s="83">
        <v>266</v>
      </c>
      <c r="J143" s="83">
        <v>236</v>
      </c>
      <c r="K143" s="83">
        <v>263</v>
      </c>
      <c r="L143" s="83">
        <v>261</v>
      </c>
      <c r="M143" s="83">
        <v>251</v>
      </c>
      <c r="N143" s="83">
        <v>238</v>
      </c>
      <c r="O143" s="83">
        <v>257</v>
      </c>
      <c r="P143" s="83">
        <v>275</v>
      </c>
      <c r="Q143" s="83">
        <v>262</v>
      </c>
      <c r="R143" s="83">
        <v>256</v>
      </c>
      <c r="S143" s="83">
        <v>241</v>
      </c>
      <c r="T143" s="83">
        <v>259</v>
      </c>
      <c r="U143" s="83">
        <v>251</v>
      </c>
      <c r="V143" s="83">
        <v>243</v>
      </c>
      <c r="W143" s="83">
        <v>259</v>
      </c>
      <c r="X143" s="83">
        <v>270</v>
      </c>
      <c r="Y143" s="83">
        <v>260</v>
      </c>
      <c r="Z143" s="83">
        <v>256</v>
      </c>
      <c r="AA143" s="83">
        <v>2542</v>
      </c>
      <c r="AB143" s="83">
        <v>2421</v>
      </c>
      <c r="AC143" s="83">
        <v>2336</v>
      </c>
      <c r="AD143" s="83">
        <v>2324</v>
      </c>
      <c r="AE143" s="83">
        <v>2200</v>
      </c>
      <c r="AF143" s="83">
        <v>2181</v>
      </c>
      <c r="AG143" s="83">
        <v>2009</v>
      </c>
      <c r="AH143" s="83">
        <v>1913</v>
      </c>
      <c r="AI143" s="83">
        <v>1963</v>
      </c>
      <c r="AJ143" s="83">
        <v>1898</v>
      </c>
      <c r="AK143" s="83">
        <v>1800</v>
      </c>
      <c r="AL143" s="83">
        <v>1697</v>
      </c>
      <c r="AM143" s="83">
        <v>1664</v>
      </c>
      <c r="AN143" s="83">
        <v>1588</v>
      </c>
      <c r="AO143" s="83">
        <v>1549</v>
      </c>
      <c r="AP143" s="83">
        <v>1504</v>
      </c>
      <c r="AQ143" s="83">
        <v>1429</v>
      </c>
      <c r="AR143" s="83">
        <v>1404</v>
      </c>
      <c r="AS143" s="83">
        <v>1354</v>
      </c>
      <c r="AT143" s="83">
        <v>1330</v>
      </c>
      <c r="AU143" s="83">
        <v>1295</v>
      </c>
      <c r="AV143" s="83">
        <v>1290</v>
      </c>
      <c r="AW143" s="83">
        <v>1191</v>
      </c>
      <c r="AX143" s="83">
        <v>1204</v>
      </c>
      <c r="AY143" s="83">
        <v>1175</v>
      </c>
      <c r="AZ143" s="83">
        <v>1125</v>
      </c>
      <c r="BA143" s="83">
        <v>1065</v>
      </c>
      <c r="BB143" s="83">
        <v>1097</v>
      </c>
      <c r="BC143" s="83">
        <v>1014</v>
      </c>
      <c r="BD143" s="83">
        <v>960</v>
      </c>
      <c r="BE143" s="83">
        <v>993</v>
      </c>
      <c r="BF143" s="83">
        <v>975</v>
      </c>
      <c r="BG143" s="83">
        <v>935</v>
      </c>
      <c r="BH143" s="83">
        <v>956</v>
      </c>
      <c r="BI143" s="83">
        <v>946</v>
      </c>
      <c r="BJ143" s="83">
        <v>905</v>
      </c>
      <c r="BK143" s="83">
        <v>900</v>
      </c>
      <c r="BL143" s="83">
        <v>926</v>
      </c>
      <c r="BM143" s="83">
        <v>824</v>
      </c>
      <c r="BN143" s="83">
        <v>856</v>
      </c>
      <c r="BO143" s="83">
        <v>845</v>
      </c>
      <c r="BP143" s="83">
        <v>848</v>
      </c>
      <c r="BQ143" s="83">
        <v>769</v>
      </c>
      <c r="BR143" s="83">
        <v>771</v>
      </c>
      <c r="BS143" s="83">
        <v>784</v>
      </c>
      <c r="BT143" s="83">
        <v>759</v>
      </c>
      <c r="BU143" s="83">
        <v>786</v>
      </c>
      <c r="BV143" s="83">
        <v>785</v>
      </c>
      <c r="BW143" s="83">
        <v>701</v>
      </c>
      <c r="BX143" s="83">
        <v>749</v>
      </c>
      <c r="BY143" s="83">
        <v>666</v>
      </c>
      <c r="BZ143" s="83">
        <v>695</v>
      </c>
      <c r="CA143" s="83">
        <v>691</v>
      </c>
      <c r="CB143" s="83">
        <v>675</v>
      </c>
      <c r="CC143" s="83">
        <v>709</v>
      </c>
      <c r="CD143" s="83">
        <v>685</v>
      </c>
      <c r="CE143" s="83">
        <v>659</v>
      </c>
      <c r="CF143" s="83">
        <v>408</v>
      </c>
      <c r="CG143" s="83">
        <v>6268</v>
      </c>
      <c r="CH143" s="83">
        <v>5433</v>
      </c>
      <c r="CI143" s="83">
        <v>5055</v>
      </c>
      <c r="CJ143" s="83">
        <v>4794</v>
      </c>
      <c r="CK143" s="83">
        <v>4305</v>
      </c>
      <c r="CL143" s="83">
        <v>4017</v>
      </c>
      <c r="CM143" s="83">
        <v>3891</v>
      </c>
      <c r="CN143" s="83">
        <v>3713</v>
      </c>
      <c r="CO143" s="83">
        <v>3565</v>
      </c>
      <c r="CP143" s="83">
        <v>3336</v>
      </c>
      <c r="CQ143" s="83">
        <v>3222</v>
      </c>
      <c r="CR143" s="83">
        <v>3120</v>
      </c>
      <c r="CS143" s="83">
        <v>3023</v>
      </c>
      <c r="CT143" s="83">
        <v>2878</v>
      </c>
      <c r="CU143" s="382"/>
    </row>
    <row r="144" spans="1:99" s="86" customFormat="1" x14ac:dyDescent="0.2">
      <c r="A144" s="375">
        <v>251</v>
      </c>
      <c r="B144" s="375">
        <v>41</v>
      </c>
      <c r="C144" s="349" t="s">
        <v>156</v>
      </c>
      <c r="D144" s="376">
        <v>1515</v>
      </c>
      <c r="E144" s="164">
        <f t="shared" si="4"/>
        <v>978.5</v>
      </c>
      <c r="F144" s="394">
        <f t="shared" si="5"/>
        <v>11.200242073749514</v>
      </c>
      <c r="G144" s="83">
        <v>121</v>
      </c>
      <c r="H144" s="83">
        <v>128</v>
      </c>
      <c r="I144" s="83">
        <v>114</v>
      </c>
      <c r="J144" s="83">
        <v>126</v>
      </c>
      <c r="K144" s="83">
        <v>133</v>
      </c>
      <c r="L144" s="83">
        <v>121</v>
      </c>
      <c r="M144" s="83">
        <v>124</v>
      </c>
      <c r="N144" s="83">
        <v>124</v>
      </c>
      <c r="O144" s="83">
        <v>126</v>
      </c>
      <c r="P144" s="83">
        <v>123</v>
      </c>
      <c r="Q144" s="83">
        <v>128</v>
      </c>
      <c r="R144" s="83">
        <v>115</v>
      </c>
      <c r="S144" s="83">
        <v>120</v>
      </c>
      <c r="T144" s="83">
        <v>124</v>
      </c>
      <c r="U144" s="83">
        <v>120</v>
      </c>
      <c r="V144" s="83">
        <v>124</v>
      </c>
      <c r="W144" s="83">
        <v>114</v>
      </c>
      <c r="X144" s="83">
        <v>144</v>
      </c>
      <c r="Y144" s="83">
        <v>120</v>
      </c>
      <c r="Z144" s="83">
        <v>116</v>
      </c>
      <c r="AA144" s="83">
        <v>1206</v>
      </c>
      <c r="AB144" s="83">
        <v>1256</v>
      </c>
      <c r="AC144" s="83">
        <v>1191</v>
      </c>
      <c r="AD144" s="83">
        <v>1117</v>
      </c>
      <c r="AE144" s="83">
        <v>1074</v>
      </c>
      <c r="AF144" s="83">
        <v>1092</v>
      </c>
      <c r="AG144" s="83">
        <v>1064</v>
      </c>
      <c r="AH144" s="83">
        <v>977</v>
      </c>
      <c r="AI144" s="83">
        <v>985</v>
      </c>
      <c r="AJ144" s="83">
        <v>932</v>
      </c>
      <c r="AK144" s="83">
        <v>962</v>
      </c>
      <c r="AL144" s="83">
        <v>858</v>
      </c>
      <c r="AM144" s="83">
        <v>872</v>
      </c>
      <c r="AN144" s="83">
        <v>868</v>
      </c>
      <c r="AO144" s="83">
        <v>830</v>
      </c>
      <c r="AP144" s="83">
        <v>808</v>
      </c>
      <c r="AQ144" s="83">
        <v>797</v>
      </c>
      <c r="AR144" s="83">
        <v>780</v>
      </c>
      <c r="AS144" s="83">
        <v>719</v>
      </c>
      <c r="AT144" s="83">
        <v>757</v>
      </c>
      <c r="AU144" s="83">
        <v>745</v>
      </c>
      <c r="AV144" s="83">
        <v>710</v>
      </c>
      <c r="AW144" s="83">
        <v>718</v>
      </c>
      <c r="AX144" s="83">
        <v>632</v>
      </c>
      <c r="AY144" s="83">
        <v>644</v>
      </c>
      <c r="AZ144" s="83">
        <v>647</v>
      </c>
      <c r="BA144" s="83">
        <v>629</v>
      </c>
      <c r="BB144" s="83">
        <v>627</v>
      </c>
      <c r="BC144" s="83">
        <v>607</v>
      </c>
      <c r="BD144" s="83">
        <v>640</v>
      </c>
      <c r="BE144" s="83">
        <v>615</v>
      </c>
      <c r="BF144" s="83">
        <v>586</v>
      </c>
      <c r="BG144" s="83">
        <v>583</v>
      </c>
      <c r="BH144" s="83">
        <v>553</v>
      </c>
      <c r="BI144" s="83">
        <v>560</v>
      </c>
      <c r="BJ144" s="83">
        <v>551</v>
      </c>
      <c r="BK144" s="83">
        <v>540</v>
      </c>
      <c r="BL144" s="83">
        <v>521</v>
      </c>
      <c r="BM144" s="83">
        <v>533</v>
      </c>
      <c r="BN144" s="83">
        <v>513</v>
      </c>
      <c r="BO144" s="83">
        <v>527</v>
      </c>
      <c r="BP144" s="83">
        <v>549</v>
      </c>
      <c r="BQ144" s="83">
        <v>518</v>
      </c>
      <c r="BR144" s="83">
        <v>495</v>
      </c>
      <c r="BS144" s="83">
        <v>491</v>
      </c>
      <c r="BT144" s="83">
        <v>490</v>
      </c>
      <c r="BU144" s="83">
        <v>487</v>
      </c>
      <c r="BV144" s="83">
        <v>501</v>
      </c>
      <c r="BW144" s="83">
        <v>500</v>
      </c>
      <c r="BX144" s="83">
        <v>481</v>
      </c>
      <c r="BY144" s="83">
        <v>468</v>
      </c>
      <c r="BZ144" s="83">
        <v>475</v>
      </c>
      <c r="CA144" s="83">
        <v>455</v>
      </c>
      <c r="CB144" s="83">
        <v>460</v>
      </c>
      <c r="CC144" s="83">
        <v>453</v>
      </c>
      <c r="CD144" s="83">
        <v>429</v>
      </c>
      <c r="CE144" s="83">
        <v>458</v>
      </c>
      <c r="CF144" s="83">
        <v>453</v>
      </c>
      <c r="CG144" s="83">
        <v>4238</v>
      </c>
      <c r="CH144" s="83">
        <v>3931</v>
      </c>
      <c r="CI144" s="83">
        <v>3673</v>
      </c>
      <c r="CJ144" s="83">
        <v>3487</v>
      </c>
      <c r="CK144" s="83">
        <v>3317</v>
      </c>
      <c r="CL144" s="83">
        <v>3226</v>
      </c>
      <c r="CM144" s="83">
        <v>3057</v>
      </c>
      <c r="CN144" s="83">
        <v>2956</v>
      </c>
      <c r="CO144" s="83">
        <v>2755</v>
      </c>
      <c r="CP144" s="83">
        <v>2798</v>
      </c>
      <c r="CQ144" s="83">
        <v>2675</v>
      </c>
      <c r="CR144" s="83">
        <v>2676</v>
      </c>
      <c r="CS144" s="83">
        <v>2519</v>
      </c>
      <c r="CT144" s="83">
        <v>2561</v>
      </c>
      <c r="CU144" s="382"/>
    </row>
    <row r="145" spans="1:99" s="86" customFormat="1" x14ac:dyDescent="0.2">
      <c r="A145" s="375">
        <v>256</v>
      </c>
      <c r="B145" s="375">
        <v>41</v>
      </c>
      <c r="C145" s="349" t="s">
        <v>155</v>
      </c>
      <c r="D145" s="376">
        <v>0</v>
      </c>
      <c r="E145" s="164">
        <f t="shared" si="4"/>
        <v>9.4000000000000057</v>
      </c>
      <c r="F145" s="394">
        <f t="shared" si="5"/>
        <v>3.1393962695864222</v>
      </c>
      <c r="G145" s="83">
        <v>10</v>
      </c>
      <c r="H145" s="83">
        <v>10</v>
      </c>
      <c r="I145" s="83">
        <v>10</v>
      </c>
      <c r="J145" s="83">
        <v>12</v>
      </c>
      <c r="K145" s="83">
        <v>12</v>
      </c>
      <c r="L145" s="83">
        <v>7</v>
      </c>
      <c r="M145" s="83">
        <v>13</v>
      </c>
      <c r="N145" s="83">
        <v>11</v>
      </c>
      <c r="O145" s="83">
        <v>9</v>
      </c>
      <c r="P145" s="83">
        <v>13</v>
      </c>
      <c r="Q145" s="83">
        <v>7</v>
      </c>
      <c r="R145" s="83">
        <v>7</v>
      </c>
      <c r="S145" s="83">
        <v>6</v>
      </c>
      <c r="T145" s="83">
        <v>8</v>
      </c>
      <c r="U145" s="83">
        <v>12</v>
      </c>
      <c r="V145" s="83">
        <v>7</v>
      </c>
      <c r="W145" s="83">
        <v>11</v>
      </c>
      <c r="X145" s="83">
        <v>10</v>
      </c>
      <c r="Y145" s="83">
        <v>7</v>
      </c>
      <c r="Z145" s="83">
        <v>8</v>
      </c>
      <c r="AA145" s="83">
        <v>86</v>
      </c>
      <c r="AB145" s="83">
        <v>110</v>
      </c>
      <c r="AC145" s="83">
        <v>106</v>
      </c>
      <c r="AD145" s="83">
        <v>95</v>
      </c>
      <c r="AE145" s="83">
        <v>97</v>
      </c>
      <c r="AF145" s="83">
        <v>105</v>
      </c>
      <c r="AG145" s="83">
        <v>102</v>
      </c>
      <c r="AH145" s="83">
        <v>96</v>
      </c>
      <c r="AI145" s="83">
        <v>95</v>
      </c>
      <c r="AJ145" s="83">
        <v>114</v>
      </c>
      <c r="AK145" s="83">
        <v>107</v>
      </c>
      <c r="AL145" s="83">
        <v>102</v>
      </c>
      <c r="AM145" s="83">
        <v>102</v>
      </c>
      <c r="AN145" s="83">
        <v>98</v>
      </c>
      <c r="AO145" s="83">
        <v>107</v>
      </c>
      <c r="AP145" s="83">
        <v>103</v>
      </c>
      <c r="AQ145" s="83">
        <v>118</v>
      </c>
      <c r="AR145" s="83">
        <v>104</v>
      </c>
      <c r="AS145" s="83">
        <v>112</v>
      </c>
      <c r="AT145" s="83">
        <v>88</v>
      </c>
      <c r="AU145" s="83">
        <v>109</v>
      </c>
      <c r="AV145" s="83">
        <v>110</v>
      </c>
      <c r="AW145" s="83">
        <v>100</v>
      </c>
      <c r="AX145" s="83">
        <v>108</v>
      </c>
      <c r="AY145" s="83">
        <v>91</v>
      </c>
      <c r="AZ145" s="83">
        <v>98</v>
      </c>
      <c r="BA145" s="83">
        <v>100</v>
      </c>
      <c r="BB145" s="83">
        <v>109</v>
      </c>
      <c r="BC145" s="83">
        <v>94</v>
      </c>
      <c r="BD145" s="83">
        <v>110</v>
      </c>
      <c r="BE145" s="83">
        <v>96</v>
      </c>
      <c r="BF145" s="83">
        <v>102</v>
      </c>
      <c r="BG145" s="83">
        <v>84</v>
      </c>
      <c r="BH145" s="83">
        <v>95</v>
      </c>
      <c r="BI145" s="83">
        <v>104</v>
      </c>
      <c r="BJ145" s="83">
        <v>103</v>
      </c>
      <c r="BK145" s="83">
        <v>85</v>
      </c>
      <c r="BL145" s="83">
        <v>95</v>
      </c>
      <c r="BM145" s="83">
        <v>102</v>
      </c>
      <c r="BN145" s="83">
        <v>84</v>
      </c>
      <c r="BO145" s="83">
        <v>109</v>
      </c>
      <c r="BP145" s="83">
        <v>96</v>
      </c>
      <c r="BQ145" s="83">
        <v>98</v>
      </c>
      <c r="BR145" s="83">
        <v>81</v>
      </c>
      <c r="BS145" s="83">
        <v>101</v>
      </c>
      <c r="BT145" s="83">
        <v>98</v>
      </c>
      <c r="BU145" s="83">
        <v>95</v>
      </c>
      <c r="BV145" s="83">
        <v>89</v>
      </c>
      <c r="BW145" s="83">
        <v>92</v>
      </c>
      <c r="BX145" s="83">
        <v>102</v>
      </c>
      <c r="BY145" s="83">
        <v>90</v>
      </c>
      <c r="BZ145" s="83">
        <v>110</v>
      </c>
      <c r="CA145" s="83">
        <v>95</v>
      </c>
      <c r="CB145" s="83">
        <v>89</v>
      </c>
      <c r="CC145" s="83">
        <v>90</v>
      </c>
      <c r="CD145" s="83">
        <v>95</v>
      </c>
      <c r="CE145" s="83">
        <v>93</v>
      </c>
      <c r="CF145" s="83">
        <v>88</v>
      </c>
      <c r="CG145" s="83">
        <v>919</v>
      </c>
      <c r="CH145" s="83">
        <v>916</v>
      </c>
      <c r="CI145" s="83">
        <v>945</v>
      </c>
      <c r="CJ145" s="83">
        <v>893</v>
      </c>
      <c r="CK145" s="83">
        <v>884</v>
      </c>
      <c r="CL145" s="83">
        <v>895</v>
      </c>
      <c r="CM145" s="83">
        <v>839</v>
      </c>
      <c r="CN145" s="83">
        <v>896</v>
      </c>
      <c r="CO145" s="83">
        <v>882</v>
      </c>
      <c r="CP145" s="83">
        <v>899</v>
      </c>
      <c r="CQ145" s="83">
        <v>868</v>
      </c>
      <c r="CR145" s="83">
        <v>866</v>
      </c>
      <c r="CS145" s="83">
        <v>859</v>
      </c>
      <c r="CT145" s="83">
        <v>853</v>
      </c>
      <c r="CU145" s="382"/>
    </row>
    <row r="146" spans="1:99" s="86" customFormat="1" x14ac:dyDescent="0.2">
      <c r="A146" s="375">
        <v>260</v>
      </c>
      <c r="B146" s="375">
        <v>41</v>
      </c>
      <c r="C146" s="349" t="s">
        <v>156</v>
      </c>
      <c r="D146" s="376">
        <v>1516</v>
      </c>
      <c r="E146" s="164">
        <f t="shared" si="4"/>
        <v>941.75</v>
      </c>
      <c r="F146" s="394">
        <f t="shared" si="5"/>
        <v>10.63287983023627</v>
      </c>
      <c r="G146" s="83">
        <v>103</v>
      </c>
      <c r="H146" s="83">
        <v>118</v>
      </c>
      <c r="I146" s="83">
        <v>111</v>
      </c>
      <c r="J146" s="83">
        <v>114</v>
      </c>
      <c r="K146" s="83">
        <v>104</v>
      </c>
      <c r="L146" s="83">
        <v>116</v>
      </c>
      <c r="M146" s="83">
        <v>95</v>
      </c>
      <c r="N146" s="83">
        <v>109</v>
      </c>
      <c r="O146" s="83">
        <v>113</v>
      </c>
      <c r="P146" s="83">
        <v>114</v>
      </c>
      <c r="Q146" s="83">
        <v>124</v>
      </c>
      <c r="R146" s="83">
        <v>111</v>
      </c>
      <c r="S146" s="83">
        <v>114</v>
      </c>
      <c r="T146" s="83">
        <v>108</v>
      </c>
      <c r="U146" s="83">
        <v>112</v>
      </c>
      <c r="V146" s="83">
        <v>114</v>
      </c>
      <c r="W146" s="83">
        <v>117</v>
      </c>
      <c r="X146" s="83">
        <v>116</v>
      </c>
      <c r="Y146" s="83">
        <v>112</v>
      </c>
      <c r="Z146" s="83">
        <v>102</v>
      </c>
      <c r="AA146" s="83">
        <v>1126</v>
      </c>
      <c r="AB146" s="83">
        <v>1074</v>
      </c>
      <c r="AC146" s="83">
        <v>1018</v>
      </c>
      <c r="AD146" s="83">
        <v>976</v>
      </c>
      <c r="AE146" s="83">
        <v>950</v>
      </c>
      <c r="AF146" s="83">
        <v>941</v>
      </c>
      <c r="AG146" s="83">
        <v>901</v>
      </c>
      <c r="AH146" s="83">
        <v>857</v>
      </c>
      <c r="AI146" s="83">
        <v>805</v>
      </c>
      <c r="AJ146" s="83">
        <v>776</v>
      </c>
      <c r="AK146" s="83">
        <v>759</v>
      </c>
      <c r="AL146" s="83">
        <v>763</v>
      </c>
      <c r="AM146" s="83">
        <v>741</v>
      </c>
      <c r="AN146" s="83">
        <v>717</v>
      </c>
      <c r="AO146" s="83">
        <v>686</v>
      </c>
      <c r="AP146" s="83">
        <v>651</v>
      </c>
      <c r="AQ146" s="83">
        <v>637</v>
      </c>
      <c r="AR146" s="83">
        <v>623</v>
      </c>
      <c r="AS146" s="83">
        <v>610</v>
      </c>
      <c r="AT146" s="83">
        <v>580</v>
      </c>
      <c r="AU146" s="83">
        <v>560</v>
      </c>
      <c r="AV146" s="83">
        <v>557</v>
      </c>
      <c r="AW146" s="83">
        <v>550</v>
      </c>
      <c r="AX146" s="83">
        <v>584</v>
      </c>
      <c r="AY146" s="83">
        <v>519</v>
      </c>
      <c r="AZ146" s="83">
        <v>503</v>
      </c>
      <c r="BA146" s="83">
        <v>481</v>
      </c>
      <c r="BB146" s="83">
        <v>504</v>
      </c>
      <c r="BC146" s="83">
        <v>484</v>
      </c>
      <c r="BD146" s="83">
        <v>465</v>
      </c>
      <c r="BE146" s="83">
        <v>491</v>
      </c>
      <c r="BF146" s="83">
        <v>444</v>
      </c>
      <c r="BG146" s="83">
        <v>446</v>
      </c>
      <c r="BH146" s="83">
        <v>441</v>
      </c>
      <c r="BI146" s="83">
        <v>435</v>
      </c>
      <c r="BJ146" s="83">
        <v>450</v>
      </c>
      <c r="BK146" s="83">
        <v>436</v>
      </c>
      <c r="BL146" s="83">
        <v>392</v>
      </c>
      <c r="BM146" s="83">
        <v>419</v>
      </c>
      <c r="BN146" s="83">
        <v>409</v>
      </c>
      <c r="BO146" s="83">
        <v>396</v>
      </c>
      <c r="BP146" s="83">
        <v>386</v>
      </c>
      <c r="BQ146" s="83">
        <v>390</v>
      </c>
      <c r="BR146" s="83">
        <v>390</v>
      </c>
      <c r="BS146" s="83">
        <v>347</v>
      </c>
      <c r="BT146" s="83">
        <v>370</v>
      </c>
      <c r="BU146" s="83">
        <v>364</v>
      </c>
      <c r="BV146" s="83">
        <v>361</v>
      </c>
      <c r="BW146" s="83">
        <v>349</v>
      </c>
      <c r="BX146" s="83">
        <v>349</v>
      </c>
      <c r="BY146" s="83">
        <v>359</v>
      </c>
      <c r="BZ146" s="83">
        <v>345</v>
      </c>
      <c r="CA146" s="83">
        <v>348</v>
      </c>
      <c r="CB146" s="83">
        <v>338</v>
      </c>
      <c r="CC146" s="83">
        <v>340</v>
      </c>
      <c r="CD146" s="83">
        <v>281</v>
      </c>
      <c r="CE146" s="83">
        <v>314</v>
      </c>
      <c r="CF146" s="83">
        <v>305</v>
      </c>
      <c r="CG146" s="83">
        <v>3051</v>
      </c>
      <c r="CH146" s="83">
        <v>2770</v>
      </c>
      <c r="CI146" s="83">
        <v>2583</v>
      </c>
      <c r="CJ146" s="83">
        <v>2423</v>
      </c>
      <c r="CK146" s="83">
        <v>2301</v>
      </c>
      <c r="CL146" s="83">
        <v>2197</v>
      </c>
      <c r="CM146" s="83">
        <v>2123</v>
      </c>
      <c r="CN146" s="83">
        <v>2015</v>
      </c>
      <c r="CO146" s="83">
        <v>1960</v>
      </c>
      <c r="CP146" s="83">
        <v>1911</v>
      </c>
      <c r="CQ146" s="83">
        <v>1821</v>
      </c>
      <c r="CR146" s="83">
        <v>1780</v>
      </c>
      <c r="CS146" s="83">
        <v>1756</v>
      </c>
      <c r="CT146" s="83">
        <v>1679</v>
      </c>
      <c r="CU146" s="382"/>
    </row>
    <row r="147" spans="1:99" s="86" customFormat="1" x14ac:dyDescent="0.2">
      <c r="A147" s="375">
        <v>265</v>
      </c>
      <c r="B147" s="375">
        <v>41</v>
      </c>
      <c r="C147" s="349" t="s">
        <v>155</v>
      </c>
      <c r="D147" s="376">
        <v>1010</v>
      </c>
      <c r="E147" s="164">
        <f t="shared" si="4"/>
        <v>667.35</v>
      </c>
      <c r="F147" s="394">
        <f t="shared" si="5"/>
        <v>9.0067973946566262</v>
      </c>
      <c r="G147" s="83">
        <v>90</v>
      </c>
      <c r="H147" s="83">
        <v>80</v>
      </c>
      <c r="I147" s="83">
        <v>70</v>
      </c>
      <c r="J147" s="83">
        <v>91</v>
      </c>
      <c r="K147" s="83">
        <v>73</v>
      </c>
      <c r="L147" s="83">
        <v>74</v>
      </c>
      <c r="M147" s="83">
        <v>84</v>
      </c>
      <c r="N147" s="83">
        <v>77</v>
      </c>
      <c r="O147" s="83">
        <v>79</v>
      </c>
      <c r="P147" s="83">
        <v>66</v>
      </c>
      <c r="Q147" s="83">
        <v>81</v>
      </c>
      <c r="R147" s="83">
        <v>87</v>
      </c>
      <c r="S147" s="83">
        <v>78</v>
      </c>
      <c r="T147" s="83">
        <v>87</v>
      </c>
      <c r="U147" s="83">
        <v>85</v>
      </c>
      <c r="V147" s="83">
        <v>86</v>
      </c>
      <c r="W147" s="83">
        <v>75</v>
      </c>
      <c r="X147" s="83">
        <v>82</v>
      </c>
      <c r="Y147" s="83">
        <v>80</v>
      </c>
      <c r="Z147" s="83">
        <v>72</v>
      </c>
      <c r="AA147" s="83">
        <v>740</v>
      </c>
      <c r="AB147" s="83">
        <v>757</v>
      </c>
      <c r="AC147" s="83">
        <v>724</v>
      </c>
      <c r="AD147" s="83">
        <v>699</v>
      </c>
      <c r="AE147" s="83">
        <v>683</v>
      </c>
      <c r="AF147" s="83">
        <v>637</v>
      </c>
      <c r="AG147" s="83">
        <v>641</v>
      </c>
      <c r="AH147" s="83">
        <v>592</v>
      </c>
      <c r="AI147" s="83">
        <v>593</v>
      </c>
      <c r="AJ147" s="83">
        <v>569</v>
      </c>
      <c r="AK147" s="83">
        <v>526</v>
      </c>
      <c r="AL147" s="83">
        <v>527</v>
      </c>
      <c r="AM147" s="83">
        <v>499</v>
      </c>
      <c r="AN147" s="83">
        <v>491</v>
      </c>
      <c r="AO147" s="83">
        <v>461</v>
      </c>
      <c r="AP147" s="83">
        <v>449</v>
      </c>
      <c r="AQ147" s="83">
        <v>450</v>
      </c>
      <c r="AR147" s="83">
        <v>454</v>
      </c>
      <c r="AS147" s="83">
        <v>452</v>
      </c>
      <c r="AT147" s="83">
        <v>411</v>
      </c>
      <c r="AU147" s="83">
        <v>408</v>
      </c>
      <c r="AV147" s="83">
        <v>383</v>
      </c>
      <c r="AW147" s="421">
        <v>390</v>
      </c>
      <c r="AX147" s="422">
        <v>378</v>
      </c>
      <c r="AY147" s="422">
        <v>375</v>
      </c>
      <c r="AZ147" s="83">
        <v>389</v>
      </c>
      <c r="BA147" s="83">
        <v>357</v>
      </c>
      <c r="BB147" s="83">
        <v>345</v>
      </c>
      <c r="BC147" s="83">
        <v>357</v>
      </c>
      <c r="BD147" s="83">
        <v>334</v>
      </c>
      <c r="BE147" s="83">
        <v>322</v>
      </c>
      <c r="BF147" s="83">
        <v>332</v>
      </c>
      <c r="BG147" s="83">
        <v>332</v>
      </c>
      <c r="BH147" s="83">
        <v>288</v>
      </c>
      <c r="BI147" s="83">
        <v>317</v>
      </c>
      <c r="BJ147" s="83">
        <v>310</v>
      </c>
      <c r="BK147" s="83">
        <v>284</v>
      </c>
      <c r="BL147" s="83">
        <v>291</v>
      </c>
      <c r="BM147" s="83">
        <v>280</v>
      </c>
      <c r="BN147" s="83">
        <v>272</v>
      </c>
      <c r="BO147" s="83">
        <v>290</v>
      </c>
      <c r="BP147" s="83">
        <v>283</v>
      </c>
      <c r="BQ147" s="83">
        <v>275</v>
      </c>
      <c r="BR147" s="83">
        <v>256</v>
      </c>
      <c r="BS147" s="83">
        <v>255</v>
      </c>
      <c r="BT147" s="83">
        <v>249</v>
      </c>
      <c r="BU147" s="83">
        <v>271</v>
      </c>
      <c r="BV147" s="83">
        <v>254</v>
      </c>
      <c r="BW147" s="83">
        <v>275</v>
      </c>
      <c r="BX147" s="83">
        <v>255</v>
      </c>
      <c r="BY147" s="83">
        <v>269</v>
      </c>
      <c r="BZ147" s="83">
        <v>224</v>
      </c>
      <c r="CA147" s="83">
        <v>236</v>
      </c>
      <c r="CB147" s="83">
        <v>215</v>
      </c>
      <c r="CC147" s="83">
        <v>239</v>
      </c>
      <c r="CD147" s="83">
        <v>242</v>
      </c>
      <c r="CE147" s="83">
        <v>234</v>
      </c>
      <c r="CF147" s="83">
        <v>221</v>
      </c>
      <c r="CG147" s="83">
        <v>2219</v>
      </c>
      <c r="CH147" s="83">
        <v>2076</v>
      </c>
      <c r="CI147" s="83">
        <v>1903</v>
      </c>
      <c r="CJ147" s="83">
        <v>1800</v>
      </c>
      <c r="CK147" s="83">
        <v>1730</v>
      </c>
      <c r="CL147" s="83">
        <v>1666</v>
      </c>
      <c r="CM147" s="83">
        <v>1609</v>
      </c>
      <c r="CN147" s="83">
        <v>1547</v>
      </c>
      <c r="CO147" s="83">
        <v>1507</v>
      </c>
      <c r="CP147" s="83">
        <v>1456</v>
      </c>
      <c r="CQ147" s="83">
        <v>1409</v>
      </c>
      <c r="CR147" s="83">
        <v>1357</v>
      </c>
      <c r="CS147" s="83">
        <v>1323</v>
      </c>
      <c r="CT147" s="83">
        <v>1300</v>
      </c>
      <c r="CU147" s="382"/>
    </row>
    <row r="148" spans="1:99" s="86" customFormat="1" x14ac:dyDescent="0.2">
      <c r="A148" s="375">
        <v>269</v>
      </c>
      <c r="B148" s="375">
        <v>41</v>
      </c>
      <c r="C148" s="349" t="s">
        <v>156</v>
      </c>
      <c r="D148" s="376">
        <v>1516</v>
      </c>
      <c r="E148" s="381">
        <f t="shared" si="4"/>
        <v>945.9</v>
      </c>
      <c r="F148" s="395">
        <f t="shared" si="5"/>
        <v>10.699416034373504</v>
      </c>
      <c r="G148" s="83">
        <v>109</v>
      </c>
      <c r="H148" s="83">
        <v>104</v>
      </c>
      <c r="I148" s="83">
        <v>118</v>
      </c>
      <c r="J148" s="83">
        <v>106</v>
      </c>
      <c r="K148" s="83">
        <v>115</v>
      </c>
      <c r="L148" s="83">
        <v>110</v>
      </c>
      <c r="M148" s="83">
        <v>104</v>
      </c>
      <c r="N148" s="83">
        <v>121</v>
      </c>
      <c r="O148" s="83">
        <v>117</v>
      </c>
      <c r="P148" s="83">
        <v>114</v>
      </c>
      <c r="Q148" s="83">
        <v>105</v>
      </c>
      <c r="R148" s="83">
        <v>105</v>
      </c>
      <c r="S148" s="83">
        <v>111</v>
      </c>
      <c r="T148" s="83">
        <v>127</v>
      </c>
      <c r="U148" s="83">
        <v>111</v>
      </c>
      <c r="V148" s="83">
        <v>120</v>
      </c>
      <c r="W148" s="83">
        <v>117</v>
      </c>
      <c r="X148" s="83">
        <v>117</v>
      </c>
      <c r="Y148" s="83">
        <v>111</v>
      </c>
      <c r="Z148" s="83">
        <v>108</v>
      </c>
      <c r="AA148" s="83">
        <v>1139</v>
      </c>
      <c r="AB148" s="83">
        <v>1022</v>
      </c>
      <c r="AC148" s="83">
        <v>996</v>
      </c>
      <c r="AD148" s="83">
        <v>1008</v>
      </c>
      <c r="AE148" s="83">
        <v>962</v>
      </c>
      <c r="AF148" s="83">
        <v>960</v>
      </c>
      <c r="AG148" s="83">
        <v>882</v>
      </c>
      <c r="AH148" s="83">
        <v>870</v>
      </c>
      <c r="AI148" s="83">
        <v>813</v>
      </c>
      <c r="AJ148" s="83">
        <v>847</v>
      </c>
      <c r="AK148" s="83">
        <v>786</v>
      </c>
      <c r="AL148" s="83">
        <v>767</v>
      </c>
      <c r="AM148" s="83">
        <v>721</v>
      </c>
      <c r="AN148" s="83">
        <v>743</v>
      </c>
      <c r="AO148" s="83">
        <v>691</v>
      </c>
      <c r="AP148" s="83">
        <v>663</v>
      </c>
      <c r="AQ148" s="83">
        <v>663</v>
      </c>
      <c r="AR148" s="83">
        <v>661</v>
      </c>
      <c r="AS148" s="83">
        <v>617</v>
      </c>
      <c r="AT148" s="83">
        <v>633</v>
      </c>
      <c r="AU148" s="83">
        <v>558</v>
      </c>
      <c r="AV148" s="83">
        <v>570</v>
      </c>
      <c r="AW148" s="83">
        <v>581</v>
      </c>
      <c r="AX148" s="83">
        <v>570</v>
      </c>
      <c r="AY148" s="83">
        <v>531</v>
      </c>
      <c r="AZ148" s="83">
        <v>547</v>
      </c>
      <c r="BA148" s="83">
        <v>504</v>
      </c>
      <c r="BB148" s="83">
        <v>499</v>
      </c>
      <c r="BC148" s="83">
        <v>495</v>
      </c>
      <c r="BD148" s="83">
        <v>492</v>
      </c>
      <c r="BE148" s="83">
        <v>464</v>
      </c>
      <c r="BF148" s="83">
        <v>446</v>
      </c>
      <c r="BG148" s="83">
        <v>472</v>
      </c>
      <c r="BH148" s="83">
        <v>472</v>
      </c>
      <c r="BI148" s="83">
        <v>456</v>
      </c>
      <c r="BJ148" s="83">
        <v>462</v>
      </c>
      <c r="BK148" s="83">
        <v>440</v>
      </c>
      <c r="BL148" s="83">
        <v>412</v>
      </c>
      <c r="BM148" s="83">
        <v>440</v>
      </c>
      <c r="BN148" s="83">
        <v>411</v>
      </c>
      <c r="BO148" s="83">
        <v>416</v>
      </c>
      <c r="BP148" s="83">
        <v>431</v>
      </c>
      <c r="BQ148" s="83">
        <v>390</v>
      </c>
      <c r="BR148" s="83">
        <v>420</v>
      </c>
      <c r="BS148" s="83">
        <v>381</v>
      </c>
      <c r="BT148" s="83">
        <v>389</v>
      </c>
      <c r="BU148" s="83">
        <v>377</v>
      </c>
      <c r="BV148" s="83">
        <v>361</v>
      </c>
      <c r="BW148" s="83">
        <v>363</v>
      </c>
      <c r="BX148" s="83">
        <v>356</v>
      </c>
      <c r="BY148" s="83">
        <v>359</v>
      </c>
      <c r="BZ148" s="83">
        <v>387</v>
      </c>
      <c r="CA148" s="83">
        <v>347</v>
      </c>
      <c r="CB148" s="83">
        <v>372</v>
      </c>
      <c r="CC148" s="83">
        <v>327</v>
      </c>
      <c r="CD148" s="83">
        <v>355</v>
      </c>
      <c r="CE148" s="83">
        <v>345</v>
      </c>
      <c r="CF148" s="83">
        <v>328</v>
      </c>
      <c r="CG148" s="83">
        <v>3175</v>
      </c>
      <c r="CH148" s="83">
        <v>2965</v>
      </c>
      <c r="CI148" s="83">
        <v>2754</v>
      </c>
      <c r="CJ148" s="83">
        <v>2579</v>
      </c>
      <c r="CK148" s="83">
        <v>2439</v>
      </c>
      <c r="CL148" s="83">
        <v>2324</v>
      </c>
      <c r="CM148" s="83">
        <v>2212</v>
      </c>
      <c r="CN148" s="83">
        <v>2178</v>
      </c>
      <c r="CO148" s="83">
        <v>2094</v>
      </c>
      <c r="CP148" s="83">
        <v>2025</v>
      </c>
      <c r="CQ148" s="83">
        <v>1926</v>
      </c>
      <c r="CR148" s="83">
        <v>1869</v>
      </c>
      <c r="CS148" s="83">
        <v>1792</v>
      </c>
      <c r="CT148" s="83">
        <v>1790</v>
      </c>
      <c r="CU148" s="382"/>
    </row>
    <row r="149" spans="1:99" s="86" customFormat="1" x14ac:dyDescent="0.2">
      <c r="A149" s="377">
        <v>99</v>
      </c>
      <c r="B149" s="377">
        <v>42</v>
      </c>
      <c r="C149" s="347" t="s">
        <v>155</v>
      </c>
      <c r="D149" s="377">
        <v>0</v>
      </c>
      <c r="E149" s="164">
        <f t="shared" si="4"/>
        <v>164.5</v>
      </c>
      <c r="F149" s="394">
        <f t="shared" si="5"/>
        <v>6.4128065130649583</v>
      </c>
      <c r="G149" s="85">
        <v>39</v>
      </c>
      <c r="H149" s="85">
        <v>45</v>
      </c>
      <c r="I149" s="85">
        <v>42</v>
      </c>
      <c r="J149" s="85">
        <v>41</v>
      </c>
      <c r="K149" s="85">
        <v>39</v>
      </c>
      <c r="L149" s="85">
        <v>37</v>
      </c>
      <c r="M149" s="85">
        <v>40</v>
      </c>
      <c r="N149" s="85">
        <v>33</v>
      </c>
      <c r="O149" s="85">
        <v>43</v>
      </c>
      <c r="P149" s="85">
        <v>33</v>
      </c>
      <c r="Q149" s="85">
        <v>40</v>
      </c>
      <c r="R149" s="85">
        <v>45</v>
      </c>
      <c r="S149" s="85">
        <v>35</v>
      </c>
      <c r="T149" s="85">
        <v>32</v>
      </c>
      <c r="U149" s="85">
        <v>36</v>
      </c>
      <c r="V149" s="85">
        <v>42</v>
      </c>
      <c r="W149" s="85">
        <v>46</v>
      </c>
      <c r="X149" s="85">
        <v>49</v>
      </c>
      <c r="Y149" s="85">
        <v>47</v>
      </c>
      <c r="Z149" s="85">
        <v>42</v>
      </c>
      <c r="AA149" s="85">
        <v>393</v>
      </c>
      <c r="AB149" s="85">
        <v>423</v>
      </c>
      <c r="AC149" s="85">
        <v>409</v>
      </c>
      <c r="AD149" s="85">
        <v>440</v>
      </c>
      <c r="AE149" s="85">
        <v>432</v>
      </c>
      <c r="AF149" s="85">
        <v>382</v>
      </c>
      <c r="AG149" s="85">
        <v>437</v>
      </c>
      <c r="AH149" s="85">
        <v>390</v>
      </c>
      <c r="AI149" s="85">
        <v>408</v>
      </c>
      <c r="AJ149" s="85">
        <v>414</v>
      </c>
      <c r="AK149" s="85">
        <v>370</v>
      </c>
      <c r="AL149" s="85">
        <v>404</v>
      </c>
      <c r="AM149" s="85">
        <v>404</v>
      </c>
      <c r="AN149" s="85">
        <v>363</v>
      </c>
      <c r="AO149" s="85">
        <v>379</v>
      </c>
      <c r="AP149" s="85">
        <v>384</v>
      </c>
      <c r="AQ149" s="85">
        <v>364</v>
      </c>
      <c r="AR149" s="85">
        <v>349</v>
      </c>
      <c r="AS149" s="85">
        <v>346</v>
      </c>
      <c r="AT149" s="85">
        <v>367</v>
      </c>
      <c r="AU149" s="85">
        <v>382</v>
      </c>
      <c r="AV149" s="85">
        <v>345</v>
      </c>
      <c r="AW149" s="85">
        <v>348</v>
      </c>
      <c r="AX149" s="85">
        <v>341</v>
      </c>
      <c r="AY149" s="85">
        <v>368</v>
      </c>
      <c r="AZ149" s="85">
        <v>326</v>
      </c>
      <c r="BA149" s="85">
        <v>349</v>
      </c>
      <c r="BB149" s="85">
        <v>345</v>
      </c>
      <c r="BC149" s="85">
        <v>324</v>
      </c>
      <c r="BD149" s="85">
        <v>314</v>
      </c>
      <c r="BE149" s="85">
        <v>325</v>
      </c>
      <c r="BF149" s="85">
        <v>329</v>
      </c>
      <c r="BG149" s="85">
        <v>321</v>
      </c>
      <c r="BH149" s="85">
        <v>342</v>
      </c>
      <c r="BI149" s="85">
        <v>326</v>
      </c>
      <c r="BJ149" s="85">
        <v>357</v>
      </c>
      <c r="BK149" s="85">
        <v>313</v>
      </c>
      <c r="BL149" s="85">
        <v>315</v>
      </c>
      <c r="BM149" s="85">
        <v>319</v>
      </c>
      <c r="BN149" s="85">
        <v>331</v>
      </c>
      <c r="BO149" s="85">
        <v>325</v>
      </c>
      <c r="BP149" s="85">
        <v>306</v>
      </c>
      <c r="BQ149" s="85">
        <v>323</v>
      </c>
      <c r="BR149" s="85">
        <v>325</v>
      </c>
      <c r="BS149" s="85">
        <v>303</v>
      </c>
      <c r="BT149" s="85">
        <v>300</v>
      </c>
      <c r="BU149" s="85">
        <v>307</v>
      </c>
      <c r="BV149" s="85">
        <v>292</v>
      </c>
      <c r="BW149" s="85">
        <v>309</v>
      </c>
      <c r="BX149" s="85">
        <v>302</v>
      </c>
      <c r="BY149" s="85">
        <v>307</v>
      </c>
      <c r="BZ149" s="85">
        <v>296</v>
      </c>
      <c r="CA149" s="85">
        <v>293</v>
      </c>
      <c r="CB149" s="85">
        <v>307</v>
      </c>
      <c r="CC149" s="85">
        <v>314</v>
      </c>
      <c r="CD149" s="85">
        <v>299</v>
      </c>
      <c r="CE149" s="85">
        <v>294</v>
      </c>
      <c r="CF149" s="85">
        <v>296</v>
      </c>
      <c r="CG149" s="85">
        <v>2931</v>
      </c>
      <c r="CH149" s="85">
        <v>2845</v>
      </c>
      <c r="CI149" s="85">
        <v>2744</v>
      </c>
      <c r="CJ149" s="85">
        <v>2708</v>
      </c>
      <c r="CK149" s="85">
        <v>2585</v>
      </c>
      <c r="CL149" s="85">
        <v>2554</v>
      </c>
      <c r="CM149" s="85">
        <v>2581</v>
      </c>
      <c r="CN149" s="85">
        <v>2510</v>
      </c>
      <c r="CO149" s="85">
        <v>2525</v>
      </c>
      <c r="CP149" s="85">
        <v>2412</v>
      </c>
      <c r="CQ149" s="85">
        <v>2469</v>
      </c>
      <c r="CR149" s="85">
        <v>2366</v>
      </c>
      <c r="CS149" s="85">
        <v>2398</v>
      </c>
      <c r="CT149" s="85">
        <v>2372</v>
      </c>
      <c r="CU149" s="382"/>
    </row>
    <row r="150" spans="1:99" s="86" customFormat="1" x14ac:dyDescent="0.2">
      <c r="A150" s="375">
        <v>103</v>
      </c>
      <c r="B150" s="375">
        <v>42</v>
      </c>
      <c r="C150" s="349" t="s">
        <v>156</v>
      </c>
      <c r="D150" s="375">
        <v>1515</v>
      </c>
      <c r="E150" s="164">
        <f t="shared" si="4"/>
        <v>80.449999999999989</v>
      </c>
      <c r="F150" s="394">
        <f t="shared" si="5"/>
        <v>5.29153314235786</v>
      </c>
      <c r="G150" s="86">
        <v>29</v>
      </c>
      <c r="H150" s="86">
        <v>22</v>
      </c>
      <c r="I150" s="86">
        <v>34</v>
      </c>
      <c r="J150" s="86">
        <v>26</v>
      </c>
      <c r="K150" s="86">
        <v>24</v>
      </c>
      <c r="L150" s="86">
        <v>27</v>
      </c>
      <c r="M150" s="86">
        <v>22</v>
      </c>
      <c r="N150" s="86">
        <v>33</v>
      </c>
      <c r="O150" s="86">
        <v>29</v>
      </c>
      <c r="P150" s="86">
        <v>30</v>
      </c>
      <c r="Q150" s="86">
        <v>24</v>
      </c>
      <c r="R150" s="86">
        <v>31</v>
      </c>
      <c r="S150" s="86">
        <v>25</v>
      </c>
      <c r="T150" s="86">
        <v>30</v>
      </c>
      <c r="U150" s="86">
        <v>32</v>
      </c>
      <c r="V150" s="86">
        <v>21</v>
      </c>
      <c r="W150" s="86">
        <v>30</v>
      </c>
      <c r="X150" s="86">
        <v>23</v>
      </c>
      <c r="Y150" s="86">
        <v>28</v>
      </c>
      <c r="Z150" s="86">
        <v>27</v>
      </c>
      <c r="AA150" s="86">
        <v>275</v>
      </c>
      <c r="AB150" s="86">
        <v>280</v>
      </c>
      <c r="AC150" s="86">
        <v>299</v>
      </c>
      <c r="AD150" s="86">
        <v>288</v>
      </c>
      <c r="AE150" s="86">
        <v>286</v>
      </c>
      <c r="AF150" s="86">
        <v>269</v>
      </c>
      <c r="AG150" s="86">
        <v>294</v>
      </c>
      <c r="AH150" s="86">
        <v>277</v>
      </c>
      <c r="AI150" s="86">
        <v>287</v>
      </c>
      <c r="AJ150" s="86">
        <v>261</v>
      </c>
      <c r="AK150" s="86">
        <v>267</v>
      </c>
      <c r="AL150" s="86">
        <v>261</v>
      </c>
      <c r="AM150" s="86">
        <v>275</v>
      </c>
      <c r="AN150" s="86">
        <v>263</v>
      </c>
      <c r="AO150" s="86">
        <v>274</v>
      </c>
      <c r="AP150" s="86">
        <v>271</v>
      </c>
      <c r="AQ150" s="86">
        <v>257</v>
      </c>
      <c r="AR150" s="86">
        <v>276</v>
      </c>
      <c r="AS150" s="86">
        <v>257</v>
      </c>
      <c r="AT150" s="86">
        <v>242</v>
      </c>
      <c r="AU150" s="86">
        <v>266</v>
      </c>
      <c r="AV150" s="86">
        <v>253</v>
      </c>
      <c r="AW150" s="86">
        <v>218</v>
      </c>
      <c r="AX150" s="86">
        <v>235</v>
      </c>
      <c r="AY150" s="86">
        <v>236</v>
      </c>
      <c r="AZ150" s="86">
        <v>249</v>
      </c>
      <c r="BA150" s="86">
        <v>239</v>
      </c>
      <c r="BB150" s="86">
        <v>232</v>
      </c>
      <c r="BC150" s="86">
        <v>240</v>
      </c>
      <c r="BD150" s="86">
        <v>233</v>
      </c>
      <c r="BE150" s="86">
        <v>250</v>
      </c>
      <c r="BF150" s="86">
        <v>245</v>
      </c>
      <c r="BG150" s="86">
        <v>253</v>
      </c>
      <c r="BH150" s="86">
        <v>236</v>
      </c>
      <c r="BI150" s="86">
        <v>233</v>
      </c>
      <c r="BJ150" s="86">
        <v>237</v>
      </c>
      <c r="BK150" s="86">
        <v>216</v>
      </c>
      <c r="BL150" s="86">
        <v>253</v>
      </c>
      <c r="BM150" s="86">
        <v>223</v>
      </c>
      <c r="BN150" s="86">
        <v>225</v>
      </c>
      <c r="BO150" s="86">
        <v>214</v>
      </c>
      <c r="BP150" s="86">
        <v>233</v>
      </c>
      <c r="BQ150" s="86">
        <v>230</v>
      </c>
      <c r="BR150" s="86">
        <v>228</v>
      </c>
      <c r="BS150" s="86">
        <v>217</v>
      </c>
      <c r="BT150" s="86">
        <v>221</v>
      </c>
      <c r="BU150" s="86">
        <v>227</v>
      </c>
      <c r="BV150" s="86">
        <v>210</v>
      </c>
      <c r="BW150" s="86">
        <v>238</v>
      </c>
      <c r="BX150" s="86">
        <v>208</v>
      </c>
      <c r="BY150" s="86">
        <v>219</v>
      </c>
      <c r="BZ150" s="86">
        <v>235</v>
      </c>
      <c r="CA150" s="86">
        <v>220</v>
      </c>
      <c r="CB150" s="86">
        <v>210</v>
      </c>
      <c r="CC150" s="86">
        <v>218</v>
      </c>
      <c r="CD150" s="86">
        <v>221</v>
      </c>
      <c r="CE150" s="86">
        <v>218</v>
      </c>
      <c r="CF150" s="86">
        <v>201</v>
      </c>
      <c r="CG150" s="86">
        <v>2131</v>
      </c>
      <c r="CH150" s="86">
        <v>2084</v>
      </c>
      <c r="CI150" s="86">
        <v>2093</v>
      </c>
      <c r="CJ150" s="86">
        <v>2120</v>
      </c>
      <c r="CK150" s="86">
        <v>1992</v>
      </c>
      <c r="CL150" s="86">
        <v>1985</v>
      </c>
      <c r="CM150" s="86">
        <v>1932</v>
      </c>
      <c r="CN150" s="86">
        <v>1980</v>
      </c>
      <c r="CO150" s="86">
        <v>1983</v>
      </c>
      <c r="CP150" s="86">
        <v>1906</v>
      </c>
      <c r="CQ150" s="86">
        <v>1867</v>
      </c>
      <c r="CR150" s="86">
        <v>1868</v>
      </c>
      <c r="CS150" s="86">
        <v>1920</v>
      </c>
      <c r="CT150" s="86">
        <v>1941</v>
      </c>
      <c r="CU150" s="382"/>
    </row>
    <row r="151" spans="1:99" s="86" customFormat="1" x14ac:dyDescent="0.2">
      <c r="A151" s="375">
        <v>274</v>
      </c>
      <c r="B151" s="375">
        <v>42</v>
      </c>
      <c r="C151" s="349" t="s">
        <v>155</v>
      </c>
      <c r="D151" s="375">
        <v>1010</v>
      </c>
      <c r="E151" s="164">
        <f t="shared" si="4"/>
        <v>84.15</v>
      </c>
      <c r="F151" s="394">
        <f t="shared" si="5"/>
        <v>4.9110957355566383</v>
      </c>
      <c r="G151" s="86">
        <v>26</v>
      </c>
      <c r="H151" s="86">
        <v>18</v>
      </c>
      <c r="I151" s="86">
        <v>21</v>
      </c>
      <c r="J151" s="86">
        <v>25</v>
      </c>
      <c r="K151" s="86">
        <v>22</v>
      </c>
      <c r="L151" s="86">
        <v>26</v>
      </c>
      <c r="M151" s="86">
        <v>19</v>
      </c>
      <c r="N151" s="86">
        <v>19</v>
      </c>
      <c r="O151" s="86">
        <v>19</v>
      </c>
      <c r="P151" s="86">
        <v>18</v>
      </c>
      <c r="Q151" s="86">
        <v>23</v>
      </c>
      <c r="R151" s="86">
        <v>26</v>
      </c>
      <c r="S151" s="86">
        <v>27</v>
      </c>
      <c r="T151" s="86">
        <v>25</v>
      </c>
      <c r="U151" s="86">
        <v>26</v>
      </c>
      <c r="V151" s="86">
        <v>27</v>
      </c>
      <c r="W151" s="86">
        <v>21</v>
      </c>
      <c r="X151" s="86">
        <v>29</v>
      </c>
      <c r="Y151" s="86">
        <v>24</v>
      </c>
      <c r="Z151" s="86">
        <v>24</v>
      </c>
      <c r="AA151" s="86">
        <v>253</v>
      </c>
      <c r="AB151" s="86">
        <v>245</v>
      </c>
      <c r="AC151" s="86">
        <v>255</v>
      </c>
      <c r="AD151" s="86">
        <v>264</v>
      </c>
      <c r="AE151" s="86">
        <v>229</v>
      </c>
      <c r="AF151" s="86">
        <v>234</v>
      </c>
      <c r="AG151" s="86">
        <v>254</v>
      </c>
      <c r="AH151" s="86">
        <v>227</v>
      </c>
      <c r="AI151" s="86">
        <v>242</v>
      </c>
      <c r="AJ151" s="86">
        <v>237</v>
      </c>
      <c r="AK151" s="86">
        <v>243</v>
      </c>
      <c r="AL151" s="86">
        <v>224</v>
      </c>
      <c r="AM151" s="86">
        <v>260</v>
      </c>
      <c r="AN151" s="86">
        <v>237</v>
      </c>
      <c r="AO151" s="86">
        <v>228</v>
      </c>
      <c r="AP151" s="86">
        <v>223</v>
      </c>
      <c r="AQ151" s="86">
        <v>207</v>
      </c>
      <c r="AR151" s="86">
        <v>227</v>
      </c>
      <c r="AS151" s="86">
        <v>216</v>
      </c>
      <c r="AT151" s="86">
        <v>208</v>
      </c>
      <c r="AU151" s="86">
        <v>190</v>
      </c>
      <c r="AV151" s="86">
        <v>222</v>
      </c>
      <c r="AW151" s="86">
        <v>235</v>
      </c>
      <c r="AX151" s="86">
        <v>200</v>
      </c>
      <c r="AY151" s="86">
        <v>221</v>
      </c>
      <c r="AZ151" s="86">
        <v>205</v>
      </c>
      <c r="BA151" s="86">
        <v>214</v>
      </c>
      <c r="BB151" s="86">
        <v>196</v>
      </c>
      <c r="BC151" s="86">
        <v>181</v>
      </c>
      <c r="BD151" s="86">
        <v>184</v>
      </c>
      <c r="BE151" s="86">
        <v>205</v>
      </c>
      <c r="BF151" s="86">
        <v>213</v>
      </c>
      <c r="BG151" s="86">
        <v>205</v>
      </c>
      <c r="BH151" s="86">
        <v>186</v>
      </c>
      <c r="BI151" s="86">
        <v>206</v>
      </c>
      <c r="BJ151" s="86">
        <v>203</v>
      </c>
      <c r="BK151" s="86">
        <v>197</v>
      </c>
      <c r="BL151" s="86">
        <v>199</v>
      </c>
      <c r="BM151" s="86">
        <v>197</v>
      </c>
      <c r="BN151" s="86">
        <v>183</v>
      </c>
      <c r="BO151" s="86">
        <v>185</v>
      </c>
      <c r="BP151" s="86">
        <v>178</v>
      </c>
      <c r="BQ151" s="86">
        <v>189</v>
      </c>
      <c r="BR151" s="86">
        <v>203</v>
      </c>
      <c r="BS151" s="86">
        <v>189</v>
      </c>
      <c r="BT151" s="86">
        <v>180</v>
      </c>
      <c r="BU151" s="86">
        <v>189</v>
      </c>
      <c r="BV151" s="86">
        <v>192</v>
      </c>
      <c r="BW151" s="86">
        <v>189</v>
      </c>
      <c r="BX151" s="86">
        <v>170</v>
      </c>
      <c r="BY151" s="86">
        <v>188</v>
      </c>
      <c r="BZ151" s="86">
        <v>176</v>
      </c>
      <c r="CA151" s="86">
        <v>200</v>
      </c>
      <c r="CB151" s="86">
        <v>187</v>
      </c>
      <c r="CC151" s="86">
        <v>175</v>
      </c>
      <c r="CD151" s="86">
        <v>186</v>
      </c>
      <c r="CE151" s="86">
        <v>186</v>
      </c>
      <c r="CF151" s="86">
        <v>186</v>
      </c>
      <c r="CG151" s="86">
        <v>1751</v>
      </c>
      <c r="CH151" s="86">
        <v>1741</v>
      </c>
      <c r="CI151" s="86">
        <v>1648</v>
      </c>
      <c r="CJ151" s="86">
        <v>1615</v>
      </c>
      <c r="CK151" s="86">
        <v>1605</v>
      </c>
      <c r="CL151" s="86">
        <v>1545</v>
      </c>
      <c r="CM151" s="86">
        <v>1594</v>
      </c>
      <c r="CN151" s="86">
        <v>1569</v>
      </c>
      <c r="CO151" s="86">
        <v>1529</v>
      </c>
      <c r="CP151" s="86">
        <v>1517</v>
      </c>
      <c r="CQ151" s="86">
        <v>1581</v>
      </c>
      <c r="CR151" s="86">
        <v>1478</v>
      </c>
      <c r="CS151" s="86">
        <v>1479</v>
      </c>
      <c r="CT151" s="86">
        <v>1488</v>
      </c>
      <c r="CU151" s="382"/>
    </row>
    <row r="152" spans="1:99" s="86" customFormat="1" x14ac:dyDescent="0.2">
      <c r="A152" s="375">
        <v>278</v>
      </c>
      <c r="B152" s="375">
        <v>42</v>
      </c>
      <c r="C152" s="349" t="s">
        <v>156</v>
      </c>
      <c r="D152" s="375">
        <v>1516</v>
      </c>
      <c r="E152" s="164">
        <f t="shared" si="4"/>
        <v>76.099999999999994</v>
      </c>
      <c r="F152" s="394">
        <f t="shared" si="5"/>
        <v>4.6465979958925594</v>
      </c>
      <c r="G152" s="86">
        <v>22</v>
      </c>
      <c r="H152" s="86">
        <v>21</v>
      </c>
      <c r="I152" s="86">
        <v>24</v>
      </c>
      <c r="J152" s="86">
        <v>17</v>
      </c>
      <c r="K152" s="86">
        <v>19</v>
      </c>
      <c r="L152" s="86">
        <v>20</v>
      </c>
      <c r="M152" s="86">
        <v>20</v>
      </c>
      <c r="N152" s="86">
        <v>19</v>
      </c>
      <c r="O152" s="86">
        <v>21</v>
      </c>
      <c r="P152" s="86">
        <v>19</v>
      </c>
      <c r="Q152" s="86">
        <v>19</v>
      </c>
      <c r="R152" s="86">
        <v>22</v>
      </c>
      <c r="S152" s="86">
        <v>22</v>
      </c>
      <c r="T152" s="86">
        <v>19</v>
      </c>
      <c r="U152" s="86">
        <v>21</v>
      </c>
      <c r="V152" s="86">
        <v>19</v>
      </c>
      <c r="W152" s="86">
        <v>25</v>
      </c>
      <c r="X152" s="86">
        <v>14</v>
      </c>
      <c r="Y152" s="86">
        <v>28</v>
      </c>
      <c r="Z152" s="86">
        <v>25</v>
      </c>
      <c r="AA152" s="86">
        <v>204</v>
      </c>
      <c r="AB152" s="86">
        <v>205</v>
      </c>
      <c r="AC152" s="86">
        <v>229</v>
      </c>
      <c r="AD152" s="86">
        <v>207</v>
      </c>
      <c r="AE152" s="86">
        <v>221</v>
      </c>
      <c r="AF152" s="86">
        <v>210</v>
      </c>
      <c r="AG152" s="86">
        <v>206</v>
      </c>
      <c r="AH152" s="86">
        <v>197</v>
      </c>
      <c r="AI152" s="86">
        <v>198</v>
      </c>
      <c r="AJ152" s="86">
        <v>192</v>
      </c>
      <c r="AK152" s="86">
        <v>200</v>
      </c>
      <c r="AL152" s="86">
        <v>175</v>
      </c>
      <c r="AM152" s="86">
        <v>185</v>
      </c>
      <c r="AN152" s="86">
        <v>209</v>
      </c>
      <c r="AO152" s="86">
        <v>181</v>
      </c>
      <c r="AP152" s="86">
        <v>168</v>
      </c>
      <c r="AQ152" s="86">
        <v>191</v>
      </c>
      <c r="AR152" s="86">
        <v>173</v>
      </c>
      <c r="AS152" s="86">
        <v>167</v>
      </c>
      <c r="AT152" s="86">
        <v>173</v>
      </c>
      <c r="AU152" s="86">
        <v>181</v>
      </c>
      <c r="AV152" s="86">
        <v>183</v>
      </c>
      <c r="AW152" s="86">
        <v>174</v>
      </c>
      <c r="AX152" s="86">
        <v>163</v>
      </c>
      <c r="AY152" s="86">
        <v>166</v>
      </c>
      <c r="AZ152" s="86">
        <v>172</v>
      </c>
      <c r="BA152" s="86">
        <v>179</v>
      </c>
      <c r="BB152" s="86">
        <v>191</v>
      </c>
      <c r="BC152" s="86">
        <v>168</v>
      </c>
      <c r="BD152" s="86">
        <v>159</v>
      </c>
      <c r="BE152" s="86">
        <v>167</v>
      </c>
      <c r="BF152" s="86">
        <v>165</v>
      </c>
      <c r="BG152" s="86">
        <v>163</v>
      </c>
      <c r="BH152" s="86">
        <v>169</v>
      </c>
      <c r="BI152" s="86">
        <v>165</v>
      </c>
      <c r="BJ152" s="86">
        <v>163</v>
      </c>
      <c r="BK152" s="86">
        <v>164</v>
      </c>
      <c r="BL152" s="86">
        <v>178</v>
      </c>
      <c r="BM152" s="86">
        <v>150</v>
      </c>
      <c r="BN152" s="86">
        <v>180</v>
      </c>
      <c r="BO152" s="86">
        <v>159</v>
      </c>
      <c r="BP152" s="86">
        <v>157</v>
      </c>
      <c r="BQ152" s="86">
        <v>159</v>
      </c>
      <c r="BR152" s="86">
        <v>166</v>
      </c>
      <c r="BS152" s="86">
        <v>149</v>
      </c>
      <c r="BT152" s="86">
        <v>150</v>
      </c>
      <c r="BU152" s="86">
        <v>159</v>
      </c>
      <c r="BV152" s="86">
        <v>154</v>
      </c>
      <c r="BW152" s="86">
        <v>158</v>
      </c>
      <c r="BX152" s="86">
        <v>163</v>
      </c>
      <c r="BY152" s="86">
        <v>152</v>
      </c>
      <c r="BZ152" s="86">
        <v>159</v>
      </c>
      <c r="CA152" s="86">
        <v>161</v>
      </c>
      <c r="CB152" s="86">
        <v>151</v>
      </c>
      <c r="CC152" s="86">
        <v>144</v>
      </c>
      <c r="CD152" s="86">
        <v>152</v>
      </c>
      <c r="CE152" s="86">
        <v>152</v>
      </c>
      <c r="CF152" s="86">
        <v>158</v>
      </c>
      <c r="CG152" s="86">
        <v>1510</v>
      </c>
      <c r="CH152" s="86">
        <v>1503</v>
      </c>
      <c r="CI152" s="86">
        <v>1457</v>
      </c>
      <c r="CJ152" s="86">
        <v>1437</v>
      </c>
      <c r="CK152" s="86">
        <v>1431</v>
      </c>
      <c r="CL152" s="86">
        <v>1369</v>
      </c>
      <c r="CM152" s="86">
        <v>1405</v>
      </c>
      <c r="CN152" s="86">
        <v>1355</v>
      </c>
      <c r="CO152" s="86">
        <v>1407</v>
      </c>
      <c r="CP152" s="86">
        <v>1408</v>
      </c>
      <c r="CQ152" s="86">
        <v>1341</v>
      </c>
      <c r="CR152" s="86">
        <v>1334</v>
      </c>
      <c r="CS152" s="86">
        <v>1339</v>
      </c>
      <c r="CT152" s="86">
        <v>1299</v>
      </c>
      <c r="CU152" s="382"/>
    </row>
    <row r="153" spans="1:99" s="86" customFormat="1" x14ac:dyDescent="0.2">
      <c r="A153" s="375">
        <v>283</v>
      </c>
      <c r="B153" s="375">
        <v>42</v>
      </c>
      <c r="C153" s="349" t="s">
        <v>155</v>
      </c>
      <c r="D153" s="375">
        <v>2021</v>
      </c>
      <c r="E153" s="164">
        <f t="shared" si="4"/>
        <v>65.95</v>
      </c>
      <c r="F153" s="394">
        <f t="shared" si="5"/>
        <v>4.3423369977035406</v>
      </c>
      <c r="G153" s="86">
        <v>13</v>
      </c>
      <c r="H153" s="86">
        <v>18</v>
      </c>
      <c r="I153" s="86">
        <v>21</v>
      </c>
      <c r="J153" s="86">
        <v>14</v>
      </c>
      <c r="K153" s="86">
        <v>16</v>
      </c>
      <c r="L153" s="86">
        <v>18</v>
      </c>
      <c r="M153" s="86">
        <v>19</v>
      </c>
      <c r="N153" s="86">
        <v>17</v>
      </c>
      <c r="O153" s="86">
        <v>16</v>
      </c>
      <c r="P153" s="86">
        <v>20</v>
      </c>
      <c r="Q153" s="86">
        <v>21</v>
      </c>
      <c r="R153" s="86">
        <v>22</v>
      </c>
      <c r="S153" s="86">
        <v>18</v>
      </c>
      <c r="T153" s="86">
        <v>22</v>
      </c>
      <c r="U153" s="86">
        <v>18</v>
      </c>
      <c r="V153" s="86">
        <v>25</v>
      </c>
      <c r="W153" s="86">
        <v>20</v>
      </c>
      <c r="X153" s="86">
        <v>19</v>
      </c>
      <c r="Y153" s="86">
        <v>17</v>
      </c>
      <c r="Z153" s="86">
        <v>18</v>
      </c>
      <c r="AA153" s="86">
        <v>190</v>
      </c>
      <c r="AB153" s="86">
        <v>203</v>
      </c>
      <c r="AC153" s="86">
        <v>199</v>
      </c>
      <c r="AD153" s="86">
        <v>198</v>
      </c>
      <c r="AE153" s="86">
        <v>197</v>
      </c>
      <c r="AF153" s="86">
        <v>202</v>
      </c>
      <c r="AG153" s="86">
        <v>200</v>
      </c>
      <c r="AH153" s="86">
        <v>200</v>
      </c>
      <c r="AI153" s="86">
        <v>198</v>
      </c>
      <c r="AJ153" s="86">
        <v>175</v>
      </c>
      <c r="AK153" s="86">
        <v>192</v>
      </c>
      <c r="AL153" s="86">
        <v>179</v>
      </c>
      <c r="AM153" s="86">
        <v>186</v>
      </c>
      <c r="AN153" s="86">
        <v>181</v>
      </c>
      <c r="AO153" s="86">
        <v>165</v>
      </c>
      <c r="AP153" s="86">
        <v>173</v>
      </c>
      <c r="AQ153" s="86">
        <v>179</v>
      </c>
      <c r="AR153" s="86">
        <v>169</v>
      </c>
      <c r="AS153" s="86">
        <v>151</v>
      </c>
      <c r="AT153" s="86">
        <v>174</v>
      </c>
      <c r="AU153" s="86">
        <v>165</v>
      </c>
      <c r="AV153" s="86">
        <v>170</v>
      </c>
      <c r="AW153" s="86">
        <v>152</v>
      </c>
      <c r="AX153" s="86">
        <v>165</v>
      </c>
      <c r="AY153" s="86">
        <v>158</v>
      </c>
      <c r="AZ153" s="86">
        <v>164</v>
      </c>
      <c r="BA153" s="86">
        <v>163</v>
      </c>
      <c r="BB153" s="86">
        <v>154</v>
      </c>
      <c r="BC153" s="86">
        <v>150</v>
      </c>
      <c r="BD153" s="86">
        <v>159</v>
      </c>
      <c r="BE153" s="86">
        <v>144</v>
      </c>
      <c r="BF153" s="86">
        <v>165</v>
      </c>
      <c r="BG153" s="86">
        <v>155</v>
      </c>
      <c r="BH153" s="86">
        <v>137</v>
      </c>
      <c r="BI153" s="86">
        <v>150</v>
      </c>
      <c r="BJ153" s="86">
        <v>145</v>
      </c>
      <c r="BK153" s="86">
        <v>153</v>
      </c>
      <c r="BL153" s="86">
        <v>151</v>
      </c>
      <c r="BM153" s="86">
        <v>135</v>
      </c>
      <c r="BN153" s="86">
        <v>162</v>
      </c>
      <c r="BO153" s="86">
        <v>145</v>
      </c>
      <c r="BP153" s="86">
        <v>143</v>
      </c>
      <c r="BQ153" s="86">
        <v>144</v>
      </c>
      <c r="BR153" s="86">
        <v>153</v>
      </c>
      <c r="BS153" s="86">
        <v>128</v>
      </c>
      <c r="BT153" s="86">
        <v>140</v>
      </c>
      <c r="BU153" s="86">
        <v>140</v>
      </c>
      <c r="BV153" s="86">
        <v>125</v>
      </c>
      <c r="BW153" s="86">
        <v>134</v>
      </c>
      <c r="BX153" s="86">
        <v>153</v>
      </c>
      <c r="BY153" s="86">
        <v>132</v>
      </c>
      <c r="BZ153" s="86">
        <v>143</v>
      </c>
      <c r="CA153" s="86">
        <v>155</v>
      </c>
      <c r="CB153" s="86">
        <v>135</v>
      </c>
      <c r="CC153" s="86">
        <v>153</v>
      </c>
      <c r="CD153" s="86">
        <v>150</v>
      </c>
      <c r="CE153" s="86">
        <v>133</v>
      </c>
      <c r="CF153" s="86">
        <v>155</v>
      </c>
      <c r="CG153" s="86">
        <v>1334</v>
      </c>
      <c r="CH153" s="86">
        <v>1325</v>
      </c>
      <c r="CI153" s="86">
        <v>1359</v>
      </c>
      <c r="CJ153" s="86">
        <v>1232</v>
      </c>
      <c r="CK153" s="86">
        <v>1230</v>
      </c>
      <c r="CL153" s="86">
        <v>1244</v>
      </c>
      <c r="CM153" s="86">
        <v>1204</v>
      </c>
      <c r="CN153" s="86">
        <v>1188</v>
      </c>
      <c r="CO153" s="86">
        <v>1210</v>
      </c>
      <c r="CP153" s="86">
        <v>1197</v>
      </c>
      <c r="CQ153" s="86">
        <v>1191</v>
      </c>
      <c r="CR153" s="86">
        <v>1172</v>
      </c>
      <c r="CS153" s="86">
        <v>1207</v>
      </c>
      <c r="CT153" s="86">
        <v>1194</v>
      </c>
      <c r="CU153" s="382"/>
    </row>
    <row r="154" spans="1:99" s="86" customFormat="1" x14ac:dyDescent="0.2">
      <c r="A154" s="375">
        <v>287</v>
      </c>
      <c r="B154" s="375">
        <v>42</v>
      </c>
      <c r="C154" s="349" t="s">
        <v>156</v>
      </c>
      <c r="D154" s="375">
        <v>1516</v>
      </c>
      <c r="E154" s="164">
        <f t="shared" si="4"/>
        <v>69.3</v>
      </c>
      <c r="F154" s="394">
        <f t="shared" si="5"/>
        <v>4.3335162865860948</v>
      </c>
      <c r="G154" s="86">
        <v>21</v>
      </c>
      <c r="H154" s="86">
        <v>12</v>
      </c>
      <c r="I154" s="86">
        <v>22</v>
      </c>
      <c r="J154" s="86">
        <v>16</v>
      </c>
      <c r="K154" s="86">
        <v>19</v>
      </c>
      <c r="L154" s="86">
        <v>19</v>
      </c>
      <c r="M154" s="86">
        <v>19</v>
      </c>
      <c r="N154" s="86">
        <v>19</v>
      </c>
      <c r="O154" s="86">
        <v>19</v>
      </c>
      <c r="P154" s="86">
        <v>19</v>
      </c>
      <c r="Q154" s="86">
        <v>15</v>
      </c>
      <c r="R154" s="86">
        <v>15</v>
      </c>
      <c r="S154" s="86">
        <v>19</v>
      </c>
      <c r="T154" s="86">
        <v>15</v>
      </c>
      <c r="U154" s="86">
        <v>20</v>
      </c>
      <c r="V154" s="86">
        <v>20</v>
      </c>
      <c r="W154" s="86">
        <v>22</v>
      </c>
      <c r="X154" s="86">
        <v>12</v>
      </c>
      <c r="Y154" s="86">
        <v>18</v>
      </c>
      <c r="Z154" s="86">
        <v>17</v>
      </c>
      <c r="AA154" s="86">
        <v>188</v>
      </c>
      <c r="AB154" s="86">
        <v>168</v>
      </c>
      <c r="AC154" s="86">
        <v>172</v>
      </c>
      <c r="AD154" s="86">
        <v>176</v>
      </c>
      <c r="AE154" s="86">
        <v>172</v>
      </c>
      <c r="AF154" s="86">
        <v>173</v>
      </c>
      <c r="AG154" s="86">
        <v>171</v>
      </c>
      <c r="AH154" s="86">
        <v>164</v>
      </c>
      <c r="AI154" s="86">
        <v>158</v>
      </c>
      <c r="AJ154" s="86">
        <v>174</v>
      </c>
      <c r="AK154" s="86">
        <v>174</v>
      </c>
      <c r="AL154" s="86">
        <v>163</v>
      </c>
      <c r="AM154" s="86">
        <v>185</v>
      </c>
      <c r="AN154" s="86">
        <v>175</v>
      </c>
      <c r="AO154" s="86">
        <v>166</v>
      </c>
      <c r="AP154" s="86">
        <v>153</v>
      </c>
      <c r="AQ154" s="86">
        <v>146</v>
      </c>
      <c r="AR154" s="86">
        <v>144</v>
      </c>
      <c r="AS154" s="86">
        <v>164</v>
      </c>
      <c r="AT154" s="86">
        <v>153</v>
      </c>
      <c r="AU154" s="86">
        <v>150</v>
      </c>
      <c r="AV154" s="86">
        <v>148</v>
      </c>
      <c r="AW154" s="86">
        <v>149</v>
      </c>
      <c r="AX154" s="86">
        <v>150</v>
      </c>
      <c r="AY154" s="86">
        <v>139</v>
      </c>
      <c r="AZ154" s="86">
        <v>139</v>
      </c>
      <c r="BA154" s="86">
        <v>143</v>
      </c>
      <c r="BB154" s="86">
        <v>134</v>
      </c>
      <c r="BC154" s="86">
        <v>148</v>
      </c>
      <c r="BD154" s="86">
        <v>149</v>
      </c>
      <c r="BE154" s="86">
        <v>133</v>
      </c>
      <c r="BF154" s="86">
        <v>142</v>
      </c>
      <c r="BG154" s="86">
        <v>136</v>
      </c>
      <c r="BH154" s="86">
        <v>129</v>
      </c>
      <c r="BI154" s="86">
        <v>138</v>
      </c>
      <c r="BJ154" s="86">
        <v>130</v>
      </c>
      <c r="BK154" s="86">
        <v>146</v>
      </c>
      <c r="BL154" s="86">
        <v>122</v>
      </c>
      <c r="BM154" s="86">
        <v>140</v>
      </c>
      <c r="BN154" s="86">
        <v>128</v>
      </c>
      <c r="BO154" s="86">
        <v>140</v>
      </c>
      <c r="BP154" s="86">
        <v>126</v>
      </c>
      <c r="BQ154" s="86">
        <v>124</v>
      </c>
      <c r="BR154" s="86">
        <v>138</v>
      </c>
      <c r="BS154" s="86">
        <v>145</v>
      </c>
      <c r="BT154" s="86">
        <v>125</v>
      </c>
      <c r="BU154" s="86">
        <v>149</v>
      </c>
      <c r="BV154" s="86">
        <v>142</v>
      </c>
      <c r="BW154" s="86">
        <v>125</v>
      </c>
      <c r="BX154" s="86">
        <v>121</v>
      </c>
      <c r="BY154" s="86">
        <v>115</v>
      </c>
      <c r="BZ154" s="86">
        <v>132</v>
      </c>
      <c r="CA154" s="86">
        <v>137</v>
      </c>
      <c r="CB154" s="86">
        <v>129</v>
      </c>
      <c r="CC154" s="86">
        <v>131</v>
      </c>
      <c r="CD154" s="86">
        <v>126</v>
      </c>
      <c r="CE154" s="86">
        <v>141</v>
      </c>
      <c r="CF154" s="86">
        <v>131</v>
      </c>
      <c r="CG154" s="86">
        <v>1249</v>
      </c>
      <c r="CH154" s="86">
        <v>1268</v>
      </c>
      <c r="CI154" s="86">
        <v>1186</v>
      </c>
      <c r="CJ154" s="86">
        <v>1176</v>
      </c>
      <c r="CK154" s="86">
        <v>1188</v>
      </c>
      <c r="CL154" s="86">
        <v>1171</v>
      </c>
      <c r="CM154" s="86">
        <v>1163</v>
      </c>
      <c r="CN154" s="86">
        <v>1117</v>
      </c>
      <c r="CO154" s="86">
        <v>1134</v>
      </c>
      <c r="CP154" s="86">
        <v>1146</v>
      </c>
      <c r="CQ154" s="86">
        <v>1138</v>
      </c>
      <c r="CR154" s="86">
        <v>1051</v>
      </c>
      <c r="CS154" s="86">
        <v>1066</v>
      </c>
      <c r="CT154" s="86">
        <v>1128</v>
      </c>
      <c r="CU154" s="382"/>
    </row>
    <row r="155" spans="1:99" s="86" customFormat="1" x14ac:dyDescent="0.2">
      <c r="A155" s="375">
        <v>292</v>
      </c>
      <c r="B155" s="375">
        <v>42</v>
      </c>
      <c r="C155" s="349" t="s">
        <v>155</v>
      </c>
      <c r="D155" s="375">
        <v>4168</v>
      </c>
      <c r="E155" s="164">
        <f t="shared" si="4"/>
        <v>79.099999999999994</v>
      </c>
      <c r="F155" s="394">
        <f t="shared" si="5"/>
        <v>4.3457315755176458</v>
      </c>
      <c r="G155" s="86">
        <v>21</v>
      </c>
      <c r="H155" s="86">
        <v>17</v>
      </c>
      <c r="I155" s="86">
        <v>15</v>
      </c>
      <c r="J155" s="86">
        <v>15</v>
      </c>
      <c r="K155" s="86">
        <v>14</v>
      </c>
      <c r="L155" s="86">
        <v>22</v>
      </c>
      <c r="M155" s="86">
        <v>20</v>
      </c>
      <c r="N155" s="86">
        <v>24</v>
      </c>
      <c r="O155" s="86">
        <v>17</v>
      </c>
      <c r="P155" s="86">
        <v>18</v>
      </c>
      <c r="Q155" s="86">
        <v>21</v>
      </c>
      <c r="R155" s="86">
        <v>18</v>
      </c>
      <c r="S155" s="86">
        <v>21</v>
      </c>
      <c r="T155" s="86">
        <v>15</v>
      </c>
      <c r="U155" s="86">
        <v>21</v>
      </c>
      <c r="V155" s="86">
        <v>21</v>
      </c>
      <c r="W155" s="86">
        <v>17</v>
      </c>
      <c r="X155" s="86">
        <v>20</v>
      </c>
      <c r="Y155" s="86">
        <v>16</v>
      </c>
      <c r="Z155" s="86">
        <v>17</v>
      </c>
      <c r="AA155" s="86">
        <v>190</v>
      </c>
      <c r="AB155" s="86">
        <v>205</v>
      </c>
      <c r="AC155" s="86">
        <v>199</v>
      </c>
      <c r="AD155" s="86">
        <v>191</v>
      </c>
      <c r="AE155" s="86">
        <v>197</v>
      </c>
      <c r="AF155" s="86">
        <v>180</v>
      </c>
      <c r="AG155" s="86">
        <v>194</v>
      </c>
      <c r="AH155" s="86">
        <v>190</v>
      </c>
      <c r="AI155" s="86">
        <v>199</v>
      </c>
      <c r="AJ155" s="86">
        <v>188</v>
      </c>
      <c r="AK155" s="86">
        <v>175</v>
      </c>
      <c r="AL155" s="86">
        <v>185</v>
      </c>
      <c r="AM155" s="86">
        <v>167</v>
      </c>
      <c r="AN155" s="86">
        <v>181</v>
      </c>
      <c r="AO155" s="86">
        <v>176</v>
      </c>
      <c r="AP155" s="86">
        <v>160</v>
      </c>
      <c r="AQ155" s="86">
        <v>153</v>
      </c>
      <c r="AR155" s="86">
        <v>170</v>
      </c>
      <c r="AS155" s="86">
        <v>162</v>
      </c>
      <c r="AT155" s="86">
        <v>170</v>
      </c>
      <c r="AU155" s="86">
        <v>165</v>
      </c>
      <c r="AV155" s="86">
        <v>169</v>
      </c>
      <c r="AW155" s="86">
        <v>148</v>
      </c>
      <c r="AX155" s="86">
        <v>142</v>
      </c>
      <c r="AY155" s="86">
        <v>149</v>
      </c>
      <c r="AZ155" s="86">
        <v>156</v>
      </c>
      <c r="BA155" s="86">
        <v>159</v>
      </c>
      <c r="BB155" s="86">
        <v>147</v>
      </c>
      <c r="BC155" s="86">
        <v>167</v>
      </c>
      <c r="BD155" s="86">
        <v>162</v>
      </c>
      <c r="BE155" s="86">
        <v>149</v>
      </c>
      <c r="BF155" s="86">
        <v>151</v>
      </c>
      <c r="BG155" s="86">
        <v>145</v>
      </c>
      <c r="BH155" s="86">
        <v>151</v>
      </c>
      <c r="BI155" s="86">
        <v>153</v>
      </c>
      <c r="BJ155" s="86">
        <v>158</v>
      </c>
      <c r="BK155" s="86">
        <v>147</v>
      </c>
      <c r="BL155" s="86">
        <v>143</v>
      </c>
      <c r="BM155" s="86">
        <v>150</v>
      </c>
      <c r="BN155" s="86">
        <v>128</v>
      </c>
      <c r="BO155" s="86">
        <v>135</v>
      </c>
      <c r="BP155" s="86">
        <v>153</v>
      </c>
      <c r="BQ155" s="86">
        <v>136</v>
      </c>
      <c r="BR155" s="86">
        <v>139</v>
      </c>
      <c r="BS155" s="86">
        <v>149</v>
      </c>
      <c r="BT155" s="86">
        <v>119</v>
      </c>
      <c r="BU155" s="86">
        <v>107</v>
      </c>
      <c r="BV155" s="86">
        <v>132</v>
      </c>
      <c r="BW155" s="86">
        <v>123</v>
      </c>
      <c r="BX155" s="86">
        <v>150</v>
      </c>
      <c r="BY155" s="86">
        <v>137</v>
      </c>
      <c r="BZ155" s="86">
        <v>142</v>
      </c>
      <c r="CA155" s="86">
        <v>127</v>
      </c>
      <c r="CB155" s="86">
        <v>136</v>
      </c>
      <c r="CC155" s="86">
        <v>129</v>
      </c>
      <c r="CD155" s="86">
        <v>133</v>
      </c>
      <c r="CE155" s="86">
        <v>121</v>
      </c>
      <c r="CF155" s="86">
        <v>148</v>
      </c>
      <c r="CG155" s="86">
        <v>1251</v>
      </c>
      <c r="CH155" s="86">
        <v>1233</v>
      </c>
      <c r="CI155" s="86">
        <v>1217</v>
      </c>
      <c r="CJ155" s="86">
        <v>1207</v>
      </c>
      <c r="CK155" s="86">
        <v>1204</v>
      </c>
      <c r="CL155" s="86">
        <v>1152</v>
      </c>
      <c r="CM155" s="86">
        <v>1135</v>
      </c>
      <c r="CN155" s="86">
        <v>1106</v>
      </c>
      <c r="CO155" s="86">
        <v>1120</v>
      </c>
      <c r="CP155" s="86">
        <v>1066</v>
      </c>
      <c r="CQ155" s="86">
        <v>1039</v>
      </c>
      <c r="CR155" s="86">
        <v>1044</v>
      </c>
      <c r="CS155" s="86">
        <v>1037</v>
      </c>
      <c r="CT155" s="86">
        <v>1081</v>
      </c>
      <c r="CU155" s="382"/>
    </row>
    <row r="156" spans="1:99" s="86" customFormat="1" x14ac:dyDescent="0.2">
      <c r="A156" s="375">
        <v>296</v>
      </c>
      <c r="B156" s="375">
        <v>42</v>
      </c>
      <c r="C156" s="349" t="s">
        <v>156</v>
      </c>
      <c r="D156" s="375">
        <v>1516</v>
      </c>
      <c r="E156" s="164">
        <f t="shared" si="4"/>
        <v>52.5</v>
      </c>
      <c r="F156" s="394">
        <f t="shared" si="5"/>
        <v>3.9064606202199013</v>
      </c>
      <c r="G156" s="86">
        <v>17</v>
      </c>
      <c r="H156" s="86">
        <v>11</v>
      </c>
      <c r="I156" s="86">
        <v>12</v>
      </c>
      <c r="J156" s="86">
        <v>15</v>
      </c>
      <c r="K156" s="86">
        <v>12</v>
      </c>
      <c r="L156" s="86">
        <v>15</v>
      </c>
      <c r="M156" s="86">
        <v>10</v>
      </c>
      <c r="N156" s="86">
        <v>15</v>
      </c>
      <c r="O156" s="86">
        <v>16</v>
      </c>
      <c r="P156" s="86">
        <v>15</v>
      </c>
      <c r="Q156" s="86">
        <v>19</v>
      </c>
      <c r="R156" s="86">
        <v>13</v>
      </c>
      <c r="S156" s="86">
        <v>11</v>
      </c>
      <c r="T156" s="86">
        <v>13</v>
      </c>
      <c r="U156" s="86">
        <v>20</v>
      </c>
      <c r="V156" s="86">
        <v>15</v>
      </c>
      <c r="W156" s="86">
        <v>20</v>
      </c>
      <c r="X156" s="86">
        <v>15</v>
      </c>
      <c r="Y156" s="86">
        <v>12</v>
      </c>
      <c r="Z156" s="86">
        <v>20</v>
      </c>
      <c r="AA156" s="86">
        <v>167</v>
      </c>
      <c r="AB156" s="86">
        <v>158</v>
      </c>
      <c r="AC156" s="86">
        <v>154</v>
      </c>
      <c r="AD156" s="86">
        <v>167</v>
      </c>
      <c r="AE156" s="86">
        <v>151</v>
      </c>
      <c r="AF156" s="86">
        <v>166</v>
      </c>
      <c r="AG156" s="86">
        <v>167</v>
      </c>
      <c r="AH156" s="86">
        <v>158</v>
      </c>
      <c r="AI156" s="86">
        <v>151</v>
      </c>
      <c r="AJ156" s="86">
        <v>154</v>
      </c>
      <c r="AK156" s="86">
        <v>151</v>
      </c>
      <c r="AL156" s="86">
        <v>152</v>
      </c>
      <c r="AM156" s="86">
        <v>135</v>
      </c>
      <c r="AN156" s="86">
        <v>144</v>
      </c>
      <c r="AO156" s="86">
        <v>140</v>
      </c>
      <c r="AP156" s="86">
        <v>140</v>
      </c>
      <c r="AQ156" s="86">
        <v>137</v>
      </c>
      <c r="AR156" s="86">
        <v>137</v>
      </c>
      <c r="AS156" s="86">
        <v>137</v>
      </c>
      <c r="AT156" s="86">
        <v>134</v>
      </c>
      <c r="AU156" s="86">
        <v>127</v>
      </c>
      <c r="AV156" s="86">
        <v>142</v>
      </c>
      <c r="AW156" s="86">
        <v>132</v>
      </c>
      <c r="AX156" s="86">
        <v>138</v>
      </c>
      <c r="AY156" s="86">
        <v>136</v>
      </c>
      <c r="AZ156" s="86">
        <v>129</v>
      </c>
      <c r="BA156" s="86">
        <v>150</v>
      </c>
      <c r="BB156" s="86">
        <v>134</v>
      </c>
      <c r="BC156" s="86">
        <v>126</v>
      </c>
      <c r="BD156" s="86">
        <v>130</v>
      </c>
      <c r="BE156" s="86">
        <v>148</v>
      </c>
      <c r="BF156" s="86">
        <v>127</v>
      </c>
      <c r="BG156" s="86">
        <v>127</v>
      </c>
      <c r="BH156" s="86">
        <v>116</v>
      </c>
      <c r="BI156" s="86">
        <v>121</v>
      </c>
      <c r="BJ156" s="86">
        <v>133</v>
      </c>
      <c r="BK156" s="86">
        <v>110</v>
      </c>
      <c r="BL156" s="86">
        <v>133</v>
      </c>
      <c r="BM156" s="86">
        <v>100</v>
      </c>
      <c r="BN156" s="86">
        <v>116</v>
      </c>
      <c r="BO156" s="86">
        <v>122</v>
      </c>
      <c r="BP156" s="86">
        <v>123</v>
      </c>
      <c r="BQ156" s="86">
        <v>145</v>
      </c>
      <c r="BR156" s="86">
        <v>108</v>
      </c>
      <c r="BS156" s="86">
        <v>109</v>
      </c>
      <c r="BT156" s="86">
        <v>139</v>
      </c>
      <c r="BU156" s="86">
        <v>110</v>
      </c>
      <c r="BV156" s="86">
        <v>118</v>
      </c>
      <c r="BW156" s="86">
        <v>117</v>
      </c>
      <c r="BX156" s="86">
        <v>110</v>
      </c>
      <c r="BY156" s="86">
        <v>126</v>
      </c>
      <c r="BZ156" s="86">
        <v>114</v>
      </c>
      <c r="CA156" s="86">
        <v>109</v>
      </c>
      <c r="CB156" s="86">
        <v>106</v>
      </c>
      <c r="CC156" s="86">
        <v>114</v>
      </c>
      <c r="CD156" s="86">
        <v>123</v>
      </c>
      <c r="CE156" s="86">
        <v>113</v>
      </c>
      <c r="CF156" s="86">
        <v>131</v>
      </c>
      <c r="CG156" s="86">
        <v>1127</v>
      </c>
      <c r="CH156" s="86">
        <v>1074</v>
      </c>
      <c r="CI156" s="86">
        <v>1099</v>
      </c>
      <c r="CJ156" s="86">
        <v>1110</v>
      </c>
      <c r="CK156" s="86">
        <v>1082</v>
      </c>
      <c r="CL156" s="86">
        <v>1097</v>
      </c>
      <c r="CM156" s="86">
        <v>1076</v>
      </c>
      <c r="CN156" s="86">
        <v>1095</v>
      </c>
      <c r="CO156" s="86">
        <v>1016</v>
      </c>
      <c r="CP156" s="86">
        <v>973</v>
      </c>
      <c r="CQ156" s="86">
        <v>1007</v>
      </c>
      <c r="CR156" s="86">
        <v>990</v>
      </c>
      <c r="CS156" s="86">
        <v>961</v>
      </c>
      <c r="CT156" s="86">
        <v>949</v>
      </c>
      <c r="CU156" s="382"/>
    </row>
    <row r="157" spans="1:99" s="86" customFormat="1" x14ac:dyDescent="0.2">
      <c r="A157" s="375">
        <v>301</v>
      </c>
      <c r="B157" s="375">
        <v>42</v>
      </c>
      <c r="C157" s="349" t="s">
        <v>155</v>
      </c>
      <c r="D157" s="375">
        <v>0</v>
      </c>
      <c r="E157" s="164">
        <f t="shared" si="4"/>
        <v>27.099999999999994</v>
      </c>
      <c r="F157" s="394">
        <f t="shared" si="5"/>
        <v>3.4006495472432579</v>
      </c>
      <c r="G157" s="86">
        <v>11</v>
      </c>
      <c r="H157" s="86">
        <v>7</v>
      </c>
      <c r="I157" s="86">
        <v>11</v>
      </c>
      <c r="J157" s="86">
        <v>12</v>
      </c>
      <c r="K157" s="86">
        <v>8</v>
      </c>
      <c r="L157" s="86">
        <v>11</v>
      </c>
      <c r="M157" s="86">
        <v>10</v>
      </c>
      <c r="N157" s="86">
        <v>10</v>
      </c>
      <c r="O157" s="86">
        <v>9</v>
      </c>
      <c r="P157" s="86">
        <v>11</v>
      </c>
      <c r="Q157" s="86">
        <v>10</v>
      </c>
      <c r="R157" s="86">
        <v>15</v>
      </c>
      <c r="S157" s="86">
        <v>14</v>
      </c>
      <c r="T157" s="86">
        <v>9</v>
      </c>
      <c r="U157" s="86">
        <v>15</v>
      </c>
      <c r="V157" s="86">
        <v>12</v>
      </c>
      <c r="W157" s="86">
        <v>14</v>
      </c>
      <c r="X157" s="86">
        <v>13</v>
      </c>
      <c r="Y157" s="86">
        <v>12</v>
      </c>
      <c r="Z157" s="86">
        <v>10</v>
      </c>
      <c r="AA157" s="86">
        <v>119</v>
      </c>
      <c r="AB157" s="86">
        <v>114</v>
      </c>
      <c r="AC157" s="86">
        <v>120</v>
      </c>
      <c r="AD157" s="86">
        <v>131</v>
      </c>
      <c r="AE157" s="86">
        <v>122</v>
      </c>
      <c r="AF157" s="86">
        <v>122</v>
      </c>
      <c r="AG157" s="86">
        <v>120</v>
      </c>
      <c r="AH157" s="86">
        <v>109</v>
      </c>
      <c r="AI157" s="86">
        <v>128</v>
      </c>
      <c r="AJ157" s="86">
        <v>130</v>
      </c>
      <c r="AK157" s="86">
        <v>116</v>
      </c>
      <c r="AL157" s="86">
        <v>111</v>
      </c>
      <c r="AM157" s="86">
        <v>116</v>
      </c>
      <c r="AN157" s="86">
        <v>118</v>
      </c>
      <c r="AO157" s="86">
        <v>104</v>
      </c>
      <c r="AP157" s="86">
        <v>120</v>
      </c>
      <c r="AQ157" s="86">
        <v>101</v>
      </c>
      <c r="AR157" s="86">
        <v>113</v>
      </c>
      <c r="AS157" s="86">
        <v>121</v>
      </c>
      <c r="AT157" s="86">
        <v>102</v>
      </c>
      <c r="AU157" s="86">
        <v>102</v>
      </c>
      <c r="AV157" s="86">
        <v>102</v>
      </c>
      <c r="AW157" s="86">
        <v>99</v>
      </c>
      <c r="AX157" s="86">
        <v>101</v>
      </c>
      <c r="AY157" s="86">
        <v>115</v>
      </c>
      <c r="AZ157" s="86">
        <v>115</v>
      </c>
      <c r="BA157" s="86">
        <v>106</v>
      </c>
      <c r="BB157" s="86">
        <v>110</v>
      </c>
      <c r="BC157" s="86">
        <v>100</v>
      </c>
      <c r="BD157" s="86">
        <v>95</v>
      </c>
      <c r="BE157" s="86">
        <v>87</v>
      </c>
      <c r="BF157" s="86">
        <v>107</v>
      </c>
      <c r="BG157" s="86">
        <v>105</v>
      </c>
      <c r="BH157" s="86">
        <v>98</v>
      </c>
      <c r="BI157" s="86">
        <v>105</v>
      </c>
      <c r="BJ157" s="86">
        <v>91</v>
      </c>
      <c r="BK157" s="86">
        <v>91</v>
      </c>
      <c r="BL157" s="86">
        <v>89</v>
      </c>
      <c r="BM157" s="86">
        <v>99</v>
      </c>
      <c r="BN157" s="86">
        <v>95</v>
      </c>
      <c r="BO157" s="86">
        <v>90</v>
      </c>
      <c r="BP157" s="86">
        <v>108</v>
      </c>
      <c r="BQ157" s="86">
        <v>86</v>
      </c>
      <c r="BR157" s="86">
        <v>95</v>
      </c>
      <c r="BS157" s="86">
        <v>85</v>
      </c>
      <c r="BT157" s="86">
        <v>102</v>
      </c>
      <c r="BU157" s="86">
        <v>105</v>
      </c>
      <c r="BV157" s="86">
        <v>87</v>
      </c>
      <c r="BW157" s="86">
        <v>90</v>
      </c>
      <c r="BX157" s="86">
        <v>93</v>
      </c>
      <c r="BY157" s="86">
        <v>88</v>
      </c>
      <c r="BZ157" s="86">
        <v>100</v>
      </c>
      <c r="CA157" s="86">
        <v>91</v>
      </c>
      <c r="CB157" s="86">
        <v>100</v>
      </c>
      <c r="CC157" s="86">
        <v>90</v>
      </c>
      <c r="CD157" s="86">
        <v>103</v>
      </c>
      <c r="CE157" s="86">
        <v>102</v>
      </c>
      <c r="CF157" s="86">
        <v>81</v>
      </c>
      <c r="CG157" s="86">
        <v>923</v>
      </c>
      <c r="CH157" s="86">
        <v>875</v>
      </c>
      <c r="CI157" s="86">
        <v>908</v>
      </c>
      <c r="CJ157" s="86">
        <v>874</v>
      </c>
      <c r="CK157" s="86">
        <v>888</v>
      </c>
      <c r="CL157" s="86">
        <v>860</v>
      </c>
      <c r="CM157" s="86">
        <v>856</v>
      </c>
      <c r="CN157" s="86">
        <v>887</v>
      </c>
      <c r="CO157" s="86">
        <v>869</v>
      </c>
      <c r="CP157" s="86">
        <v>883</v>
      </c>
      <c r="CQ157" s="86">
        <v>886</v>
      </c>
      <c r="CR157" s="86">
        <v>858</v>
      </c>
      <c r="CS157" s="86">
        <v>850</v>
      </c>
      <c r="CT157" s="86">
        <v>848</v>
      </c>
      <c r="CU157" s="382"/>
    </row>
    <row r="158" spans="1:99" s="86" customFormat="1" x14ac:dyDescent="0.2">
      <c r="A158" s="375">
        <v>305</v>
      </c>
      <c r="B158" s="375">
        <v>42</v>
      </c>
      <c r="C158" s="349" t="s">
        <v>156</v>
      </c>
      <c r="D158" s="375">
        <v>1516</v>
      </c>
      <c r="E158" s="164">
        <f t="shared" si="4"/>
        <v>52.349999999999994</v>
      </c>
      <c r="F158" s="394">
        <f t="shared" si="5"/>
        <v>3.7716645568911518</v>
      </c>
      <c r="G158" s="86">
        <v>13</v>
      </c>
      <c r="H158" s="86">
        <v>10</v>
      </c>
      <c r="I158" s="86">
        <v>14</v>
      </c>
      <c r="J158" s="86">
        <v>10</v>
      </c>
      <c r="K158" s="86">
        <v>12</v>
      </c>
      <c r="L158" s="86">
        <v>13</v>
      </c>
      <c r="M158" s="86">
        <v>17</v>
      </c>
      <c r="N158" s="86">
        <v>15</v>
      </c>
      <c r="O158" s="86">
        <v>14</v>
      </c>
      <c r="P158" s="86">
        <v>16</v>
      </c>
      <c r="Q158" s="86">
        <v>16</v>
      </c>
      <c r="R158" s="86">
        <v>11</v>
      </c>
      <c r="S158" s="86">
        <v>18</v>
      </c>
      <c r="T158" s="86">
        <v>15</v>
      </c>
      <c r="U158" s="86">
        <v>13</v>
      </c>
      <c r="V158" s="86">
        <v>20</v>
      </c>
      <c r="W158" s="86">
        <v>11</v>
      </c>
      <c r="X158" s="86">
        <v>12</v>
      </c>
      <c r="Y158" s="86">
        <v>9</v>
      </c>
      <c r="Z158" s="86">
        <v>19</v>
      </c>
      <c r="AA158" s="86">
        <v>153</v>
      </c>
      <c r="AB158" s="86">
        <v>135</v>
      </c>
      <c r="AC158" s="86">
        <v>142</v>
      </c>
      <c r="AD158" s="86">
        <v>152</v>
      </c>
      <c r="AE158" s="86">
        <v>140</v>
      </c>
      <c r="AF158" s="86">
        <v>129</v>
      </c>
      <c r="AG158" s="86">
        <v>127</v>
      </c>
      <c r="AH158" s="86">
        <v>147</v>
      </c>
      <c r="AI158" s="86">
        <v>141</v>
      </c>
      <c r="AJ158" s="86">
        <v>126</v>
      </c>
      <c r="AK158" s="86">
        <v>134</v>
      </c>
      <c r="AL158" s="86">
        <v>123</v>
      </c>
      <c r="AM158" s="86">
        <v>124</v>
      </c>
      <c r="AN158" s="86">
        <v>137</v>
      </c>
      <c r="AO158" s="86">
        <v>115</v>
      </c>
      <c r="AP158" s="86">
        <v>111</v>
      </c>
      <c r="AQ158" s="86">
        <v>117</v>
      </c>
      <c r="AR158" s="86">
        <v>112</v>
      </c>
      <c r="AS158" s="86">
        <v>127</v>
      </c>
      <c r="AT158" s="86">
        <v>134</v>
      </c>
      <c r="AU158" s="86">
        <v>132</v>
      </c>
      <c r="AV158" s="86">
        <v>122</v>
      </c>
      <c r="AW158" s="86">
        <v>124</v>
      </c>
      <c r="AX158" s="86">
        <v>112</v>
      </c>
      <c r="AY158" s="86">
        <v>112</v>
      </c>
      <c r="AZ158" s="86">
        <v>101</v>
      </c>
      <c r="BA158" s="86">
        <v>119</v>
      </c>
      <c r="BB158" s="86">
        <v>121</v>
      </c>
      <c r="BC158" s="86">
        <v>107</v>
      </c>
      <c r="BD158" s="86">
        <v>108</v>
      </c>
      <c r="BE158" s="86">
        <v>129</v>
      </c>
      <c r="BF158" s="86">
        <v>101</v>
      </c>
      <c r="BG158" s="86">
        <v>94</v>
      </c>
      <c r="BH158" s="86">
        <v>107</v>
      </c>
      <c r="BI158" s="86">
        <v>98</v>
      </c>
      <c r="BJ158" s="86">
        <v>98</v>
      </c>
      <c r="BK158" s="86">
        <v>113</v>
      </c>
      <c r="BL158" s="86">
        <v>122</v>
      </c>
      <c r="BM158" s="86">
        <v>97</v>
      </c>
      <c r="BN158" s="86">
        <v>116</v>
      </c>
      <c r="BO158" s="86">
        <v>104</v>
      </c>
      <c r="BP158" s="86">
        <v>115</v>
      </c>
      <c r="BQ158" s="86">
        <v>106</v>
      </c>
      <c r="BR158" s="86">
        <v>91</v>
      </c>
      <c r="BS158" s="86">
        <v>113</v>
      </c>
      <c r="BT158" s="86">
        <v>104</v>
      </c>
      <c r="BU158" s="86">
        <v>98</v>
      </c>
      <c r="BV158" s="86">
        <v>110</v>
      </c>
      <c r="BW158" s="86">
        <v>101</v>
      </c>
      <c r="BX158" s="86">
        <v>107</v>
      </c>
      <c r="BY158" s="86">
        <v>100</v>
      </c>
      <c r="BZ158" s="86">
        <v>108</v>
      </c>
      <c r="CA158" s="86">
        <v>102</v>
      </c>
      <c r="CB158" s="86">
        <v>89</v>
      </c>
      <c r="CC158" s="86">
        <v>111</v>
      </c>
      <c r="CD158" s="86">
        <v>97</v>
      </c>
      <c r="CE158" s="86">
        <v>99</v>
      </c>
      <c r="CF158" s="86">
        <v>91</v>
      </c>
      <c r="CG158" s="86">
        <v>1010</v>
      </c>
      <c r="CH158" s="86">
        <v>977</v>
      </c>
      <c r="CI158" s="86">
        <v>1018</v>
      </c>
      <c r="CJ158" s="86">
        <v>961</v>
      </c>
      <c r="CK158" s="86">
        <v>1030</v>
      </c>
      <c r="CL158" s="86">
        <v>968</v>
      </c>
      <c r="CM158" s="86">
        <v>950</v>
      </c>
      <c r="CN158" s="86">
        <v>926</v>
      </c>
      <c r="CO158" s="86">
        <v>862</v>
      </c>
      <c r="CP158" s="86">
        <v>896</v>
      </c>
      <c r="CQ158" s="86">
        <v>874</v>
      </c>
      <c r="CR158" s="86">
        <v>864</v>
      </c>
      <c r="CS158" s="86">
        <v>853</v>
      </c>
      <c r="CT158" s="86">
        <v>880</v>
      </c>
      <c r="CU158" s="382"/>
    </row>
    <row r="159" spans="1:99" s="86" customFormat="1" x14ac:dyDescent="0.2">
      <c r="A159" s="375">
        <v>310</v>
      </c>
      <c r="B159" s="375">
        <v>42</v>
      </c>
      <c r="C159" s="349" t="s">
        <v>155</v>
      </c>
      <c r="D159" s="375">
        <v>1010</v>
      </c>
      <c r="E159" s="164">
        <f t="shared" si="4"/>
        <v>59.45</v>
      </c>
      <c r="F159" s="394">
        <f t="shared" si="5"/>
        <v>3.8249182997810554</v>
      </c>
      <c r="G159" s="86">
        <v>12</v>
      </c>
      <c r="H159" s="86">
        <v>19</v>
      </c>
      <c r="I159" s="86">
        <v>17</v>
      </c>
      <c r="J159" s="86">
        <v>9</v>
      </c>
      <c r="K159" s="86">
        <v>8</v>
      </c>
      <c r="L159" s="86">
        <v>17</v>
      </c>
      <c r="M159" s="86">
        <v>9</v>
      </c>
      <c r="N159" s="86">
        <v>13</v>
      </c>
      <c r="O159" s="86">
        <v>13</v>
      </c>
      <c r="P159" s="86">
        <v>14</v>
      </c>
      <c r="Q159" s="86">
        <v>16</v>
      </c>
      <c r="R159" s="86">
        <v>18</v>
      </c>
      <c r="S159" s="86">
        <v>8</v>
      </c>
      <c r="T159" s="86">
        <v>21</v>
      </c>
      <c r="U159" s="86">
        <v>13</v>
      </c>
      <c r="V159" s="86">
        <v>15</v>
      </c>
      <c r="W159" s="86">
        <v>14</v>
      </c>
      <c r="X159" s="86">
        <v>20</v>
      </c>
      <c r="Y159" s="86">
        <v>18</v>
      </c>
      <c r="Z159" s="86">
        <v>9</v>
      </c>
      <c r="AA159" s="86">
        <v>135</v>
      </c>
      <c r="AB159" s="86">
        <v>141</v>
      </c>
      <c r="AC159" s="86">
        <v>125</v>
      </c>
      <c r="AD159" s="86">
        <v>141</v>
      </c>
      <c r="AE159" s="86">
        <v>135</v>
      </c>
      <c r="AF159" s="86">
        <v>112</v>
      </c>
      <c r="AG159" s="86">
        <v>149</v>
      </c>
      <c r="AH159" s="86">
        <v>120</v>
      </c>
      <c r="AI159" s="86">
        <v>127</v>
      </c>
      <c r="AJ159" s="86">
        <v>119</v>
      </c>
      <c r="AK159" s="86">
        <v>114</v>
      </c>
      <c r="AL159" s="86">
        <v>121</v>
      </c>
      <c r="AM159" s="86">
        <v>129</v>
      </c>
      <c r="AN159" s="86">
        <v>123</v>
      </c>
      <c r="AO159" s="86">
        <v>120</v>
      </c>
      <c r="AP159" s="86">
        <v>114</v>
      </c>
      <c r="AQ159" s="86">
        <v>124</v>
      </c>
      <c r="AR159" s="86">
        <v>113</v>
      </c>
      <c r="AS159" s="86">
        <v>114</v>
      </c>
      <c r="AT159" s="86">
        <v>107</v>
      </c>
      <c r="AU159" s="86">
        <v>119</v>
      </c>
      <c r="AV159" s="86">
        <v>113</v>
      </c>
      <c r="AW159" s="86">
        <v>113</v>
      </c>
      <c r="AX159" s="86">
        <v>101</v>
      </c>
      <c r="AY159" s="86">
        <v>115</v>
      </c>
      <c r="AZ159" s="86">
        <v>120</v>
      </c>
      <c r="BA159" s="86">
        <v>97</v>
      </c>
      <c r="BB159" s="86">
        <v>103</v>
      </c>
      <c r="BC159" s="86">
        <v>114</v>
      </c>
      <c r="BD159" s="86">
        <v>115</v>
      </c>
      <c r="BE159" s="86">
        <v>106</v>
      </c>
      <c r="BF159" s="86">
        <v>113</v>
      </c>
      <c r="BG159" s="86">
        <v>104</v>
      </c>
      <c r="BH159" s="86">
        <v>97</v>
      </c>
      <c r="BI159" s="86">
        <v>104</v>
      </c>
      <c r="BJ159" s="86">
        <v>90</v>
      </c>
      <c r="BK159" s="86">
        <v>99</v>
      </c>
      <c r="BL159" s="86">
        <v>101</v>
      </c>
      <c r="BM159" s="86">
        <v>103</v>
      </c>
      <c r="BN159" s="86">
        <v>103</v>
      </c>
      <c r="BO159" s="86">
        <v>97</v>
      </c>
      <c r="BP159" s="86">
        <v>95</v>
      </c>
      <c r="BQ159" s="86">
        <v>89</v>
      </c>
      <c r="BR159" s="86">
        <v>88</v>
      </c>
      <c r="BS159" s="86">
        <v>89</v>
      </c>
      <c r="BT159" s="86">
        <v>112</v>
      </c>
      <c r="BU159" s="86">
        <v>92</v>
      </c>
      <c r="BV159" s="86">
        <v>105</v>
      </c>
      <c r="BW159" s="86">
        <v>103</v>
      </c>
      <c r="BX159" s="86">
        <v>105</v>
      </c>
      <c r="BY159" s="86">
        <v>99</v>
      </c>
      <c r="BZ159" s="86">
        <v>99</v>
      </c>
      <c r="CA159" s="86">
        <v>89</v>
      </c>
      <c r="CB159" s="86">
        <v>108</v>
      </c>
      <c r="CC159" s="86">
        <v>95</v>
      </c>
      <c r="CD159" s="86">
        <v>102</v>
      </c>
      <c r="CE159" s="86">
        <v>102</v>
      </c>
      <c r="CF159" s="86">
        <v>102</v>
      </c>
      <c r="CG159" s="86">
        <v>919</v>
      </c>
      <c r="CH159" s="86">
        <v>943</v>
      </c>
      <c r="CI159" s="86">
        <v>933</v>
      </c>
      <c r="CJ159" s="86">
        <v>915</v>
      </c>
      <c r="CK159" s="86">
        <v>874</v>
      </c>
      <c r="CL159" s="86">
        <v>892</v>
      </c>
      <c r="CM159" s="86">
        <v>870</v>
      </c>
      <c r="CN159" s="86">
        <v>867</v>
      </c>
      <c r="CO159" s="86">
        <v>893</v>
      </c>
      <c r="CP159" s="86">
        <v>834</v>
      </c>
      <c r="CQ159" s="86">
        <v>870</v>
      </c>
      <c r="CR159" s="86">
        <v>810</v>
      </c>
      <c r="CS159" s="86">
        <v>813</v>
      </c>
      <c r="CT159" s="86">
        <v>828</v>
      </c>
      <c r="CU159" s="382"/>
    </row>
    <row r="160" spans="1:99" s="86" customFormat="1" x14ac:dyDescent="0.2">
      <c r="A160" s="379">
        <v>314</v>
      </c>
      <c r="B160" s="379">
        <v>42</v>
      </c>
      <c r="C160" s="351" t="s">
        <v>156</v>
      </c>
      <c r="D160" s="379">
        <v>1516</v>
      </c>
      <c r="E160" s="381">
        <f t="shared" si="4"/>
        <v>65.2</v>
      </c>
      <c r="F160" s="395">
        <f t="shared" si="5"/>
        <v>3.9140345596694024</v>
      </c>
      <c r="G160" s="87">
        <v>16</v>
      </c>
      <c r="H160" s="87">
        <v>10</v>
      </c>
      <c r="I160" s="87">
        <v>15</v>
      </c>
      <c r="J160" s="87">
        <v>20</v>
      </c>
      <c r="K160" s="87">
        <v>15</v>
      </c>
      <c r="L160" s="87">
        <v>12</v>
      </c>
      <c r="M160" s="87">
        <v>19</v>
      </c>
      <c r="N160" s="87">
        <v>18</v>
      </c>
      <c r="O160" s="87">
        <v>14</v>
      </c>
      <c r="P160" s="87">
        <v>16</v>
      </c>
      <c r="Q160" s="87">
        <v>17</v>
      </c>
      <c r="R160" s="87">
        <v>15</v>
      </c>
      <c r="S160" s="87">
        <v>15</v>
      </c>
      <c r="T160" s="87">
        <v>13</v>
      </c>
      <c r="U160" s="87">
        <v>9</v>
      </c>
      <c r="V160" s="87">
        <v>16</v>
      </c>
      <c r="W160" s="87">
        <v>14</v>
      </c>
      <c r="X160" s="87">
        <v>16</v>
      </c>
      <c r="Y160" s="87">
        <v>17</v>
      </c>
      <c r="Z160" s="87">
        <v>11</v>
      </c>
      <c r="AA160" s="87">
        <v>136</v>
      </c>
      <c r="AB160" s="87">
        <v>144</v>
      </c>
      <c r="AC160" s="87">
        <v>134</v>
      </c>
      <c r="AD160" s="87">
        <v>156</v>
      </c>
      <c r="AE160" s="87">
        <v>132</v>
      </c>
      <c r="AF160" s="87">
        <v>147</v>
      </c>
      <c r="AG160" s="87">
        <v>127</v>
      </c>
      <c r="AH160" s="87">
        <v>125</v>
      </c>
      <c r="AI160" s="87">
        <v>135</v>
      </c>
      <c r="AJ160" s="87">
        <v>126</v>
      </c>
      <c r="AK160" s="87">
        <v>130</v>
      </c>
      <c r="AL160" s="87">
        <v>122</v>
      </c>
      <c r="AM160" s="87">
        <v>130</v>
      </c>
      <c r="AN160" s="87">
        <v>116</v>
      </c>
      <c r="AO160" s="87">
        <v>142</v>
      </c>
      <c r="AP160" s="87">
        <v>132</v>
      </c>
      <c r="AQ160" s="87">
        <v>111</v>
      </c>
      <c r="AR160" s="87">
        <v>116</v>
      </c>
      <c r="AS160" s="87">
        <v>111</v>
      </c>
      <c r="AT160" s="87">
        <v>113</v>
      </c>
      <c r="AU160" s="87">
        <v>116</v>
      </c>
      <c r="AV160" s="87">
        <v>130</v>
      </c>
      <c r="AW160" s="87">
        <v>109</v>
      </c>
      <c r="AX160" s="87">
        <v>120</v>
      </c>
      <c r="AY160" s="87">
        <v>112</v>
      </c>
      <c r="AZ160" s="87">
        <v>120</v>
      </c>
      <c r="BA160" s="87">
        <v>116</v>
      </c>
      <c r="BB160" s="87">
        <v>103</v>
      </c>
      <c r="BC160" s="87">
        <v>126</v>
      </c>
      <c r="BD160" s="87">
        <v>114</v>
      </c>
      <c r="BE160" s="87">
        <v>111</v>
      </c>
      <c r="BF160" s="87">
        <v>97</v>
      </c>
      <c r="BG160" s="87">
        <v>104</v>
      </c>
      <c r="BH160" s="87">
        <v>100</v>
      </c>
      <c r="BI160" s="87">
        <v>97</v>
      </c>
      <c r="BJ160" s="87">
        <v>106</v>
      </c>
      <c r="BK160" s="87">
        <v>103</v>
      </c>
      <c r="BL160" s="87">
        <v>91</v>
      </c>
      <c r="BM160" s="87">
        <v>110</v>
      </c>
      <c r="BN160" s="87">
        <v>98</v>
      </c>
      <c r="BO160" s="87">
        <v>107</v>
      </c>
      <c r="BP160" s="87">
        <v>98</v>
      </c>
      <c r="BQ160" s="87">
        <v>96</v>
      </c>
      <c r="BR160" s="87">
        <v>100</v>
      </c>
      <c r="BS160" s="87">
        <v>102</v>
      </c>
      <c r="BT160" s="87">
        <v>104</v>
      </c>
      <c r="BU160" s="87">
        <v>90</v>
      </c>
      <c r="BV160" s="87">
        <v>98</v>
      </c>
      <c r="BW160" s="87">
        <v>92</v>
      </c>
      <c r="BX160" s="87">
        <v>86</v>
      </c>
      <c r="BY160" s="87">
        <v>105</v>
      </c>
      <c r="BZ160" s="87">
        <v>96</v>
      </c>
      <c r="CA160" s="87">
        <v>81</v>
      </c>
      <c r="CB160" s="87">
        <v>88</v>
      </c>
      <c r="CC160" s="87">
        <v>96</v>
      </c>
      <c r="CD160" s="87">
        <v>92</v>
      </c>
      <c r="CE160" s="87">
        <v>96</v>
      </c>
      <c r="CF160" s="87">
        <v>108</v>
      </c>
      <c r="CG160" s="87">
        <v>936</v>
      </c>
      <c r="CH160" s="87">
        <v>952</v>
      </c>
      <c r="CI160" s="87">
        <v>916</v>
      </c>
      <c r="CJ160" s="87">
        <v>872</v>
      </c>
      <c r="CK160" s="87">
        <v>917</v>
      </c>
      <c r="CL160" s="87">
        <v>880</v>
      </c>
      <c r="CM160" s="87">
        <v>865</v>
      </c>
      <c r="CN160" s="87">
        <v>865</v>
      </c>
      <c r="CO160" s="87">
        <v>816</v>
      </c>
      <c r="CP160" s="87">
        <v>843</v>
      </c>
      <c r="CQ160" s="87">
        <v>813</v>
      </c>
      <c r="CR160" s="87">
        <v>865</v>
      </c>
      <c r="CS160" s="87">
        <v>824</v>
      </c>
      <c r="CT160" s="87">
        <v>852</v>
      </c>
      <c r="CU160" s="382"/>
    </row>
    <row r="161" spans="1:99" s="86" customFormat="1" x14ac:dyDescent="0.2">
      <c r="A161" s="375">
        <v>107</v>
      </c>
      <c r="B161" s="375">
        <v>43</v>
      </c>
      <c r="C161" s="349" t="s">
        <v>155</v>
      </c>
      <c r="D161" s="376">
        <v>0</v>
      </c>
      <c r="E161" s="164">
        <f t="shared" si="4"/>
        <v>388.55</v>
      </c>
      <c r="F161" s="394">
        <f t="shared" si="5"/>
        <v>9.3923638683547672</v>
      </c>
      <c r="G161" s="86">
        <v>83</v>
      </c>
      <c r="H161" s="83">
        <v>88</v>
      </c>
      <c r="I161" s="83">
        <v>74</v>
      </c>
      <c r="J161" s="83">
        <v>91</v>
      </c>
      <c r="K161" s="83">
        <v>73</v>
      </c>
      <c r="L161" s="83">
        <v>78</v>
      </c>
      <c r="M161" s="83">
        <v>67</v>
      </c>
      <c r="N161" s="83">
        <v>81</v>
      </c>
      <c r="O161" s="83">
        <v>87</v>
      </c>
      <c r="P161" s="83">
        <v>99</v>
      </c>
      <c r="Q161" s="83">
        <v>90</v>
      </c>
      <c r="R161" s="83">
        <v>84</v>
      </c>
      <c r="S161" s="83">
        <v>101</v>
      </c>
      <c r="T161" s="83">
        <v>90</v>
      </c>
      <c r="U161" s="83">
        <v>96</v>
      </c>
      <c r="V161" s="83">
        <v>91</v>
      </c>
      <c r="W161" s="83">
        <v>83</v>
      </c>
      <c r="X161" s="83">
        <v>93</v>
      </c>
      <c r="Y161" s="83">
        <v>86</v>
      </c>
      <c r="Z161" s="83">
        <v>106</v>
      </c>
      <c r="AA161" s="83">
        <v>881</v>
      </c>
      <c r="AB161" s="83">
        <v>836</v>
      </c>
      <c r="AC161" s="83">
        <v>916</v>
      </c>
      <c r="AD161" s="83">
        <v>875</v>
      </c>
      <c r="AE161" s="83">
        <v>846</v>
      </c>
      <c r="AF161" s="83">
        <v>884</v>
      </c>
      <c r="AG161" s="83">
        <v>851</v>
      </c>
      <c r="AH161" s="83">
        <v>861</v>
      </c>
      <c r="AI161" s="83">
        <v>791</v>
      </c>
      <c r="AJ161" s="83">
        <v>853</v>
      </c>
      <c r="AK161" s="83">
        <v>763</v>
      </c>
      <c r="AL161" s="83">
        <v>817</v>
      </c>
      <c r="AM161" s="83">
        <v>769</v>
      </c>
      <c r="AN161" s="83">
        <v>743</v>
      </c>
      <c r="AO161" s="83">
        <v>725</v>
      </c>
      <c r="AP161" s="83">
        <v>726</v>
      </c>
      <c r="AQ161" s="83">
        <v>726</v>
      </c>
      <c r="AR161" s="83">
        <v>745</v>
      </c>
      <c r="AS161" s="83">
        <v>725</v>
      </c>
      <c r="AT161" s="83">
        <v>671</v>
      </c>
      <c r="AU161" s="83">
        <v>751</v>
      </c>
      <c r="AV161" s="83">
        <v>676</v>
      </c>
      <c r="AW161" s="83">
        <v>712</v>
      </c>
      <c r="AX161" s="83">
        <v>684</v>
      </c>
      <c r="AY161" s="83">
        <v>697</v>
      </c>
      <c r="AZ161" s="83">
        <v>669</v>
      </c>
      <c r="BA161" s="83">
        <v>697</v>
      </c>
      <c r="BB161" s="83">
        <v>634</v>
      </c>
      <c r="BC161" s="83">
        <v>684</v>
      </c>
      <c r="BD161" s="83">
        <v>664</v>
      </c>
      <c r="BE161" s="83">
        <v>674</v>
      </c>
      <c r="BF161" s="83">
        <v>659</v>
      </c>
      <c r="BG161" s="83">
        <v>639</v>
      </c>
      <c r="BH161" s="83">
        <v>666</v>
      </c>
      <c r="BI161" s="83">
        <v>624</v>
      </c>
      <c r="BJ161" s="83">
        <v>676</v>
      </c>
      <c r="BK161" s="83">
        <v>635</v>
      </c>
      <c r="BL161" s="83">
        <v>660</v>
      </c>
      <c r="BM161" s="83">
        <v>636</v>
      </c>
      <c r="BN161" s="83">
        <v>680</v>
      </c>
      <c r="BO161" s="83">
        <v>620</v>
      </c>
      <c r="BP161" s="83">
        <v>612</v>
      </c>
      <c r="BQ161" s="83">
        <v>635</v>
      </c>
      <c r="BR161" s="83">
        <v>618</v>
      </c>
      <c r="BS161" s="83">
        <v>619</v>
      </c>
      <c r="BT161" s="83">
        <v>642</v>
      </c>
      <c r="BU161" s="83">
        <v>600</v>
      </c>
      <c r="BV161" s="83">
        <v>598</v>
      </c>
      <c r="BW161" s="83">
        <v>618</v>
      </c>
      <c r="BX161" s="83">
        <v>604</v>
      </c>
      <c r="BY161" s="83">
        <v>602</v>
      </c>
      <c r="BZ161" s="83">
        <v>602</v>
      </c>
      <c r="CA161" s="83">
        <v>633</v>
      </c>
      <c r="CB161" s="83">
        <v>595</v>
      </c>
      <c r="CC161" s="83">
        <v>612</v>
      </c>
      <c r="CD161" s="83">
        <v>578</v>
      </c>
      <c r="CE161" s="83">
        <v>639</v>
      </c>
      <c r="CF161" s="83">
        <v>585</v>
      </c>
      <c r="CG161" s="83">
        <v>5791</v>
      </c>
      <c r="CH161" s="83">
        <v>5713</v>
      </c>
      <c r="CI161" s="83">
        <v>5453</v>
      </c>
      <c r="CJ161" s="83">
        <v>5490</v>
      </c>
      <c r="CK161" s="83">
        <v>5290</v>
      </c>
      <c r="CL161" s="83">
        <v>5206</v>
      </c>
      <c r="CM161" s="83">
        <v>5113</v>
      </c>
      <c r="CN161" s="83">
        <v>4987</v>
      </c>
      <c r="CO161" s="83">
        <v>5019</v>
      </c>
      <c r="CP161" s="83">
        <v>4929</v>
      </c>
      <c r="CQ161" s="83">
        <v>4787</v>
      </c>
      <c r="CR161" s="83">
        <v>4813</v>
      </c>
      <c r="CS161" s="83">
        <v>4847</v>
      </c>
      <c r="CT161" s="83">
        <v>4792</v>
      </c>
      <c r="CU161" s="382"/>
    </row>
    <row r="162" spans="1:99" s="86" customFormat="1" x14ac:dyDescent="0.2">
      <c r="A162" s="375">
        <v>111</v>
      </c>
      <c r="B162" s="375">
        <v>43</v>
      </c>
      <c r="C162" s="349" t="s">
        <v>156</v>
      </c>
      <c r="D162" s="376">
        <v>1515</v>
      </c>
      <c r="E162" s="164">
        <f t="shared" si="4"/>
        <v>201.45</v>
      </c>
      <c r="F162" s="394">
        <f t="shared" si="5"/>
        <v>7.646111368857186</v>
      </c>
      <c r="G162" s="86">
        <v>50</v>
      </c>
      <c r="H162" s="83">
        <v>49</v>
      </c>
      <c r="I162" s="83">
        <v>54</v>
      </c>
      <c r="J162" s="83">
        <v>53</v>
      </c>
      <c r="K162" s="83">
        <v>53</v>
      </c>
      <c r="L162" s="83">
        <v>58</v>
      </c>
      <c r="M162" s="83">
        <v>55</v>
      </c>
      <c r="N162" s="83">
        <v>54</v>
      </c>
      <c r="O162" s="83">
        <v>64</v>
      </c>
      <c r="P162" s="83">
        <v>60</v>
      </c>
      <c r="Q162" s="83">
        <v>59</v>
      </c>
      <c r="R162" s="83">
        <v>60</v>
      </c>
      <c r="S162" s="83">
        <v>60</v>
      </c>
      <c r="T162" s="83">
        <v>57</v>
      </c>
      <c r="U162" s="83">
        <v>63</v>
      </c>
      <c r="V162" s="83">
        <v>62</v>
      </c>
      <c r="W162" s="83">
        <v>59</v>
      </c>
      <c r="X162" s="83">
        <v>61</v>
      </c>
      <c r="Y162" s="83">
        <v>65</v>
      </c>
      <c r="Z162" s="83">
        <v>57</v>
      </c>
      <c r="AA162" s="83">
        <v>616</v>
      </c>
      <c r="AB162" s="83">
        <v>626</v>
      </c>
      <c r="AC162" s="83">
        <v>604</v>
      </c>
      <c r="AD162" s="83">
        <v>608</v>
      </c>
      <c r="AE162" s="83">
        <v>592</v>
      </c>
      <c r="AF162" s="83">
        <v>592</v>
      </c>
      <c r="AG162" s="83">
        <v>577</v>
      </c>
      <c r="AH162" s="83">
        <v>551</v>
      </c>
      <c r="AI162" s="83">
        <v>569</v>
      </c>
      <c r="AJ162" s="83">
        <v>575</v>
      </c>
      <c r="AK162" s="83">
        <v>544</v>
      </c>
      <c r="AL162" s="83">
        <v>539</v>
      </c>
      <c r="AM162" s="83">
        <v>553</v>
      </c>
      <c r="AN162" s="83">
        <v>559</v>
      </c>
      <c r="AO162" s="83">
        <v>488</v>
      </c>
      <c r="AP162" s="83">
        <v>505</v>
      </c>
      <c r="AQ162" s="83">
        <v>532</v>
      </c>
      <c r="AR162" s="83">
        <v>519</v>
      </c>
      <c r="AS162" s="83">
        <v>503</v>
      </c>
      <c r="AT162" s="83">
        <v>488</v>
      </c>
      <c r="AU162" s="83">
        <v>523</v>
      </c>
      <c r="AV162" s="83">
        <v>529</v>
      </c>
      <c r="AW162" s="83">
        <v>498</v>
      </c>
      <c r="AX162" s="83">
        <v>487</v>
      </c>
      <c r="AY162" s="83">
        <v>462</v>
      </c>
      <c r="AZ162" s="83">
        <v>509</v>
      </c>
      <c r="BA162" s="83">
        <v>486</v>
      </c>
      <c r="BB162" s="83">
        <v>479</v>
      </c>
      <c r="BC162" s="83">
        <v>476</v>
      </c>
      <c r="BD162" s="83">
        <v>498</v>
      </c>
      <c r="BE162" s="83">
        <v>487</v>
      </c>
      <c r="BF162" s="83">
        <v>486</v>
      </c>
      <c r="BG162" s="83">
        <v>448</v>
      </c>
      <c r="BH162" s="83">
        <v>474</v>
      </c>
      <c r="BI162" s="83">
        <v>461</v>
      </c>
      <c r="BJ162" s="83">
        <v>458</v>
      </c>
      <c r="BK162" s="83">
        <v>447</v>
      </c>
      <c r="BL162" s="83">
        <v>478</v>
      </c>
      <c r="BM162" s="83">
        <v>414</v>
      </c>
      <c r="BN162" s="83">
        <v>445</v>
      </c>
      <c r="BO162" s="83">
        <v>458</v>
      </c>
      <c r="BP162" s="83">
        <v>459</v>
      </c>
      <c r="BQ162" s="83">
        <v>448</v>
      </c>
      <c r="BR162" s="83">
        <v>421</v>
      </c>
      <c r="BS162" s="83">
        <v>462</v>
      </c>
      <c r="BT162" s="83">
        <v>447</v>
      </c>
      <c r="BU162" s="83">
        <v>449</v>
      </c>
      <c r="BV162" s="83">
        <v>450</v>
      </c>
      <c r="BW162" s="83">
        <v>430</v>
      </c>
      <c r="BX162" s="83">
        <v>451</v>
      </c>
      <c r="BY162" s="83">
        <v>418</v>
      </c>
      <c r="BZ162" s="83">
        <v>425</v>
      </c>
      <c r="CA162" s="83">
        <v>443</v>
      </c>
      <c r="CB162" s="83">
        <v>427</v>
      </c>
      <c r="CC162" s="83">
        <v>425</v>
      </c>
      <c r="CD162" s="83">
        <v>412</v>
      </c>
      <c r="CE162" s="83">
        <v>420</v>
      </c>
      <c r="CF162" s="83">
        <v>435</v>
      </c>
      <c r="CG162" s="83">
        <v>4240</v>
      </c>
      <c r="CH162" s="83">
        <v>4197</v>
      </c>
      <c r="CI162" s="83">
        <v>4116</v>
      </c>
      <c r="CJ162" s="83">
        <v>4074</v>
      </c>
      <c r="CK162" s="83">
        <v>4025</v>
      </c>
      <c r="CL162" s="83">
        <v>3934</v>
      </c>
      <c r="CM162" s="83">
        <v>3869</v>
      </c>
      <c r="CN162" s="83">
        <v>3978</v>
      </c>
      <c r="CO162" s="83">
        <v>3828</v>
      </c>
      <c r="CP162" s="83">
        <v>3817</v>
      </c>
      <c r="CQ162" s="83">
        <v>3834</v>
      </c>
      <c r="CR162" s="83">
        <v>3778</v>
      </c>
      <c r="CS162" s="83">
        <v>3731</v>
      </c>
      <c r="CT162" s="83">
        <v>3770</v>
      </c>
      <c r="CU162" s="382"/>
    </row>
    <row r="163" spans="1:99" s="86" customFormat="1" x14ac:dyDescent="0.2">
      <c r="A163" s="375">
        <v>319</v>
      </c>
      <c r="B163" s="375">
        <v>43</v>
      </c>
      <c r="C163" s="349" t="s">
        <v>155</v>
      </c>
      <c r="D163" s="376">
        <v>1010</v>
      </c>
      <c r="E163" s="164">
        <f t="shared" si="4"/>
        <v>238.5</v>
      </c>
      <c r="F163" s="394">
        <f t="shared" si="5"/>
        <v>7.525674775395804</v>
      </c>
      <c r="G163" s="86">
        <v>53</v>
      </c>
      <c r="H163" s="83">
        <v>64</v>
      </c>
      <c r="I163" s="83">
        <v>60</v>
      </c>
      <c r="J163" s="83">
        <v>63</v>
      </c>
      <c r="K163" s="83">
        <v>50</v>
      </c>
      <c r="L163" s="83">
        <v>54</v>
      </c>
      <c r="M163" s="83">
        <v>56</v>
      </c>
      <c r="N163" s="83">
        <v>54</v>
      </c>
      <c r="O163" s="83">
        <v>55</v>
      </c>
      <c r="P163" s="83">
        <v>52</v>
      </c>
      <c r="Q163" s="83">
        <v>62</v>
      </c>
      <c r="R163" s="83">
        <v>48</v>
      </c>
      <c r="S163" s="83">
        <v>60</v>
      </c>
      <c r="T163" s="83">
        <v>53</v>
      </c>
      <c r="U163" s="83">
        <v>54</v>
      </c>
      <c r="V163" s="83">
        <v>62</v>
      </c>
      <c r="W163" s="83">
        <v>69</v>
      </c>
      <c r="X163" s="83">
        <v>46</v>
      </c>
      <c r="Y163" s="83">
        <v>45</v>
      </c>
      <c r="Z163" s="83">
        <v>51</v>
      </c>
      <c r="AA163" s="83">
        <v>603</v>
      </c>
      <c r="AB163" s="83">
        <v>572</v>
      </c>
      <c r="AC163" s="83">
        <v>566</v>
      </c>
      <c r="AD163" s="83">
        <v>592</v>
      </c>
      <c r="AE163" s="83">
        <v>571</v>
      </c>
      <c r="AF163" s="83">
        <v>595</v>
      </c>
      <c r="AG163" s="83">
        <v>556</v>
      </c>
      <c r="AH163" s="83">
        <v>555</v>
      </c>
      <c r="AI163" s="83">
        <v>526</v>
      </c>
      <c r="AJ163" s="83">
        <v>548</v>
      </c>
      <c r="AK163" s="83">
        <v>529</v>
      </c>
      <c r="AL163" s="83">
        <v>537</v>
      </c>
      <c r="AM163" s="83">
        <v>533</v>
      </c>
      <c r="AN163" s="83">
        <v>518</v>
      </c>
      <c r="AO163" s="83">
        <v>516</v>
      </c>
      <c r="AP163" s="83">
        <v>476</v>
      </c>
      <c r="AQ163" s="83">
        <v>516</v>
      </c>
      <c r="AR163" s="83">
        <v>479</v>
      </c>
      <c r="AS163" s="83">
        <v>494</v>
      </c>
      <c r="AT163" s="83">
        <v>482</v>
      </c>
      <c r="AU163" s="83">
        <v>486</v>
      </c>
      <c r="AV163" s="83">
        <v>481</v>
      </c>
      <c r="AW163" s="83">
        <v>454</v>
      </c>
      <c r="AX163" s="83">
        <v>475</v>
      </c>
      <c r="AY163" s="83">
        <v>475</v>
      </c>
      <c r="AZ163" s="83">
        <v>442</v>
      </c>
      <c r="BA163" s="83">
        <v>465</v>
      </c>
      <c r="BB163" s="83">
        <v>449</v>
      </c>
      <c r="BC163" s="83">
        <v>446</v>
      </c>
      <c r="BD163" s="83">
        <v>425</v>
      </c>
      <c r="BE163" s="83">
        <v>448</v>
      </c>
      <c r="BF163" s="83">
        <v>420</v>
      </c>
      <c r="BG163" s="83">
        <v>446</v>
      </c>
      <c r="BH163" s="83">
        <v>423</v>
      </c>
      <c r="BI163" s="83">
        <v>431</v>
      </c>
      <c r="BJ163" s="83">
        <v>396</v>
      </c>
      <c r="BK163" s="83">
        <v>406</v>
      </c>
      <c r="BL163" s="83">
        <v>435</v>
      </c>
      <c r="BM163" s="83">
        <v>429</v>
      </c>
      <c r="BN163" s="83">
        <v>416</v>
      </c>
      <c r="BO163" s="83">
        <v>408</v>
      </c>
      <c r="BP163" s="83">
        <v>415</v>
      </c>
      <c r="BQ163" s="83">
        <v>421</v>
      </c>
      <c r="BR163" s="83">
        <v>412</v>
      </c>
      <c r="BS163" s="83">
        <v>417</v>
      </c>
      <c r="BT163" s="83">
        <v>420</v>
      </c>
      <c r="BU163" s="83">
        <v>398</v>
      </c>
      <c r="BV163" s="83">
        <v>405</v>
      </c>
      <c r="BW163" s="83">
        <v>387</v>
      </c>
      <c r="BX163" s="83">
        <v>396</v>
      </c>
      <c r="BY163" s="83">
        <v>398</v>
      </c>
      <c r="BZ163" s="83">
        <v>410</v>
      </c>
      <c r="CA163" s="83">
        <v>389</v>
      </c>
      <c r="CB163" s="83">
        <v>375</v>
      </c>
      <c r="CC163" s="83">
        <v>407</v>
      </c>
      <c r="CD163" s="83">
        <v>399</v>
      </c>
      <c r="CE163" s="83">
        <v>396</v>
      </c>
      <c r="CF163" s="83">
        <v>408</v>
      </c>
      <c r="CG163" s="83">
        <v>3848</v>
      </c>
      <c r="CH163" s="83">
        <v>3659</v>
      </c>
      <c r="CI163" s="83">
        <v>3643</v>
      </c>
      <c r="CJ163" s="83">
        <v>3595</v>
      </c>
      <c r="CK163" s="83">
        <v>3412</v>
      </c>
      <c r="CL163" s="83">
        <v>3434</v>
      </c>
      <c r="CM163" s="83">
        <v>3378</v>
      </c>
      <c r="CN163" s="83">
        <v>3358</v>
      </c>
      <c r="CO163" s="83">
        <v>3304</v>
      </c>
      <c r="CP163" s="83">
        <v>3256</v>
      </c>
      <c r="CQ163" s="83">
        <v>3288</v>
      </c>
      <c r="CR163" s="83">
        <v>3188</v>
      </c>
      <c r="CS163" s="83">
        <v>3171</v>
      </c>
      <c r="CT163" s="83">
        <v>3169</v>
      </c>
      <c r="CU163" s="382"/>
    </row>
    <row r="164" spans="1:99" s="86" customFormat="1" x14ac:dyDescent="0.2">
      <c r="A164" s="375">
        <v>323</v>
      </c>
      <c r="B164" s="375">
        <v>43</v>
      </c>
      <c r="C164" s="349" t="s">
        <v>156</v>
      </c>
      <c r="D164" s="376">
        <v>1516</v>
      </c>
      <c r="E164" s="164">
        <f t="shared" si="4"/>
        <v>148</v>
      </c>
      <c r="F164" s="394">
        <f t="shared" si="5"/>
        <v>6.5800321657925886</v>
      </c>
      <c r="G164" s="86">
        <v>45</v>
      </c>
      <c r="H164" s="83">
        <v>50</v>
      </c>
      <c r="I164" s="83">
        <v>42</v>
      </c>
      <c r="J164" s="83">
        <v>44</v>
      </c>
      <c r="K164" s="83">
        <v>41</v>
      </c>
      <c r="L164" s="83">
        <v>47</v>
      </c>
      <c r="M164" s="83">
        <v>36</v>
      </c>
      <c r="N164" s="83">
        <v>34</v>
      </c>
      <c r="O164" s="83">
        <v>45</v>
      </c>
      <c r="P164" s="83">
        <v>46</v>
      </c>
      <c r="Q164" s="83">
        <v>45</v>
      </c>
      <c r="R164" s="83">
        <v>40</v>
      </c>
      <c r="S164" s="83">
        <v>43</v>
      </c>
      <c r="T164" s="83">
        <v>52</v>
      </c>
      <c r="U164" s="83">
        <v>37</v>
      </c>
      <c r="V164" s="83">
        <v>35</v>
      </c>
      <c r="W164" s="83">
        <v>34</v>
      </c>
      <c r="X164" s="83">
        <v>41</v>
      </c>
      <c r="Y164" s="83">
        <v>43</v>
      </c>
      <c r="Z164" s="83">
        <v>36</v>
      </c>
      <c r="AA164" s="83">
        <v>459</v>
      </c>
      <c r="AB164" s="83">
        <v>435</v>
      </c>
      <c r="AC164" s="83">
        <v>427</v>
      </c>
      <c r="AD164" s="83">
        <v>443</v>
      </c>
      <c r="AE164" s="83">
        <v>440</v>
      </c>
      <c r="AF164" s="83">
        <v>449</v>
      </c>
      <c r="AG164" s="83">
        <v>424</v>
      </c>
      <c r="AH164" s="83">
        <v>422</v>
      </c>
      <c r="AI164" s="83">
        <v>421</v>
      </c>
      <c r="AJ164" s="83">
        <v>430</v>
      </c>
      <c r="AK164" s="83">
        <v>385</v>
      </c>
      <c r="AL164" s="83">
        <v>410</v>
      </c>
      <c r="AM164" s="83">
        <v>404</v>
      </c>
      <c r="AN164" s="83">
        <v>406</v>
      </c>
      <c r="AO164" s="83">
        <v>365</v>
      </c>
      <c r="AP164" s="83">
        <v>390</v>
      </c>
      <c r="AQ164" s="83">
        <v>392</v>
      </c>
      <c r="AR164" s="83">
        <v>366</v>
      </c>
      <c r="AS164" s="83">
        <v>407</v>
      </c>
      <c r="AT164" s="83">
        <v>368</v>
      </c>
      <c r="AU164" s="83">
        <v>372</v>
      </c>
      <c r="AV164" s="83">
        <v>346</v>
      </c>
      <c r="AW164" s="83">
        <v>365</v>
      </c>
      <c r="AX164" s="83">
        <v>361</v>
      </c>
      <c r="AY164" s="83">
        <v>363</v>
      </c>
      <c r="AZ164" s="83">
        <v>383</v>
      </c>
      <c r="BA164" s="83">
        <v>380</v>
      </c>
      <c r="BB164" s="83">
        <v>352</v>
      </c>
      <c r="BC164" s="83">
        <v>331</v>
      </c>
      <c r="BD164" s="83">
        <v>377</v>
      </c>
      <c r="BE164" s="83">
        <v>372</v>
      </c>
      <c r="BF164" s="83">
        <v>344</v>
      </c>
      <c r="BG164" s="83">
        <v>366</v>
      </c>
      <c r="BH164" s="83">
        <v>372</v>
      </c>
      <c r="BI164" s="83">
        <v>359</v>
      </c>
      <c r="BJ164" s="83">
        <v>355</v>
      </c>
      <c r="BK164" s="83">
        <v>338</v>
      </c>
      <c r="BL164" s="83">
        <v>324</v>
      </c>
      <c r="BM164" s="83">
        <v>319</v>
      </c>
      <c r="BN164" s="83">
        <v>340</v>
      </c>
      <c r="BO164" s="83">
        <v>322</v>
      </c>
      <c r="BP164" s="83">
        <v>337</v>
      </c>
      <c r="BQ164" s="83">
        <v>331</v>
      </c>
      <c r="BR164" s="83">
        <v>332</v>
      </c>
      <c r="BS164" s="83">
        <v>324</v>
      </c>
      <c r="BT164" s="83">
        <v>317</v>
      </c>
      <c r="BU164" s="83">
        <v>326</v>
      </c>
      <c r="BV164" s="83">
        <v>347</v>
      </c>
      <c r="BW164" s="83">
        <v>339</v>
      </c>
      <c r="BX164" s="83">
        <v>348</v>
      </c>
      <c r="BY164" s="83">
        <v>333</v>
      </c>
      <c r="BZ164" s="83">
        <v>333</v>
      </c>
      <c r="CA164" s="83">
        <v>310</v>
      </c>
      <c r="CB164" s="83">
        <v>317</v>
      </c>
      <c r="CC164" s="83">
        <v>328</v>
      </c>
      <c r="CD164" s="83">
        <v>328</v>
      </c>
      <c r="CE164" s="83">
        <v>313</v>
      </c>
      <c r="CF164" s="83">
        <v>310</v>
      </c>
      <c r="CG164" s="83">
        <v>3101</v>
      </c>
      <c r="CH164" s="83">
        <v>3096</v>
      </c>
      <c r="CI164" s="83">
        <v>3021</v>
      </c>
      <c r="CJ164" s="83">
        <v>2964</v>
      </c>
      <c r="CK164" s="83">
        <v>2976</v>
      </c>
      <c r="CL164" s="83">
        <v>2939</v>
      </c>
      <c r="CM164" s="83">
        <v>2861</v>
      </c>
      <c r="CN164" s="83">
        <v>2915</v>
      </c>
      <c r="CO164" s="83">
        <v>2811</v>
      </c>
      <c r="CP164" s="83">
        <v>2860</v>
      </c>
      <c r="CQ164" s="83">
        <v>2830</v>
      </c>
      <c r="CR164" s="83">
        <v>2739</v>
      </c>
      <c r="CS164" s="83">
        <v>2704</v>
      </c>
      <c r="CT164" s="83">
        <v>2696</v>
      </c>
      <c r="CU164" s="382"/>
    </row>
    <row r="165" spans="1:99" s="86" customFormat="1" x14ac:dyDescent="0.2">
      <c r="A165" s="375">
        <v>328</v>
      </c>
      <c r="B165" s="375">
        <v>43</v>
      </c>
      <c r="C165" s="349" t="s">
        <v>155</v>
      </c>
      <c r="D165" s="376">
        <v>2021</v>
      </c>
      <c r="E165" s="164">
        <f t="shared" si="4"/>
        <v>148.55000000000001</v>
      </c>
      <c r="F165" s="394">
        <f t="shared" si="5"/>
        <v>6.296852376148645</v>
      </c>
      <c r="G165" s="86">
        <v>43</v>
      </c>
      <c r="H165" s="83">
        <v>45</v>
      </c>
      <c r="I165" s="83">
        <v>31</v>
      </c>
      <c r="J165" s="83">
        <v>34</v>
      </c>
      <c r="K165" s="83">
        <v>39</v>
      </c>
      <c r="L165" s="83">
        <v>41</v>
      </c>
      <c r="M165" s="83">
        <v>44</v>
      </c>
      <c r="N165" s="83">
        <v>36</v>
      </c>
      <c r="O165" s="83">
        <v>38</v>
      </c>
      <c r="P165" s="83">
        <v>32</v>
      </c>
      <c r="Q165" s="83">
        <v>47</v>
      </c>
      <c r="R165" s="83">
        <v>32</v>
      </c>
      <c r="S165" s="83">
        <v>44</v>
      </c>
      <c r="T165" s="83">
        <v>37</v>
      </c>
      <c r="U165" s="83">
        <v>41</v>
      </c>
      <c r="V165" s="83">
        <v>39</v>
      </c>
      <c r="W165" s="83">
        <v>39</v>
      </c>
      <c r="X165" s="83">
        <v>34</v>
      </c>
      <c r="Y165" s="83">
        <v>45</v>
      </c>
      <c r="Z165" s="83">
        <v>44</v>
      </c>
      <c r="AA165" s="83">
        <v>419</v>
      </c>
      <c r="AB165" s="83">
        <v>413</v>
      </c>
      <c r="AC165" s="83">
        <v>415</v>
      </c>
      <c r="AD165" s="83">
        <v>403</v>
      </c>
      <c r="AE165" s="83">
        <v>409</v>
      </c>
      <c r="AF165" s="83">
        <v>406</v>
      </c>
      <c r="AG165" s="83">
        <v>384</v>
      </c>
      <c r="AH165" s="83">
        <v>376</v>
      </c>
      <c r="AI165" s="83">
        <v>402</v>
      </c>
      <c r="AJ165" s="83">
        <v>403</v>
      </c>
      <c r="AK165" s="83">
        <v>365</v>
      </c>
      <c r="AL165" s="83">
        <v>355</v>
      </c>
      <c r="AM165" s="83">
        <v>375</v>
      </c>
      <c r="AN165" s="83">
        <v>401</v>
      </c>
      <c r="AO165" s="83">
        <v>353</v>
      </c>
      <c r="AP165" s="83">
        <v>367</v>
      </c>
      <c r="AQ165" s="83">
        <v>336</v>
      </c>
      <c r="AR165" s="83">
        <v>331</v>
      </c>
      <c r="AS165" s="83">
        <v>357</v>
      </c>
      <c r="AT165" s="83">
        <v>351</v>
      </c>
      <c r="AU165" s="83">
        <v>362</v>
      </c>
      <c r="AV165" s="83">
        <v>325</v>
      </c>
      <c r="AW165" s="83">
        <v>339</v>
      </c>
      <c r="AX165" s="83">
        <v>325</v>
      </c>
      <c r="AY165" s="83">
        <v>333</v>
      </c>
      <c r="AZ165" s="83">
        <v>332</v>
      </c>
      <c r="BA165" s="83">
        <v>331</v>
      </c>
      <c r="BB165" s="83">
        <v>323</v>
      </c>
      <c r="BC165" s="83">
        <v>320</v>
      </c>
      <c r="BD165" s="83">
        <v>309</v>
      </c>
      <c r="BE165" s="83">
        <v>302</v>
      </c>
      <c r="BF165" s="83">
        <v>301</v>
      </c>
      <c r="BG165" s="83">
        <v>335</v>
      </c>
      <c r="BH165" s="83">
        <v>340</v>
      </c>
      <c r="BI165" s="83">
        <v>300</v>
      </c>
      <c r="BJ165" s="83">
        <v>322</v>
      </c>
      <c r="BK165" s="83">
        <v>317</v>
      </c>
      <c r="BL165" s="83">
        <v>329</v>
      </c>
      <c r="BM165" s="83">
        <v>288</v>
      </c>
      <c r="BN165" s="83">
        <v>295</v>
      </c>
      <c r="BO165" s="83">
        <v>287</v>
      </c>
      <c r="BP165" s="83">
        <v>304</v>
      </c>
      <c r="BQ165" s="83">
        <v>306</v>
      </c>
      <c r="BR165" s="83">
        <v>305</v>
      </c>
      <c r="BS165" s="83">
        <v>315</v>
      </c>
      <c r="BT165" s="83">
        <v>316</v>
      </c>
      <c r="BU165" s="83">
        <v>285</v>
      </c>
      <c r="BV165" s="83">
        <v>292</v>
      </c>
      <c r="BW165" s="83">
        <v>301</v>
      </c>
      <c r="BX165" s="83">
        <v>312</v>
      </c>
      <c r="BY165" s="83">
        <v>303</v>
      </c>
      <c r="BZ165" s="83">
        <v>282</v>
      </c>
      <c r="CA165" s="83">
        <v>294</v>
      </c>
      <c r="CB165" s="83">
        <v>277</v>
      </c>
      <c r="CC165" s="83">
        <v>282</v>
      </c>
      <c r="CD165" s="83">
        <v>283</v>
      </c>
      <c r="CE165" s="83">
        <v>297</v>
      </c>
      <c r="CF165" s="83">
        <v>277</v>
      </c>
      <c r="CG165" s="83">
        <v>2865</v>
      </c>
      <c r="CH165" s="83">
        <v>2733</v>
      </c>
      <c r="CI165" s="83">
        <v>2705</v>
      </c>
      <c r="CJ165" s="83">
        <v>2692</v>
      </c>
      <c r="CK165" s="83">
        <v>2570</v>
      </c>
      <c r="CL165" s="83">
        <v>2570</v>
      </c>
      <c r="CM165" s="83">
        <v>2610</v>
      </c>
      <c r="CN165" s="83">
        <v>2581</v>
      </c>
      <c r="CO165" s="83">
        <v>2552</v>
      </c>
      <c r="CP165" s="83">
        <v>2438</v>
      </c>
      <c r="CQ165" s="83">
        <v>2460</v>
      </c>
      <c r="CR165" s="83">
        <v>2419</v>
      </c>
      <c r="CS165" s="83">
        <v>2420</v>
      </c>
      <c r="CT165" s="83">
        <v>2459</v>
      </c>
      <c r="CU165" s="382"/>
    </row>
    <row r="166" spans="1:99" s="86" customFormat="1" x14ac:dyDescent="0.2">
      <c r="A166" s="375">
        <v>332</v>
      </c>
      <c r="B166" s="375">
        <v>43</v>
      </c>
      <c r="C166" s="349" t="s">
        <v>156</v>
      </c>
      <c r="D166" s="376">
        <v>1516</v>
      </c>
      <c r="E166" s="164">
        <f t="shared" si="4"/>
        <v>105.75</v>
      </c>
      <c r="F166" s="394">
        <f t="shared" si="5"/>
        <v>5.8582879029253982</v>
      </c>
      <c r="G166" s="86">
        <v>23</v>
      </c>
      <c r="H166" s="83">
        <v>35</v>
      </c>
      <c r="I166" s="83">
        <v>36</v>
      </c>
      <c r="J166" s="83">
        <v>27</v>
      </c>
      <c r="K166" s="83">
        <v>31</v>
      </c>
      <c r="L166" s="83">
        <v>34</v>
      </c>
      <c r="M166" s="83">
        <v>33</v>
      </c>
      <c r="N166" s="83">
        <v>39</v>
      </c>
      <c r="O166" s="83">
        <v>34</v>
      </c>
      <c r="P166" s="83">
        <v>36</v>
      </c>
      <c r="Q166" s="83">
        <v>28</v>
      </c>
      <c r="R166" s="83">
        <v>36</v>
      </c>
      <c r="S166" s="83">
        <v>36</v>
      </c>
      <c r="T166" s="83">
        <v>43</v>
      </c>
      <c r="U166" s="83">
        <v>45</v>
      </c>
      <c r="V166" s="83">
        <v>28</v>
      </c>
      <c r="W166" s="83">
        <v>33</v>
      </c>
      <c r="X166" s="83">
        <v>32</v>
      </c>
      <c r="Y166" s="83">
        <v>33</v>
      </c>
      <c r="Z166" s="83">
        <v>31</v>
      </c>
      <c r="AA166" s="83">
        <v>373</v>
      </c>
      <c r="AB166" s="83">
        <v>397</v>
      </c>
      <c r="AC166" s="83">
        <v>377</v>
      </c>
      <c r="AD166" s="83">
        <v>376</v>
      </c>
      <c r="AE166" s="83">
        <v>338</v>
      </c>
      <c r="AF166" s="83">
        <v>378</v>
      </c>
      <c r="AG166" s="83">
        <v>384</v>
      </c>
      <c r="AH166" s="83">
        <v>367</v>
      </c>
      <c r="AI166" s="83">
        <v>341</v>
      </c>
      <c r="AJ166" s="83">
        <v>374</v>
      </c>
      <c r="AK166" s="83">
        <v>317</v>
      </c>
      <c r="AL166" s="83">
        <v>312</v>
      </c>
      <c r="AM166" s="83">
        <v>319</v>
      </c>
      <c r="AN166" s="83">
        <v>347</v>
      </c>
      <c r="AO166" s="83">
        <v>324</v>
      </c>
      <c r="AP166" s="83">
        <v>327</v>
      </c>
      <c r="AQ166" s="83">
        <v>321</v>
      </c>
      <c r="AR166" s="83">
        <v>309</v>
      </c>
      <c r="AS166" s="83">
        <v>304</v>
      </c>
      <c r="AT166" s="83">
        <v>297</v>
      </c>
      <c r="AU166" s="83">
        <v>289</v>
      </c>
      <c r="AV166" s="83">
        <v>302</v>
      </c>
      <c r="AW166" s="83">
        <v>290</v>
      </c>
      <c r="AX166" s="83">
        <v>274</v>
      </c>
      <c r="AY166" s="83">
        <v>311</v>
      </c>
      <c r="AZ166" s="83">
        <v>310</v>
      </c>
      <c r="BA166" s="83">
        <v>300</v>
      </c>
      <c r="BB166" s="83">
        <v>294</v>
      </c>
      <c r="BC166" s="83">
        <v>302</v>
      </c>
      <c r="BD166" s="83">
        <v>288</v>
      </c>
      <c r="BE166" s="83">
        <v>313</v>
      </c>
      <c r="BF166" s="83">
        <v>294</v>
      </c>
      <c r="BG166" s="83">
        <v>275</v>
      </c>
      <c r="BH166" s="83">
        <v>294</v>
      </c>
      <c r="BI166" s="83">
        <v>267</v>
      </c>
      <c r="BJ166" s="83">
        <v>264</v>
      </c>
      <c r="BK166" s="83">
        <v>285</v>
      </c>
      <c r="BL166" s="83">
        <v>304</v>
      </c>
      <c r="BM166" s="83">
        <v>284</v>
      </c>
      <c r="BN166" s="83">
        <v>276</v>
      </c>
      <c r="BO166" s="83">
        <v>301</v>
      </c>
      <c r="BP166" s="83">
        <v>265</v>
      </c>
      <c r="BQ166" s="83">
        <v>271</v>
      </c>
      <c r="BR166" s="83">
        <v>271</v>
      </c>
      <c r="BS166" s="83">
        <v>256</v>
      </c>
      <c r="BT166" s="83">
        <v>269</v>
      </c>
      <c r="BU166" s="83">
        <v>285</v>
      </c>
      <c r="BV166" s="83">
        <v>271</v>
      </c>
      <c r="BW166" s="83">
        <v>273</v>
      </c>
      <c r="BX166" s="83">
        <v>269</v>
      </c>
      <c r="BY166" s="83">
        <v>274</v>
      </c>
      <c r="BZ166" s="83">
        <v>283</v>
      </c>
      <c r="CA166" s="83">
        <v>281</v>
      </c>
      <c r="CB166" s="83">
        <v>265</v>
      </c>
      <c r="CC166" s="83">
        <v>250</v>
      </c>
      <c r="CD166" s="83">
        <v>251</v>
      </c>
      <c r="CE166" s="83">
        <v>267</v>
      </c>
      <c r="CF166" s="83">
        <v>267</v>
      </c>
      <c r="CG166" s="83">
        <v>2679</v>
      </c>
      <c r="CH166" s="83">
        <v>2559</v>
      </c>
      <c r="CI166" s="83">
        <v>2505</v>
      </c>
      <c r="CJ166" s="83">
        <v>2492</v>
      </c>
      <c r="CK166" s="83">
        <v>2527</v>
      </c>
      <c r="CL166" s="83">
        <v>2379</v>
      </c>
      <c r="CM166" s="83">
        <v>2329</v>
      </c>
      <c r="CN166" s="83">
        <v>2394</v>
      </c>
      <c r="CO166" s="83">
        <v>2328</v>
      </c>
      <c r="CP166" s="83">
        <v>2342</v>
      </c>
      <c r="CQ166" s="83">
        <v>2313</v>
      </c>
      <c r="CR166" s="83">
        <v>2259</v>
      </c>
      <c r="CS166" s="83">
        <v>2329</v>
      </c>
      <c r="CT166" s="83">
        <v>2286</v>
      </c>
      <c r="CU166" s="382"/>
    </row>
    <row r="167" spans="1:99" s="86" customFormat="1" x14ac:dyDescent="0.2">
      <c r="A167" s="375">
        <v>337</v>
      </c>
      <c r="B167" s="375">
        <v>43</v>
      </c>
      <c r="C167" s="349" t="s">
        <v>155</v>
      </c>
      <c r="D167" s="376">
        <v>4168</v>
      </c>
      <c r="E167" s="164">
        <f t="shared" si="4"/>
        <v>154.85</v>
      </c>
      <c r="F167" s="394">
        <f t="shared" si="5"/>
        <v>6.2369105120344779</v>
      </c>
      <c r="G167" s="86">
        <v>40</v>
      </c>
      <c r="H167" s="83">
        <v>36</v>
      </c>
      <c r="I167" s="83">
        <v>41</v>
      </c>
      <c r="J167" s="83">
        <v>37</v>
      </c>
      <c r="K167" s="83">
        <v>38</v>
      </c>
      <c r="L167" s="83">
        <v>32</v>
      </c>
      <c r="M167" s="83">
        <v>29</v>
      </c>
      <c r="N167" s="83">
        <v>39</v>
      </c>
      <c r="O167" s="83">
        <v>39</v>
      </c>
      <c r="P167" s="83">
        <v>44</v>
      </c>
      <c r="Q167" s="83">
        <v>46</v>
      </c>
      <c r="R167" s="83">
        <v>38</v>
      </c>
      <c r="S167" s="83">
        <v>37</v>
      </c>
      <c r="T167" s="83">
        <v>39</v>
      </c>
      <c r="U167" s="83">
        <v>41</v>
      </c>
      <c r="V167" s="83">
        <v>39</v>
      </c>
      <c r="W167" s="83">
        <v>34</v>
      </c>
      <c r="X167" s="83">
        <v>37</v>
      </c>
      <c r="Y167" s="83">
        <v>38</v>
      </c>
      <c r="Z167" s="83">
        <v>39</v>
      </c>
      <c r="AA167" s="83">
        <v>400</v>
      </c>
      <c r="AB167" s="83">
        <v>396</v>
      </c>
      <c r="AC167" s="83">
        <v>412</v>
      </c>
      <c r="AD167" s="83">
        <v>408</v>
      </c>
      <c r="AE167" s="83">
        <v>392</v>
      </c>
      <c r="AF167" s="83">
        <v>403</v>
      </c>
      <c r="AG167" s="83">
        <v>373</v>
      </c>
      <c r="AH167" s="83">
        <v>376</v>
      </c>
      <c r="AI167" s="83">
        <v>357</v>
      </c>
      <c r="AJ167" s="83">
        <v>354</v>
      </c>
      <c r="AK167" s="83">
        <v>344</v>
      </c>
      <c r="AL167" s="83">
        <v>364</v>
      </c>
      <c r="AM167" s="83">
        <v>386</v>
      </c>
      <c r="AN167" s="83">
        <v>367</v>
      </c>
      <c r="AO167" s="83">
        <v>352</v>
      </c>
      <c r="AP167" s="83">
        <v>339</v>
      </c>
      <c r="AQ167" s="83">
        <v>358</v>
      </c>
      <c r="AR167" s="83">
        <v>342</v>
      </c>
      <c r="AS167" s="83">
        <v>330</v>
      </c>
      <c r="AT167" s="83">
        <v>333</v>
      </c>
      <c r="AU167" s="83">
        <v>321</v>
      </c>
      <c r="AV167" s="83">
        <v>340</v>
      </c>
      <c r="AW167" s="83">
        <v>315</v>
      </c>
      <c r="AX167" s="83">
        <v>296</v>
      </c>
      <c r="AY167" s="83">
        <v>314</v>
      </c>
      <c r="AZ167" s="83">
        <v>317</v>
      </c>
      <c r="BA167" s="83">
        <v>334</v>
      </c>
      <c r="BB167" s="83">
        <v>313</v>
      </c>
      <c r="BC167" s="83">
        <v>303</v>
      </c>
      <c r="BD167" s="83">
        <v>294</v>
      </c>
      <c r="BE167" s="83">
        <v>280</v>
      </c>
      <c r="BF167" s="83">
        <v>308</v>
      </c>
      <c r="BG167" s="83">
        <v>321</v>
      </c>
      <c r="BH167" s="83">
        <v>313</v>
      </c>
      <c r="BI167" s="83">
        <v>304</v>
      </c>
      <c r="BJ167" s="83">
        <v>285</v>
      </c>
      <c r="BK167" s="83">
        <v>303</v>
      </c>
      <c r="BL167" s="83">
        <v>293</v>
      </c>
      <c r="BM167" s="83">
        <v>304</v>
      </c>
      <c r="BN167" s="83">
        <v>298</v>
      </c>
      <c r="BO167" s="83">
        <v>274</v>
      </c>
      <c r="BP167" s="83">
        <v>285</v>
      </c>
      <c r="BQ167" s="83">
        <v>297</v>
      </c>
      <c r="BR167" s="83">
        <v>270</v>
      </c>
      <c r="BS167" s="83">
        <v>287</v>
      </c>
      <c r="BT167" s="83">
        <v>307</v>
      </c>
      <c r="BU167" s="83">
        <v>310</v>
      </c>
      <c r="BV167" s="83">
        <v>295</v>
      </c>
      <c r="BW167" s="83">
        <v>285</v>
      </c>
      <c r="BX167" s="83">
        <v>283</v>
      </c>
      <c r="BY167" s="83">
        <v>280</v>
      </c>
      <c r="BZ167" s="83">
        <v>288</v>
      </c>
      <c r="CA167" s="83">
        <v>284</v>
      </c>
      <c r="CB167" s="83">
        <v>261</v>
      </c>
      <c r="CC167" s="83">
        <v>290</v>
      </c>
      <c r="CD167" s="83">
        <v>290</v>
      </c>
      <c r="CE167" s="83">
        <v>258</v>
      </c>
      <c r="CF167" s="83">
        <v>277</v>
      </c>
      <c r="CG167" s="83">
        <v>2674</v>
      </c>
      <c r="CH167" s="83">
        <v>2596</v>
      </c>
      <c r="CI167" s="83">
        <v>2512</v>
      </c>
      <c r="CJ167" s="83">
        <v>2487</v>
      </c>
      <c r="CK167" s="83">
        <v>2453</v>
      </c>
      <c r="CL167" s="83">
        <v>2410</v>
      </c>
      <c r="CM167" s="83">
        <v>2519</v>
      </c>
      <c r="CN167" s="83">
        <v>2313</v>
      </c>
      <c r="CO167" s="83">
        <v>2356</v>
      </c>
      <c r="CP167" s="83">
        <v>2274</v>
      </c>
      <c r="CQ167" s="83">
        <v>2305</v>
      </c>
      <c r="CR167" s="83">
        <v>2352</v>
      </c>
      <c r="CS167" s="83">
        <v>2277</v>
      </c>
      <c r="CT167" s="83">
        <v>2256</v>
      </c>
      <c r="CU167" s="382"/>
    </row>
    <row r="168" spans="1:99" s="86" customFormat="1" x14ac:dyDescent="0.2">
      <c r="A168" s="375">
        <v>341</v>
      </c>
      <c r="B168" s="375">
        <v>43</v>
      </c>
      <c r="C168" s="349" t="s">
        <v>156</v>
      </c>
      <c r="D168" s="376">
        <v>1516</v>
      </c>
      <c r="E168" s="164">
        <f t="shared" si="4"/>
        <v>116.80000000000001</v>
      </c>
      <c r="F168" s="394">
        <f t="shared" si="5"/>
        <v>5.7572891121047061</v>
      </c>
      <c r="G168" s="86">
        <v>25</v>
      </c>
      <c r="H168" s="83">
        <v>31</v>
      </c>
      <c r="I168" s="83">
        <v>25</v>
      </c>
      <c r="J168" s="83">
        <v>29</v>
      </c>
      <c r="K168" s="83">
        <v>36</v>
      </c>
      <c r="L168" s="83">
        <v>35</v>
      </c>
      <c r="M168" s="83">
        <v>35</v>
      </c>
      <c r="N168" s="83">
        <v>25</v>
      </c>
      <c r="O168" s="83">
        <v>30</v>
      </c>
      <c r="P168" s="83">
        <v>35</v>
      </c>
      <c r="Q168" s="83">
        <v>32</v>
      </c>
      <c r="R168" s="83">
        <v>28</v>
      </c>
      <c r="S168" s="83">
        <v>33</v>
      </c>
      <c r="T168" s="83">
        <v>37</v>
      </c>
      <c r="U168" s="83">
        <v>35</v>
      </c>
      <c r="V168" s="83">
        <v>38</v>
      </c>
      <c r="W168" s="83">
        <v>28</v>
      </c>
      <c r="X168" s="83">
        <v>40</v>
      </c>
      <c r="Y168" s="83">
        <v>40</v>
      </c>
      <c r="Z168" s="83">
        <v>31</v>
      </c>
      <c r="AA168" s="83">
        <v>361</v>
      </c>
      <c r="AB168" s="83">
        <v>356</v>
      </c>
      <c r="AC168" s="83">
        <v>355</v>
      </c>
      <c r="AD168" s="83">
        <v>363</v>
      </c>
      <c r="AE168" s="83">
        <v>374</v>
      </c>
      <c r="AF168" s="83">
        <v>341</v>
      </c>
      <c r="AG168" s="83">
        <v>337</v>
      </c>
      <c r="AH168" s="83">
        <v>335</v>
      </c>
      <c r="AI168" s="83">
        <v>316</v>
      </c>
      <c r="AJ168" s="83">
        <v>302</v>
      </c>
      <c r="AK168" s="83">
        <v>325</v>
      </c>
      <c r="AL168" s="83">
        <v>304</v>
      </c>
      <c r="AM168" s="83">
        <v>298</v>
      </c>
      <c r="AN168" s="83">
        <v>321</v>
      </c>
      <c r="AO168" s="83">
        <v>316</v>
      </c>
      <c r="AP168" s="83">
        <v>297</v>
      </c>
      <c r="AQ168" s="83">
        <v>301</v>
      </c>
      <c r="AR168" s="83">
        <v>288</v>
      </c>
      <c r="AS168" s="83">
        <v>297</v>
      </c>
      <c r="AT168" s="83">
        <v>283</v>
      </c>
      <c r="AU168" s="83">
        <v>284</v>
      </c>
      <c r="AV168" s="83">
        <v>289</v>
      </c>
      <c r="AW168" s="83">
        <v>306</v>
      </c>
      <c r="AX168" s="83">
        <v>272</v>
      </c>
      <c r="AY168" s="83">
        <v>313</v>
      </c>
      <c r="AZ168" s="83">
        <v>289</v>
      </c>
      <c r="BA168" s="83">
        <v>271</v>
      </c>
      <c r="BB168" s="83">
        <v>276</v>
      </c>
      <c r="BC168" s="83">
        <v>260</v>
      </c>
      <c r="BD168" s="83">
        <v>278</v>
      </c>
      <c r="BE168" s="83">
        <v>271</v>
      </c>
      <c r="BF168" s="83">
        <v>281</v>
      </c>
      <c r="BG168" s="83">
        <v>281</v>
      </c>
      <c r="BH168" s="83">
        <v>248</v>
      </c>
      <c r="BI168" s="83">
        <v>274</v>
      </c>
      <c r="BJ168" s="83">
        <v>252</v>
      </c>
      <c r="BK168" s="83">
        <v>288</v>
      </c>
      <c r="BL168" s="83">
        <v>250</v>
      </c>
      <c r="BM168" s="83">
        <v>245</v>
      </c>
      <c r="BN168" s="83">
        <v>268</v>
      </c>
      <c r="BO168" s="83">
        <v>248</v>
      </c>
      <c r="BP168" s="83">
        <v>249</v>
      </c>
      <c r="BQ168" s="83">
        <v>247</v>
      </c>
      <c r="BR168" s="83">
        <v>264</v>
      </c>
      <c r="BS168" s="83">
        <v>263</v>
      </c>
      <c r="BT168" s="83">
        <v>244</v>
      </c>
      <c r="BU168" s="83">
        <v>251</v>
      </c>
      <c r="BV168" s="83">
        <v>255</v>
      </c>
      <c r="BW168" s="83">
        <v>259</v>
      </c>
      <c r="BX168" s="83">
        <v>241</v>
      </c>
      <c r="BY168" s="83">
        <v>253</v>
      </c>
      <c r="BZ168" s="83">
        <v>254</v>
      </c>
      <c r="CA168" s="83">
        <v>253</v>
      </c>
      <c r="CB168" s="83">
        <v>238</v>
      </c>
      <c r="CC168" s="83">
        <v>244</v>
      </c>
      <c r="CD168" s="83">
        <v>236</v>
      </c>
      <c r="CE168" s="83">
        <v>222</v>
      </c>
      <c r="CF168" s="83">
        <v>251</v>
      </c>
      <c r="CG168" s="83">
        <v>2450</v>
      </c>
      <c r="CH168" s="83">
        <v>2101</v>
      </c>
      <c r="CI168" s="83">
        <v>2338</v>
      </c>
      <c r="CJ168" s="83">
        <v>2280</v>
      </c>
      <c r="CK168" s="83">
        <v>2316</v>
      </c>
      <c r="CL168" s="83">
        <v>2232</v>
      </c>
      <c r="CM168" s="83">
        <v>2193</v>
      </c>
      <c r="CN168" s="83">
        <v>2199</v>
      </c>
      <c r="CO168" s="83">
        <v>2192</v>
      </c>
      <c r="CP168" s="83">
        <v>2139</v>
      </c>
      <c r="CQ168" s="83">
        <v>2108</v>
      </c>
      <c r="CR168" s="83">
        <v>2143</v>
      </c>
      <c r="CS168" s="83">
        <v>2092</v>
      </c>
      <c r="CT168" s="83">
        <v>2052</v>
      </c>
      <c r="CU168" s="382"/>
    </row>
    <row r="169" spans="1:99" s="86" customFormat="1" x14ac:dyDescent="0.2">
      <c r="A169" s="375">
        <v>346</v>
      </c>
      <c r="B169" s="375">
        <v>43</v>
      </c>
      <c r="C169" s="349" t="s">
        <v>155</v>
      </c>
      <c r="D169" s="376">
        <v>0</v>
      </c>
      <c r="E169" s="164">
        <f t="shared" si="4"/>
        <v>85.800000000000011</v>
      </c>
      <c r="F169" s="394">
        <f t="shared" si="5"/>
        <v>5.2177702752498885</v>
      </c>
      <c r="G169" s="86">
        <v>21</v>
      </c>
      <c r="H169" s="83">
        <v>25</v>
      </c>
      <c r="I169" s="83">
        <v>25</v>
      </c>
      <c r="J169" s="83">
        <v>27</v>
      </c>
      <c r="K169" s="83">
        <v>20</v>
      </c>
      <c r="L169" s="83">
        <v>22</v>
      </c>
      <c r="M169" s="83">
        <v>25</v>
      </c>
      <c r="N169" s="83">
        <v>27</v>
      </c>
      <c r="O169" s="83">
        <v>26</v>
      </c>
      <c r="P169" s="83">
        <v>30</v>
      </c>
      <c r="Q169" s="83">
        <v>27</v>
      </c>
      <c r="R169" s="83">
        <v>30</v>
      </c>
      <c r="S169" s="83">
        <v>36</v>
      </c>
      <c r="T169" s="83">
        <v>30</v>
      </c>
      <c r="U169" s="83">
        <v>28</v>
      </c>
      <c r="V169" s="83">
        <v>29</v>
      </c>
      <c r="W169" s="83">
        <v>22</v>
      </c>
      <c r="X169" s="83">
        <v>27</v>
      </c>
      <c r="Y169" s="83">
        <v>31</v>
      </c>
      <c r="Z169" s="83">
        <v>29</v>
      </c>
      <c r="AA169" s="83">
        <v>291</v>
      </c>
      <c r="AB169" s="83">
        <v>272</v>
      </c>
      <c r="AC169" s="83">
        <v>265</v>
      </c>
      <c r="AD169" s="83">
        <v>260</v>
      </c>
      <c r="AE169" s="83">
        <v>284</v>
      </c>
      <c r="AF169" s="83">
        <v>272</v>
      </c>
      <c r="AG169" s="83">
        <v>264</v>
      </c>
      <c r="AH169" s="83">
        <v>259</v>
      </c>
      <c r="AI169" s="83">
        <v>257</v>
      </c>
      <c r="AJ169" s="83">
        <v>266</v>
      </c>
      <c r="AK169" s="83">
        <v>274</v>
      </c>
      <c r="AL169" s="83">
        <v>257</v>
      </c>
      <c r="AM169" s="83">
        <v>231</v>
      </c>
      <c r="AN169" s="83">
        <v>265</v>
      </c>
      <c r="AO169" s="83">
        <v>254</v>
      </c>
      <c r="AP169" s="83">
        <v>243</v>
      </c>
      <c r="AQ169" s="83">
        <v>239</v>
      </c>
      <c r="AR169" s="83">
        <v>228</v>
      </c>
      <c r="AS169" s="83">
        <v>239</v>
      </c>
      <c r="AT169" s="83">
        <v>236</v>
      </c>
      <c r="AU169" s="83">
        <v>243</v>
      </c>
      <c r="AV169" s="83">
        <v>239</v>
      </c>
      <c r="AW169" s="83">
        <v>238</v>
      </c>
      <c r="AX169" s="83">
        <v>229</v>
      </c>
      <c r="AY169" s="83">
        <v>224</v>
      </c>
      <c r="AZ169" s="83">
        <v>221</v>
      </c>
      <c r="BA169" s="83">
        <v>218</v>
      </c>
      <c r="BB169" s="83">
        <v>210</v>
      </c>
      <c r="BC169" s="83">
        <v>237</v>
      </c>
      <c r="BD169" s="83">
        <v>222</v>
      </c>
      <c r="BE169" s="83">
        <v>203</v>
      </c>
      <c r="BF169" s="83">
        <v>218</v>
      </c>
      <c r="BG169" s="83">
        <v>219</v>
      </c>
      <c r="BH169" s="83">
        <v>222</v>
      </c>
      <c r="BI169" s="83">
        <v>224</v>
      </c>
      <c r="BJ169" s="83">
        <v>229</v>
      </c>
      <c r="BK169" s="83">
        <v>208</v>
      </c>
      <c r="BL169" s="83">
        <v>219</v>
      </c>
      <c r="BM169" s="83">
        <v>226</v>
      </c>
      <c r="BN169" s="83">
        <v>226</v>
      </c>
      <c r="BO169" s="83">
        <v>204</v>
      </c>
      <c r="BP169" s="83">
        <v>198</v>
      </c>
      <c r="BQ169" s="83">
        <v>207</v>
      </c>
      <c r="BR169" s="83">
        <v>209</v>
      </c>
      <c r="BS169" s="83">
        <v>222</v>
      </c>
      <c r="BT169" s="83">
        <v>200</v>
      </c>
      <c r="BU169" s="83">
        <v>238</v>
      </c>
      <c r="BV169" s="83">
        <v>218</v>
      </c>
      <c r="BW169" s="83">
        <v>217</v>
      </c>
      <c r="BX169" s="83">
        <v>202</v>
      </c>
      <c r="BY169" s="83">
        <v>210</v>
      </c>
      <c r="BZ169" s="83">
        <v>196</v>
      </c>
      <c r="CA169" s="83">
        <v>218</v>
      </c>
      <c r="CB169" s="83">
        <v>185</v>
      </c>
      <c r="CC169" s="83">
        <v>196</v>
      </c>
      <c r="CD169" s="83">
        <v>229</v>
      </c>
      <c r="CE169" s="83">
        <v>218</v>
      </c>
      <c r="CF169" s="83">
        <v>206</v>
      </c>
      <c r="CG169" s="83">
        <v>2024</v>
      </c>
      <c r="CH169" s="83">
        <v>2012</v>
      </c>
      <c r="CI169" s="83">
        <v>1873</v>
      </c>
      <c r="CJ169" s="83">
        <v>1971</v>
      </c>
      <c r="CK169" s="83">
        <v>1883</v>
      </c>
      <c r="CL169" s="83">
        <v>1937</v>
      </c>
      <c r="CM169" s="83">
        <v>1926</v>
      </c>
      <c r="CN169" s="83">
        <v>1856</v>
      </c>
      <c r="CO169" s="83">
        <v>1867</v>
      </c>
      <c r="CP169" s="83">
        <v>1794</v>
      </c>
      <c r="CQ169" s="83">
        <v>1805</v>
      </c>
      <c r="CR169" s="83">
        <v>1800</v>
      </c>
      <c r="CS169" s="83">
        <v>1842</v>
      </c>
      <c r="CT169" s="83">
        <v>1812</v>
      </c>
      <c r="CU169" s="382"/>
    </row>
    <row r="170" spans="1:99" s="86" customFormat="1" x14ac:dyDescent="0.2">
      <c r="A170" s="375">
        <v>350</v>
      </c>
      <c r="B170" s="375">
        <v>43</v>
      </c>
      <c r="C170" s="349" t="s">
        <v>156</v>
      </c>
      <c r="D170" s="376">
        <v>1516</v>
      </c>
      <c r="E170" s="164">
        <f t="shared" si="4"/>
        <v>99.35</v>
      </c>
      <c r="F170" s="394">
        <f t="shared" si="5"/>
        <v>5.4305956060048244</v>
      </c>
      <c r="G170" s="86">
        <v>25</v>
      </c>
      <c r="H170" s="83">
        <v>32</v>
      </c>
      <c r="I170" s="83">
        <v>27</v>
      </c>
      <c r="J170" s="83">
        <v>25</v>
      </c>
      <c r="K170" s="83">
        <v>34</v>
      </c>
      <c r="L170" s="83">
        <v>31</v>
      </c>
      <c r="M170" s="83">
        <v>31</v>
      </c>
      <c r="N170" s="83">
        <v>32</v>
      </c>
      <c r="O170" s="83">
        <v>30</v>
      </c>
      <c r="P170" s="83">
        <v>27</v>
      </c>
      <c r="Q170" s="83">
        <v>36</v>
      </c>
      <c r="R170" s="83">
        <v>30</v>
      </c>
      <c r="S170" s="83">
        <v>25</v>
      </c>
      <c r="T170" s="83">
        <v>27</v>
      </c>
      <c r="U170" s="83">
        <v>30</v>
      </c>
      <c r="V170" s="83">
        <v>25</v>
      </c>
      <c r="W170" s="83">
        <v>26</v>
      </c>
      <c r="X170" s="83">
        <v>31</v>
      </c>
      <c r="Y170" s="83">
        <v>30</v>
      </c>
      <c r="Z170" s="83">
        <v>25</v>
      </c>
      <c r="AA170" s="83">
        <v>327</v>
      </c>
      <c r="AB170" s="83">
        <v>320</v>
      </c>
      <c r="AC170" s="83">
        <v>329</v>
      </c>
      <c r="AD170" s="83">
        <v>306</v>
      </c>
      <c r="AE170" s="83">
        <v>302</v>
      </c>
      <c r="AF170" s="83">
        <v>309</v>
      </c>
      <c r="AG170" s="83">
        <v>298</v>
      </c>
      <c r="AH170" s="83">
        <v>270</v>
      </c>
      <c r="AI170" s="83">
        <v>280</v>
      </c>
      <c r="AJ170" s="83">
        <v>304</v>
      </c>
      <c r="AK170" s="83">
        <v>286</v>
      </c>
      <c r="AL170" s="83">
        <v>262</v>
      </c>
      <c r="AM170" s="83">
        <v>259</v>
      </c>
      <c r="AN170" s="83">
        <v>290</v>
      </c>
      <c r="AO170" s="83">
        <v>262</v>
      </c>
      <c r="AP170" s="83">
        <v>242</v>
      </c>
      <c r="AQ170" s="83">
        <v>237</v>
      </c>
      <c r="AR170" s="83">
        <v>236</v>
      </c>
      <c r="AS170" s="83">
        <v>235</v>
      </c>
      <c r="AT170" s="83">
        <v>268</v>
      </c>
      <c r="AU170" s="83">
        <v>268</v>
      </c>
      <c r="AV170" s="83">
        <v>241</v>
      </c>
      <c r="AW170" s="83">
        <v>260</v>
      </c>
      <c r="AX170" s="83">
        <v>238</v>
      </c>
      <c r="AY170" s="83">
        <v>247</v>
      </c>
      <c r="AZ170" s="83">
        <v>229</v>
      </c>
      <c r="BA170" s="83">
        <v>250</v>
      </c>
      <c r="BB170" s="83">
        <v>236</v>
      </c>
      <c r="BC170" s="83">
        <v>255</v>
      </c>
      <c r="BD170" s="83">
        <v>263</v>
      </c>
      <c r="BE170" s="83">
        <v>230</v>
      </c>
      <c r="BF170" s="83">
        <v>221</v>
      </c>
      <c r="BG170" s="83">
        <v>234</v>
      </c>
      <c r="BH170" s="83">
        <v>234</v>
      </c>
      <c r="BI170" s="83">
        <v>232</v>
      </c>
      <c r="BJ170" s="83">
        <v>232</v>
      </c>
      <c r="BK170" s="83">
        <v>237</v>
      </c>
      <c r="BL170" s="83">
        <v>219</v>
      </c>
      <c r="BM170" s="83">
        <v>225</v>
      </c>
      <c r="BN170" s="83">
        <v>229</v>
      </c>
      <c r="BO170" s="83">
        <v>212</v>
      </c>
      <c r="BP170" s="83">
        <v>240</v>
      </c>
      <c r="BQ170" s="83">
        <v>219</v>
      </c>
      <c r="BR170" s="83">
        <v>245</v>
      </c>
      <c r="BS170" s="83">
        <v>226</v>
      </c>
      <c r="BT170" s="83">
        <v>219</v>
      </c>
      <c r="BU170" s="83">
        <v>226</v>
      </c>
      <c r="BV170" s="83">
        <v>224</v>
      </c>
      <c r="BW170" s="83">
        <v>222</v>
      </c>
      <c r="BX170" s="83">
        <v>213</v>
      </c>
      <c r="BY170" s="83">
        <v>222</v>
      </c>
      <c r="BZ170" s="83">
        <v>213</v>
      </c>
      <c r="CA170" s="83">
        <v>218</v>
      </c>
      <c r="CB170" s="83">
        <v>215</v>
      </c>
      <c r="CC170" s="83">
        <v>212</v>
      </c>
      <c r="CD170" s="83">
        <v>205</v>
      </c>
      <c r="CE170" s="83">
        <v>218</v>
      </c>
      <c r="CF170" s="83">
        <v>225</v>
      </c>
      <c r="CG170" s="83">
        <v>2082</v>
      </c>
      <c r="CH170" s="83">
        <v>2150</v>
      </c>
      <c r="CI170" s="83">
        <v>2038</v>
      </c>
      <c r="CJ170" s="83">
        <v>1992</v>
      </c>
      <c r="CK170" s="83">
        <v>1994</v>
      </c>
      <c r="CL170" s="83">
        <v>2043</v>
      </c>
      <c r="CM170" s="83">
        <v>1960</v>
      </c>
      <c r="CN170" s="83">
        <v>1997</v>
      </c>
      <c r="CO170" s="83">
        <v>1950</v>
      </c>
      <c r="CP170" s="83">
        <v>1920</v>
      </c>
      <c r="CQ170" s="83">
        <v>1898</v>
      </c>
      <c r="CR170" s="83">
        <v>1855</v>
      </c>
      <c r="CS170" s="83">
        <v>1919</v>
      </c>
      <c r="CT170" s="83">
        <v>1884</v>
      </c>
      <c r="CU170" s="382"/>
    </row>
    <row r="171" spans="1:99" s="86" customFormat="1" x14ac:dyDescent="0.2">
      <c r="A171" s="375">
        <v>355</v>
      </c>
      <c r="B171" s="375">
        <v>43</v>
      </c>
      <c r="C171" s="349" t="s">
        <v>155</v>
      </c>
      <c r="D171" s="376">
        <v>1010</v>
      </c>
      <c r="E171" s="164">
        <f t="shared" si="4"/>
        <v>90.75</v>
      </c>
      <c r="F171" s="394">
        <f t="shared" si="5"/>
        <v>5.2673298285318531</v>
      </c>
      <c r="G171" s="86">
        <v>29</v>
      </c>
      <c r="H171" s="83">
        <v>27</v>
      </c>
      <c r="I171" s="83">
        <v>28</v>
      </c>
      <c r="J171" s="83">
        <v>25</v>
      </c>
      <c r="K171" s="83">
        <v>30</v>
      </c>
      <c r="L171" s="83">
        <v>28</v>
      </c>
      <c r="M171" s="83">
        <v>20</v>
      </c>
      <c r="N171" s="83">
        <v>24</v>
      </c>
      <c r="O171" s="83">
        <v>30</v>
      </c>
      <c r="P171" s="83">
        <v>22</v>
      </c>
      <c r="Q171" s="83">
        <v>21</v>
      </c>
      <c r="R171" s="83">
        <v>31</v>
      </c>
      <c r="S171" s="83">
        <v>36</v>
      </c>
      <c r="T171" s="83">
        <v>26</v>
      </c>
      <c r="U171" s="83">
        <v>28</v>
      </c>
      <c r="V171" s="83">
        <v>17</v>
      </c>
      <c r="W171" s="83">
        <v>26</v>
      </c>
      <c r="X171" s="83">
        <v>29</v>
      </c>
      <c r="Y171" s="83">
        <v>32</v>
      </c>
      <c r="Z171" s="83">
        <v>33</v>
      </c>
      <c r="AA171" s="83">
        <v>290</v>
      </c>
      <c r="AB171" s="83">
        <v>303</v>
      </c>
      <c r="AC171" s="83">
        <v>297</v>
      </c>
      <c r="AD171" s="83">
        <v>274</v>
      </c>
      <c r="AE171" s="83">
        <v>306</v>
      </c>
      <c r="AF171" s="83">
        <v>284</v>
      </c>
      <c r="AG171" s="83">
        <v>294</v>
      </c>
      <c r="AH171" s="83">
        <v>260</v>
      </c>
      <c r="AI171" s="83">
        <v>240</v>
      </c>
      <c r="AJ171" s="83">
        <v>255</v>
      </c>
      <c r="AK171" s="83">
        <v>272</v>
      </c>
      <c r="AL171" s="83">
        <v>251</v>
      </c>
      <c r="AM171" s="83">
        <v>294</v>
      </c>
      <c r="AN171" s="83">
        <v>266</v>
      </c>
      <c r="AO171" s="83">
        <v>264</v>
      </c>
      <c r="AP171" s="83">
        <v>274</v>
      </c>
      <c r="AQ171" s="83">
        <v>255</v>
      </c>
      <c r="AR171" s="83">
        <v>270</v>
      </c>
      <c r="AS171" s="83">
        <v>267</v>
      </c>
      <c r="AT171" s="83">
        <v>265</v>
      </c>
      <c r="AU171" s="83">
        <v>253</v>
      </c>
      <c r="AV171" s="83">
        <v>238</v>
      </c>
      <c r="AW171" s="83">
        <v>229</v>
      </c>
      <c r="AX171" s="83">
        <v>252</v>
      </c>
      <c r="AY171" s="83">
        <v>248</v>
      </c>
      <c r="AZ171" s="83">
        <v>240</v>
      </c>
      <c r="BA171" s="83">
        <v>259</v>
      </c>
      <c r="BB171" s="83">
        <v>232</v>
      </c>
      <c r="BC171" s="83">
        <v>241</v>
      </c>
      <c r="BD171" s="83">
        <v>243</v>
      </c>
      <c r="BE171" s="83">
        <v>224</v>
      </c>
      <c r="BF171" s="83">
        <v>232</v>
      </c>
      <c r="BG171" s="83">
        <v>227</v>
      </c>
      <c r="BH171" s="83">
        <v>230</v>
      </c>
      <c r="BI171" s="83">
        <v>243</v>
      </c>
      <c r="BJ171" s="83">
        <v>229</v>
      </c>
      <c r="BK171" s="83">
        <v>240</v>
      </c>
      <c r="BL171" s="83">
        <v>224</v>
      </c>
      <c r="BM171" s="83">
        <v>230</v>
      </c>
      <c r="BN171" s="83">
        <v>241</v>
      </c>
      <c r="BO171" s="83">
        <v>219</v>
      </c>
      <c r="BP171" s="83">
        <v>242</v>
      </c>
      <c r="BQ171" s="83">
        <v>232</v>
      </c>
      <c r="BR171" s="83">
        <v>218</v>
      </c>
      <c r="BS171" s="83">
        <v>212</v>
      </c>
      <c r="BT171" s="83">
        <v>228</v>
      </c>
      <c r="BU171" s="83">
        <v>208</v>
      </c>
      <c r="BV171" s="83">
        <v>208</v>
      </c>
      <c r="BW171" s="83">
        <v>220</v>
      </c>
      <c r="BX171" s="83">
        <v>188</v>
      </c>
      <c r="BY171" s="83">
        <v>230</v>
      </c>
      <c r="BZ171" s="83">
        <v>198</v>
      </c>
      <c r="CA171" s="83">
        <v>212</v>
      </c>
      <c r="CB171" s="83">
        <v>213</v>
      </c>
      <c r="CC171" s="83">
        <v>203</v>
      </c>
      <c r="CD171" s="83">
        <v>208</v>
      </c>
      <c r="CE171" s="83">
        <v>203</v>
      </c>
      <c r="CF171" s="83">
        <v>197</v>
      </c>
      <c r="CG171" s="83">
        <v>2040</v>
      </c>
      <c r="CH171" s="83">
        <v>1975</v>
      </c>
      <c r="CI171" s="83">
        <v>2026</v>
      </c>
      <c r="CJ171" s="83">
        <v>1885</v>
      </c>
      <c r="CK171" s="83">
        <v>1906</v>
      </c>
      <c r="CL171" s="83">
        <v>1917</v>
      </c>
      <c r="CM171" s="83">
        <v>1882</v>
      </c>
      <c r="CN171" s="83">
        <v>1838</v>
      </c>
      <c r="CO171" s="83">
        <v>1871</v>
      </c>
      <c r="CP171" s="83">
        <v>1825</v>
      </c>
      <c r="CQ171" s="83">
        <v>1871</v>
      </c>
      <c r="CR171" s="83">
        <v>1792</v>
      </c>
      <c r="CS171" s="83">
        <v>1811</v>
      </c>
      <c r="CT171" s="83">
        <v>1794</v>
      </c>
      <c r="CU171" s="382"/>
    </row>
    <row r="172" spans="1:99" s="86" customFormat="1" x14ac:dyDescent="0.2">
      <c r="A172" s="375">
        <v>359</v>
      </c>
      <c r="B172" s="375">
        <v>43</v>
      </c>
      <c r="C172" s="349" t="s">
        <v>156</v>
      </c>
      <c r="D172" s="376">
        <v>1516</v>
      </c>
      <c r="E172" s="381">
        <f t="shared" si="4"/>
        <v>103.35</v>
      </c>
      <c r="F172" s="395">
        <f t="shared" si="5"/>
        <v>5.3865426718786882</v>
      </c>
      <c r="G172" s="86">
        <v>26</v>
      </c>
      <c r="H172" s="83">
        <v>27</v>
      </c>
      <c r="I172" s="83">
        <v>23</v>
      </c>
      <c r="J172" s="83">
        <v>32</v>
      </c>
      <c r="K172" s="83">
        <v>33</v>
      </c>
      <c r="L172" s="83">
        <v>26</v>
      </c>
      <c r="M172" s="83">
        <v>23</v>
      </c>
      <c r="N172" s="83">
        <v>42</v>
      </c>
      <c r="O172" s="83">
        <v>26</v>
      </c>
      <c r="P172" s="83">
        <v>29</v>
      </c>
      <c r="Q172" s="83">
        <v>27</v>
      </c>
      <c r="R172" s="83">
        <v>30</v>
      </c>
      <c r="S172" s="83">
        <v>28</v>
      </c>
      <c r="T172" s="83">
        <v>29</v>
      </c>
      <c r="U172" s="83">
        <v>24</v>
      </c>
      <c r="V172" s="83">
        <v>27</v>
      </c>
      <c r="W172" s="83">
        <v>27</v>
      </c>
      <c r="X172" s="83">
        <v>26</v>
      </c>
      <c r="Y172" s="83">
        <v>26</v>
      </c>
      <c r="Z172" s="83">
        <v>30</v>
      </c>
      <c r="AA172" s="83">
        <v>288</v>
      </c>
      <c r="AB172" s="83">
        <v>292</v>
      </c>
      <c r="AC172" s="83">
        <v>298</v>
      </c>
      <c r="AD172" s="83">
        <v>281</v>
      </c>
      <c r="AE172" s="83">
        <v>312</v>
      </c>
      <c r="AF172" s="83">
        <v>290</v>
      </c>
      <c r="AG172" s="83">
        <v>262</v>
      </c>
      <c r="AH172" s="83">
        <v>256</v>
      </c>
      <c r="AI172" s="83">
        <v>262</v>
      </c>
      <c r="AJ172" s="83">
        <v>243</v>
      </c>
      <c r="AK172" s="83">
        <v>281</v>
      </c>
      <c r="AL172" s="83">
        <v>268</v>
      </c>
      <c r="AM172" s="83">
        <v>280</v>
      </c>
      <c r="AN172" s="83">
        <v>230</v>
      </c>
      <c r="AO172" s="83">
        <v>260</v>
      </c>
      <c r="AP172" s="83">
        <v>251</v>
      </c>
      <c r="AQ172" s="83">
        <v>255</v>
      </c>
      <c r="AR172" s="83">
        <v>225</v>
      </c>
      <c r="AS172" s="83">
        <v>250</v>
      </c>
      <c r="AT172" s="83">
        <v>242</v>
      </c>
      <c r="AU172" s="83">
        <v>253</v>
      </c>
      <c r="AV172" s="83">
        <v>241</v>
      </c>
      <c r="AW172" s="83">
        <v>233</v>
      </c>
      <c r="AX172" s="83">
        <v>237</v>
      </c>
      <c r="AY172" s="83">
        <v>252</v>
      </c>
      <c r="AZ172" s="83">
        <v>230</v>
      </c>
      <c r="BA172" s="83">
        <v>238</v>
      </c>
      <c r="BB172" s="83">
        <v>235</v>
      </c>
      <c r="BC172" s="83">
        <v>227</v>
      </c>
      <c r="BD172" s="83">
        <v>231</v>
      </c>
      <c r="BE172" s="83">
        <v>236</v>
      </c>
      <c r="BF172" s="83">
        <v>231</v>
      </c>
      <c r="BG172" s="83">
        <v>234</v>
      </c>
      <c r="BH172" s="83">
        <v>217</v>
      </c>
      <c r="BI172" s="83">
        <v>241</v>
      </c>
      <c r="BJ172" s="83">
        <v>219</v>
      </c>
      <c r="BK172" s="83">
        <v>225</v>
      </c>
      <c r="BL172" s="83">
        <v>233</v>
      </c>
      <c r="BM172" s="83">
        <v>235</v>
      </c>
      <c r="BN172" s="83">
        <v>210</v>
      </c>
      <c r="BO172" s="83">
        <v>211</v>
      </c>
      <c r="BP172" s="83">
        <v>240</v>
      </c>
      <c r="BQ172" s="83">
        <v>245</v>
      </c>
      <c r="BR172" s="83">
        <v>225</v>
      </c>
      <c r="BS172" s="83">
        <v>218</v>
      </c>
      <c r="BT172" s="83">
        <v>206</v>
      </c>
      <c r="BU172" s="83">
        <v>212</v>
      </c>
      <c r="BV172" s="83">
        <v>228</v>
      </c>
      <c r="BW172" s="83">
        <v>197</v>
      </c>
      <c r="BX172" s="83">
        <v>206</v>
      </c>
      <c r="BY172" s="83">
        <v>198</v>
      </c>
      <c r="BZ172" s="83">
        <v>218</v>
      </c>
      <c r="CA172" s="83">
        <v>214</v>
      </c>
      <c r="CB172" s="83">
        <v>218</v>
      </c>
      <c r="CC172" s="83">
        <v>205</v>
      </c>
      <c r="CD172" s="83">
        <v>208</v>
      </c>
      <c r="CE172" s="83">
        <v>203</v>
      </c>
      <c r="CF172" s="83">
        <v>202</v>
      </c>
      <c r="CG172" s="83">
        <v>2120</v>
      </c>
      <c r="CH172" s="83">
        <v>1986</v>
      </c>
      <c r="CI172" s="83">
        <v>1981</v>
      </c>
      <c r="CJ172" s="83">
        <v>1993</v>
      </c>
      <c r="CK172" s="83">
        <v>1953</v>
      </c>
      <c r="CL172" s="83">
        <v>1903</v>
      </c>
      <c r="CM172" s="83">
        <v>1878</v>
      </c>
      <c r="CN172" s="83">
        <v>1884</v>
      </c>
      <c r="CO172" s="83">
        <v>1867</v>
      </c>
      <c r="CP172" s="83">
        <v>1875</v>
      </c>
      <c r="CQ172" s="83">
        <v>1790</v>
      </c>
      <c r="CR172" s="83">
        <v>1814</v>
      </c>
      <c r="CS172" s="83">
        <v>1802</v>
      </c>
      <c r="CT172" s="83">
        <v>1741</v>
      </c>
      <c r="CU172" s="382"/>
    </row>
    <row r="173" spans="1:99" s="86" customFormat="1" x14ac:dyDescent="0.2">
      <c r="A173" s="377">
        <v>115</v>
      </c>
      <c r="B173" s="377">
        <v>44</v>
      </c>
      <c r="C173" s="347" t="s">
        <v>155</v>
      </c>
      <c r="D173" s="377">
        <v>0</v>
      </c>
      <c r="E173" s="164">
        <f t="shared" si="4"/>
        <v>6810.9</v>
      </c>
      <c r="F173" s="394">
        <f t="shared" si="5"/>
        <v>26.972641377258526</v>
      </c>
      <c r="G173" s="85">
        <v>727</v>
      </c>
      <c r="H173" s="85">
        <v>733</v>
      </c>
      <c r="I173" s="85">
        <v>749</v>
      </c>
      <c r="J173" s="85">
        <v>743</v>
      </c>
      <c r="K173" s="85">
        <v>742</v>
      </c>
      <c r="L173" s="85">
        <v>734</v>
      </c>
      <c r="M173" s="85">
        <v>757</v>
      </c>
      <c r="N173" s="85">
        <v>727</v>
      </c>
      <c r="O173" s="85">
        <v>698</v>
      </c>
      <c r="P173" s="85">
        <v>721</v>
      </c>
      <c r="Q173" s="85">
        <v>731</v>
      </c>
      <c r="R173" s="85">
        <v>704</v>
      </c>
      <c r="S173" s="85">
        <v>714</v>
      </c>
      <c r="T173" s="85">
        <v>723</v>
      </c>
      <c r="U173" s="85">
        <v>731</v>
      </c>
      <c r="V173" s="85">
        <v>685</v>
      </c>
      <c r="W173" s="85">
        <v>697</v>
      </c>
      <c r="X173" s="85">
        <v>699</v>
      </c>
      <c r="Y173" s="85">
        <v>701</v>
      </c>
      <c r="Z173" s="85">
        <v>725</v>
      </c>
      <c r="AA173" s="85">
        <v>6740</v>
      </c>
      <c r="AB173" s="85">
        <v>6417</v>
      </c>
      <c r="AC173" s="85">
        <v>6174</v>
      </c>
      <c r="AD173" s="85">
        <v>5862</v>
      </c>
      <c r="AE173" s="85">
        <v>5887</v>
      </c>
      <c r="AF173" s="85">
        <v>5270</v>
      </c>
      <c r="AG173" s="85">
        <v>5056</v>
      </c>
      <c r="AH173" s="85">
        <v>4874</v>
      </c>
      <c r="AI173" s="85">
        <v>4523</v>
      </c>
      <c r="AJ173" s="85">
        <v>4465</v>
      </c>
      <c r="AK173" s="85">
        <v>4157</v>
      </c>
      <c r="AL173" s="85">
        <v>4058</v>
      </c>
      <c r="AM173" s="85">
        <v>3812</v>
      </c>
      <c r="AN173" s="85">
        <v>3665</v>
      </c>
      <c r="AO173" s="85">
        <v>3545</v>
      </c>
      <c r="AP173" s="85">
        <v>3435</v>
      </c>
      <c r="AQ173" s="85">
        <v>3309</v>
      </c>
      <c r="AR173" s="85">
        <v>3141</v>
      </c>
      <c r="AS173" s="85">
        <v>2987</v>
      </c>
      <c r="AT173" s="85">
        <v>2985</v>
      </c>
      <c r="AU173" s="85">
        <v>2842</v>
      </c>
      <c r="AV173" s="85">
        <v>2768</v>
      </c>
      <c r="AW173" s="85">
        <v>2671</v>
      </c>
      <c r="AX173" s="85">
        <v>2543</v>
      </c>
      <c r="AY173" s="85">
        <v>2495</v>
      </c>
      <c r="AZ173" s="85">
        <v>2391</v>
      </c>
      <c r="BA173" s="85">
        <v>2331</v>
      </c>
      <c r="BB173" s="85">
        <v>2286</v>
      </c>
      <c r="BC173" s="85">
        <v>2253</v>
      </c>
      <c r="BD173" s="85">
        <v>2156</v>
      </c>
      <c r="BE173" s="85">
        <v>2075</v>
      </c>
      <c r="BF173" s="85">
        <v>2020</v>
      </c>
      <c r="BG173" s="85">
        <v>1953</v>
      </c>
      <c r="BH173" s="85">
        <v>1921</v>
      </c>
      <c r="BI173" s="85">
        <v>1824</v>
      </c>
      <c r="BJ173" s="85">
        <v>1772</v>
      </c>
      <c r="BK173" s="85">
        <v>1783</v>
      </c>
      <c r="BL173" s="85">
        <v>1710</v>
      </c>
      <c r="BM173" s="85">
        <v>1666</v>
      </c>
      <c r="BN173" s="85">
        <v>1634</v>
      </c>
      <c r="BO173" s="85">
        <v>1595</v>
      </c>
      <c r="BP173" s="85">
        <v>1545</v>
      </c>
      <c r="BQ173" s="85">
        <v>1511</v>
      </c>
      <c r="BR173" s="85">
        <v>1463</v>
      </c>
      <c r="BS173" s="85">
        <v>1484</v>
      </c>
      <c r="BT173" s="85">
        <v>1495</v>
      </c>
      <c r="BU173" s="85">
        <v>1431</v>
      </c>
      <c r="BV173" s="85">
        <v>1438</v>
      </c>
      <c r="BW173" s="85">
        <v>1343</v>
      </c>
      <c r="BX173" s="85">
        <v>1311</v>
      </c>
      <c r="BY173" s="85">
        <v>1278</v>
      </c>
      <c r="BZ173" s="85">
        <v>1290</v>
      </c>
      <c r="CA173" s="85">
        <v>1247</v>
      </c>
      <c r="CB173" s="85">
        <v>1156</v>
      </c>
      <c r="CC173" s="85">
        <v>1243</v>
      </c>
      <c r="CD173" s="85">
        <v>1174</v>
      </c>
      <c r="CE173" s="85">
        <v>1151</v>
      </c>
      <c r="CF173" s="85">
        <v>1120</v>
      </c>
      <c r="CG173" s="85">
        <v>10545</v>
      </c>
      <c r="CH173" s="85">
        <v>9140</v>
      </c>
      <c r="CI173" s="85">
        <v>8141</v>
      </c>
      <c r="CJ173" s="85">
        <v>7270</v>
      </c>
      <c r="CK173" s="85">
        <v>6657</v>
      </c>
      <c r="CL173" s="85">
        <v>6139</v>
      </c>
      <c r="CM173" s="85">
        <v>5647</v>
      </c>
      <c r="CN173" s="85">
        <v>5254</v>
      </c>
      <c r="CO173" s="85">
        <v>5006</v>
      </c>
      <c r="CP173" s="85">
        <v>4705</v>
      </c>
      <c r="CQ173" s="85">
        <v>4539</v>
      </c>
      <c r="CR173" s="85">
        <v>4297</v>
      </c>
      <c r="CS173" s="85">
        <v>4151</v>
      </c>
      <c r="CT173" s="85">
        <v>4041</v>
      </c>
      <c r="CU173" s="382"/>
    </row>
    <row r="174" spans="1:99" s="86" customFormat="1" x14ac:dyDescent="0.2">
      <c r="A174" s="375">
        <v>119</v>
      </c>
      <c r="B174" s="375">
        <v>44</v>
      </c>
      <c r="C174" s="349" t="s">
        <v>156</v>
      </c>
      <c r="D174" s="375">
        <v>1515</v>
      </c>
      <c r="E174" s="164">
        <f t="shared" si="4"/>
        <v>7588.3</v>
      </c>
      <c r="F174" s="394">
        <f t="shared" si="5"/>
        <v>28.528506004645951</v>
      </c>
      <c r="G174" s="86">
        <v>875</v>
      </c>
      <c r="H174" s="86">
        <v>843</v>
      </c>
      <c r="I174" s="86">
        <v>864</v>
      </c>
      <c r="J174" s="86">
        <v>865</v>
      </c>
      <c r="K174" s="86">
        <v>799</v>
      </c>
      <c r="L174" s="86">
        <v>805</v>
      </c>
      <c r="M174" s="86">
        <v>786</v>
      </c>
      <c r="N174" s="86">
        <v>808</v>
      </c>
      <c r="O174" s="86">
        <v>781</v>
      </c>
      <c r="P174" s="86">
        <v>809</v>
      </c>
      <c r="Q174" s="86">
        <v>787</v>
      </c>
      <c r="R174" s="86">
        <v>755</v>
      </c>
      <c r="S174" s="86">
        <v>1023</v>
      </c>
      <c r="T174" s="86">
        <v>780</v>
      </c>
      <c r="U174" s="86">
        <v>770</v>
      </c>
      <c r="V174" s="86">
        <v>770</v>
      </c>
      <c r="W174" s="86">
        <v>770</v>
      </c>
      <c r="X174" s="86">
        <v>741</v>
      </c>
      <c r="Y174" s="86">
        <v>772</v>
      </c>
      <c r="Z174" s="86">
        <v>757</v>
      </c>
      <c r="AA174" s="86">
        <v>7493</v>
      </c>
      <c r="AB174" s="86">
        <v>6972</v>
      </c>
      <c r="AC174" s="86">
        <v>6712</v>
      </c>
      <c r="AD174" s="86">
        <v>6314</v>
      </c>
      <c r="AE174" s="86">
        <v>6048</v>
      </c>
      <c r="AF174" s="86">
        <v>5777</v>
      </c>
      <c r="AG174" s="86">
        <v>5502</v>
      </c>
      <c r="AH174" s="86">
        <v>5220</v>
      </c>
      <c r="AI174" s="86">
        <v>4975</v>
      </c>
      <c r="AJ174" s="86">
        <v>4768</v>
      </c>
      <c r="AK174" s="86">
        <v>4863</v>
      </c>
      <c r="AL174" s="86">
        <v>4401</v>
      </c>
      <c r="AM174" s="86">
        <v>4189</v>
      </c>
      <c r="AN174" s="86">
        <v>4017</v>
      </c>
      <c r="AO174" s="86">
        <v>3944</v>
      </c>
      <c r="AP174" s="86">
        <v>3743</v>
      </c>
      <c r="AQ174" s="86">
        <v>3532</v>
      </c>
      <c r="AR174" s="86">
        <v>3433</v>
      </c>
      <c r="AS174" s="86">
        <v>3348</v>
      </c>
      <c r="AT174" s="86">
        <v>3193</v>
      </c>
      <c r="AU174" s="86">
        <v>3062</v>
      </c>
      <c r="AV174" s="86">
        <v>2995</v>
      </c>
      <c r="AW174" s="86">
        <v>2851</v>
      </c>
      <c r="AX174" s="86">
        <v>2743</v>
      </c>
      <c r="AY174" s="86">
        <v>2697</v>
      </c>
      <c r="AZ174" s="86">
        <v>2615</v>
      </c>
      <c r="BA174" s="86">
        <v>2539</v>
      </c>
      <c r="BB174" s="86">
        <v>2495</v>
      </c>
      <c r="BC174" s="86">
        <v>2405</v>
      </c>
      <c r="BD174" s="86">
        <v>2284</v>
      </c>
      <c r="BE174" s="86">
        <v>2334</v>
      </c>
      <c r="BF174" s="86">
        <v>2182</v>
      </c>
      <c r="BG174" s="86">
        <v>2126</v>
      </c>
      <c r="BH174" s="86">
        <v>2114</v>
      </c>
      <c r="BI174" s="86">
        <v>2069</v>
      </c>
      <c r="BJ174" s="86">
        <v>1987</v>
      </c>
      <c r="BK174" s="86">
        <v>1923</v>
      </c>
      <c r="BL174" s="86">
        <v>1851</v>
      </c>
      <c r="BM174" s="86">
        <v>1792</v>
      </c>
      <c r="BN174" s="86">
        <v>1820</v>
      </c>
      <c r="BO174" s="86">
        <v>1767</v>
      </c>
      <c r="BP174" s="86">
        <v>1747</v>
      </c>
      <c r="BQ174" s="86">
        <v>1726</v>
      </c>
      <c r="BR174" s="86">
        <v>1652</v>
      </c>
      <c r="BS174" s="86">
        <v>1585</v>
      </c>
      <c r="BT174" s="86">
        <v>1552</v>
      </c>
      <c r="BU174" s="86">
        <v>1560</v>
      </c>
      <c r="BV174" s="86">
        <v>1548</v>
      </c>
      <c r="BW174" s="86">
        <v>1468</v>
      </c>
      <c r="BX174" s="86">
        <v>1472</v>
      </c>
      <c r="BY174" s="86">
        <v>1452</v>
      </c>
      <c r="BZ174" s="86">
        <v>1386</v>
      </c>
      <c r="CA174" s="86">
        <v>1360</v>
      </c>
      <c r="CB174" s="86">
        <v>1095</v>
      </c>
      <c r="CC174" s="86">
        <v>1379</v>
      </c>
      <c r="CD174" s="86">
        <v>1341</v>
      </c>
      <c r="CE174" s="86">
        <v>1317</v>
      </c>
      <c r="CF174" s="86">
        <v>1221</v>
      </c>
      <c r="CG174" s="86">
        <v>11904</v>
      </c>
      <c r="CH174" s="86">
        <v>10363</v>
      </c>
      <c r="CI174" s="86">
        <v>9193</v>
      </c>
      <c r="CJ174" s="86">
        <v>8380</v>
      </c>
      <c r="CK174" s="86">
        <v>7689</v>
      </c>
      <c r="CL174" s="86">
        <v>7193</v>
      </c>
      <c r="CM174" s="86">
        <v>6612</v>
      </c>
      <c r="CN174" s="86">
        <v>6274</v>
      </c>
      <c r="CO174" s="86">
        <v>5906</v>
      </c>
      <c r="CP174" s="86">
        <v>5581</v>
      </c>
      <c r="CQ174" s="86">
        <v>5388</v>
      </c>
      <c r="CR174" s="86">
        <v>5265</v>
      </c>
      <c r="CS174" s="86">
        <v>4892</v>
      </c>
      <c r="CT174" s="86">
        <v>4942</v>
      </c>
      <c r="CU174" s="382"/>
    </row>
    <row r="175" spans="1:99" s="86" customFormat="1" x14ac:dyDescent="0.2">
      <c r="A175" s="375">
        <v>364</v>
      </c>
      <c r="B175" s="375">
        <v>44</v>
      </c>
      <c r="C175" s="349" t="s">
        <v>155</v>
      </c>
      <c r="D175" s="375">
        <v>1010</v>
      </c>
      <c r="E175" s="164">
        <f t="shared" si="4"/>
        <v>5107.55</v>
      </c>
      <c r="F175" s="394">
        <f t="shared" si="5"/>
        <v>23.405634494716207</v>
      </c>
      <c r="G175" s="86">
        <v>572</v>
      </c>
      <c r="H175" s="86">
        <v>565</v>
      </c>
      <c r="I175" s="86">
        <v>543</v>
      </c>
      <c r="J175" s="86">
        <v>548</v>
      </c>
      <c r="K175" s="86">
        <v>572</v>
      </c>
      <c r="L175" s="86">
        <v>556</v>
      </c>
      <c r="M175" s="86">
        <v>584</v>
      </c>
      <c r="N175" s="86">
        <v>555</v>
      </c>
      <c r="O175" s="86">
        <v>531</v>
      </c>
      <c r="P175" s="86">
        <v>575</v>
      </c>
      <c r="Q175" s="86">
        <v>529</v>
      </c>
      <c r="R175" s="86">
        <v>548</v>
      </c>
      <c r="S175" s="86">
        <v>521</v>
      </c>
      <c r="T175" s="86">
        <v>524</v>
      </c>
      <c r="U175" s="86">
        <v>547</v>
      </c>
      <c r="V175" s="86">
        <v>521</v>
      </c>
      <c r="W175" s="86">
        <v>522</v>
      </c>
      <c r="X175" s="86">
        <v>498</v>
      </c>
      <c r="Y175" s="86">
        <v>527</v>
      </c>
      <c r="Z175" s="86">
        <v>531</v>
      </c>
      <c r="AA175" s="86">
        <v>5131</v>
      </c>
      <c r="AB175" s="86">
        <v>4823</v>
      </c>
      <c r="AC175" s="86">
        <v>4548</v>
      </c>
      <c r="AD175" s="86">
        <v>4362</v>
      </c>
      <c r="AE175" s="86">
        <v>4138</v>
      </c>
      <c r="AF175" s="86">
        <v>3985</v>
      </c>
      <c r="AG175" s="86">
        <v>3698</v>
      </c>
      <c r="AH175" s="86">
        <v>3572</v>
      </c>
      <c r="AI175" s="86">
        <v>3415</v>
      </c>
      <c r="AJ175" s="86">
        <v>3234</v>
      </c>
      <c r="AK175" s="86">
        <v>3153</v>
      </c>
      <c r="AL175" s="86">
        <v>3065</v>
      </c>
      <c r="AM175" s="86">
        <v>2850</v>
      </c>
      <c r="AN175" s="86">
        <v>2787</v>
      </c>
      <c r="AO175" s="86">
        <v>2674</v>
      </c>
      <c r="AP175" s="86">
        <v>2501</v>
      </c>
      <c r="AQ175" s="86">
        <v>2488</v>
      </c>
      <c r="AR175" s="86">
        <v>2356</v>
      </c>
      <c r="AS175" s="86">
        <v>2269</v>
      </c>
      <c r="AT175" s="86">
        <v>2175</v>
      </c>
      <c r="AU175" s="86">
        <v>2054</v>
      </c>
      <c r="AV175" s="86">
        <v>2031</v>
      </c>
      <c r="AW175" s="86">
        <v>1970</v>
      </c>
      <c r="AX175" s="86">
        <v>1952</v>
      </c>
      <c r="AY175" s="86">
        <v>1896</v>
      </c>
      <c r="AZ175" s="86">
        <v>1747</v>
      </c>
      <c r="BA175" s="86">
        <v>1730</v>
      </c>
      <c r="BB175" s="86">
        <v>1724</v>
      </c>
      <c r="BC175" s="86">
        <v>1581</v>
      </c>
      <c r="BD175" s="86">
        <v>1560</v>
      </c>
      <c r="BE175" s="86">
        <v>1549</v>
      </c>
      <c r="BF175" s="86">
        <v>1510</v>
      </c>
      <c r="BG175" s="86">
        <v>1491</v>
      </c>
      <c r="BH175" s="86">
        <v>1432</v>
      </c>
      <c r="BI175" s="86">
        <v>1395</v>
      </c>
      <c r="BJ175" s="86">
        <v>1342</v>
      </c>
      <c r="BK175" s="86">
        <v>1345</v>
      </c>
      <c r="BL175" s="86">
        <v>1295</v>
      </c>
      <c r="BM175" s="86">
        <v>1233</v>
      </c>
      <c r="BN175" s="86">
        <v>1219</v>
      </c>
      <c r="BO175" s="86">
        <v>1215</v>
      </c>
      <c r="BP175" s="86">
        <v>1171</v>
      </c>
      <c r="BQ175" s="86">
        <v>1189</v>
      </c>
      <c r="BR175" s="86">
        <v>1092</v>
      </c>
      <c r="BS175" s="86">
        <v>1080</v>
      </c>
      <c r="BT175" s="86">
        <v>1012</v>
      </c>
      <c r="BU175" s="86">
        <v>1088</v>
      </c>
      <c r="BV175" s="86">
        <v>1045</v>
      </c>
      <c r="BW175" s="86">
        <v>1006</v>
      </c>
      <c r="BX175" s="86">
        <v>959</v>
      </c>
      <c r="BY175" s="86">
        <v>958</v>
      </c>
      <c r="BZ175" s="86">
        <v>1006</v>
      </c>
      <c r="CA175" s="86">
        <v>940</v>
      </c>
      <c r="CB175" s="86">
        <v>890</v>
      </c>
      <c r="CC175" s="86">
        <v>935</v>
      </c>
      <c r="CD175" s="86">
        <v>877</v>
      </c>
      <c r="CE175" s="86">
        <v>874</v>
      </c>
      <c r="CF175" s="86">
        <v>858</v>
      </c>
      <c r="CG175" s="86">
        <v>7911</v>
      </c>
      <c r="CH175" s="86">
        <v>6892</v>
      </c>
      <c r="CI175" s="86">
        <v>6102</v>
      </c>
      <c r="CJ175" s="86">
        <v>5588</v>
      </c>
      <c r="CK175" s="86">
        <v>5169</v>
      </c>
      <c r="CL175" s="86">
        <v>4760</v>
      </c>
      <c r="CM175" s="86">
        <v>4440</v>
      </c>
      <c r="CN175" s="86">
        <v>4111</v>
      </c>
      <c r="CO175" s="86">
        <v>3945</v>
      </c>
      <c r="CP175" s="86">
        <v>3763</v>
      </c>
      <c r="CQ175" s="86">
        <v>3618</v>
      </c>
      <c r="CR175" s="86">
        <v>3469</v>
      </c>
      <c r="CS175" s="86">
        <v>3311</v>
      </c>
      <c r="CT175" s="86">
        <v>3228</v>
      </c>
      <c r="CU175" s="382"/>
    </row>
    <row r="176" spans="1:99" s="86" customFormat="1" x14ac:dyDescent="0.2">
      <c r="A176" s="375">
        <v>368</v>
      </c>
      <c r="B176" s="375">
        <v>44</v>
      </c>
      <c r="C176" s="349" t="s">
        <v>156</v>
      </c>
      <c r="D176" s="375">
        <v>1516</v>
      </c>
      <c r="E176" s="164">
        <f t="shared" si="4"/>
        <v>8360.85</v>
      </c>
      <c r="F176" s="394">
        <f t="shared" si="5"/>
        <v>29.917117596197368</v>
      </c>
      <c r="G176" s="86">
        <v>925</v>
      </c>
      <c r="H176" s="86">
        <v>913</v>
      </c>
      <c r="I176" s="86">
        <v>886</v>
      </c>
      <c r="J176" s="86">
        <v>923</v>
      </c>
      <c r="K176" s="86">
        <v>918</v>
      </c>
      <c r="L176" s="86">
        <v>894</v>
      </c>
      <c r="M176" s="86">
        <v>914</v>
      </c>
      <c r="N176" s="86">
        <v>860</v>
      </c>
      <c r="O176" s="86">
        <v>905</v>
      </c>
      <c r="P176" s="86">
        <v>864</v>
      </c>
      <c r="Q176" s="86">
        <v>928</v>
      </c>
      <c r="R176" s="86">
        <v>888</v>
      </c>
      <c r="S176" s="86">
        <v>871</v>
      </c>
      <c r="T176" s="86">
        <v>858</v>
      </c>
      <c r="U176" s="86">
        <v>872</v>
      </c>
      <c r="V176" s="86">
        <v>878</v>
      </c>
      <c r="W176" s="86">
        <v>826</v>
      </c>
      <c r="X176" s="86">
        <v>893</v>
      </c>
      <c r="Y176" s="86">
        <v>864</v>
      </c>
      <c r="Z176" s="86">
        <v>866</v>
      </c>
      <c r="AA176" s="86">
        <v>8344</v>
      </c>
      <c r="AB176" s="86">
        <v>7791</v>
      </c>
      <c r="AC176" s="86">
        <v>7526</v>
      </c>
      <c r="AD176" s="86">
        <v>7051</v>
      </c>
      <c r="AE176" s="86">
        <v>6832</v>
      </c>
      <c r="AF176" s="86">
        <v>6514</v>
      </c>
      <c r="AG176" s="86">
        <v>6158</v>
      </c>
      <c r="AH176" s="86">
        <v>5917</v>
      </c>
      <c r="AI176" s="86">
        <v>5598</v>
      </c>
      <c r="AJ176" s="86">
        <v>5380</v>
      </c>
      <c r="AK176" s="86">
        <v>5095</v>
      </c>
      <c r="AL176" s="86">
        <v>5021</v>
      </c>
      <c r="AM176" s="86">
        <v>4590</v>
      </c>
      <c r="AN176" s="86">
        <v>4502</v>
      </c>
      <c r="AO176" s="86">
        <v>4279</v>
      </c>
      <c r="AP176" s="86">
        <v>4186</v>
      </c>
      <c r="AQ176" s="86">
        <v>4017</v>
      </c>
      <c r="AR176" s="86">
        <v>3808</v>
      </c>
      <c r="AS176" s="86">
        <v>3741</v>
      </c>
      <c r="AT176" s="86">
        <v>3635</v>
      </c>
      <c r="AU176" s="86">
        <v>3481</v>
      </c>
      <c r="AV176" s="86">
        <v>3392</v>
      </c>
      <c r="AW176" s="86">
        <v>3217</v>
      </c>
      <c r="AX176" s="86">
        <v>3145</v>
      </c>
      <c r="AY176" s="86">
        <v>3046</v>
      </c>
      <c r="AZ176" s="86">
        <v>2913</v>
      </c>
      <c r="BA176" s="86">
        <v>2880</v>
      </c>
      <c r="BB176" s="86">
        <v>2807</v>
      </c>
      <c r="BC176" s="86">
        <v>2672</v>
      </c>
      <c r="BD176" s="86">
        <v>2592</v>
      </c>
      <c r="BE176" s="86">
        <v>2519</v>
      </c>
      <c r="BF176" s="86">
        <v>2411</v>
      </c>
      <c r="BG176" s="86">
        <v>2122</v>
      </c>
      <c r="BH176" s="86">
        <v>2383</v>
      </c>
      <c r="BI176" s="86">
        <v>2316</v>
      </c>
      <c r="BJ176" s="86">
        <v>2217</v>
      </c>
      <c r="BK176" s="86">
        <v>2141</v>
      </c>
      <c r="BL176" s="86">
        <v>2078</v>
      </c>
      <c r="BM176" s="86">
        <v>2081</v>
      </c>
      <c r="BN176" s="86">
        <v>2021</v>
      </c>
      <c r="BO176" s="86">
        <v>1952</v>
      </c>
      <c r="BP176" s="86">
        <v>1866</v>
      </c>
      <c r="BQ176" s="86">
        <v>1840</v>
      </c>
      <c r="BR176" s="86">
        <v>1858</v>
      </c>
      <c r="BS176" s="86">
        <v>1827</v>
      </c>
      <c r="BT176" s="86">
        <v>1785</v>
      </c>
      <c r="BU176" s="86">
        <v>1769</v>
      </c>
      <c r="BV176" s="86">
        <v>1725</v>
      </c>
      <c r="BW176" s="86">
        <v>1654</v>
      </c>
      <c r="BX176" s="86">
        <v>1637</v>
      </c>
      <c r="BY176" s="86">
        <v>1635</v>
      </c>
      <c r="BZ176" s="86">
        <v>1615</v>
      </c>
      <c r="CA176" s="86">
        <v>1517</v>
      </c>
      <c r="CB176" s="86">
        <v>1508</v>
      </c>
      <c r="CC176" s="86">
        <v>1482</v>
      </c>
      <c r="CD176" s="86">
        <v>1462</v>
      </c>
      <c r="CE176" s="86">
        <v>1461</v>
      </c>
      <c r="CF176" s="86">
        <v>1404</v>
      </c>
      <c r="CG176" s="86">
        <v>12967</v>
      </c>
      <c r="CH176" s="86">
        <v>11195</v>
      </c>
      <c r="CI176" s="86">
        <v>10049</v>
      </c>
      <c r="CJ176" s="86">
        <v>9035</v>
      </c>
      <c r="CK176" s="86">
        <v>8225</v>
      </c>
      <c r="CL176" s="86">
        <v>7591</v>
      </c>
      <c r="CM176" s="86">
        <v>7194</v>
      </c>
      <c r="CN176" s="86">
        <v>6696</v>
      </c>
      <c r="CO176" s="86">
        <v>6345</v>
      </c>
      <c r="CP176" s="86">
        <v>5955</v>
      </c>
      <c r="CQ176" s="86">
        <v>5741</v>
      </c>
      <c r="CR176" s="86">
        <v>5441</v>
      </c>
      <c r="CS176" s="86">
        <v>5273</v>
      </c>
      <c r="CT176" s="86">
        <v>4970</v>
      </c>
      <c r="CU176" s="382"/>
    </row>
    <row r="177" spans="1:99" s="86" customFormat="1" x14ac:dyDescent="0.2">
      <c r="A177" s="375">
        <v>373</v>
      </c>
      <c r="B177" s="375">
        <v>44</v>
      </c>
      <c r="C177" s="349" t="s">
        <v>155</v>
      </c>
      <c r="D177" s="375">
        <v>2021</v>
      </c>
      <c r="E177" s="164">
        <f t="shared" si="4"/>
        <v>11876.3</v>
      </c>
      <c r="F177" s="394">
        <f t="shared" si="5"/>
        <v>35.441663094718649</v>
      </c>
      <c r="G177" s="86">
        <v>1300</v>
      </c>
      <c r="H177" s="86">
        <v>1282</v>
      </c>
      <c r="I177" s="86">
        <v>1289</v>
      </c>
      <c r="J177" s="86">
        <v>1358</v>
      </c>
      <c r="K177" s="86">
        <v>1287</v>
      </c>
      <c r="L177" s="86">
        <v>1278</v>
      </c>
      <c r="M177" s="86">
        <v>1285</v>
      </c>
      <c r="N177" s="86">
        <v>1254</v>
      </c>
      <c r="O177" s="86">
        <v>1273</v>
      </c>
      <c r="P177" s="86">
        <v>1265</v>
      </c>
      <c r="Q177" s="86">
        <v>1250</v>
      </c>
      <c r="R177" s="86">
        <v>1244</v>
      </c>
      <c r="S177" s="86">
        <v>1204</v>
      </c>
      <c r="T177" s="86">
        <v>1196</v>
      </c>
      <c r="U177" s="86">
        <v>1237</v>
      </c>
      <c r="V177" s="86">
        <v>1208</v>
      </c>
      <c r="W177" s="86">
        <v>1149</v>
      </c>
      <c r="X177" s="86">
        <v>1188</v>
      </c>
      <c r="Y177" s="86">
        <v>1163</v>
      </c>
      <c r="Z177" s="86">
        <v>1206</v>
      </c>
      <c r="AA177" s="86">
        <v>11606</v>
      </c>
      <c r="AB177" s="86">
        <v>11019</v>
      </c>
      <c r="AC177" s="86">
        <v>10438</v>
      </c>
      <c r="AD177" s="86">
        <v>9881</v>
      </c>
      <c r="AE177" s="86">
        <v>9518</v>
      </c>
      <c r="AF177" s="86">
        <v>9050</v>
      </c>
      <c r="AG177" s="86">
        <v>8486</v>
      </c>
      <c r="AH177" s="86">
        <v>8097</v>
      </c>
      <c r="AI177" s="86">
        <v>7595</v>
      </c>
      <c r="AJ177" s="86">
        <v>7344</v>
      </c>
      <c r="AK177" s="86">
        <v>7167</v>
      </c>
      <c r="AL177" s="86">
        <v>6585</v>
      </c>
      <c r="AM177" s="86">
        <v>6424</v>
      </c>
      <c r="AN177" s="86">
        <v>6154</v>
      </c>
      <c r="AO177" s="86">
        <v>5928</v>
      </c>
      <c r="AP177" s="86">
        <v>5717</v>
      </c>
      <c r="AQ177" s="86">
        <v>5391</v>
      </c>
      <c r="AR177" s="86">
        <v>5185</v>
      </c>
      <c r="AS177" s="86">
        <v>5091</v>
      </c>
      <c r="AT177" s="86">
        <v>4808</v>
      </c>
      <c r="AU177" s="86">
        <v>4700</v>
      </c>
      <c r="AV177" s="86">
        <v>4500</v>
      </c>
      <c r="AW177" s="86">
        <v>4451</v>
      </c>
      <c r="AX177" s="86">
        <v>4162</v>
      </c>
      <c r="AY177" s="86">
        <v>4081</v>
      </c>
      <c r="AZ177" s="86">
        <v>3895</v>
      </c>
      <c r="BA177" s="86">
        <v>3880</v>
      </c>
      <c r="BB177" s="86">
        <v>3679</v>
      </c>
      <c r="BC177" s="86">
        <v>3634</v>
      </c>
      <c r="BD177" s="86">
        <v>3431</v>
      </c>
      <c r="BE177" s="86">
        <v>3381</v>
      </c>
      <c r="BF177" s="86">
        <v>3297</v>
      </c>
      <c r="BG177" s="86">
        <v>3188</v>
      </c>
      <c r="BH177" s="86">
        <v>3095</v>
      </c>
      <c r="BI177" s="86">
        <v>3035</v>
      </c>
      <c r="BJ177" s="86">
        <v>2954</v>
      </c>
      <c r="BK177" s="86">
        <v>2783</v>
      </c>
      <c r="BL177" s="86">
        <v>2793</v>
      </c>
      <c r="BM177" s="86">
        <v>2709</v>
      </c>
      <c r="BN177" s="86">
        <v>2685</v>
      </c>
      <c r="BO177" s="86">
        <v>2609</v>
      </c>
      <c r="BP177" s="86">
        <v>2590</v>
      </c>
      <c r="BQ177" s="86">
        <v>2457</v>
      </c>
      <c r="BR177" s="86">
        <v>2419</v>
      </c>
      <c r="BS177" s="86">
        <v>2278</v>
      </c>
      <c r="BT177" s="86">
        <v>2250</v>
      </c>
      <c r="BU177" s="86">
        <v>2260</v>
      </c>
      <c r="BV177" s="86">
        <v>2097</v>
      </c>
      <c r="BW177" s="86">
        <v>2116</v>
      </c>
      <c r="BX177" s="86">
        <v>2133</v>
      </c>
      <c r="BY177" s="86">
        <v>1999</v>
      </c>
      <c r="BZ177" s="86">
        <v>2049</v>
      </c>
      <c r="CA177" s="86">
        <v>1993</v>
      </c>
      <c r="CB177" s="86">
        <v>1935</v>
      </c>
      <c r="CC177" s="86">
        <v>1924</v>
      </c>
      <c r="CD177" s="86">
        <v>1882</v>
      </c>
      <c r="CE177" s="86">
        <v>1880</v>
      </c>
      <c r="CF177" s="86">
        <v>1806</v>
      </c>
      <c r="CG177" s="86">
        <v>16412</v>
      </c>
      <c r="CH177" s="86">
        <v>14215</v>
      </c>
      <c r="CI177" s="86">
        <v>12462</v>
      </c>
      <c r="CJ177" s="86">
        <v>11084</v>
      </c>
      <c r="CK177" s="86">
        <v>10071</v>
      </c>
      <c r="CL177" s="86">
        <v>9196</v>
      </c>
      <c r="CM177" s="86">
        <v>8404</v>
      </c>
      <c r="CN177" s="86">
        <v>7850</v>
      </c>
      <c r="CO177" s="86">
        <v>7434</v>
      </c>
      <c r="CP177" s="86">
        <v>6968</v>
      </c>
      <c r="CQ177" s="86">
        <v>6624</v>
      </c>
      <c r="CR177" s="86">
        <v>6245</v>
      </c>
      <c r="CS177" s="86">
        <v>5963</v>
      </c>
      <c r="CT177" s="86">
        <v>5671</v>
      </c>
      <c r="CU177" s="382"/>
    </row>
    <row r="178" spans="1:99" s="86" customFormat="1" x14ac:dyDescent="0.2">
      <c r="A178" s="375">
        <v>377</v>
      </c>
      <c r="B178" s="375">
        <v>44</v>
      </c>
      <c r="C178" s="349" t="s">
        <v>156</v>
      </c>
      <c r="D178" s="375">
        <v>1516</v>
      </c>
      <c r="E178" s="164">
        <f t="shared" si="4"/>
        <v>9810.7999999999993</v>
      </c>
      <c r="F178" s="394">
        <f t="shared" si="5"/>
        <v>32.545404033988767</v>
      </c>
      <c r="G178" s="86">
        <v>1080</v>
      </c>
      <c r="H178" s="86">
        <v>1143</v>
      </c>
      <c r="I178" s="86">
        <v>1076</v>
      </c>
      <c r="J178" s="86">
        <v>1043</v>
      </c>
      <c r="K178" s="86">
        <v>1072</v>
      </c>
      <c r="L178" s="86">
        <v>1055</v>
      </c>
      <c r="M178" s="86">
        <v>1072</v>
      </c>
      <c r="N178" s="86">
        <v>1073</v>
      </c>
      <c r="O178" s="86">
        <v>1033</v>
      </c>
      <c r="P178" s="86">
        <v>1038</v>
      </c>
      <c r="Q178" s="86">
        <v>1052</v>
      </c>
      <c r="R178" s="86">
        <v>1099</v>
      </c>
      <c r="S178" s="86">
        <v>1049</v>
      </c>
      <c r="T178" s="86">
        <v>1043</v>
      </c>
      <c r="U178" s="86">
        <v>1016</v>
      </c>
      <c r="V178" s="86">
        <v>1004</v>
      </c>
      <c r="W178" s="86">
        <v>1008</v>
      </c>
      <c r="X178" s="86">
        <v>1008</v>
      </c>
      <c r="Y178" s="86">
        <v>1016</v>
      </c>
      <c r="Z178" s="86">
        <v>998</v>
      </c>
      <c r="AA178" s="86">
        <v>9960</v>
      </c>
      <c r="AB178" s="86">
        <v>9542</v>
      </c>
      <c r="AC178" s="86">
        <v>8946</v>
      </c>
      <c r="AD178" s="86">
        <v>8746</v>
      </c>
      <c r="AE178" s="86">
        <v>8282</v>
      </c>
      <c r="AF178" s="86">
        <v>7800</v>
      </c>
      <c r="AG178" s="86">
        <v>7355</v>
      </c>
      <c r="AH178" s="86">
        <v>7109</v>
      </c>
      <c r="AI178" s="86">
        <v>6914</v>
      </c>
      <c r="AJ178" s="86">
        <v>6483</v>
      </c>
      <c r="AK178" s="86">
        <v>6187</v>
      </c>
      <c r="AL178" s="86">
        <v>5997</v>
      </c>
      <c r="AM178" s="86">
        <v>5685</v>
      </c>
      <c r="AN178" s="86">
        <v>5575</v>
      </c>
      <c r="AO178" s="86">
        <v>5340</v>
      </c>
      <c r="AP178" s="86">
        <v>5033</v>
      </c>
      <c r="AQ178" s="86">
        <v>4880</v>
      </c>
      <c r="AR178" s="86">
        <v>4772</v>
      </c>
      <c r="AS178" s="86">
        <v>4466</v>
      </c>
      <c r="AT178" s="86">
        <v>4380</v>
      </c>
      <c r="AU178" s="86">
        <v>4247</v>
      </c>
      <c r="AV178" s="86">
        <v>4107</v>
      </c>
      <c r="AW178" s="86">
        <v>3888</v>
      </c>
      <c r="AX178" s="86">
        <v>3895</v>
      </c>
      <c r="AY178" s="86">
        <v>3682</v>
      </c>
      <c r="AZ178" s="86">
        <v>3569</v>
      </c>
      <c r="BA178" s="86">
        <v>3477</v>
      </c>
      <c r="BB178" s="86">
        <v>3458</v>
      </c>
      <c r="BC178" s="86">
        <v>3386</v>
      </c>
      <c r="BD178" s="86">
        <v>3214</v>
      </c>
      <c r="BE178" s="86">
        <v>3083</v>
      </c>
      <c r="BF178" s="86">
        <v>3069</v>
      </c>
      <c r="BG178" s="86">
        <v>2956</v>
      </c>
      <c r="BH178" s="86">
        <v>2943</v>
      </c>
      <c r="BI178" s="86">
        <v>2762</v>
      </c>
      <c r="BJ178" s="86">
        <v>2731</v>
      </c>
      <c r="BK178" s="86">
        <v>2700</v>
      </c>
      <c r="BL178" s="86">
        <v>2586</v>
      </c>
      <c r="BM178" s="86">
        <v>2530</v>
      </c>
      <c r="BN178" s="86">
        <v>2497</v>
      </c>
      <c r="BO178" s="86">
        <v>2494</v>
      </c>
      <c r="BP178" s="86">
        <v>2385</v>
      </c>
      <c r="BQ178" s="86">
        <v>2356</v>
      </c>
      <c r="BR178" s="86">
        <v>2313</v>
      </c>
      <c r="BS178" s="86">
        <v>2240</v>
      </c>
      <c r="BT178" s="86">
        <v>2148</v>
      </c>
      <c r="BU178" s="86">
        <v>2140</v>
      </c>
      <c r="BV178" s="86">
        <v>2158</v>
      </c>
      <c r="BW178" s="86">
        <v>2120</v>
      </c>
      <c r="BX178" s="86">
        <v>2130</v>
      </c>
      <c r="BY178" s="86">
        <v>2067</v>
      </c>
      <c r="BZ178" s="86">
        <v>2000</v>
      </c>
      <c r="CA178" s="86">
        <v>1958</v>
      </c>
      <c r="CB178" s="86">
        <v>1933</v>
      </c>
      <c r="CC178" s="86">
        <v>1928</v>
      </c>
      <c r="CD178" s="86">
        <v>1832</v>
      </c>
      <c r="CE178" s="86">
        <v>1792</v>
      </c>
      <c r="CF178" s="86">
        <v>1852</v>
      </c>
      <c r="CG178" s="86">
        <v>16584</v>
      </c>
      <c r="CH178" s="86">
        <v>14604</v>
      </c>
      <c r="CI178" s="86">
        <v>13013</v>
      </c>
      <c r="CJ178" s="86">
        <v>11621</v>
      </c>
      <c r="CK178" s="86">
        <v>10616</v>
      </c>
      <c r="CL178" s="86">
        <v>9921</v>
      </c>
      <c r="CM178" s="86">
        <v>9342</v>
      </c>
      <c r="CN178" s="86">
        <v>8803</v>
      </c>
      <c r="CO178" s="86">
        <v>8211</v>
      </c>
      <c r="CP178" s="86">
        <v>7923</v>
      </c>
      <c r="CQ178" s="86">
        <v>7626</v>
      </c>
      <c r="CR178" s="86">
        <v>7146</v>
      </c>
      <c r="CS178" s="86">
        <v>6878</v>
      </c>
      <c r="CT178" s="86">
        <v>6686</v>
      </c>
      <c r="CU178" s="382"/>
    </row>
    <row r="179" spans="1:99" s="86" customFormat="1" x14ac:dyDescent="0.2">
      <c r="A179" s="375">
        <v>382</v>
      </c>
      <c r="B179" s="375">
        <v>44</v>
      </c>
      <c r="C179" s="349" t="s">
        <v>155</v>
      </c>
      <c r="D179" s="375">
        <v>4168</v>
      </c>
      <c r="E179" s="164">
        <f t="shared" si="4"/>
        <v>25684.45</v>
      </c>
      <c r="F179" s="394">
        <f t="shared" si="5"/>
        <v>52.070254151609163</v>
      </c>
      <c r="G179" s="86">
        <v>2858</v>
      </c>
      <c r="H179" s="86">
        <v>2696</v>
      </c>
      <c r="I179" s="86">
        <v>2736</v>
      </c>
      <c r="J179" s="86">
        <v>2734</v>
      </c>
      <c r="K179" s="86">
        <v>2664</v>
      </c>
      <c r="L179" s="86">
        <v>2790</v>
      </c>
      <c r="M179" s="86">
        <v>2755</v>
      </c>
      <c r="N179" s="86">
        <v>2701</v>
      </c>
      <c r="O179" s="86">
        <v>2668</v>
      </c>
      <c r="P179" s="86">
        <v>2737</v>
      </c>
      <c r="Q179" s="86">
        <v>2766</v>
      </c>
      <c r="R179" s="86">
        <v>2682</v>
      </c>
      <c r="S179" s="86">
        <v>2613</v>
      </c>
      <c r="T179" s="86">
        <v>2707</v>
      </c>
      <c r="U179" s="86">
        <v>2660</v>
      </c>
      <c r="V179" s="86">
        <v>2606</v>
      </c>
      <c r="W179" s="86">
        <v>2621</v>
      </c>
      <c r="X179" s="86">
        <v>2545</v>
      </c>
      <c r="Y179" s="86">
        <v>2629</v>
      </c>
      <c r="Z179" s="86">
        <v>2601</v>
      </c>
      <c r="AA179" s="86">
        <v>25435</v>
      </c>
      <c r="AB179" s="86">
        <v>24221</v>
      </c>
      <c r="AC179" s="86">
        <v>23161</v>
      </c>
      <c r="AD179" s="86">
        <v>22266</v>
      </c>
      <c r="AE179" s="86">
        <v>20981</v>
      </c>
      <c r="AF179" s="86">
        <v>20014</v>
      </c>
      <c r="AG179" s="86">
        <v>19344</v>
      </c>
      <c r="AH179" s="86">
        <v>18316</v>
      </c>
      <c r="AI179" s="86">
        <v>17308</v>
      </c>
      <c r="AJ179" s="86">
        <v>16670</v>
      </c>
      <c r="AK179" s="86">
        <v>15922</v>
      </c>
      <c r="AL179" s="86">
        <v>15238</v>
      </c>
      <c r="AM179" s="86">
        <v>14603</v>
      </c>
      <c r="AN179" s="86">
        <v>13889</v>
      </c>
      <c r="AO179" s="86">
        <v>13331</v>
      </c>
      <c r="AP179" s="86">
        <v>12871</v>
      </c>
      <c r="AQ179" s="86">
        <v>12372</v>
      </c>
      <c r="AR179" s="86">
        <v>11907</v>
      </c>
      <c r="AS179" s="86">
        <v>11606</v>
      </c>
      <c r="AT179" s="86">
        <v>11171</v>
      </c>
      <c r="AU179" s="86">
        <v>10644</v>
      </c>
      <c r="AV179" s="86">
        <v>10362</v>
      </c>
      <c r="AW179" s="86">
        <v>10239</v>
      </c>
      <c r="AX179" s="86">
        <v>9689</v>
      </c>
      <c r="AY179" s="86">
        <v>9356</v>
      </c>
      <c r="AZ179" s="86">
        <v>8888</v>
      </c>
      <c r="BA179" s="86">
        <v>8721</v>
      </c>
      <c r="BB179" s="86">
        <v>8514</v>
      </c>
      <c r="BC179" s="86">
        <v>8239</v>
      </c>
      <c r="BD179" s="86">
        <v>7868</v>
      </c>
      <c r="BE179" s="86">
        <v>7768</v>
      </c>
      <c r="BF179" s="86">
        <v>7414</v>
      </c>
      <c r="BG179" s="86">
        <v>7287</v>
      </c>
      <c r="BH179" s="86">
        <v>7005</v>
      </c>
      <c r="BI179" s="86">
        <v>6698</v>
      </c>
      <c r="BJ179" s="86">
        <v>6721</v>
      </c>
      <c r="BK179" s="86">
        <v>6522</v>
      </c>
      <c r="BL179" s="86">
        <v>6248</v>
      </c>
      <c r="BM179" s="86">
        <v>6151</v>
      </c>
      <c r="BN179" s="86">
        <v>6027</v>
      </c>
      <c r="BO179" s="86">
        <v>5987</v>
      </c>
      <c r="BP179" s="86">
        <v>5710</v>
      </c>
      <c r="BQ179" s="86">
        <v>5674</v>
      </c>
      <c r="BR179" s="86">
        <v>5503</v>
      </c>
      <c r="BS179" s="86">
        <v>5369</v>
      </c>
      <c r="BT179" s="86">
        <v>5264</v>
      </c>
      <c r="BU179" s="86">
        <v>5183</v>
      </c>
      <c r="BV179" s="86">
        <v>4918</v>
      </c>
      <c r="BW179" s="86">
        <v>4859</v>
      </c>
      <c r="BX179" s="86">
        <v>4727</v>
      </c>
      <c r="BY179" s="86">
        <v>4753</v>
      </c>
      <c r="BZ179" s="86">
        <v>4679</v>
      </c>
      <c r="CA179" s="86">
        <v>4524</v>
      </c>
      <c r="CB179" s="86">
        <v>4451</v>
      </c>
      <c r="CC179" s="86">
        <v>4341</v>
      </c>
      <c r="CD179" s="86">
        <v>4312</v>
      </c>
      <c r="CE179" s="86">
        <v>4230</v>
      </c>
      <c r="CF179" s="86">
        <v>4073</v>
      </c>
      <c r="CG179" s="86">
        <v>36819</v>
      </c>
      <c r="CH179" s="86">
        <v>31402</v>
      </c>
      <c r="CI179" s="86">
        <v>27346</v>
      </c>
      <c r="CJ179" s="86">
        <v>24196</v>
      </c>
      <c r="CK179" s="86">
        <v>21887</v>
      </c>
      <c r="CL179" s="86">
        <v>19718</v>
      </c>
      <c r="CM179" s="86">
        <v>18192</v>
      </c>
      <c r="CN179" s="86">
        <v>16648</v>
      </c>
      <c r="CO179" s="86">
        <v>15535</v>
      </c>
      <c r="CP179" s="86">
        <v>14653</v>
      </c>
      <c r="CQ179" s="86">
        <v>13597</v>
      </c>
      <c r="CR179" s="86">
        <v>12902</v>
      </c>
      <c r="CS179" s="86">
        <v>12260</v>
      </c>
      <c r="CT179" s="86">
        <v>11741</v>
      </c>
      <c r="CU179" s="382"/>
    </row>
    <row r="180" spans="1:99" s="86" customFormat="1" x14ac:dyDescent="0.2">
      <c r="A180" s="375">
        <v>386</v>
      </c>
      <c r="B180" s="375">
        <v>44</v>
      </c>
      <c r="C180" s="349" t="s">
        <v>156</v>
      </c>
      <c r="D180" s="375">
        <v>1516</v>
      </c>
      <c r="E180" s="164">
        <f t="shared" si="4"/>
        <v>11264.75</v>
      </c>
      <c r="F180" s="394">
        <f t="shared" si="5"/>
        <v>35.186340620009894</v>
      </c>
      <c r="G180" s="86">
        <v>1277</v>
      </c>
      <c r="H180" s="86">
        <v>1254</v>
      </c>
      <c r="I180" s="86">
        <v>1237</v>
      </c>
      <c r="J180" s="86">
        <v>1268</v>
      </c>
      <c r="K180" s="86">
        <v>1250</v>
      </c>
      <c r="L180" s="86">
        <v>1232</v>
      </c>
      <c r="M180" s="86">
        <v>1283</v>
      </c>
      <c r="N180" s="86">
        <v>1240</v>
      </c>
      <c r="O180" s="86">
        <v>1243</v>
      </c>
      <c r="P180" s="86">
        <v>1200</v>
      </c>
      <c r="Q180" s="86">
        <v>1207</v>
      </c>
      <c r="R180" s="86">
        <v>1193</v>
      </c>
      <c r="S180" s="86">
        <v>1210</v>
      </c>
      <c r="T180" s="86">
        <v>1221</v>
      </c>
      <c r="U180" s="86">
        <v>1184</v>
      </c>
      <c r="V180" s="86">
        <v>1174</v>
      </c>
      <c r="W180" s="86">
        <v>1180</v>
      </c>
      <c r="X180" s="86">
        <v>1220</v>
      </c>
      <c r="Y180" s="86">
        <v>1202</v>
      </c>
      <c r="Z180" s="86">
        <v>1197</v>
      </c>
      <c r="AA180" s="86">
        <v>11621</v>
      </c>
      <c r="AB180" s="86">
        <v>11101</v>
      </c>
      <c r="AC180" s="86">
        <v>10706</v>
      </c>
      <c r="AD180" s="86">
        <v>10292</v>
      </c>
      <c r="AE180" s="86">
        <v>9903</v>
      </c>
      <c r="AF180" s="86">
        <v>9545</v>
      </c>
      <c r="AG180" s="86">
        <v>8871</v>
      </c>
      <c r="AH180" s="86">
        <v>8645</v>
      </c>
      <c r="AI180" s="86">
        <v>8335</v>
      </c>
      <c r="AJ180" s="86">
        <v>8061</v>
      </c>
      <c r="AK180" s="86">
        <v>7612</v>
      </c>
      <c r="AL180" s="86">
        <v>7348</v>
      </c>
      <c r="AM180" s="86">
        <v>7120</v>
      </c>
      <c r="AN180" s="86">
        <v>6870</v>
      </c>
      <c r="AO180" s="86">
        <v>6602</v>
      </c>
      <c r="AP180" s="86">
        <v>6322</v>
      </c>
      <c r="AQ180" s="86">
        <v>6097</v>
      </c>
      <c r="AR180" s="86">
        <v>5928</v>
      </c>
      <c r="AS180" s="86">
        <v>5823</v>
      </c>
      <c r="AT180" s="86">
        <v>5661</v>
      </c>
      <c r="AU180" s="86">
        <v>5388</v>
      </c>
      <c r="AV180" s="86">
        <v>5133</v>
      </c>
      <c r="AW180" s="86">
        <v>5001</v>
      </c>
      <c r="AX180" s="86">
        <v>4897</v>
      </c>
      <c r="AY180" s="86">
        <v>4861</v>
      </c>
      <c r="AZ180" s="86">
        <v>4675</v>
      </c>
      <c r="BA180" s="86">
        <v>4463</v>
      </c>
      <c r="BB180" s="86">
        <v>4507</v>
      </c>
      <c r="BC180" s="86">
        <v>4276</v>
      </c>
      <c r="BD180" s="86">
        <v>4180</v>
      </c>
      <c r="BE180" s="86">
        <v>4169</v>
      </c>
      <c r="BF180" s="86">
        <v>3922</v>
      </c>
      <c r="BG180" s="86">
        <v>3912</v>
      </c>
      <c r="BH180" s="86">
        <v>3794</v>
      </c>
      <c r="BI180" s="86">
        <v>3794</v>
      </c>
      <c r="BJ180" s="86">
        <v>3570</v>
      </c>
      <c r="BK180" s="86">
        <v>3527</v>
      </c>
      <c r="BL180" s="86">
        <v>3499</v>
      </c>
      <c r="BM180" s="86">
        <v>3424</v>
      </c>
      <c r="BN180" s="86">
        <v>3318</v>
      </c>
      <c r="BO180" s="86">
        <v>3277</v>
      </c>
      <c r="BP180" s="86">
        <v>3179</v>
      </c>
      <c r="BQ180" s="86">
        <v>3251</v>
      </c>
      <c r="BR180" s="86">
        <v>3037</v>
      </c>
      <c r="BS180" s="86">
        <v>3075</v>
      </c>
      <c r="BT180" s="86">
        <v>2931</v>
      </c>
      <c r="BU180" s="86">
        <v>2936</v>
      </c>
      <c r="BV180" s="86">
        <v>2873</v>
      </c>
      <c r="BW180" s="86">
        <v>2819</v>
      </c>
      <c r="BX180" s="86">
        <v>2635</v>
      </c>
      <c r="BY180" s="86">
        <v>2728</v>
      </c>
      <c r="BZ180" s="86">
        <v>2761</v>
      </c>
      <c r="CA180" s="86">
        <v>2627</v>
      </c>
      <c r="CB180" s="86">
        <v>2619</v>
      </c>
      <c r="CC180" s="86">
        <v>2614</v>
      </c>
      <c r="CD180" s="86">
        <v>2560</v>
      </c>
      <c r="CE180" s="86">
        <v>2513</v>
      </c>
      <c r="CF180" s="86">
        <v>2512</v>
      </c>
      <c r="CG180" s="86">
        <v>22558</v>
      </c>
      <c r="CH180" s="86">
        <v>20037</v>
      </c>
      <c r="CI180" s="86">
        <v>18129</v>
      </c>
      <c r="CJ180" s="86">
        <v>16547</v>
      </c>
      <c r="CK180" s="86">
        <v>15098</v>
      </c>
      <c r="CL180" s="86">
        <v>14057</v>
      </c>
      <c r="CM180" s="86">
        <v>13307</v>
      </c>
      <c r="CN180" s="86">
        <v>12514</v>
      </c>
      <c r="CO180" s="86">
        <v>11891</v>
      </c>
      <c r="CP180" s="86">
        <v>11352</v>
      </c>
      <c r="CQ180" s="86">
        <v>10800</v>
      </c>
      <c r="CR180" s="86">
        <v>10444</v>
      </c>
      <c r="CS180" s="86">
        <v>9916</v>
      </c>
      <c r="CT180" s="86">
        <v>9509</v>
      </c>
      <c r="CU180" s="382"/>
    </row>
    <row r="181" spans="1:99" s="86" customFormat="1" x14ac:dyDescent="0.2">
      <c r="A181" s="375">
        <v>391</v>
      </c>
      <c r="B181" s="375">
        <v>44</v>
      </c>
      <c r="C181" s="349" t="s">
        <v>155</v>
      </c>
      <c r="D181" s="375">
        <v>0</v>
      </c>
      <c r="E181" s="164">
        <f t="shared" si="4"/>
        <v>67.800000000000011</v>
      </c>
      <c r="F181" s="394">
        <f t="shared" si="5"/>
        <v>5.6825169985520141</v>
      </c>
      <c r="G181" s="86">
        <v>32</v>
      </c>
      <c r="H181" s="86">
        <v>25</v>
      </c>
      <c r="I181" s="86">
        <v>30</v>
      </c>
      <c r="J181" s="86">
        <v>28</v>
      </c>
      <c r="K181" s="86">
        <v>35</v>
      </c>
      <c r="L181" s="86">
        <v>37</v>
      </c>
      <c r="M181" s="86">
        <v>33</v>
      </c>
      <c r="N181" s="86">
        <v>34</v>
      </c>
      <c r="O181" s="86">
        <v>34</v>
      </c>
      <c r="P181" s="86">
        <v>36</v>
      </c>
      <c r="Q181" s="86">
        <v>30</v>
      </c>
      <c r="R181" s="86">
        <v>26</v>
      </c>
      <c r="S181" s="86">
        <v>29</v>
      </c>
      <c r="T181" s="86">
        <v>33</v>
      </c>
      <c r="U181" s="86">
        <v>28</v>
      </c>
      <c r="V181" s="86">
        <v>30</v>
      </c>
      <c r="W181" s="86">
        <v>31</v>
      </c>
      <c r="X181" s="86">
        <v>28</v>
      </c>
      <c r="Y181" s="86">
        <v>33</v>
      </c>
      <c r="Z181" s="86">
        <v>36</v>
      </c>
      <c r="AA181" s="86">
        <v>304</v>
      </c>
      <c r="AB181" s="86">
        <v>323</v>
      </c>
      <c r="AC181" s="86">
        <v>368</v>
      </c>
      <c r="AD181" s="86">
        <v>356</v>
      </c>
      <c r="AE181" s="86">
        <v>335</v>
      </c>
      <c r="AF181" s="86">
        <v>358</v>
      </c>
      <c r="AG181" s="86">
        <v>349</v>
      </c>
      <c r="AH181" s="86">
        <v>341</v>
      </c>
      <c r="AI181" s="86">
        <v>346</v>
      </c>
      <c r="AJ181" s="86">
        <v>353</v>
      </c>
      <c r="AK181" s="86">
        <v>352</v>
      </c>
      <c r="AL181" s="86">
        <v>358</v>
      </c>
      <c r="AM181" s="86">
        <v>332</v>
      </c>
      <c r="AN181" s="86">
        <v>333</v>
      </c>
      <c r="AO181" s="86">
        <v>331</v>
      </c>
      <c r="AP181" s="86">
        <v>312</v>
      </c>
      <c r="AQ181" s="86">
        <v>304</v>
      </c>
      <c r="AR181" s="86">
        <v>328</v>
      </c>
      <c r="AS181" s="86">
        <v>332</v>
      </c>
      <c r="AT181" s="86">
        <v>327</v>
      </c>
      <c r="AU181" s="86">
        <v>325</v>
      </c>
      <c r="AV181" s="86">
        <v>311</v>
      </c>
      <c r="AW181" s="86">
        <v>310</v>
      </c>
      <c r="AX181" s="86">
        <v>311</v>
      </c>
      <c r="AY181" s="86">
        <v>280</v>
      </c>
      <c r="AZ181" s="86">
        <v>336</v>
      </c>
      <c r="BA181" s="86">
        <v>307</v>
      </c>
      <c r="BB181" s="86">
        <v>303</v>
      </c>
      <c r="BC181" s="86">
        <v>314</v>
      </c>
      <c r="BD181" s="86">
        <v>296</v>
      </c>
      <c r="BE181" s="86">
        <v>286</v>
      </c>
      <c r="BF181" s="86">
        <v>306</v>
      </c>
      <c r="BG181" s="86">
        <v>300</v>
      </c>
      <c r="BH181" s="86">
        <v>286</v>
      </c>
      <c r="BI181" s="86">
        <v>325</v>
      </c>
      <c r="BJ181" s="86">
        <v>300</v>
      </c>
      <c r="BK181" s="86">
        <v>303</v>
      </c>
      <c r="BL181" s="86">
        <v>280</v>
      </c>
      <c r="BM181" s="86">
        <v>285</v>
      </c>
      <c r="BN181" s="86">
        <v>292</v>
      </c>
      <c r="BO181" s="86">
        <v>295</v>
      </c>
      <c r="BP181" s="86">
        <v>301</v>
      </c>
      <c r="BQ181" s="86">
        <v>297</v>
      </c>
      <c r="BR181" s="86">
        <v>283</v>
      </c>
      <c r="BS181" s="86">
        <v>301</v>
      </c>
      <c r="BT181" s="86">
        <v>286</v>
      </c>
      <c r="BU181" s="86">
        <v>293</v>
      </c>
      <c r="BV181" s="86">
        <v>306</v>
      </c>
      <c r="BW181" s="86">
        <v>295</v>
      </c>
      <c r="BX181" s="86">
        <v>285</v>
      </c>
      <c r="BY181" s="86">
        <v>301</v>
      </c>
      <c r="BZ181" s="86">
        <v>288</v>
      </c>
      <c r="CA181" s="86">
        <v>282</v>
      </c>
      <c r="CB181" s="86">
        <v>295</v>
      </c>
      <c r="CC181" s="86">
        <v>298</v>
      </c>
      <c r="CD181" s="86">
        <v>279</v>
      </c>
      <c r="CE181" s="86">
        <v>300</v>
      </c>
      <c r="CF181" s="86">
        <v>288</v>
      </c>
      <c r="CG181" s="86">
        <v>2821</v>
      </c>
      <c r="CH181" s="86">
        <v>2771</v>
      </c>
      <c r="CI181" s="86">
        <v>2745</v>
      </c>
      <c r="CJ181" s="86">
        <v>2651</v>
      </c>
      <c r="CK181" s="86">
        <v>2696</v>
      </c>
      <c r="CL181" s="86">
        <v>2614</v>
      </c>
      <c r="CM181" s="86">
        <v>2537</v>
      </c>
      <c r="CN181" s="86">
        <v>2602</v>
      </c>
      <c r="CO181" s="86">
        <v>2526</v>
      </c>
      <c r="CP181" s="86">
        <v>2498</v>
      </c>
      <c r="CQ181" s="86">
        <v>2565</v>
      </c>
      <c r="CR181" s="86">
        <v>2474</v>
      </c>
      <c r="CS181" s="86">
        <v>2447</v>
      </c>
      <c r="CT181" s="86">
        <v>2477</v>
      </c>
      <c r="CU181" s="382"/>
    </row>
    <row r="182" spans="1:99" s="86" customFormat="1" x14ac:dyDescent="0.2">
      <c r="A182" s="375">
        <v>395</v>
      </c>
      <c r="B182" s="375">
        <v>44</v>
      </c>
      <c r="C182" s="349" t="s">
        <v>156</v>
      </c>
      <c r="D182" s="375">
        <v>1516</v>
      </c>
      <c r="E182" s="164">
        <f t="shared" si="4"/>
        <v>10794.6</v>
      </c>
      <c r="F182" s="394">
        <f t="shared" si="5"/>
        <v>33.978212384710993</v>
      </c>
      <c r="G182" s="86">
        <v>1221</v>
      </c>
      <c r="H182" s="86">
        <v>1153</v>
      </c>
      <c r="I182" s="86">
        <v>1205</v>
      </c>
      <c r="J182" s="86">
        <v>1221</v>
      </c>
      <c r="K182" s="86">
        <v>1186</v>
      </c>
      <c r="L182" s="86">
        <v>1217</v>
      </c>
      <c r="M182" s="86">
        <v>1141</v>
      </c>
      <c r="N182" s="86">
        <v>1118</v>
      </c>
      <c r="O182" s="86">
        <v>1153</v>
      </c>
      <c r="P182" s="86">
        <v>1122</v>
      </c>
      <c r="Q182" s="86">
        <v>1085</v>
      </c>
      <c r="R182" s="86">
        <v>1116</v>
      </c>
      <c r="S182" s="86">
        <v>1097</v>
      </c>
      <c r="T182" s="86">
        <v>1104</v>
      </c>
      <c r="U182" s="86">
        <v>1110</v>
      </c>
      <c r="V182" s="86">
        <v>1161</v>
      </c>
      <c r="W182" s="86">
        <v>1167</v>
      </c>
      <c r="X182" s="86">
        <v>1143</v>
      </c>
      <c r="Y182" s="86">
        <v>1108</v>
      </c>
      <c r="Z182" s="86">
        <v>1065</v>
      </c>
      <c r="AA182" s="86">
        <v>10760</v>
      </c>
      <c r="AB182" s="86">
        <v>10371</v>
      </c>
      <c r="AC182" s="86">
        <v>9907</v>
      </c>
      <c r="AD182" s="86">
        <v>9487</v>
      </c>
      <c r="AE182" s="86">
        <v>8954</v>
      </c>
      <c r="AF182" s="86">
        <v>8635</v>
      </c>
      <c r="AG182" s="86">
        <v>8242</v>
      </c>
      <c r="AH182" s="86">
        <v>7822</v>
      </c>
      <c r="AI182" s="86">
        <v>7495</v>
      </c>
      <c r="AJ182" s="86">
        <v>7113</v>
      </c>
      <c r="AK182" s="86">
        <v>6846</v>
      </c>
      <c r="AL182" s="86">
        <v>6602</v>
      </c>
      <c r="AM182" s="86">
        <v>6315</v>
      </c>
      <c r="AN182" s="86">
        <v>6079</v>
      </c>
      <c r="AO182" s="86">
        <v>5847</v>
      </c>
      <c r="AP182" s="86">
        <v>5671</v>
      </c>
      <c r="AQ182" s="86">
        <v>5519</v>
      </c>
      <c r="AR182" s="86">
        <v>5298</v>
      </c>
      <c r="AS182" s="86">
        <v>5028</v>
      </c>
      <c r="AT182" s="86">
        <v>4931</v>
      </c>
      <c r="AU182" s="86">
        <v>4707</v>
      </c>
      <c r="AV182" s="86">
        <v>4582</v>
      </c>
      <c r="AW182" s="86">
        <v>4404</v>
      </c>
      <c r="AX182" s="86">
        <v>4256</v>
      </c>
      <c r="AY182" s="86">
        <v>4186</v>
      </c>
      <c r="AZ182" s="86">
        <v>3973</v>
      </c>
      <c r="BA182" s="86">
        <v>3848</v>
      </c>
      <c r="BB182" s="86">
        <v>3768</v>
      </c>
      <c r="BC182" s="86">
        <v>3686</v>
      </c>
      <c r="BD182" s="86">
        <v>3590</v>
      </c>
      <c r="BE182" s="86">
        <v>3485</v>
      </c>
      <c r="BF182" s="86">
        <v>3364</v>
      </c>
      <c r="BG182" s="86">
        <v>3337</v>
      </c>
      <c r="BH182" s="86">
        <v>3166</v>
      </c>
      <c r="BI182" s="86">
        <v>3143</v>
      </c>
      <c r="BJ182" s="86">
        <v>3008</v>
      </c>
      <c r="BK182" s="86">
        <v>2952</v>
      </c>
      <c r="BL182" s="86">
        <v>2851</v>
      </c>
      <c r="BM182" s="86">
        <v>2783</v>
      </c>
      <c r="BN182" s="86">
        <v>2715</v>
      </c>
      <c r="BO182" s="86">
        <v>2685</v>
      </c>
      <c r="BP182" s="86">
        <v>2674</v>
      </c>
      <c r="BQ182" s="86">
        <v>2551</v>
      </c>
      <c r="BR182" s="86">
        <v>2509</v>
      </c>
      <c r="BS182" s="86">
        <v>2452</v>
      </c>
      <c r="BT182" s="86">
        <v>2408</v>
      </c>
      <c r="BU182" s="86">
        <v>2559</v>
      </c>
      <c r="BV182" s="86">
        <v>2248</v>
      </c>
      <c r="BW182" s="86">
        <v>2264</v>
      </c>
      <c r="BX182" s="86">
        <v>2188</v>
      </c>
      <c r="BY182" s="86">
        <v>2189</v>
      </c>
      <c r="BZ182" s="86">
        <v>2120</v>
      </c>
      <c r="CA182" s="86">
        <v>2103</v>
      </c>
      <c r="CB182" s="86">
        <v>2051</v>
      </c>
      <c r="CC182" s="86">
        <v>1950</v>
      </c>
      <c r="CD182" s="86">
        <v>1982</v>
      </c>
      <c r="CE182" s="86">
        <v>1941</v>
      </c>
      <c r="CF182" s="86">
        <v>1925</v>
      </c>
      <c r="CG182" s="86">
        <v>17529</v>
      </c>
      <c r="CH182" s="86">
        <v>15001</v>
      </c>
      <c r="CI182" s="86">
        <v>13135</v>
      </c>
      <c r="CJ182" s="86">
        <v>11851</v>
      </c>
      <c r="CK182" s="86">
        <v>11029</v>
      </c>
      <c r="CL182" s="86">
        <v>9923</v>
      </c>
      <c r="CM182" s="86">
        <v>9229</v>
      </c>
      <c r="CN182" s="86">
        <v>8592</v>
      </c>
      <c r="CO182" s="86">
        <v>8134</v>
      </c>
      <c r="CP182" s="86">
        <v>7650</v>
      </c>
      <c r="CQ182" s="86">
        <v>7205</v>
      </c>
      <c r="CR182" s="86">
        <v>6814</v>
      </c>
      <c r="CS182" s="86">
        <v>6640</v>
      </c>
      <c r="CT182" s="86">
        <v>6398</v>
      </c>
      <c r="CU182" s="382"/>
    </row>
    <row r="183" spans="1:99" s="86" customFormat="1" x14ac:dyDescent="0.2">
      <c r="A183" s="375">
        <v>400</v>
      </c>
      <c r="B183" s="375">
        <v>44</v>
      </c>
      <c r="C183" s="349" t="s">
        <v>155</v>
      </c>
      <c r="D183" s="375">
        <v>1010</v>
      </c>
      <c r="E183" s="164">
        <f t="shared" si="4"/>
        <v>7340.8</v>
      </c>
      <c r="F183" s="394">
        <f t="shared" si="5"/>
        <v>28.099898934105333</v>
      </c>
      <c r="G183" s="86">
        <v>800</v>
      </c>
      <c r="H183" s="86">
        <v>806</v>
      </c>
      <c r="I183" s="86">
        <v>803</v>
      </c>
      <c r="J183" s="86">
        <v>832</v>
      </c>
      <c r="K183" s="86">
        <v>754</v>
      </c>
      <c r="L183" s="86">
        <v>786</v>
      </c>
      <c r="M183" s="86">
        <v>796</v>
      </c>
      <c r="N183" s="86">
        <v>792</v>
      </c>
      <c r="O183" s="86">
        <v>778</v>
      </c>
      <c r="P183" s="86">
        <v>775</v>
      </c>
      <c r="Q183" s="86">
        <v>789</v>
      </c>
      <c r="R183" s="86">
        <v>790</v>
      </c>
      <c r="S183" s="86">
        <v>792</v>
      </c>
      <c r="T183" s="86">
        <v>778</v>
      </c>
      <c r="U183" s="86">
        <v>754</v>
      </c>
      <c r="V183" s="86">
        <v>781</v>
      </c>
      <c r="W183" s="86">
        <v>782</v>
      </c>
      <c r="X183" s="86">
        <v>786</v>
      </c>
      <c r="Y183" s="86">
        <v>747</v>
      </c>
      <c r="Z183" s="86">
        <v>746</v>
      </c>
      <c r="AA183" s="86">
        <v>7489</v>
      </c>
      <c r="AB183" s="86">
        <v>7124</v>
      </c>
      <c r="AC183" s="86">
        <v>6787</v>
      </c>
      <c r="AD183" s="86">
        <v>6635</v>
      </c>
      <c r="AE183" s="86">
        <v>6217</v>
      </c>
      <c r="AF183" s="86">
        <v>5965</v>
      </c>
      <c r="AG183" s="86">
        <v>5771</v>
      </c>
      <c r="AH183" s="86">
        <v>5412</v>
      </c>
      <c r="AI183" s="86">
        <v>5290</v>
      </c>
      <c r="AJ183" s="86">
        <v>5031</v>
      </c>
      <c r="AK183" s="86">
        <v>4833</v>
      </c>
      <c r="AL183" s="86">
        <v>4539</v>
      </c>
      <c r="AM183" s="86">
        <v>4368</v>
      </c>
      <c r="AN183" s="86">
        <v>4208</v>
      </c>
      <c r="AO183" s="86">
        <v>4041</v>
      </c>
      <c r="AP183" s="86">
        <v>3859</v>
      </c>
      <c r="AQ183" s="86">
        <v>3672</v>
      </c>
      <c r="AR183" s="86">
        <v>3653</v>
      </c>
      <c r="AS183" s="86">
        <v>3521</v>
      </c>
      <c r="AT183" s="86">
        <v>3402</v>
      </c>
      <c r="AU183" s="86">
        <v>3291</v>
      </c>
      <c r="AV183" s="86">
        <v>3200</v>
      </c>
      <c r="AW183" s="86">
        <v>2999</v>
      </c>
      <c r="AX183" s="86">
        <v>3037</v>
      </c>
      <c r="AY183" s="86">
        <v>2947</v>
      </c>
      <c r="AZ183" s="86">
        <v>2813</v>
      </c>
      <c r="BA183" s="86">
        <v>2703</v>
      </c>
      <c r="BB183" s="86">
        <v>2591</v>
      </c>
      <c r="BC183" s="86">
        <v>2531</v>
      </c>
      <c r="BD183" s="86">
        <v>2533</v>
      </c>
      <c r="BE183" s="86">
        <v>2415</v>
      </c>
      <c r="BF183" s="86">
        <v>2363</v>
      </c>
      <c r="BG183" s="86">
        <v>2346</v>
      </c>
      <c r="BH183" s="86">
        <v>2210</v>
      </c>
      <c r="BI183" s="86">
        <v>2195</v>
      </c>
      <c r="BJ183" s="86">
        <v>2094</v>
      </c>
      <c r="BK183" s="86">
        <v>2029</v>
      </c>
      <c r="BL183" s="86">
        <v>1989</v>
      </c>
      <c r="BM183" s="86">
        <v>1973</v>
      </c>
      <c r="BN183" s="86">
        <v>1970</v>
      </c>
      <c r="BO183" s="86">
        <v>1907</v>
      </c>
      <c r="BP183" s="86">
        <v>1848</v>
      </c>
      <c r="BQ183" s="86">
        <v>1791</v>
      </c>
      <c r="BR183" s="86">
        <v>1755</v>
      </c>
      <c r="BS183" s="86">
        <v>1706</v>
      </c>
      <c r="BT183" s="86">
        <v>1678</v>
      </c>
      <c r="BU183" s="86">
        <v>1652</v>
      </c>
      <c r="BV183" s="86">
        <v>1612</v>
      </c>
      <c r="BW183" s="86">
        <v>1598</v>
      </c>
      <c r="BX183" s="86">
        <v>1600</v>
      </c>
      <c r="BY183" s="86">
        <v>1791</v>
      </c>
      <c r="BZ183" s="86">
        <v>1513</v>
      </c>
      <c r="CA183" s="86">
        <v>1465</v>
      </c>
      <c r="CB183" s="86">
        <v>1410</v>
      </c>
      <c r="CC183" s="86">
        <v>1427</v>
      </c>
      <c r="CD183" s="86">
        <v>1409</v>
      </c>
      <c r="CE183" s="86">
        <v>1376</v>
      </c>
      <c r="CF183" s="86">
        <v>1387</v>
      </c>
      <c r="CG183" s="86">
        <v>12324</v>
      </c>
      <c r="CH183" s="86">
        <v>10921</v>
      </c>
      <c r="CI183" s="86">
        <v>9677</v>
      </c>
      <c r="CJ183" s="86">
        <v>8588</v>
      </c>
      <c r="CK183" s="86">
        <v>7861</v>
      </c>
      <c r="CL183" s="86">
        <v>7238</v>
      </c>
      <c r="CM183" s="86">
        <v>6735</v>
      </c>
      <c r="CN183" s="86">
        <v>6324</v>
      </c>
      <c r="CO183" s="86">
        <v>5999</v>
      </c>
      <c r="CP183" s="86">
        <v>5661</v>
      </c>
      <c r="CQ183" s="86">
        <v>5361</v>
      </c>
      <c r="CR183" s="86">
        <v>5261</v>
      </c>
      <c r="CS183" s="86">
        <v>4970</v>
      </c>
      <c r="CT183" s="86">
        <v>4884</v>
      </c>
      <c r="CU183" s="382"/>
    </row>
    <row r="184" spans="1:99" s="86" customFormat="1" x14ac:dyDescent="0.2">
      <c r="A184" s="379">
        <v>404</v>
      </c>
      <c r="B184" s="379">
        <v>44</v>
      </c>
      <c r="C184" s="351" t="s">
        <v>156</v>
      </c>
      <c r="D184" s="379">
        <v>1516</v>
      </c>
      <c r="E184" s="381">
        <f t="shared" si="4"/>
        <v>11102.45</v>
      </c>
      <c r="F184" s="395">
        <f t="shared" si="5"/>
        <v>34.555172509568699</v>
      </c>
      <c r="G184" s="87">
        <v>1241</v>
      </c>
      <c r="H184" s="87">
        <v>1200</v>
      </c>
      <c r="I184" s="87">
        <v>1223</v>
      </c>
      <c r="J184" s="87">
        <v>1183</v>
      </c>
      <c r="K184" s="87">
        <v>1230</v>
      </c>
      <c r="L184" s="87">
        <v>1185</v>
      </c>
      <c r="M184" s="87">
        <v>1231</v>
      </c>
      <c r="N184" s="87">
        <v>1234</v>
      </c>
      <c r="O184" s="87">
        <v>1200</v>
      </c>
      <c r="P184" s="87">
        <v>1135</v>
      </c>
      <c r="Q184" s="87">
        <v>1181</v>
      </c>
      <c r="R184" s="87">
        <v>1171</v>
      </c>
      <c r="S184" s="87">
        <v>1176</v>
      </c>
      <c r="T184" s="87">
        <v>1134</v>
      </c>
      <c r="U184" s="87">
        <v>1174</v>
      </c>
      <c r="V184" s="87">
        <v>1168</v>
      </c>
      <c r="W184" s="87">
        <v>1107</v>
      </c>
      <c r="X184" s="87">
        <v>1178</v>
      </c>
      <c r="Y184" s="87">
        <v>1172</v>
      </c>
      <c r="Z184" s="87">
        <v>1150</v>
      </c>
      <c r="AA184" s="87">
        <v>11110</v>
      </c>
      <c r="AB184" s="87">
        <v>10750</v>
      </c>
      <c r="AC184" s="87">
        <v>10285</v>
      </c>
      <c r="AD184" s="87">
        <v>9730</v>
      </c>
      <c r="AE184" s="87">
        <v>9478</v>
      </c>
      <c r="AF184" s="87">
        <v>9066</v>
      </c>
      <c r="AG184" s="87">
        <v>8579</v>
      </c>
      <c r="AH184" s="87">
        <v>8320</v>
      </c>
      <c r="AI184" s="87">
        <v>7823</v>
      </c>
      <c r="AJ184" s="87">
        <v>7600</v>
      </c>
      <c r="AK184" s="87">
        <v>7162</v>
      </c>
      <c r="AL184" s="87">
        <v>6961</v>
      </c>
      <c r="AM184" s="87">
        <v>6629</v>
      </c>
      <c r="AN184" s="87">
        <v>6334</v>
      </c>
      <c r="AO184" s="87">
        <v>6086</v>
      </c>
      <c r="AP184" s="87">
        <v>5937</v>
      </c>
      <c r="AQ184" s="87">
        <v>5731</v>
      </c>
      <c r="AR184" s="87">
        <v>5531</v>
      </c>
      <c r="AS184" s="87">
        <v>5393</v>
      </c>
      <c r="AT184" s="87">
        <v>5104</v>
      </c>
      <c r="AU184" s="87">
        <v>4957</v>
      </c>
      <c r="AV184" s="87">
        <v>4843</v>
      </c>
      <c r="AW184" s="87">
        <v>4584</v>
      </c>
      <c r="AX184" s="87">
        <v>4546</v>
      </c>
      <c r="AY184" s="87">
        <v>4439</v>
      </c>
      <c r="AZ184" s="87">
        <v>4212</v>
      </c>
      <c r="BA184" s="87">
        <v>4148</v>
      </c>
      <c r="BB184" s="87">
        <v>4024</v>
      </c>
      <c r="BC184" s="87">
        <v>3896</v>
      </c>
      <c r="BD184" s="87">
        <v>3795</v>
      </c>
      <c r="BE184" s="87">
        <v>3702</v>
      </c>
      <c r="BF184" s="87">
        <v>3586</v>
      </c>
      <c r="BG184" s="87">
        <v>3479</v>
      </c>
      <c r="BH184" s="87">
        <v>3453</v>
      </c>
      <c r="BI184" s="87">
        <v>3329</v>
      </c>
      <c r="BJ184" s="87">
        <v>3221</v>
      </c>
      <c r="BK184" s="87">
        <v>3179</v>
      </c>
      <c r="BL184" s="87">
        <v>3083</v>
      </c>
      <c r="BM184" s="87">
        <v>3017</v>
      </c>
      <c r="BN184" s="87">
        <v>2924</v>
      </c>
      <c r="BO184" s="87">
        <v>2920</v>
      </c>
      <c r="BP184" s="87">
        <v>2861</v>
      </c>
      <c r="BQ184" s="87">
        <v>2774</v>
      </c>
      <c r="BR184" s="87">
        <v>2665</v>
      </c>
      <c r="BS184" s="87">
        <v>2619</v>
      </c>
      <c r="BT184" s="87">
        <v>2519</v>
      </c>
      <c r="BU184" s="87">
        <v>2528</v>
      </c>
      <c r="BV184" s="87">
        <v>2475</v>
      </c>
      <c r="BW184" s="87">
        <v>2414</v>
      </c>
      <c r="BX184" s="87">
        <v>2384</v>
      </c>
      <c r="BY184" s="87">
        <v>2311</v>
      </c>
      <c r="BZ184" s="87">
        <v>2323</v>
      </c>
      <c r="CA184" s="87">
        <v>2283</v>
      </c>
      <c r="CB184" s="87">
        <v>2209</v>
      </c>
      <c r="CC184" s="87">
        <v>2180</v>
      </c>
      <c r="CD184" s="87">
        <v>2108</v>
      </c>
      <c r="CE184" s="87">
        <v>2107</v>
      </c>
      <c r="CF184" s="87">
        <v>2049</v>
      </c>
      <c r="CG184" s="87">
        <v>18889</v>
      </c>
      <c r="CH184" s="87">
        <v>16606</v>
      </c>
      <c r="CI184" s="87">
        <v>14667</v>
      </c>
      <c r="CJ184" s="87">
        <v>13064</v>
      </c>
      <c r="CK184" s="87">
        <v>12020</v>
      </c>
      <c r="CL184" s="87">
        <v>11021</v>
      </c>
      <c r="CM184" s="87">
        <v>10195</v>
      </c>
      <c r="CN184" s="87">
        <v>9601</v>
      </c>
      <c r="CO184" s="87">
        <v>9016</v>
      </c>
      <c r="CP184" s="87">
        <v>8454</v>
      </c>
      <c r="CQ184" s="87">
        <v>8197</v>
      </c>
      <c r="CR184" s="87">
        <v>7828</v>
      </c>
      <c r="CS184" s="87">
        <v>7541</v>
      </c>
      <c r="CT184" s="87">
        <v>7140</v>
      </c>
      <c r="CU184" s="382"/>
    </row>
    <row r="185" spans="1:99" s="86" customFormat="1" x14ac:dyDescent="0.2">
      <c r="A185" s="375">
        <v>123</v>
      </c>
      <c r="B185" s="375">
        <v>45</v>
      </c>
      <c r="C185" s="349" t="s">
        <v>155</v>
      </c>
      <c r="D185" s="376">
        <v>0</v>
      </c>
      <c r="E185" s="164">
        <f t="shared" si="4"/>
        <v>3942.05</v>
      </c>
      <c r="F185" s="394">
        <f t="shared" si="5"/>
        <v>21.614683454767654</v>
      </c>
      <c r="G185" s="86">
        <v>441</v>
      </c>
      <c r="H185" s="83">
        <v>472</v>
      </c>
      <c r="I185" s="83">
        <v>482</v>
      </c>
      <c r="J185" s="83">
        <v>476</v>
      </c>
      <c r="K185" s="83">
        <v>468</v>
      </c>
      <c r="L185" s="83">
        <v>457</v>
      </c>
      <c r="M185" s="83">
        <v>464</v>
      </c>
      <c r="N185" s="83">
        <v>453</v>
      </c>
      <c r="O185" s="83">
        <v>446</v>
      </c>
      <c r="P185" s="83">
        <v>466</v>
      </c>
      <c r="Q185" s="83">
        <v>466</v>
      </c>
      <c r="R185" s="83">
        <v>485</v>
      </c>
      <c r="S185" s="83">
        <v>442</v>
      </c>
      <c r="T185" s="83">
        <v>467</v>
      </c>
      <c r="U185" s="83">
        <v>452</v>
      </c>
      <c r="V185" s="83">
        <v>477</v>
      </c>
      <c r="W185" s="83">
        <v>467</v>
      </c>
      <c r="X185" s="83">
        <v>455</v>
      </c>
      <c r="Y185" s="83">
        <v>418</v>
      </c>
      <c r="Z185" s="83">
        <v>470</v>
      </c>
      <c r="AA185" s="83">
        <v>4387</v>
      </c>
      <c r="AB185" s="83">
        <v>4323</v>
      </c>
      <c r="AC185" s="83">
        <v>4064</v>
      </c>
      <c r="AD185" s="83">
        <v>3922</v>
      </c>
      <c r="AE185" s="83">
        <v>3807</v>
      </c>
      <c r="AF185" s="83">
        <v>3586</v>
      </c>
      <c r="AG185" s="83">
        <v>3501</v>
      </c>
      <c r="AH185" s="83">
        <v>3329</v>
      </c>
      <c r="AI185" s="83">
        <v>3122</v>
      </c>
      <c r="AJ185" s="83">
        <v>3185</v>
      </c>
      <c r="AK185" s="83">
        <v>2935</v>
      </c>
      <c r="AL185" s="83">
        <v>2917</v>
      </c>
      <c r="AM185" s="83">
        <v>2742</v>
      </c>
      <c r="AN185" s="83">
        <v>2708</v>
      </c>
      <c r="AO185" s="83">
        <v>2564</v>
      </c>
      <c r="AP185" s="83">
        <v>2506</v>
      </c>
      <c r="AQ185" s="83">
        <v>2517</v>
      </c>
      <c r="AR185" s="83">
        <v>2404</v>
      </c>
      <c r="AS185" s="83">
        <v>2389</v>
      </c>
      <c r="AT185" s="83">
        <v>2366</v>
      </c>
      <c r="AU185" s="83">
        <v>2266</v>
      </c>
      <c r="AV185" s="83">
        <v>2197</v>
      </c>
      <c r="AW185" s="83">
        <v>2127</v>
      </c>
      <c r="AX185" s="83">
        <v>2092</v>
      </c>
      <c r="AY185" s="83">
        <v>2078</v>
      </c>
      <c r="AZ185" s="83">
        <v>2019</v>
      </c>
      <c r="BA185" s="83">
        <v>2036</v>
      </c>
      <c r="BB185" s="83">
        <v>1987</v>
      </c>
      <c r="BC185" s="83">
        <v>1890</v>
      </c>
      <c r="BD185" s="83">
        <v>1876</v>
      </c>
      <c r="BE185" s="83">
        <v>1885</v>
      </c>
      <c r="BF185" s="83">
        <v>1782</v>
      </c>
      <c r="BG185" s="83">
        <v>1721</v>
      </c>
      <c r="BH185" s="83">
        <v>1774</v>
      </c>
      <c r="BI185" s="83">
        <v>1726</v>
      </c>
      <c r="BJ185" s="83">
        <v>1637</v>
      </c>
      <c r="BK185" s="83">
        <v>1644</v>
      </c>
      <c r="BL185" s="83">
        <v>1580</v>
      </c>
      <c r="BM185" s="83">
        <v>1566</v>
      </c>
      <c r="BN185" s="83">
        <v>1551</v>
      </c>
      <c r="BO185" s="83">
        <v>1560</v>
      </c>
      <c r="BP185" s="83">
        <v>1472</v>
      </c>
      <c r="BQ185" s="83">
        <v>1471</v>
      </c>
      <c r="BR185" s="83">
        <v>1483</v>
      </c>
      <c r="BS185" s="83">
        <v>1453</v>
      </c>
      <c r="BT185" s="83">
        <v>1458</v>
      </c>
      <c r="BU185" s="83">
        <v>1462</v>
      </c>
      <c r="BV185" s="83">
        <v>1420</v>
      </c>
      <c r="BW185" s="83">
        <v>1400</v>
      </c>
      <c r="BX185" s="83">
        <v>1380</v>
      </c>
      <c r="BY185" s="83">
        <v>1325</v>
      </c>
      <c r="BZ185" s="83">
        <v>1314</v>
      </c>
      <c r="CA185" s="83">
        <v>1368</v>
      </c>
      <c r="CB185" s="83">
        <v>1299</v>
      </c>
      <c r="CC185" s="83">
        <v>1271</v>
      </c>
      <c r="CD185" s="83">
        <v>1289</v>
      </c>
      <c r="CE185" s="83">
        <v>1294</v>
      </c>
      <c r="CF185" s="83">
        <v>1180</v>
      </c>
      <c r="CG185" s="83">
        <v>11922</v>
      </c>
      <c r="CH185" s="83">
        <v>10987</v>
      </c>
      <c r="CI185" s="83">
        <v>10280</v>
      </c>
      <c r="CJ185" s="83">
        <v>9539</v>
      </c>
      <c r="CK185" s="83">
        <v>9108</v>
      </c>
      <c r="CL185" s="83">
        <v>8687</v>
      </c>
      <c r="CM185" s="83">
        <v>8237</v>
      </c>
      <c r="CN185" s="83">
        <v>7879</v>
      </c>
      <c r="CO185" s="83">
        <v>7585</v>
      </c>
      <c r="CP185" s="83">
        <v>7354</v>
      </c>
      <c r="CQ185" s="83">
        <v>7205</v>
      </c>
      <c r="CR185" s="83">
        <v>7020</v>
      </c>
      <c r="CS185" s="83">
        <v>6774</v>
      </c>
      <c r="CT185" s="83">
        <v>6625</v>
      </c>
      <c r="CU185" s="382"/>
    </row>
    <row r="186" spans="1:99" s="86" customFormat="1" x14ac:dyDescent="0.2">
      <c r="A186" s="375">
        <v>127</v>
      </c>
      <c r="B186" s="375">
        <v>45</v>
      </c>
      <c r="C186" s="349" t="s">
        <v>156</v>
      </c>
      <c r="D186" s="376">
        <v>1515</v>
      </c>
      <c r="E186" s="164">
        <f t="shared" si="4"/>
        <v>2203.4</v>
      </c>
      <c r="F186" s="394">
        <f t="shared" si="5"/>
        <v>16.662475251292371</v>
      </c>
      <c r="G186" s="86">
        <v>278</v>
      </c>
      <c r="H186" s="83">
        <v>286</v>
      </c>
      <c r="I186" s="83">
        <v>281</v>
      </c>
      <c r="J186" s="83">
        <v>254</v>
      </c>
      <c r="K186" s="83">
        <v>270</v>
      </c>
      <c r="L186" s="83">
        <v>279</v>
      </c>
      <c r="M186" s="83">
        <v>275</v>
      </c>
      <c r="N186" s="83">
        <v>271</v>
      </c>
      <c r="O186" s="83">
        <v>286</v>
      </c>
      <c r="P186" s="83">
        <v>268</v>
      </c>
      <c r="Q186" s="83">
        <v>277</v>
      </c>
      <c r="R186" s="83">
        <v>280</v>
      </c>
      <c r="S186" s="83">
        <v>266</v>
      </c>
      <c r="T186" s="83">
        <v>244</v>
      </c>
      <c r="U186" s="83">
        <v>272</v>
      </c>
      <c r="V186" s="83">
        <v>286</v>
      </c>
      <c r="W186" s="83">
        <v>264</v>
      </c>
      <c r="X186" s="83">
        <v>276</v>
      </c>
      <c r="Y186" s="83">
        <v>266</v>
      </c>
      <c r="Z186" s="83">
        <v>281</v>
      </c>
      <c r="AA186" s="83">
        <v>2708</v>
      </c>
      <c r="AB186" s="83">
        <v>2562</v>
      </c>
      <c r="AC186" s="83">
        <v>2469</v>
      </c>
      <c r="AD186" s="83">
        <v>2370</v>
      </c>
      <c r="AE186" s="83">
        <v>2414</v>
      </c>
      <c r="AF186" s="83">
        <v>2294</v>
      </c>
      <c r="AG186" s="83">
        <v>2178</v>
      </c>
      <c r="AH186" s="83">
        <v>2141</v>
      </c>
      <c r="AI186" s="83">
        <v>2053</v>
      </c>
      <c r="AJ186" s="83">
        <v>1972</v>
      </c>
      <c r="AK186" s="83">
        <v>1950</v>
      </c>
      <c r="AL186" s="83">
        <v>1830</v>
      </c>
      <c r="AM186" s="83">
        <v>1792</v>
      </c>
      <c r="AN186" s="83">
        <v>1794</v>
      </c>
      <c r="AO186" s="83">
        <v>1704</v>
      </c>
      <c r="AP186" s="83">
        <v>1700</v>
      </c>
      <c r="AQ186" s="83">
        <v>1597</v>
      </c>
      <c r="AR186" s="83">
        <v>1612</v>
      </c>
      <c r="AS186" s="83">
        <v>1491</v>
      </c>
      <c r="AT186" s="83">
        <v>1553</v>
      </c>
      <c r="AU186" s="83">
        <v>1484</v>
      </c>
      <c r="AV186" s="83">
        <v>1472</v>
      </c>
      <c r="AW186" s="83">
        <v>1416</v>
      </c>
      <c r="AX186" s="83">
        <v>1421</v>
      </c>
      <c r="AY186" s="83">
        <v>1385</v>
      </c>
      <c r="AZ186" s="83">
        <v>1356</v>
      </c>
      <c r="BA186" s="83">
        <v>1284</v>
      </c>
      <c r="BB186" s="83">
        <v>1327</v>
      </c>
      <c r="BC186" s="83">
        <v>1241</v>
      </c>
      <c r="BD186" s="83">
        <v>1300</v>
      </c>
      <c r="BE186" s="83">
        <v>1190</v>
      </c>
      <c r="BF186" s="83">
        <v>1242</v>
      </c>
      <c r="BG186" s="83">
        <v>1192</v>
      </c>
      <c r="BH186" s="83">
        <v>1177</v>
      </c>
      <c r="BI186" s="83">
        <v>1174</v>
      </c>
      <c r="BJ186" s="83">
        <v>1154</v>
      </c>
      <c r="BK186" s="83">
        <v>1167</v>
      </c>
      <c r="BL186" s="83">
        <v>1095</v>
      </c>
      <c r="BM186" s="83">
        <v>1088</v>
      </c>
      <c r="BN186" s="83">
        <v>1070</v>
      </c>
      <c r="BO186" s="83">
        <v>1089</v>
      </c>
      <c r="BP186" s="83">
        <v>1079</v>
      </c>
      <c r="BQ186" s="83">
        <v>1040</v>
      </c>
      <c r="BR186" s="83">
        <v>1059</v>
      </c>
      <c r="BS186" s="83">
        <v>1023</v>
      </c>
      <c r="BT186" s="83">
        <v>1022</v>
      </c>
      <c r="BU186" s="83">
        <v>1015</v>
      </c>
      <c r="BV186" s="83">
        <v>973</v>
      </c>
      <c r="BW186" s="83">
        <v>959</v>
      </c>
      <c r="BX186" s="83">
        <v>927</v>
      </c>
      <c r="BY186" s="83">
        <v>894</v>
      </c>
      <c r="BZ186" s="83">
        <v>918</v>
      </c>
      <c r="CA186" s="83">
        <v>915</v>
      </c>
      <c r="CB186" s="83">
        <v>953</v>
      </c>
      <c r="CC186" s="83">
        <v>945</v>
      </c>
      <c r="CD186" s="83">
        <v>932</v>
      </c>
      <c r="CE186" s="83">
        <v>883</v>
      </c>
      <c r="CF186" s="83">
        <v>889</v>
      </c>
      <c r="CG186" s="83">
        <v>8598</v>
      </c>
      <c r="CH186" s="83">
        <v>7988</v>
      </c>
      <c r="CI186" s="83">
        <v>7514</v>
      </c>
      <c r="CJ186" s="83">
        <v>7113</v>
      </c>
      <c r="CK186" s="83">
        <v>6712</v>
      </c>
      <c r="CL186" s="83">
        <v>6511</v>
      </c>
      <c r="CM186" s="83">
        <v>6255</v>
      </c>
      <c r="CN186" s="83">
        <v>5953</v>
      </c>
      <c r="CO186" s="83">
        <v>5853</v>
      </c>
      <c r="CP186" s="83">
        <v>5789</v>
      </c>
      <c r="CQ186" s="83">
        <v>5576</v>
      </c>
      <c r="CR186" s="83">
        <v>5353</v>
      </c>
      <c r="CS186" s="83">
        <v>5326</v>
      </c>
      <c r="CT186" s="83">
        <v>5206</v>
      </c>
      <c r="CU186" s="382"/>
    </row>
    <row r="187" spans="1:99" s="86" customFormat="1" x14ac:dyDescent="0.2">
      <c r="A187" s="375">
        <v>409</v>
      </c>
      <c r="B187" s="375">
        <v>45</v>
      </c>
      <c r="C187" s="349" t="s">
        <v>155</v>
      </c>
      <c r="D187" s="376">
        <v>1010</v>
      </c>
      <c r="E187" s="164">
        <f t="shared" si="4"/>
        <v>1490.15</v>
      </c>
      <c r="F187" s="394">
        <f t="shared" si="5"/>
        <v>13.71766385663399</v>
      </c>
      <c r="G187" s="86">
        <v>187</v>
      </c>
      <c r="H187" s="83">
        <v>170</v>
      </c>
      <c r="I187" s="83">
        <v>178</v>
      </c>
      <c r="J187" s="83">
        <v>163</v>
      </c>
      <c r="K187" s="83">
        <v>209</v>
      </c>
      <c r="L187" s="83">
        <v>197</v>
      </c>
      <c r="M187" s="83">
        <v>197</v>
      </c>
      <c r="N187" s="83">
        <v>179</v>
      </c>
      <c r="O187" s="83">
        <v>186</v>
      </c>
      <c r="P187" s="83">
        <v>194</v>
      </c>
      <c r="Q187" s="83">
        <v>195</v>
      </c>
      <c r="R187" s="83">
        <v>182</v>
      </c>
      <c r="S187" s="83">
        <v>175</v>
      </c>
      <c r="T187" s="83">
        <v>179</v>
      </c>
      <c r="U187" s="83">
        <v>184</v>
      </c>
      <c r="V187" s="83">
        <v>157</v>
      </c>
      <c r="W187" s="83">
        <v>188</v>
      </c>
      <c r="X187" s="83">
        <v>197</v>
      </c>
      <c r="Y187" s="83">
        <v>184</v>
      </c>
      <c r="Z187" s="83">
        <v>206</v>
      </c>
      <c r="AA187" s="83">
        <v>1847</v>
      </c>
      <c r="AB187" s="83">
        <v>1777</v>
      </c>
      <c r="AC187" s="83">
        <v>1743</v>
      </c>
      <c r="AD187" s="83">
        <v>1613</v>
      </c>
      <c r="AE187" s="83">
        <v>1579</v>
      </c>
      <c r="AF187" s="83">
        <v>1516</v>
      </c>
      <c r="AG187" s="83">
        <v>1496</v>
      </c>
      <c r="AH187" s="83">
        <v>1420</v>
      </c>
      <c r="AI187" s="83">
        <v>1375</v>
      </c>
      <c r="AJ187" s="83">
        <v>1387</v>
      </c>
      <c r="AK187" s="83">
        <v>1299</v>
      </c>
      <c r="AL187" s="83">
        <v>1254</v>
      </c>
      <c r="AM187" s="83">
        <v>1245</v>
      </c>
      <c r="AN187" s="83">
        <v>1170</v>
      </c>
      <c r="AO187" s="83">
        <v>1106</v>
      </c>
      <c r="AP187" s="83">
        <v>1140</v>
      </c>
      <c r="AQ187" s="83">
        <v>1109</v>
      </c>
      <c r="AR187" s="83">
        <v>1058</v>
      </c>
      <c r="AS187" s="83">
        <v>1069</v>
      </c>
      <c r="AT187" s="83">
        <v>1054</v>
      </c>
      <c r="AU187" s="83">
        <v>1047</v>
      </c>
      <c r="AV187" s="83">
        <v>954</v>
      </c>
      <c r="AW187" s="83">
        <v>956</v>
      </c>
      <c r="AX187" s="83">
        <v>959</v>
      </c>
      <c r="AY187" s="83">
        <v>937</v>
      </c>
      <c r="AZ187" s="83">
        <v>924</v>
      </c>
      <c r="BA187" s="83">
        <v>920</v>
      </c>
      <c r="BB187" s="83">
        <v>904</v>
      </c>
      <c r="BC187" s="83">
        <v>865</v>
      </c>
      <c r="BD187" s="83">
        <v>844</v>
      </c>
      <c r="BE187" s="83">
        <v>785</v>
      </c>
      <c r="BF187" s="83">
        <v>823</v>
      </c>
      <c r="BG187" s="83">
        <v>829</v>
      </c>
      <c r="BH187" s="83">
        <v>798</v>
      </c>
      <c r="BI187" s="83">
        <v>799</v>
      </c>
      <c r="BJ187" s="83">
        <v>767</v>
      </c>
      <c r="BK187" s="83">
        <v>788</v>
      </c>
      <c r="BL187" s="83">
        <v>755</v>
      </c>
      <c r="BM187" s="83">
        <v>743</v>
      </c>
      <c r="BN187" s="83">
        <v>726</v>
      </c>
      <c r="BO187" s="83">
        <v>729</v>
      </c>
      <c r="BP187" s="83">
        <v>724</v>
      </c>
      <c r="BQ187" s="83">
        <v>714</v>
      </c>
      <c r="BR187" s="83">
        <v>708</v>
      </c>
      <c r="BS187" s="83">
        <v>714</v>
      </c>
      <c r="BT187" s="83">
        <v>711</v>
      </c>
      <c r="BU187" s="83">
        <v>686</v>
      </c>
      <c r="BV187" s="83">
        <v>696</v>
      </c>
      <c r="BW187" s="83">
        <v>688</v>
      </c>
      <c r="BX187" s="83">
        <v>644</v>
      </c>
      <c r="BY187" s="83">
        <v>665</v>
      </c>
      <c r="BZ187" s="83">
        <v>641</v>
      </c>
      <c r="CA187" s="83">
        <v>651</v>
      </c>
      <c r="CB187" s="83">
        <v>644</v>
      </c>
      <c r="CC187" s="83">
        <v>622</v>
      </c>
      <c r="CD187" s="83">
        <v>608</v>
      </c>
      <c r="CE187" s="83">
        <v>625</v>
      </c>
      <c r="CF187" s="83">
        <v>623</v>
      </c>
      <c r="CG187" s="83">
        <v>5793</v>
      </c>
      <c r="CH187" s="83">
        <v>5473</v>
      </c>
      <c r="CI187" s="83">
        <v>5067</v>
      </c>
      <c r="CJ187" s="83">
        <v>4853</v>
      </c>
      <c r="CK187" s="83">
        <v>4630</v>
      </c>
      <c r="CL187" s="83">
        <v>4428</v>
      </c>
      <c r="CM187" s="83">
        <v>4301</v>
      </c>
      <c r="CN187" s="83">
        <v>4197</v>
      </c>
      <c r="CO187" s="83">
        <v>4048</v>
      </c>
      <c r="CP187" s="83">
        <v>3947</v>
      </c>
      <c r="CQ187" s="83">
        <v>3836</v>
      </c>
      <c r="CR187" s="83">
        <v>3684</v>
      </c>
      <c r="CS187" s="83">
        <v>3666</v>
      </c>
      <c r="CT187" s="83">
        <v>3601</v>
      </c>
      <c r="CU187" s="382"/>
    </row>
    <row r="188" spans="1:99" s="86" customFormat="1" x14ac:dyDescent="0.2">
      <c r="A188" s="375">
        <v>413</v>
      </c>
      <c r="B188" s="375">
        <v>45</v>
      </c>
      <c r="C188" s="349" t="s">
        <v>156</v>
      </c>
      <c r="D188" s="376">
        <v>1516</v>
      </c>
      <c r="E188" s="164">
        <f t="shared" si="4"/>
        <v>2021.3</v>
      </c>
      <c r="F188" s="394">
        <f t="shared" si="5"/>
        <v>15.635653657630646</v>
      </c>
      <c r="G188" s="86">
        <v>261</v>
      </c>
      <c r="H188" s="83">
        <v>255</v>
      </c>
      <c r="I188" s="83">
        <v>218</v>
      </c>
      <c r="J188" s="83">
        <v>235</v>
      </c>
      <c r="K188" s="83">
        <v>234</v>
      </c>
      <c r="L188" s="83">
        <v>241</v>
      </c>
      <c r="M188" s="83">
        <v>241</v>
      </c>
      <c r="N188" s="83">
        <v>253</v>
      </c>
      <c r="O188" s="83">
        <v>218</v>
      </c>
      <c r="P188" s="83">
        <v>240</v>
      </c>
      <c r="Q188" s="83">
        <v>241</v>
      </c>
      <c r="R188" s="83">
        <v>240</v>
      </c>
      <c r="S188" s="83">
        <v>239</v>
      </c>
      <c r="T188" s="83">
        <v>254</v>
      </c>
      <c r="U188" s="83">
        <v>245</v>
      </c>
      <c r="V188" s="83">
        <v>229</v>
      </c>
      <c r="W188" s="83">
        <v>251</v>
      </c>
      <c r="X188" s="83">
        <v>234</v>
      </c>
      <c r="Y188" s="83">
        <v>231</v>
      </c>
      <c r="Z188" s="83">
        <v>231</v>
      </c>
      <c r="AA188" s="83">
        <v>2324</v>
      </c>
      <c r="AB188" s="83">
        <v>2189</v>
      </c>
      <c r="AC188" s="83">
        <v>2203</v>
      </c>
      <c r="AD188" s="83">
        <v>2079</v>
      </c>
      <c r="AE188" s="83">
        <v>2001</v>
      </c>
      <c r="AF188" s="83">
        <v>1866</v>
      </c>
      <c r="AG188" s="83">
        <v>1886</v>
      </c>
      <c r="AH188" s="83">
        <v>1824</v>
      </c>
      <c r="AI188" s="83">
        <v>1692</v>
      </c>
      <c r="AJ188" s="83">
        <v>1721</v>
      </c>
      <c r="AK188" s="83">
        <v>1613</v>
      </c>
      <c r="AL188" s="83">
        <v>1538</v>
      </c>
      <c r="AM188" s="83">
        <v>1537</v>
      </c>
      <c r="AN188" s="83">
        <v>1474</v>
      </c>
      <c r="AO188" s="83">
        <v>1382</v>
      </c>
      <c r="AP188" s="83">
        <v>1425</v>
      </c>
      <c r="AQ188" s="83">
        <v>1370</v>
      </c>
      <c r="AR188" s="83">
        <v>1313</v>
      </c>
      <c r="AS188" s="83">
        <v>1273</v>
      </c>
      <c r="AT188" s="83">
        <v>1299</v>
      </c>
      <c r="AU188" s="83">
        <v>1202</v>
      </c>
      <c r="AV188" s="83">
        <v>1190</v>
      </c>
      <c r="AW188" s="83">
        <v>1182</v>
      </c>
      <c r="AX188" s="83">
        <v>1157</v>
      </c>
      <c r="AY188" s="83">
        <v>1118</v>
      </c>
      <c r="AZ188" s="83">
        <v>1088</v>
      </c>
      <c r="BA188" s="83">
        <v>1072</v>
      </c>
      <c r="BB188" s="83">
        <v>1058</v>
      </c>
      <c r="BC188" s="83">
        <v>1022</v>
      </c>
      <c r="BD188" s="83">
        <v>978</v>
      </c>
      <c r="BE188" s="83">
        <v>980</v>
      </c>
      <c r="BF188" s="83">
        <v>1023</v>
      </c>
      <c r="BG188" s="83">
        <v>960</v>
      </c>
      <c r="BH188" s="83">
        <v>937</v>
      </c>
      <c r="BI188" s="83">
        <v>943</v>
      </c>
      <c r="BJ188" s="83">
        <v>924</v>
      </c>
      <c r="BK188" s="83">
        <v>871</v>
      </c>
      <c r="BL188" s="83">
        <v>830</v>
      </c>
      <c r="BM188" s="83">
        <v>861</v>
      </c>
      <c r="BN188" s="83">
        <v>870</v>
      </c>
      <c r="BO188" s="83">
        <v>858</v>
      </c>
      <c r="BP188" s="83">
        <v>845</v>
      </c>
      <c r="BQ188" s="83">
        <v>823</v>
      </c>
      <c r="BR188" s="83">
        <v>820</v>
      </c>
      <c r="BS188" s="83">
        <v>809</v>
      </c>
      <c r="BT188" s="83">
        <v>792</v>
      </c>
      <c r="BU188" s="83">
        <v>793</v>
      </c>
      <c r="BV188" s="83">
        <v>749</v>
      </c>
      <c r="BW188" s="83">
        <v>775</v>
      </c>
      <c r="BX188" s="83">
        <v>787</v>
      </c>
      <c r="BY188" s="83">
        <v>725</v>
      </c>
      <c r="BZ188" s="83">
        <v>750</v>
      </c>
      <c r="CA188" s="83">
        <v>696</v>
      </c>
      <c r="CB188" s="83">
        <v>718</v>
      </c>
      <c r="CC188" s="83">
        <v>701</v>
      </c>
      <c r="CD188" s="83">
        <v>733</v>
      </c>
      <c r="CE188" s="83">
        <v>692</v>
      </c>
      <c r="CF188" s="83">
        <v>695</v>
      </c>
      <c r="CG188" s="83">
        <v>6708</v>
      </c>
      <c r="CH188" s="83">
        <v>6064</v>
      </c>
      <c r="CI188" s="83">
        <v>5600</v>
      </c>
      <c r="CJ188" s="83">
        <v>5352</v>
      </c>
      <c r="CK188" s="83">
        <v>5036</v>
      </c>
      <c r="CL188" s="83">
        <v>4785</v>
      </c>
      <c r="CM188" s="83">
        <v>4604</v>
      </c>
      <c r="CN188" s="83">
        <v>4503</v>
      </c>
      <c r="CO188" s="83">
        <v>4332</v>
      </c>
      <c r="CP188" s="83">
        <v>4317</v>
      </c>
      <c r="CQ188" s="83">
        <v>4070</v>
      </c>
      <c r="CR188" s="83">
        <v>3955</v>
      </c>
      <c r="CS188" s="83">
        <v>3805</v>
      </c>
      <c r="CT188" s="83">
        <v>3679</v>
      </c>
      <c r="CU188" s="382"/>
    </row>
    <row r="189" spans="1:99" s="86" customFormat="1" x14ac:dyDescent="0.2">
      <c r="A189" s="375">
        <v>418</v>
      </c>
      <c r="B189" s="375">
        <v>45</v>
      </c>
      <c r="C189" s="349" t="s">
        <v>155</v>
      </c>
      <c r="D189" s="376">
        <v>2021</v>
      </c>
      <c r="E189" s="164">
        <f t="shared" si="4"/>
        <v>2466.3000000000002</v>
      </c>
      <c r="F189" s="394">
        <f t="shared" si="5"/>
        <v>16.904595333884256</v>
      </c>
      <c r="G189" s="86">
        <v>285</v>
      </c>
      <c r="H189" s="83">
        <v>280</v>
      </c>
      <c r="I189" s="83">
        <v>290</v>
      </c>
      <c r="J189" s="83">
        <v>300</v>
      </c>
      <c r="K189" s="83">
        <v>297</v>
      </c>
      <c r="L189" s="83">
        <v>300</v>
      </c>
      <c r="M189" s="83">
        <v>272</v>
      </c>
      <c r="N189" s="83">
        <v>271</v>
      </c>
      <c r="O189" s="83">
        <v>279</v>
      </c>
      <c r="P189" s="83">
        <v>285</v>
      </c>
      <c r="Q189" s="83">
        <v>291</v>
      </c>
      <c r="R189" s="83">
        <v>268</v>
      </c>
      <c r="S189" s="83">
        <v>286</v>
      </c>
      <c r="T189" s="83">
        <v>268</v>
      </c>
      <c r="U189" s="83">
        <v>286</v>
      </c>
      <c r="V189" s="83">
        <v>274</v>
      </c>
      <c r="W189" s="83">
        <v>278</v>
      </c>
      <c r="X189" s="83">
        <v>268</v>
      </c>
      <c r="Y189" s="83">
        <v>279</v>
      </c>
      <c r="Z189" s="83">
        <v>274</v>
      </c>
      <c r="AA189" s="83">
        <v>2665</v>
      </c>
      <c r="AB189" s="83">
        <v>2486</v>
      </c>
      <c r="AC189" s="83">
        <v>2488</v>
      </c>
      <c r="AD189" s="83">
        <v>2383</v>
      </c>
      <c r="AE189" s="83">
        <v>2301</v>
      </c>
      <c r="AF189" s="83">
        <v>2159</v>
      </c>
      <c r="AG189" s="83">
        <v>2063</v>
      </c>
      <c r="AH189" s="83">
        <v>2050</v>
      </c>
      <c r="AI189" s="83">
        <v>1901</v>
      </c>
      <c r="AJ189" s="83">
        <v>1855</v>
      </c>
      <c r="AK189" s="83">
        <v>1781</v>
      </c>
      <c r="AL189" s="83">
        <v>1788</v>
      </c>
      <c r="AM189" s="83">
        <v>1709</v>
      </c>
      <c r="AN189" s="83">
        <v>1611</v>
      </c>
      <c r="AO189" s="83">
        <v>1573</v>
      </c>
      <c r="AP189" s="83">
        <v>1489</v>
      </c>
      <c r="AQ189" s="83">
        <v>1506</v>
      </c>
      <c r="AR189" s="83">
        <v>1489</v>
      </c>
      <c r="AS189" s="83">
        <v>1386</v>
      </c>
      <c r="AT189" s="83">
        <v>1401</v>
      </c>
      <c r="AU189" s="83">
        <v>1317</v>
      </c>
      <c r="AV189" s="83">
        <v>1307</v>
      </c>
      <c r="AW189" s="83">
        <v>1256</v>
      </c>
      <c r="AX189" s="83">
        <v>1249</v>
      </c>
      <c r="AY189" s="83">
        <v>1239</v>
      </c>
      <c r="AZ189" s="83">
        <v>1169</v>
      </c>
      <c r="BA189" s="83">
        <v>1114</v>
      </c>
      <c r="BB189" s="83">
        <v>1105</v>
      </c>
      <c r="BC189" s="83">
        <v>1139</v>
      </c>
      <c r="BD189" s="83">
        <v>1078</v>
      </c>
      <c r="BE189" s="83">
        <v>1055</v>
      </c>
      <c r="BF189" s="83">
        <v>1013</v>
      </c>
      <c r="BG189" s="83">
        <v>1043</v>
      </c>
      <c r="BH189" s="83">
        <v>1009</v>
      </c>
      <c r="BI189" s="83">
        <v>1009</v>
      </c>
      <c r="BJ189" s="83">
        <v>974</v>
      </c>
      <c r="BK189" s="83">
        <v>964</v>
      </c>
      <c r="BL189" s="83">
        <v>980</v>
      </c>
      <c r="BM189" s="83">
        <v>967</v>
      </c>
      <c r="BN189" s="83">
        <v>922</v>
      </c>
      <c r="BO189" s="83">
        <v>912</v>
      </c>
      <c r="BP189" s="83">
        <v>899</v>
      </c>
      <c r="BQ189" s="83">
        <v>876</v>
      </c>
      <c r="BR189" s="83">
        <v>852</v>
      </c>
      <c r="BS189" s="83">
        <v>787</v>
      </c>
      <c r="BT189" s="83">
        <v>844</v>
      </c>
      <c r="BU189" s="83">
        <v>811</v>
      </c>
      <c r="BV189" s="83">
        <v>797</v>
      </c>
      <c r="BW189" s="83">
        <v>804</v>
      </c>
      <c r="BX189" s="83">
        <v>838</v>
      </c>
      <c r="BY189" s="83">
        <v>748</v>
      </c>
      <c r="BZ189" s="83">
        <v>749</v>
      </c>
      <c r="CA189" s="83">
        <v>774</v>
      </c>
      <c r="CB189" s="83">
        <v>716</v>
      </c>
      <c r="CC189" s="83">
        <v>722</v>
      </c>
      <c r="CD189" s="83">
        <v>762</v>
      </c>
      <c r="CE189" s="83">
        <v>737</v>
      </c>
      <c r="CF189" s="83">
        <v>714</v>
      </c>
      <c r="CG189" s="83">
        <v>6767</v>
      </c>
      <c r="CH189" s="83">
        <v>6091</v>
      </c>
      <c r="CI189" s="83">
        <v>5622</v>
      </c>
      <c r="CJ189" s="83">
        <v>5196</v>
      </c>
      <c r="CK189" s="83">
        <v>4942</v>
      </c>
      <c r="CL189" s="83">
        <v>4653</v>
      </c>
      <c r="CM189" s="83">
        <v>4412</v>
      </c>
      <c r="CN189" s="83">
        <v>4271</v>
      </c>
      <c r="CO189" s="83">
        <v>4063</v>
      </c>
      <c r="CP189" s="83">
        <v>3975</v>
      </c>
      <c r="CQ189" s="83">
        <v>3809</v>
      </c>
      <c r="CR189" s="83">
        <v>3725</v>
      </c>
      <c r="CS189" s="83">
        <v>3531</v>
      </c>
      <c r="CT189" s="83">
        <v>3453</v>
      </c>
      <c r="CU189" s="382"/>
    </row>
    <row r="190" spans="1:99" s="86" customFormat="1" x14ac:dyDescent="0.2">
      <c r="A190" s="375">
        <v>422</v>
      </c>
      <c r="B190" s="375">
        <v>45</v>
      </c>
      <c r="C190" s="349" t="s">
        <v>156</v>
      </c>
      <c r="D190" s="376">
        <v>1516</v>
      </c>
      <c r="E190" s="164">
        <f t="shared" si="4"/>
        <v>2081.6999999999998</v>
      </c>
      <c r="F190" s="394">
        <f t="shared" si="5"/>
        <v>15.732856436736967</v>
      </c>
      <c r="G190" s="86">
        <v>234</v>
      </c>
      <c r="H190" s="83">
        <v>252</v>
      </c>
      <c r="I190" s="83">
        <v>257</v>
      </c>
      <c r="J190" s="83">
        <v>249</v>
      </c>
      <c r="K190" s="83">
        <v>260</v>
      </c>
      <c r="L190" s="83">
        <v>256</v>
      </c>
      <c r="M190" s="83">
        <v>257</v>
      </c>
      <c r="N190" s="83">
        <v>263</v>
      </c>
      <c r="O190" s="83">
        <v>241</v>
      </c>
      <c r="P190" s="83">
        <v>248</v>
      </c>
      <c r="Q190" s="83">
        <v>235</v>
      </c>
      <c r="R190" s="83">
        <v>235</v>
      </c>
      <c r="S190" s="83">
        <v>232</v>
      </c>
      <c r="T190" s="83">
        <v>242</v>
      </c>
      <c r="U190" s="83">
        <v>240</v>
      </c>
      <c r="V190" s="83">
        <v>237</v>
      </c>
      <c r="W190" s="83">
        <v>238</v>
      </c>
      <c r="X190" s="83">
        <v>237</v>
      </c>
      <c r="Y190" s="83">
        <v>241</v>
      </c>
      <c r="Z190" s="83">
        <v>233</v>
      </c>
      <c r="AA190" s="83">
        <v>2406</v>
      </c>
      <c r="AB190" s="83">
        <v>2336</v>
      </c>
      <c r="AC190" s="83">
        <v>2195</v>
      </c>
      <c r="AD190" s="83">
        <v>2102</v>
      </c>
      <c r="AE190" s="83">
        <v>2023</v>
      </c>
      <c r="AF190" s="83">
        <v>1941</v>
      </c>
      <c r="AG190" s="83">
        <v>1813</v>
      </c>
      <c r="AH190" s="83">
        <v>1824</v>
      </c>
      <c r="AI190" s="83">
        <v>1738</v>
      </c>
      <c r="AJ190" s="83">
        <v>1650</v>
      </c>
      <c r="AK190" s="83">
        <v>1604</v>
      </c>
      <c r="AL190" s="83">
        <v>1572</v>
      </c>
      <c r="AM190" s="83">
        <v>1550</v>
      </c>
      <c r="AN190" s="83">
        <v>1481</v>
      </c>
      <c r="AO190" s="83">
        <v>1438</v>
      </c>
      <c r="AP190" s="83">
        <v>1436</v>
      </c>
      <c r="AQ190" s="83">
        <v>1357</v>
      </c>
      <c r="AR190" s="83">
        <v>1381</v>
      </c>
      <c r="AS190" s="83">
        <v>1295</v>
      </c>
      <c r="AT190" s="83">
        <v>1287</v>
      </c>
      <c r="AU190" s="83">
        <v>1230</v>
      </c>
      <c r="AV190" s="83">
        <v>1211</v>
      </c>
      <c r="AW190" s="83">
        <v>1219</v>
      </c>
      <c r="AX190" s="83">
        <v>1131</v>
      </c>
      <c r="AY190" s="83">
        <v>1170</v>
      </c>
      <c r="AZ190" s="83">
        <v>1115</v>
      </c>
      <c r="BA190" s="83">
        <v>1088</v>
      </c>
      <c r="BB190" s="83">
        <v>1065</v>
      </c>
      <c r="BC190" s="83">
        <v>1047</v>
      </c>
      <c r="BD190" s="83">
        <v>1054</v>
      </c>
      <c r="BE190" s="83">
        <v>997</v>
      </c>
      <c r="BF190" s="83">
        <v>999</v>
      </c>
      <c r="BG190" s="83">
        <v>951</v>
      </c>
      <c r="BH190" s="83">
        <v>963</v>
      </c>
      <c r="BI190" s="83">
        <v>963</v>
      </c>
      <c r="BJ190" s="83">
        <v>877</v>
      </c>
      <c r="BK190" s="83">
        <v>915</v>
      </c>
      <c r="BL190" s="83">
        <v>875</v>
      </c>
      <c r="BM190" s="83">
        <v>862</v>
      </c>
      <c r="BN190" s="83">
        <v>842</v>
      </c>
      <c r="BO190" s="83">
        <v>851</v>
      </c>
      <c r="BP190" s="83">
        <v>828</v>
      </c>
      <c r="BQ190" s="83">
        <v>859</v>
      </c>
      <c r="BR190" s="83">
        <v>832</v>
      </c>
      <c r="BS190" s="83">
        <v>811</v>
      </c>
      <c r="BT190" s="83">
        <v>781</v>
      </c>
      <c r="BU190" s="83">
        <v>775</v>
      </c>
      <c r="BV190" s="83">
        <v>769</v>
      </c>
      <c r="BW190" s="83">
        <v>767</v>
      </c>
      <c r="BX190" s="83">
        <v>751</v>
      </c>
      <c r="BY190" s="83">
        <v>742</v>
      </c>
      <c r="BZ190" s="83">
        <v>701</v>
      </c>
      <c r="CA190" s="83">
        <v>728</v>
      </c>
      <c r="CB190" s="83">
        <v>768</v>
      </c>
      <c r="CC190" s="83">
        <v>687</v>
      </c>
      <c r="CD190" s="83">
        <v>660</v>
      </c>
      <c r="CE190" s="83">
        <v>700</v>
      </c>
      <c r="CF190" s="83">
        <v>702</v>
      </c>
      <c r="CG190" s="83">
        <v>6359</v>
      </c>
      <c r="CH190" s="83">
        <v>5875</v>
      </c>
      <c r="CI190" s="83">
        <v>5449</v>
      </c>
      <c r="CJ190" s="83">
        <v>5073</v>
      </c>
      <c r="CK190" s="83">
        <v>4782</v>
      </c>
      <c r="CL190" s="83">
        <v>4594</v>
      </c>
      <c r="CM190" s="83">
        <v>4424</v>
      </c>
      <c r="CN190" s="83">
        <v>4183</v>
      </c>
      <c r="CO190" s="83">
        <v>4039</v>
      </c>
      <c r="CP190" s="83">
        <v>3984</v>
      </c>
      <c r="CQ190" s="83">
        <v>3785</v>
      </c>
      <c r="CR190" s="83">
        <v>3724</v>
      </c>
      <c r="CS190" s="83">
        <v>3686</v>
      </c>
      <c r="CT190" s="83">
        <v>3550</v>
      </c>
      <c r="CU190" s="382"/>
    </row>
    <row r="191" spans="1:99" s="86" customFormat="1" x14ac:dyDescent="0.2">
      <c r="A191" s="375">
        <v>427</v>
      </c>
      <c r="B191" s="375">
        <v>45</v>
      </c>
      <c r="C191" s="349" t="s">
        <v>155</v>
      </c>
      <c r="D191" s="376">
        <v>4168</v>
      </c>
      <c r="E191" s="164">
        <f t="shared" si="4"/>
        <v>4010.55</v>
      </c>
      <c r="F191" s="394">
        <f t="shared" si="5"/>
        <v>21.204199044285811</v>
      </c>
      <c r="G191" s="86">
        <v>470</v>
      </c>
      <c r="H191" s="83">
        <v>462</v>
      </c>
      <c r="I191" s="83">
        <v>436</v>
      </c>
      <c r="J191" s="83">
        <v>468</v>
      </c>
      <c r="K191" s="83">
        <v>453</v>
      </c>
      <c r="L191" s="83">
        <v>455</v>
      </c>
      <c r="M191" s="83">
        <v>457</v>
      </c>
      <c r="N191" s="83">
        <v>457</v>
      </c>
      <c r="O191" s="83">
        <v>448</v>
      </c>
      <c r="P191" s="83">
        <v>440</v>
      </c>
      <c r="Q191" s="83">
        <v>463</v>
      </c>
      <c r="R191" s="83">
        <v>440</v>
      </c>
      <c r="S191" s="83">
        <v>449</v>
      </c>
      <c r="T191" s="83">
        <v>418</v>
      </c>
      <c r="U191" s="83">
        <v>433</v>
      </c>
      <c r="V191" s="83">
        <v>452</v>
      </c>
      <c r="W191" s="83">
        <v>425</v>
      </c>
      <c r="X191" s="83">
        <v>418</v>
      </c>
      <c r="Y191" s="83">
        <v>417</v>
      </c>
      <c r="Z191" s="83">
        <v>427</v>
      </c>
      <c r="AA191" s="83">
        <v>4299</v>
      </c>
      <c r="AB191" s="83">
        <v>3996</v>
      </c>
      <c r="AC191" s="83">
        <v>3840</v>
      </c>
      <c r="AD191" s="83">
        <v>3651</v>
      </c>
      <c r="AE191" s="83">
        <v>3588</v>
      </c>
      <c r="AF191" s="83">
        <v>3419</v>
      </c>
      <c r="AG191" s="83">
        <v>3236</v>
      </c>
      <c r="AH191" s="83">
        <v>3085</v>
      </c>
      <c r="AI191" s="83">
        <v>2898</v>
      </c>
      <c r="AJ191" s="83">
        <v>2876</v>
      </c>
      <c r="AK191" s="83">
        <v>2748</v>
      </c>
      <c r="AL191" s="83">
        <v>2594</v>
      </c>
      <c r="AM191" s="83">
        <v>2548</v>
      </c>
      <c r="AN191" s="83">
        <v>2446</v>
      </c>
      <c r="AO191" s="83">
        <v>2380</v>
      </c>
      <c r="AP191" s="83">
        <v>2341</v>
      </c>
      <c r="AQ191" s="83">
        <v>2222</v>
      </c>
      <c r="AR191" s="83">
        <v>2118</v>
      </c>
      <c r="AS191" s="83">
        <v>2134</v>
      </c>
      <c r="AT191" s="83">
        <v>2051</v>
      </c>
      <c r="AU191" s="83">
        <v>1973</v>
      </c>
      <c r="AV191" s="83">
        <v>1979</v>
      </c>
      <c r="AW191" s="83">
        <v>1900</v>
      </c>
      <c r="AX191" s="83">
        <v>1817</v>
      </c>
      <c r="AY191" s="83">
        <v>1827</v>
      </c>
      <c r="AZ191" s="83">
        <v>1789</v>
      </c>
      <c r="BA191" s="83">
        <v>1751</v>
      </c>
      <c r="BB191" s="83">
        <v>1671</v>
      </c>
      <c r="BC191" s="83">
        <v>1617</v>
      </c>
      <c r="BD191" s="83">
        <v>1626</v>
      </c>
      <c r="BE191" s="83">
        <v>1521</v>
      </c>
      <c r="BF191" s="83">
        <v>1511</v>
      </c>
      <c r="BG191" s="83">
        <v>1542</v>
      </c>
      <c r="BH191" s="83">
        <v>1477</v>
      </c>
      <c r="BI191" s="83">
        <v>1459</v>
      </c>
      <c r="BJ191" s="83">
        <v>1464</v>
      </c>
      <c r="BK191" s="83">
        <v>1413</v>
      </c>
      <c r="BL191" s="83">
        <v>1366</v>
      </c>
      <c r="BM191" s="83">
        <v>1336</v>
      </c>
      <c r="BN191" s="83">
        <v>1315</v>
      </c>
      <c r="BO191" s="83">
        <v>1296</v>
      </c>
      <c r="BP191" s="83">
        <v>1292</v>
      </c>
      <c r="BQ191" s="83">
        <v>1251</v>
      </c>
      <c r="BR191" s="83">
        <v>1235</v>
      </c>
      <c r="BS191" s="83">
        <v>1166</v>
      </c>
      <c r="BT191" s="83">
        <v>1162</v>
      </c>
      <c r="BU191" s="83">
        <v>1114</v>
      </c>
      <c r="BV191" s="83">
        <v>1157</v>
      </c>
      <c r="BW191" s="83">
        <v>1139</v>
      </c>
      <c r="BX191" s="83">
        <v>1130</v>
      </c>
      <c r="BY191" s="83">
        <v>1097</v>
      </c>
      <c r="BZ191" s="83">
        <v>1091</v>
      </c>
      <c r="CA191" s="83">
        <v>1094</v>
      </c>
      <c r="CB191" s="83">
        <v>1073</v>
      </c>
      <c r="CC191" s="83">
        <v>1073</v>
      </c>
      <c r="CD191" s="83">
        <v>1037</v>
      </c>
      <c r="CE191" s="83">
        <v>1015</v>
      </c>
      <c r="CF191" s="83">
        <v>969</v>
      </c>
      <c r="CG191" s="83">
        <v>9422</v>
      </c>
      <c r="CH191" s="83">
        <v>8483</v>
      </c>
      <c r="CI191" s="83">
        <v>7692</v>
      </c>
      <c r="CJ191" s="83">
        <v>7054</v>
      </c>
      <c r="CK191" s="83">
        <v>6574</v>
      </c>
      <c r="CL191" s="83">
        <v>6083</v>
      </c>
      <c r="CM191" s="83">
        <v>5836</v>
      </c>
      <c r="CN191" s="83">
        <v>5432</v>
      </c>
      <c r="CO191" s="83">
        <v>5199</v>
      </c>
      <c r="CP191" s="83">
        <v>4961</v>
      </c>
      <c r="CQ191" s="83">
        <v>4662</v>
      </c>
      <c r="CR191" s="83">
        <v>4581</v>
      </c>
      <c r="CS191" s="83">
        <v>4335</v>
      </c>
      <c r="CT191" s="83">
        <v>4334</v>
      </c>
      <c r="CU191" s="382"/>
    </row>
    <row r="192" spans="1:99" s="86" customFormat="1" x14ac:dyDescent="0.2">
      <c r="A192" s="375">
        <v>431</v>
      </c>
      <c r="B192" s="375">
        <v>45</v>
      </c>
      <c r="C192" s="349" t="s">
        <v>156</v>
      </c>
      <c r="D192" s="376">
        <v>1516</v>
      </c>
      <c r="E192" s="164">
        <f t="shared" si="4"/>
        <v>2234.1</v>
      </c>
      <c r="F192" s="394">
        <f t="shared" si="5"/>
        <v>16.237805029047525</v>
      </c>
      <c r="G192" s="86">
        <v>268</v>
      </c>
      <c r="H192" s="83">
        <v>263</v>
      </c>
      <c r="I192" s="83">
        <v>270</v>
      </c>
      <c r="J192" s="83">
        <v>261</v>
      </c>
      <c r="K192" s="83">
        <v>259</v>
      </c>
      <c r="L192" s="83">
        <v>250</v>
      </c>
      <c r="M192" s="83">
        <v>270</v>
      </c>
      <c r="N192" s="83">
        <v>247</v>
      </c>
      <c r="O192" s="83">
        <v>251</v>
      </c>
      <c r="P192" s="83">
        <v>240</v>
      </c>
      <c r="Q192" s="83">
        <v>252</v>
      </c>
      <c r="R192" s="83">
        <v>283</v>
      </c>
      <c r="S192" s="83">
        <v>269</v>
      </c>
      <c r="T192" s="83">
        <v>273</v>
      </c>
      <c r="U192" s="83">
        <v>268</v>
      </c>
      <c r="V192" s="83">
        <v>267</v>
      </c>
      <c r="W192" s="83">
        <v>250</v>
      </c>
      <c r="X192" s="83">
        <v>276</v>
      </c>
      <c r="Y192" s="83">
        <v>250</v>
      </c>
      <c r="Z192" s="83">
        <v>237</v>
      </c>
      <c r="AA192" s="83">
        <v>2489</v>
      </c>
      <c r="AB192" s="83">
        <v>2343</v>
      </c>
      <c r="AC192" s="83">
        <v>2236</v>
      </c>
      <c r="AD192" s="83">
        <v>1979</v>
      </c>
      <c r="AE192" s="83">
        <v>2125</v>
      </c>
      <c r="AF192" s="83">
        <v>2022</v>
      </c>
      <c r="AG192" s="83">
        <v>1961</v>
      </c>
      <c r="AH192" s="83">
        <v>1879</v>
      </c>
      <c r="AI192" s="83">
        <v>1827</v>
      </c>
      <c r="AJ192" s="83">
        <v>1786</v>
      </c>
      <c r="AK192" s="83">
        <v>1718</v>
      </c>
      <c r="AL192" s="83">
        <v>1641</v>
      </c>
      <c r="AM192" s="83">
        <v>1618</v>
      </c>
      <c r="AN192" s="83">
        <v>1541</v>
      </c>
      <c r="AO192" s="83">
        <v>1500</v>
      </c>
      <c r="AP192" s="83">
        <v>1492</v>
      </c>
      <c r="AQ192" s="83">
        <v>1406</v>
      </c>
      <c r="AR192" s="83">
        <v>1383</v>
      </c>
      <c r="AS192" s="83">
        <v>1368</v>
      </c>
      <c r="AT192" s="83">
        <v>1331</v>
      </c>
      <c r="AU192" s="83">
        <v>1280</v>
      </c>
      <c r="AV192" s="83">
        <v>1258</v>
      </c>
      <c r="AW192" s="83">
        <v>1214</v>
      </c>
      <c r="AX192" s="83">
        <v>1232</v>
      </c>
      <c r="AY192" s="83">
        <v>1222</v>
      </c>
      <c r="AZ192" s="83">
        <v>1110</v>
      </c>
      <c r="BA192" s="83">
        <v>1175</v>
      </c>
      <c r="BB192" s="83">
        <v>1107</v>
      </c>
      <c r="BC192" s="83">
        <v>1098</v>
      </c>
      <c r="BD192" s="83">
        <v>1083</v>
      </c>
      <c r="BE192" s="83">
        <v>1036</v>
      </c>
      <c r="BF192" s="83">
        <v>1030</v>
      </c>
      <c r="BG192" s="83">
        <v>1019</v>
      </c>
      <c r="BH192" s="83">
        <v>972</v>
      </c>
      <c r="BI192" s="83">
        <v>955</v>
      </c>
      <c r="BJ192" s="83">
        <v>982</v>
      </c>
      <c r="BK192" s="83">
        <v>937</v>
      </c>
      <c r="BL192" s="83">
        <v>913</v>
      </c>
      <c r="BM192" s="83">
        <v>897</v>
      </c>
      <c r="BN192" s="83">
        <v>921</v>
      </c>
      <c r="BO192" s="83">
        <v>893</v>
      </c>
      <c r="BP192" s="83">
        <v>859</v>
      </c>
      <c r="BQ192" s="83">
        <v>870</v>
      </c>
      <c r="BR192" s="83">
        <v>852</v>
      </c>
      <c r="BS192" s="83">
        <v>867</v>
      </c>
      <c r="BT192" s="83">
        <v>817</v>
      </c>
      <c r="BU192" s="83">
        <v>855</v>
      </c>
      <c r="BV192" s="83">
        <v>757</v>
      </c>
      <c r="BW192" s="83">
        <v>792</v>
      </c>
      <c r="BX192" s="83">
        <v>787</v>
      </c>
      <c r="BY192" s="83">
        <v>793</v>
      </c>
      <c r="BZ192" s="83">
        <v>772</v>
      </c>
      <c r="CA192" s="83">
        <v>738</v>
      </c>
      <c r="CB192" s="83">
        <v>775</v>
      </c>
      <c r="CC192" s="83">
        <v>736</v>
      </c>
      <c r="CD192" s="83">
        <v>708</v>
      </c>
      <c r="CE192" s="83">
        <v>680</v>
      </c>
      <c r="CF192" s="83">
        <v>709</v>
      </c>
      <c r="CG192" s="83">
        <v>6870</v>
      </c>
      <c r="CH192" s="83">
        <v>6181</v>
      </c>
      <c r="CI192" s="83">
        <v>5729</v>
      </c>
      <c r="CJ192" s="83">
        <v>5326</v>
      </c>
      <c r="CK192" s="83">
        <v>5102</v>
      </c>
      <c r="CL192" s="83">
        <v>4673</v>
      </c>
      <c r="CM192" s="83">
        <v>4617</v>
      </c>
      <c r="CN192" s="83">
        <v>4410</v>
      </c>
      <c r="CO192" s="83">
        <v>4250</v>
      </c>
      <c r="CP192" s="83">
        <v>4085</v>
      </c>
      <c r="CQ192" s="83">
        <v>3870</v>
      </c>
      <c r="CR192" s="83">
        <v>3829</v>
      </c>
      <c r="CS192" s="83">
        <v>3742</v>
      </c>
      <c r="CT192" s="83">
        <v>3616</v>
      </c>
      <c r="CU192" s="382"/>
    </row>
    <row r="193" spans="1:99" s="86" customFormat="1" x14ac:dyDescent="0.2">
      <c r="A193" s="375">
        <v>436</v>
      </c>
      <c r="B193" s="376">
        <v>45</v>
      </c>
      <c r="C193" s="349" t="s">
        <v>155</v>
      </c>
      <c r="D193" s="376">
        <v>0</v>
      </c>
      <c r="E193" s="164">
        <f t="shared" si="4"/>
        <v>47.849999999999994</v>
      </c>
      <c r="F193" s="394">
        <f t="shared" si="5"/>
        <v>4.6843665509637784</v>
      </c>
      <c r="G193" s="86">
        <v>17</v>
      </c>
      <c r="H193" s="83">
        <v>20</v>
      </c>
      <c r="I193" s="83">
        <v>26</v>
      </c>
      <c r="J193" s="83">
        <v>23</v>
      </c>
      <c r="K193" s="83">
        <v>14</v>
      </c>
      <c r="L193" s="83">
        <v>19</v>
      </c>
      <c r="M193" s="83">
        <v>21</v>
      </c>
      <c r="N193" s="83">
        <v>21</v>
      </c>
      <c r="O193" s="83">
        <v>15</v>
      </c>
      <c r="P193" s="83">
        <v>19</v>
      </c>
      <c r="Q193" s="83">
        <v>21</v>
      </c>
      <c r="R193" s="83">
        <v>22</v>
      </c>
      <c r="S193" s="83">
        <v>20</v>
      </c>
      <c r="T193" s="83">
        <v>25</v>
      </c>
      <c r="U193" s="83">
        <v>25</v>
      </c>
      <c r="V193" s="83">
        <v>23</v>
      </c>
      <c r="W193" s="83">
        <v>26</v>
      </c>
      <c r="X193" s="83">
        <v>19</v>
      </c>
      <c r="Y193" s="83">
        <v>29</v>
      </c>
      <c r="Z193" s="83">
        <v>19</v>
      </c>
      <c r="AA193" s="83">
        <v>229</v>
      </c>
      <c r="AB193" s="83">
        <v>216</v>
      </c>
      <c r="AC193" s="83">
        <v>231</v>
      </c>
      <c r="AD193" s="83">
        <v>242</v>
      </c>
      <c r="AE193" s="83">
        <v>219</v>
      </c>
      <c r="AF193" s="83">
        <v>225</v>
      </c>
      <c r="AG193" s="83">
        <v>241</v>
      </c>
      <c r="AH193" s="83">
        <v>231</v>
      </c>
      <c r="AI193" s="83">
        <v>222</v>
      </c>
      <c r="AJ193" s="83">
        <v>211</v>
      </c>
      <c r="AK193" s="83">
        <v>199</v>
      </c>
      <c r="AL193" s="83">
        <v>213</v>
      </c>
      <c r="AM193" s="83">
        <v>205</v>
      </c>
      <c r="AN193" s="83">
        <v>230</v>
      </c>
      <c r="AO193" s="83">
        <v>199</v>
      </c>
      <c r="AP193" s="83">
        <v>204</v>
      </c>
      <c r="AQ193" s="83">
        <v>193</v>
      </c>
      <c r="AR193" s="83">
        <v>206</v>
      </c>
      <c r="AS193" s="83">
        <v>214</v>
      </c>
      <c r="AT193" s="83">
        <v>200</v>
      </c>
      <c r="AU193" s="83">
        <v>188</v>
      </c>
      <c r="AV193" s="83">
        <v>199</v>
      </c>
      <c r="AW193" s="83">
        <v>215</v>
      </c>
      <c r="AX193" s="83">
        <v>208</v>
      </c>
      <c r="AY193" s="83">
        <v>226</v>
      </c>
      <c r="AZ193" s="83">
        <v>207</v>
      </c>
      <c r="BA193" s="83">
        <v>201</v>
      </c>
      <c r="BB193" s="83">
        <v>205</v>
      </c>
      <c r="BC193" s="83">
        <v>192</v>
      </c>
      <c r="BD193" s="83">
        <v>189</v>
      </c>
      <c r="BE193" s="83">
        <v>176</v>
      </c>
      <c r="BF193" s="83">
        <v>200</v>
      </c>
      <c r="BG193" s="83">
        <v>195</v>
      </c>
      <c r="BH193" s="83">
        <v>195</v>
      </c>
      <c r="BI193" s="83">
        <v>183</v>
      </c>
      <c r="BJ193" s="83">
        <v>187</v>
      </c>
      <c r="BK193" s="83">
        <v>190</v>
      </c>
      <c r="BL193" s="83">
        <v>191</v>
      </c>
      <c r="BM193" s="83">
        <v>188</v>
      </c>
      <c r="BN193" s="83">
        <v>199</v>
      </c>
      <c r="BO193" s="83">
        <v>203</v>
      </c>
      <c r="BP193" s="83">
        <v>202</v>
      </c>
      <c r="BQ193" s="83">
        <v>172</v>
      </c>
      <c r="BR193" s="83">
        <v>178</v>
      </c>
      <c r="BS193" s="83">
        <v>161</v>
      </c>
      <c r="BT193" s="83">
        <v>183</v>
      </c>
      <c r="BU193" s="83">
        <v>198</v>
      </c>
      <c r="BV193" s="83">
        <v>176</v>
      </c>
      <c r="BW193" s="83">
        <v>200</v>
      </c>
      <c r="BX193" s="83">
        <v>188</v>
      </c>
      <c r="BY193" s="83">
        <v>196</v>
      </c>
      <c r="BZ193" s="83">
        <v>181</v>
      </c>
      <c r="CA193" s="83">
        <v>180</v>
      </c>
      <c r="CB193" s="83">
        <v>179</v>
      </c>
      <c r="CC193" s="83">
        <v>195</v>
      </c>
      <c r="CD193" s="83">
        <v>176</v>
      </c>
      <c r="CE193" s="83">
        <v>191</v>
      </c>
      <c r="CF193" s="83">
        <v>180</v>
      </c>
      <c r="CG193" s="83">
        <v>1798</v>
      </c>
      <c r="CH193" s="83">
        <v>1767</v>
      </c>
      <c r="CI193" s="83">
        <v>1808</v>
      </c>
      <c r="CJ193" s="83">
        <v>1739</v>
      </c>
      <c r="CK193" s="83">
        <v>1698</v>
      </c>
      <c r="CL193" s="83">
        <v>1748</v>
      </c>
      <c r="CM193" s="83">
        <v>1730</v>
      </c>
      <c r="CN193" s="83">
        <v>1768</v>
      </c>
      <c r="CO193" s="83">
        <v>1692</v>
      </c>
      <c r="CP193" s="83">
        <v>1681</v>
      </c>
      <c r="CQ193" s="83">
        <v>1711</v>
      </c>
      <c r="CR193" s="83">
        <v>1719</v>
      </c>
      <c r="CS193" s="83">
        <v>1648</v>
      </c>
      <c r="CT193" s="83">
        <v>1635</v>
      </c>
      <c r="CU193" s="382"/>
    </row>
    <row r="194" spans="1:99" s="86" customFormat="1" x14ac:dyDescent="0.2">
      <c r="A194" s="375">
        <v>440</v>
      </c>
      <c r="B194" s="376">
        <v>45</v>
      </c>
      <c r="C194" s="349" t="s">
        <v>156</v>
      </c>
      <c r="D194" s="376">
        <v>1516</v>
      </c>
      <c r="E194" s="164">
        <f t="shared" si="4"/>
        <v>2031.2</v>
      </c>
      <c r="F194" s="394">
        <f t="shared" si="5"/>
        <v>15.307254991103369</v>
      </c>
      <c r="G194" s="86">
        <v>225</v>
      </c>
      <c r="H194" s="83">
        <v>251</v>
      </c>
      <c r="I194" s="83">
        <v>234</v>
      </c>
      <c r="J194" s="83">
        <v>244</v>
      </c>
      <c r="K194" s="83">
        <v>255</v>
      </c>
      <c r="L194" s="83">
        <v>221</v>
      </c>
      <c r="M194" s="83">
        <v>223</v>
      </c>
      <c r="N194" s="83">
        <v>242</v>
      </c>
      <c r="O194" s="83">
        <v>223</v>
      </c>
      <c r="P194" s="83">
        <v>235</v>
      </c>
      <c r="Q194" s="83">
        <v>239</v>
      </c>
      <c r="R194" s="83">
        <v>226</v>
      </c>
      <c r="S194" s="83">
        <v>243</v>
      </c>
      <c r="T194" s="83">
        <v>236</v>
      </c>
      <c r="U194" s="83">
        <v>228</v>
      </c>
      <c r="V194" s="83">
        <v>223</v>
      </c>
      <c r="W194" s="83">
        <v>237</v>
      </c>
      <c r="X194" s="83">
        <v>228</v>
      </c>
      <c r="Y194" s="83">
        <v>216</v>
      </c>
      <c r="Z194" s="83">
        <v>211</v>
      </c>
      <c r="AA194" s="83">
        <v>2263</v>
      </c>
      <c r="AB194" s="83">
        <v>2202</v>
      </c>
      <c r="AC194" s="83">
        <v>2107</v>
      </c>
      <c r="AD194" s="83">
        <v>1958</v>
      </c>
      <c r="AE194" s="83">
        <v>1860</v>
      </c>
      <c r="AF194" s="83">
        <v>1798</v>
      </c>
      <c r="AG194" s="83">
        <v>1748</v>
      </c>
      <c r="AH194" s="83">
        <v>1623</v>
      </c>
      <c r="AI194" s="83">
        <v>1612</v>
      </c>
      <c r="AJ194" s="83">
        <v>1541</v>
      </c>
      <c r="AK194" s="83">
        <v>1542</v>
      </c>
      <c r="AL194" s="83">
        <v>1466</v>
      </c>
      <c r="AM194" s="83">
        <v>1427</v>
      </c>
      <c r="AN194" s="83">
        <v>1425</v>
      </c>
      <c r="AO194" s="83">
        <v>1275</v>
      </c>
      <c r="AP194" s="83">
        <v>1335</v>
      </c>
      <c r="AQ194" s="83">
        <v>1244</v>
      </c>
      <c r="AR194" s="83">
        <v>1200</v>
      </c>
      <c r="AS194" s="83">
        <v>1188</v>
      </c>
      <c r="AT194" s="83">
        <v>1153</v>
      </c>
      <c r="AU194" s="83">
        <v>1154</v>
      </c>
      <c r="AV194" s="83">
        <v>1088</v>
      </c>
      <c r="AW194" s="83">
        <v>1081</v>
      </c>
      <c r="AX194" s="83">
        <v>1038</v>
      </c>
      <c r="AY194" s="83">
        <v>1012</v>
      </c>
      <c r="AZ194" s="83">
        <v>1005</v>
      </c>
      <c r="BA194" s="83">
        <v>954</v>
      </c>
      <c r="BB194" s="83">
        <v>934</v>
      </c>
      <c r="BC194" s="83">
        <v>938</v>
      </c>
      <c r="BD194" s="83">
        <v>905</v>
      </c>
      <c r="BE194" s="83">
        <v>904</v>
      </c>
      <c r="BF194" s="83">
        <v>871</v>
      </c>
      <c r="BG194" s="83">
        <v>861</v>
      </c>
      <c r="BH194" s="83">
        <v>812</v>
      </c>
      <c r="BI194" s="83">
        <v>832</v>
      </c>
      <c r="BJ194" s="83">
        <v>818</v>
      </c>
      <c r="BK194" s="83">
        <v>788</v>
      </c>
      <c r="BL194" s="83">
        <v>753</v>
      </c>
      <c r="BM194" s="83">
        <v>753</v>
      </c>
      <c r="BN194" s="83">
        <v>761</v>
      </c>
      <c r="BO194" s="83">
        <v>732</v>
      </c>
      <c r="BP194" s="83">
        <v>744</v>
      </c>
      <c r="BQ194" s="83">
        <v>710</v>
      </c>
      <c r="BR194" s="83">
        <v>711</v>
      </c>
      <c r="BS194" s="83">
        <v>686</v>
      </c>
      <c r="BT194" s="83">
        <v>704</v>
      </c>
      <c r="BU194" s="83">
        <v>702</v>
      </c>
      <c r="BV194" s="83">
        <v>662</v>
      </c>
      <c r="BW194" s="83">
        <v>656</v>
      </c>
      <c r="BX194" s="83">
        <v>656</v>
      </c>
      <c r="BY194" s="83">
        <v>620</v>
      </c>
      <c r="BZ194" s="83">
        <v>640</v>
      </c>
      <c r="CA194" s="83">
        <v>620</v>
      </c>
      <c r="CB194" s="83">
        <v>612</v>
      </c>
      <c r="CC194" s="83">
        <v>585</v>
      </c>
      <c r="CD194" s="83">
        <v>605</v>
      </c>
      <c r="CE194" s="83">
        <v>559</v>
      </c>
      <c r="CF194" s="83">
        <v>593</v>
      </c>
      <c r="CG194" s="83">
        <v>5578</v>
      </c>
      <c r="CH194" s="83">
        <v>4954</v>
      </c>
      <c r="CI194" s="83">
        <v>4498</v>
      </c>
      <c r="CJ194" s="83">
        <v>4211</v>
      </c>
      <c r="CK194" s="83">
        <v>4010</v>
      </c>
      <c r="CL194" s="83">
        <v>3764</v>
      </c>
      <c r="CM194" s="83">
        <v>3478</v>
      </c>
      <c r="CN194" s="83">
        <v>3460</v>
      </c>
      <c r="CO194" s="83">
        <v>3293</v>
      </c>
      <c r="CP194" s="83">
        <v>3101</v>
      </c>
      <c r="CQ194" s="83">
        <v>3117</v>
      </c>
      <c r="CR194" s="83">
        <v>2956</v>
      </c>
      <c r="CS194" s="83">
        <v>2927</v>
      </c>
      <c r="CT194" s="83">
        <v>2849</v>
      </c>
      <c r="CU194" s="382"/>
    </row>
    <row r="195" spans="1:99" s="86" customFormat="1" x14ac:dyDescent="0.2">
      <c r="A195" s="375">
        <v>445</v>
      </c>
      <c r="B195" s="375">
        <v>45</v>
      </c>
      <c r="C195" s="349" t="s">
        <v>155</v>
      </c>
      <c r="D195" s="376">
        <v>1010</v>
      </c>
      <c r="E195" s="164">
        <f t="shared" si="4"/>
        <v>1551.85</v>
      </c>
      <c r="F195" s="394">
        <f t="shared" si="5"/>
        <v>13.458814989206118</v>
      </c>
      <c r="G195" s="86">
        <v>189</v>
      </c>
      <c r="H195" s="83">
        <v>164</v>
      </c>
      <c r="I195" s="83">
        <v>193</v>
      </c>
      <c r="J195" s="83">
        <v>185</v>
      </c>
      <c r="K195" s="83">
        <v>190</v>
      </c>
      <c r="L195" s="83">
        <v>185</v>
      </c>
      <c r="M195" s="83">
        <v>173</v>
      </c>
      <c r="N195" s="83">
        <v>192</v>
      </c>
      <c r="O195" s="83">
        <v>173</v>
      </c>
      <c r="P195" s="83">
        <v>165</v>
      </c>
      <c r="Q195" s="83">
        <v>168</v>
      </c>
      <c r="R195" s="83">
        <v>187</v>
      </c>
      <c r="S195" s="83">
        <v>170</v>
      </c>
      <c r="T195" s="83">
        <v>197</v>
      </c>
      <c r="U195" s="83">
        <v>190</v>
      </c>
      <c r="V195" s="83">
        <v>173</v>
      </c>
      <c r="W195" s="83">
        <v>162</v>
      </c>
      <c r="X195" s="83">
        <v>180</v>
      </c>
      <c r="Y195" s="83">
        <v>166</v>
      </c>
      <c r="Z195" s="83">
        <v>178</v>
      </c>
      <c r="AA195" s="83">
        <v>1684</v>
      </c>
      <c r="AB195" s="83">
        <v>1657</v>
      </c>
      <c r="AC195" s="83">
        <v>1518</v>
      </c>
      <c r="AD195" s="83">
        <v>1471</v>
      </c>
      <c r="AE195" s="83">
        <v>1438</v>
      </c>
      <c r="AF195" s="83">
        <v>1345</v>
      </c>
      <c r="AG195" s="83">
        <v>1360</v>
      </c>
      <c r="AH195" s="83">
        <v>1288</v>
      </c>
      <c r="AI195" s="83">
        <v>1225</v>
      </c>
      <c r="AJ195" s="83">
        <v>1167</v>
      </c>
      <c r="AK195" s="83">
        <v>1120</v>
      </c>
      <c r="AL195" s="83">
        <v>1067</v>
      </c>
      <c r="AM195" s="83">
        <v>1018</v>
      </c>
      <c r="AN195" s="83">
        <v>976</v>
      </c>
      <c r="AO195" s="83">
        <v>1013</v>
      </c>
      <c r="AP195" s="83">
        <v>1008</v>
      </c>
      <c r="AQ195" s="83">
        <v>672</v>
      </c>
      <c r="AR195" s="83">
        <v>914</v>
      </c>
      <c r="AS195" s="83">
        <v>921</v>
      </c>
      <c r="AT195" s="83">
        <v>849</v>
      </c>
      <c r="AU195" s="83">
        <v>856</v>
      </c>
      <c r="AV195" s="83">
        <v>816</v>
      </c>
      <c r="AW195" s="83">
        <v>827</v>
      </c>
      <c r="AX195" s="83">
        <v>823</v>
      </c>
      <c r="AY195" s="83">
        <v>775</v>
      </c>
      <c r="AZ195" s="83">
        <v>754</v>
      </c>
      <c r="BA195" s="83">
        <v>713</v>
      </c>
      <c r="BB195" s="83">
        <v>756</v>
      </c>
      <c r="BC195" s="83">
        <v>719</v>
      </c>
      <c r="BD195" s="83">
        <v>688</v>
      </c>
      <c r="BE195" s="83">
        <v>668</v>
      </c>
      <c r="BF195" s="83">
        <v>656</v>
      </c>
      <c r="BG195" s="83">
        <v>664</v>
      </c>
      <c r="BH195" s="83">
        <v>641</v>
      </c>
      <c r="BI195" s="83">
        <v>628</v>
      </c>
      <c r="BJ195" s="83">
        <v>643</v>
      </c>
      <c r="BK195" s="83">
        <v>628</v>
      </c>
      <c r="BL195" s="83">
        <v>607</v>
      </c>
      <c r="BM195" s="83">
        <v>581</v>
      </c>
      <c r="BN195" s="83">
        <v>595</v>
      </c>
      <c r="BO195" s="83">
        <v>597</v>
      </c>
      <c r="BP195" s="83">
        <v>587</v>
      </c>
      <c r="BQ195" s="83">
        <v>553</v>
      </c>
      <c r="BR195" s="83">
        <v>577</v>
      </c>
      <c r="BS195" s="83">
        <v>524</v>
      </c>
      <c r="BT195" s="83">
        <v>521</v>
      </c>
      <c r="BU195" s="83">
        <v>537</v>
      </c>
      <c r="BV195" s="83">
        <v>526</v>
      </c>
      <c r="BW195" s="83">
        <v>514</v>
      </c>
      <c r="BX195" s="83">
        <v>532</v>
      </c>
      <c r="BY195" s="83">
        <v>491</v>
      </c>
      <c r="BZ195" s="83">
        <v>488</v>
      </c>
      <c r="CA195" s="83">
        <v>501</v>
      </c>
      <c r="CB195" s="83">
        <v>494</v>
      </c>
      <c r="CC195" s="83">
        <v>500</v>
      </c>
      <c r="CD195" s="83">
        <v>493</v>
      </c>
      <c r="CE195" s="83">
        <v>479</v>
      </c>
      <c r="CF195" s="83">
        <v>430</v>
      </c>
      <c r="CG195" s="83">
        <v>4431</v>
      </c>
      <c r="CH195" s="83">
        <v>4020</v>
      </c>
      <c r="CI195" s="83">
        <v>3649</v>
      </c>
      <c r="CJ195" s="83">
        <v>3484</v>
      </c>
      <c r="CK195" s="83">
        <v>3150</v>
      </c>
      <c r="CL195" s="83">
        <v>3107</v>
      </c>
      <c r="CM195" s="83">
        <v>3009</v>
      </c>
      <c r="CN195" s="83">
        <v>2812</v>
      </c>
      <c r="CO195" s="83">
        <v>2739</v>
      </c>
      <c r="CP195" s="83">
        <v>2615</v>
      </c>
      <c r="CQ195" s="83">
        <v>2539</v>
      </c>
      <c r="CR195" s="83">
        <v>2465</v>
      </c>
      <c r="CS195" s="83">
        <v>2429</v>
      </c>
      <c r="CT195" s="83">
        <v>2334</v>
      </c>
      <c r="CU195" s="382"/>
    </row>
    <row r="196" spans="1:99" s="86" customFormat="1" x14ac:dyDescent="0.2">
      <c r="A196" s="375">
        <v>449</v>
      </c>
      <c r="B196" s="375">
        <v>45</v>
      </c>
      <c r="C196" s="349" t="s">
        <v>156</v>
      </c>
      <c r="D196" s="376">
        <v>1516</v>
      </c>
      <c r="E196" s="381">
        <f t="shared" si="4"/>
        <v>2142.5500000000002</v>
      </c>
      <c r="F196" s="395">
        <f t="shared" si="5"/>
        <v>15.728014310372151</v>
      </c>
      <c r="G196" s="86">
        <v>254</v>
      </c>
      <c r="H196" s="83">
        <v>232</v>
      </c>
      <c r="I196" s="83">
        <v>243</v>
      </c>
      <c r="J196" s="83">
        <v>248</v>
      </c>
      <c r="K196" s="83">
        <v>232</v>
      </c>
      <c r="L196" s="83">
        <v>276</v>
      </c>
      <c r="M196" s="83">
        <v>230</v>
      </c>
      <c r="N196" s="83">
        <v>248</v>
      </c>
      <c r="O196" s="83">
        <v>281</v>
      </c>
      <c r="P196" s="83">
        <v>243</v>
      </c>
      <c r="Q196" s="83">
        <v>240</v>
      </c>
      <c r="R196" s="83">
        <v>247</v>
      </c>
      <c r="S196" s="83">
        <v>206</v>
      </c>
      <c r="T196" s="83">
        <v>240</v>
      </c>
      <c r="U196" s="83">
        <v>247</v>
      </c>
      <c r="V196" s="83">
        <v>243</v>
      </c>
      <c r="W196" s="83">
        <v>239</v>
      </c>
      <c r="X196" s="83">
        <v>247</v>
      </c>
      <c r="Y196" s="83">
        <v>229</v>
      </c>
      <c r="Z196" s="83">
        <v>251</v>
      </c>
      <c r="AA196" s="83">
        <v>2396</v>
      </c>
      <c r="AB196" s="83">
        <v>2306</v>
      </c>
      <c r="AC196" s="83">
        <v>2108</v>
      </c>
      <c r="AD196" s="83">
        <v>2073</v>
      </c>
      <c r="AE196" s="83">
        <v>1926</v>
      </c>
      <c r="AF196" s="83">
        <v>1953</v>
      </c>
      <c r="AG196" s="83">
        <v>1712</v>
      </c>
      <c r="AH196" s="83">
        <v>1710</v>
      </c>
      <c r="AI196" s="83">
        <v>1666</v>
      </c>
      <c r="AJ196" s="83">
        <v>1562</v>
      </c>
      <c r="AK196" s="83">
        <v>1498</v>
      </c>
      <c r="AL196" s="83">
        <v>1547</v>
      </c>
      <c r="AM196" s="83">
        <v>1450</v>
      </c>
      <c r="AN196" s="83">
        <v>1397</v>
      </c>
      <c r="AO196" s="83">
        <v>1373</v>
      </c>
      <c r="AP196" s="83">
        <v>1354</v>
      </c>
      <c r="AQ196" s="83">
        <v>1259</v>
      </c>
      <c r="AR196" s="83">
        <v>1266</v>
      </c>
      <c r="AS196" s="83">
        <v>1206</v>
      </c>
      <c r="AT196" s="83">
        <v>1166</v>
      </c>
      <c r="AU196" s="83">
        <v>1153</v>
      </c>
      <c r="AV196" s="83">
        <v>1104</v>
      </c>
      <c r="AW196" s="83">
        <v>1072</v>
      </c>
      <c r="AX196" s="83">
        <v>1101</v>
      </c>
      <c r="AY196" s="83">
        <v>1071</v>
      </c>
      <c r="AZ196" s="83">
        <v>1005</v>
      </c>
      <c r="BA196" s="83">
        <v>974</v>
      </c>
      <c r="BB196" s="83">
        <v>1019</v>
      </c>
      <c r="BC196" s="83">
        <v>989</v>
      </c>
      <c r="BD196" s="83">
        <v>950</v>
      </c>
      <c r="BE196" s="83">
        <v>939</v>
      </c>
      <c r="BF196" s="83">
        <v>913</v>
      </c>
      <c r="BG196" s="83">
        <v>893</v>
      </c>
      <c r="BH196" s="83">
        <v>863</v>
      </c>
      <c r="BI196" s="83">
        <v>851</v>
      </c>
      <c r="BJ196" s="83">
        <v>865</v>
      </c>
      <c r="BK196" s="83">
        <v>821</v>
      </c>
      <c r="BL196" s="83">
        <v>790</v>
      </c>
      <c r="BM196" s="83">
        <v>823</v>
      </c>
      <c r="BN196" s="83">
        <v>759</v>
      </c>
      <c r="BO196" s="83">
        <v>767</v>
      </c>
      <c r="BP196" s="83">
        <v>723</v>
      </c>
      <c r="BQ196" s="83">
        <v>751</v>
      </c>
      <c r="BR196" s="83">
        <v>730</v>
      </c>
      <c r="BS196" s="83">
        <v>710</v>
      </c>
      <c r="BT196" s="83">
        <v>732</v>
      </c>
      <c r="BU196" s="83">
        <v>742</v>
      </c>
      <c r="BV196" s="83">
        <v>705</v>
      </c>
      <c r="BW196" s="83">
        <v>708</v>
      </c>
      <c r="BX196" s="83">
        <v>706</v>
      </c>
      <c r="BY196" s="83">
        <v>663</v>
      </c>
      <c r="BZ196" s="83">
        <v>672</v>
      </c>
      <c r="CA196" s="83">
        <v>691</v>
      </c>
      <c r="CB196" s="83">
        <v>662</v>
      </c>
      <c r="CC196" s="83">
        <v>634</v>
      </c>
      <c r="CD196" s="83">
        <v>656</v>
      </c>
      <c r="CE196" s="83">
        <v>591</v>
      </c>
      <c r="CF196" s="83">
        <v>610</v>
      </c>
      <c r="CG196" s="83">
        <v>5735</v>
      </c>
      <c r="CH196" s="83">
        <v>5187</v>
      </c>
      <c r="CI196" s="83">
        <v>4796</v>
      </c>
      <c r="CJ196" s="83">
        <v>4415</v>
      </c>
      <c r="CK196" s="83">
        <v>4155</v>
      </c>
      <c r="CL196" s="83">
        <v>4012</v>
      </c>
      <c r="CM196" s="83">
        <v>3759</v>
      </c>
      <c r="CN196" s="83">
        <v>3649</v>
      </c>
      <c r="CO196" s="83">
        <v>3446</v>
      </c>
      <c r="CP196" s="83">
        <v>3302</v>
      </c>
      <c r="CQ196" s="83">
        <v>3282</v>
      </c>
      <c r="CR196" s="83">
        <v>3082</v>
      </c>
      <c r="CS196" s="83">
        <v>3032</v>
      </c>
      <c r="CT196" s="83">
        <v>2877</v>
      </c>
      <c r="CU196" s="382"/>
    </row>
    <row r="197" spans="1:99" s="86" customFormat="1" x14ac:dyDescent="0.2">
      <c r="A197" s="377">
        <v>131</v>
      </c>
      <c r="B197" s="377">
        <v>46</v>
      </c>
      <c r="C197" s="347" t="s">
        <v>155</v>
      </c>
      <c r="D197" s="377">
        <v>0</v>
      </c>
      <c r="E197" s="164">
        <f t="shared" si="4"/>
        <v>59520.05</v>
      </c>
      <c r="F197" s="394">
        <f t="shared" si="5"/>
        <v>78.440371665257075</v>
      </c>
      <c r="G197" s="85">
        <v>6356</v>
      </c>
      <c r="H197" s="85">
        <v>6231</v>
      </c>
      <c r="I197" s="85">
        <v>6372</v>
      </c>
      <c r="J197" s="85">
        <v>6217</v>
      </c>
      <c r="K197" s="85">
        <v>6232</v>
      </c>
      <c r="L197" s="85">
        <v>6216</v>
      </c>
      <c r="M197" s="85">
        <v>6265</v>
      </c>
      <c r="N197" s="85">
        <v>6120</v>
      </c>
      <c r="O197" s="85">
        <v>6157</v>
      </c>
      <c r="P197" s="85">
        <v>6171</v>
      </c>
      <c r="Q197" s="85">
        <v>6180</v>
      </c>
      <c r="R197" s="85">
        <v>6012</v>
      </c>
      <c r="S197" s="85">
        <v>6087</v>
      </c>
      <c r="T197" s="85">
        <v>6006</v>
      </c>
      <c r="U197" s="85">
        <v>6013</v>
      </c>
      <c r="V197" s="85">
        <v>6021</v>
      </c>
      <c r="W197" s="85">
        <v>6020</v>
      </c>
      <c r="X197" s="85">
        <v>5970</v>
      </c>
      <c r="Y197" s="85">
        <v>5816</v>
      </c>
      <c r="Z197" s="85">
        <v>5802</v>
      </c>
      <c r="AA197" s="85">
        <v>57059</v>
      </c>
      <c r="AB197" s="85">
        <v>54401</v>
      </c>
      <c r="AC197" s="85">
        <v>51503</v>
      </c>
      <c r="AD197" s="85">
        <v>48820</v>
      </c>
      <c r="AE197" s="85">
        <v>46373</v>
      </c>
      <c r="AF197" s="85">
        <v>43674</v>
      </c>
      <c r="AG197" s="85">
        <v>41088</v>
      </c>
      <c r="AH197" s="85">
        <v>39416</v>
      </c>
      <c r="AI197" s="85">
        <v>37479</v>
      </c>
      <c r="AJ197" s="85">
        <v>35476</v>
      </c>
      <c r="AK197" s="85">
        <v>33816</v>
      </c>
      <c r="AL197" s="85">
        <v>32000</v>
      </c>
      <c r="AM197" s="85">
        <v>30737</v>
      </c>
      <c r="AN197" s="85">
        <v>29209</v>
      </c>
      <c r="AO197" s="85">
        <v>28027</v>
      </c>
      <c r="AP197" s="85">
        <v>26584</v>
      </c>
      <c r="AQ197" s="85">
        <v>25154</v>
      </c>
      <c r="AR197" s="85">
        <v>24567</v>
      </c>
      <c r="AS197" s="85">
        <v>23435</v>
      </c>
      <c r="AT197" s="85">
        <v>22652</v>
      </c>
      <c r="AU197" s="85">
        <v>21852</v>
      </c>
      <c r="AV197" s="85">
        <v>20933</v>
      </c>
      <c r="AW197" s="85">
        <v>20153</v>
      </c>
      <c r="AX197" s="85">
        <v>19456</v>
      </c>
      <c r="AY197" s="85">
        <v>18708</v>
      </c>
      <c r="AZ197" s="85">
        <v>17942</v>
      </c>
      <c r="BA197" s="85">
        <v>17296</v>
      </c>
      <c r="BB197" s="85">
        <v>16638</v>
      </c>
      <c r="BC197" s="85">
        <v>16154</v>
      </c>
      <c r="BD197" s="85">
        <v>15815</v>
      </c>
      <c r="BE197" s="85">
        <v>15184</v>
      </c>
      <c r="BF197" s="85">
        <v>14640</v>
      </c>
      <c r="BG197" s="85">
        <v>14036</v>
      </c>
      <c r="BH197" s="85">
        <v>13672</v>
      </c>
      <c r="BI197" s="85">
        <v>13375</v>
      </c>
      <c r="BJ197" s="85">
        <v>12830</v>
      </c>
      <c r="BK197" s="85">
        <v>12570</v>
      </c>
      <c r="BL197" s="85">
        <v>12260</v>
      </c>
      <c r="BM197" s="85">
        <v>11760</v>
      </c>
      <c r="BN197" s="85">
        <v>11427</v>
      </c>
      <c r="BO197" s="85">
        <v>11131</v>
      </c>
      <c r="BP197" s="85">
        <v>11096</v>
      </c>
      <c r="BQ197" s="85">
        <v>10426</v>
      </c>
      <c r="BR197" s="85">
        <v>10336</v>
      </c>
      <c r="BS197" s="85">
        <v>9975</v>
      </c>
      <c r="BT197" s="85">
        <v>9719</v>
      </c>
      <c r="BU197" s="85">
        <v>9561</v>
      </c>
      <c r="BV197" s="85">
        <v>9220</v>
      </c>
      <c r="BW197" s="85">
        <v>9012</v>
      </c>
      <c r="BX197" s="85">
        <v>8814</v>
      </c>
      <c r="BY197" s="85">
        <v>8518</v>
      </c>
      <c r="BZ197" s="85">
        <v>8357</v>
      </c>
      <c r="CA197" s="85">
        <v>8129</v>
      </c>
      <c r="CB197" s="85">
        <v>8075</v>
      </c>
      <c r="CC197" s="85">
        <v>7817</v>
      </c>
      <c r="CD197" s="85">
        <v>7739</v>
      </c>
      <c r="CE197" s="85">
        <v>7447</v>
      </c>
      <c r="CF197" s="85">
        <v>7367</v>
      </c>
      <c r="CG197" s="85">
        <v>65411</v>
      </c>
      <c r="CH197" s="85">
        <v>54296</v>
      </c>
      <c r="CI197" s="85">
        <v>45807</v>
      </c>
      <c r="CJ197" s="85">
        <v>39552</v>
      </c>
      <c r="CK197" s="85">
        <v>34772</v>
      </c>
      <c r="CL197" s="85">
        <v>30733</v>
      </c>
      <c r="CM197" s="85">
        <v>27349</v>
      </c>
      <c r="CN197" s="85">
        <v>24735</v>
      </c>
      <c r="CO197" s="85">
        <v>22691</v>
      </c>
      <c r="CP197" s="85">
        <v>20641</v>
      </c>
      <c r="CQ197" s="85">
        <v>19062</v>
      </c>
      <c r="CR197" s="85">
        <v>17839</v>
      </c>
      <c r="CS197" s="85">
        <v>16650</v>
      </c>
      <c r="CT197" s="85">
        <v>15589</v>
      </c>
      <c r="CU197" s="382"/>
    </row>
    <row r="198" spans="1:99" s="86" customFormat="1" x14ac:dyDescent="0.2">
      <c r="A198" s="375">
        <v>135</v>
      </c>
      <c r="B198" s="375">
        <v>46</v>
      </c>
      <c r="C198" s="349" t="s">
        <v>156</v>
      </c>
      <c r="D198" s="375">
        <v>1515</v>
      </c>
      <c r="E198" s="164">
        <f t="shared" ref="E198:E244" si="6">MAX((SUM(G198:Z198)/2)-(SUM(CS198:CT198)/20),0.1)</f>
        <v>11767.6</v>
      </c>
      <c r="F198" s="394">
        <f t="shared" ref="F198:F244" si="7">SQRT((STDEV(CP198:CT198)/SQRT(50)^2+(AVERAGE(G198:Z198)^(1/2))^2))</f>
        <v>35.791698658457946</v>
      </c>
      <c r="G198" s="86">
        <v>1274</v>
      </c>
      <c r="H198" s="86">
        <v>1295</v>
      </c>
      <c r="I198" s="86">
        <v>1250</v>
      </c>
      <c r="J198" s="86">
        <v>1295</v>
      </c>
      <c r="K198" s="86">
        <v>1294</v>
      </c>
      <c r="L198" s="86">
        <v>1259</v>
      </c>
      <c r="M198" s="86">
        <v>1534</v>
      </c>
      <c r="N198" s="86">
        <v>1288</v>
      </c>
      <c r="O198" s="86">
        <v>1263</v>
      </c>
      <c r="P198" s="86">
        <v>1264</v>
      </c>
      <c r="Q198" s="86">
        <v>1266</v>
      </c>
      <c r="R198" s="86">
        <v>1264</v>
      </c>
      <c r="S198" s="86">
        <v>1270</v>
      </c>
      <c r="T198" s="86">
        <v>1222</v>
      </c>
      <c r="U198" s="86">
        <v>1250</v>
      </c>
      <c r="V198" s="86">
        <v>1204</v>
      </c>
      <c r="W198" s="86">
        <v>1182</v>
      </c>
      <c r="X198" s="86">
        <v>1237</v>
      </c>
      <c r="Y198" s="86">
        <v>1239</v>
      </c>
      <c r="Z198" s="86">
        <v>1193</v>
      </c>
      <c r="AA198" s="86">
        <v>11805</v>
      </c>
      <c r="AB198" s="86">
        <v>11395</v>
      </c>
      <c r="AC198" s="86">
        <v>10974</v>
      </c>
      <c r="AD198" s="86">
        <v>10524</v>
      </c>
      <c r="AE198" s="86">
        <v>9963</v>
      </c>
      <c r="AF198" s="86">
        <v>9389</v>
      </c>
      <c r="AG198" s="86">
        <v>9036</v>
      </c>
      <c r="AH198" s="86">
        <v>8679</v>
      </c>
      <c r="AI198" s="86">
        <v>8279</v>
      </c>
      <c r="AJ198" s="86">
        <v>8077</v>
      </c>
      <c r="AK198" s="86">
        <v>7602</v>
      </c>
      <c r="AL198" s="86">
        <v>7310</v>
      </c>
      <c r="AM198" s="86">
        <v>6997</v>
      </c>
      <c r="AN198" s="86">
        <v>6732</v>
      </c>
      <c r="AO198" s="86">
        <v>6469</v>
      </c>
      <c r="AP198" s="86">
        <v>6316</v>
      </c>
      <c r="AQ198" s="86">
        <v>6094</v>
      </c>
      <c r="AR198" s="86">
        <v>5802</v>
      </c>
      <c r="AS198" s="86">
        <v>5636</v>
      </c>
      <c r="AT198" s="86">
        <v>5570</v>
      </c>
      <c r="AU198" s="86">
        <v>5261</v>
      </c>
      <c r="AV198" s="86">
        <v>5176</v>
      </c>
      <c r="AW198" s="86">
        <v>4919</v>
      </c>
      <c r="AX198" s="86">
        <v>4882</v>
      </c>
      <c r="AY198" s="86">
        <v>4618</v>
      </c>
      <c r="AZ198" s="86">
        <v>4685</v>
      </c>
      <c r="BA198" s="86">
        <v>4527</v>
      </c>
      <c r="BB198" s="86">
        <v>4351</v>
      </c>
      <c r="BC198" s="86">
        <v>4203</v>
      </c>
      <c r="BD198" s="86">
        <v>4185</v>
      </c>
      <c r="BE198" s="86">
        <v>3977</v>
      </c>
      <c r="BF198" s="86">
        <v>3925</v>
      </c>
      <c r="BG198" s="86">
        <v>3794</v>
      </c>
      <c r="BH198" s="86">
        <v>3701</v>
      </c>
      <c r="BI198" s="86">
        <v>3527</v>
      </c>
      <c r="BJ198" s="86">
        <v>3525</v>
      </c>
      <c r="BK198" s="86">
        <v>3470</v>
      </c>
      <c r="BL198" s="86">
        <v>3508</v>
      </c>
      <c r="BM198" s="86">
        <v>3270</v>
      </c>
      <c r="BN198" s="86">
        <v>3206</v>
      </c>
      <c r="BO198" s="86">
        <v>3293</v>
      </c>
      <c r="BP198" s="86">
        <v>3138</v>
      </c>
      <c r="BQ198" s="86">
        <v>3141</v>
      </c>
      <c r="BR198" s="86">
        <v>2983</v>
      </c>
      <c r="BS198" s="86">
        <v>2970</v>
      </c>
      <c r="BT198" s="86">
        <v>2913</v>
      </c>
      <c r="BU198" s="86">
        <v>2866</v>
      </c>
      <c r="BV198" s="86">
        <v>2807</v>
      </c>
      <c r="BW198" s="86">
        <v>2779</v>
      </c>
      <c r="BX198" s="86">
        <v>2727</v>
      </c>
      <c r="BY198" s="86">
        <v>2636</v>
      </c>
      <c r="BZ198" s="86">
        <v>2637</v>
      </c>
      <c r="CA198" s="86">
        <v>2571</v>
      </c>
      <c r="CB198" s="86">
        <v>2529</v>
      </c>
      <c r="CC198" s="86">
        <v>2493</v>
      </c>
      <c r="CD198" s="86">
        <v>2444</v>
      </c>
      <c r="CE198" s="86">
        <v>2385</v>
      </c>
      <c r="CF198" s="86">
        <v>2387</v>
      </c>
      <c r="CG198" s="86">
        <v>22182</v>
      </c>
      <c r="CH198" s="86">
        <v>19446</v>
      </c>
      <c r="CI198" s="86">
        <v>17326</v>
      </c>
      <c r="CJ198" s="86">
        <v>15778</v>
      </c>
      <c r="CK198" s="86">
        <v>14624</v>
      </c>
      <c r="CL198" s="86">
        <v>13438</v>
      </c>
      <c r="CM198" s="86">
        <v>12855</v>
      </c>
      <c r="CN198" s="86">
        <v>11943</v>
      </c>
      <c r="CO198" s="86">
        <v>10967</v>
      </c>
      <c r="CP198" s="86">
        <v>10539</v>
      </c>
      <c r="CQ198" s="86">
        <v>10188</v>
      </c>
      <c r="CR198" s="86">
        <v>9594</v>
      </c>
      <c r="CS198" s="86">
        <v>9269</v>
      </c>
      <c r="CT198" s="86">
        <v>8809</v>
      </c>
      <c r="CU198" s="382"/>
    </row>
    <row r="199" spans="1:99" s="86" customFormat="1" x14ac:dyDescent="0.2">
      <c r="A199" s="375">
        <v>274</v>
      </c>
      <c r="B199" s="375">
        <v>46</v>
      </c>
      <c r="C199" s="349" t="s">
        <v>155</v>
      </c>
      <c r="D199" s="375">
        <v>3790</v>
      </c>
      <c r="E199" s="164">
        <f t="shared" si="6"/>
        <v>23024.3</v>
      </c>
      <c r="F199" s="394">
        <f t="shared" si="7"/>
        <v>49.032659859045573</v>
      </c>
      <c r="G199" s="86">
        <v>2440</v>
      </c>
      <c r="H199" s="86">
        <v>2557</v>
      </c>
      <c r="I199" s="86">
        <v>2518</v>
      </c>
      <c r="J199" s="86">
        <v>2447</v>
      </c>
      <c r="K199" s="86">
        <v>2461</v>
      </c>
      <c r="L199" s="86">
        <v>2348</v>
      </c>
      <c r="M199" s="86">
        <v>2474</v>
      </c>
      <c r="N199" s="86">
        <v>2388</v>
      </c>
      <c r="O199" s="86">
        <v>2435</v>
      </c>
      <c r="P199" s="86">
        <v>2342</v>
      </c>
      <c r="Q199" s="86">
        <v>2384</v>
      </c>
      <c r="R199" s="86">
        <v>2368</v>
      </c>
      <c r="S199" s="86">
        <v>2354</v>
      </c>
      <c r="T199" s="86">
        <v>2365</v>
      </c>
      <c r="U199" s="86">
        <v>2323</v>
      </c>
      <c r="V199" s="86">
        <v>2361</v>
      </c>
      <c r="W199" s="86">
        <v>2330</v>
      </c>
      <c r="X199" s="86">
        <v>2376</v>
      </c>
      <c r="Y199" s="86">
        <v>2238</v>
      </c>
      <c r="Z199" s="86">
        <v>2235</v>
      </c>
      <c r="AA199" s="86">
        <v>22237</v>
      </c>
      <c r="AB199" s="86">
        <v>20985</v>
      </c>
      <c r="AC199" s="86">
        <v>19896</v>
      </c>
      <c r="AD199" s="86">
        <v>18955</v>
      </c>
      <c r="AE199" s="86">
        <v>17985</v>
      </c>
      <c r="AF199" s="86">
        <v>17007</v>
      </c>
      <c r="AG199" s="86">
        <v>16157</v>
      </c>
      <c r="AH199" s="86">
        <v>15245</v>
      </c>
      <c r="AI199" s="86">
        <v>14566</v>
      </c>
      <c r="AJ199" s="86">
        <v>13885</v>
      </c>
      <c r="AK199" s="86">
        <v>13033</v>
      </c>
      <c r="AL199" s="86">
        <v>12542</v>
      </c>
      <c r="AM199" s="86">
        <v>11972</v>
      </c>
      <c r="AN199" s="86">
        <v>11500</v>
      </c>
      <c r="AO199" s="86">
        <v>10940</v>
      </c>
      <c r="AP199" s="86">
        <v>10598</v>
      </c>
      <c r="AQ199" s="86">
        <v>10021</v>
      </c>
      <c r="AR199" s="86">
        <v>9781</v>
      </c>
      <c r="AS199" s="86">
        <v>9472</v>
      </c>
      <c r="AT199" s="86">
        <v>9015</v>
      </c>
      <c r="AU199" s="86">
        <v>8735</v>
      </c>
      <c r="AV199" s="86">
        <v>8336</v>
      </c>
      <c r="AW199" s="86">
        <v>7981</v>
      </c>
      <c r="AX199" s="86">
        <v>7781</v>
      </c>
      <c r="AY199" s="86">
        <v>7475</v>
      </c>
      <c r="AZ199" s="86">
        <v>7325</v>
      </c>
      <c r="BA199" s="86">
        <v>6938</v>
      </c>
      <c r="BB199" s="86">
        <v>6812</v>
      </c>
      <c r="BC199" s="86">
        <v>6581</v>
      </c>
      <c r="BD199" s="86">
        <v>6297</v>
      </c>
      <c r="BE199" s="86">
        <v>6199</v>
      </c>
      <c r="BF199" s="86">
        <v>6142</v>
      </c>
      <c r="BG199" s="86">
        <v>5731</v>
      </c>
      <c r="BH199" s="86">
        <v>5629</v>
      </c>
      <c r="BI199" s="86">
        <v>5464</v>
      </c>
      <c r="BJ199" s="86">
        <v>5280</v>
      </c>
      <c r="BK199" s="86">
        <v>5138</v>
      </c>
      <c r="BL199" s="86">
        <v>4987</v>
      </c>
      <c r="BM199" s="86">
        <v>4903</v>
      </c>
      <c r="BN199" s="86">
        <v>4776</v>
      </c>
      <c r="BO199" s="86">
        <v>4624</v>
      </c>
      <c r="BP199" s="86">
        <v>4531</v>
      </c>
      <c r="BQ199" s="86">
        <v>4394</v>
      </c>
      <c r="BR199" s="86">
        <v>4272</v>
      </c>
      <c r="BS199" s="86">
        <v>3896</v>
      </c>
      <c r="BT199" s="86">
        <v>4023</v>
      </c>
      <c r="BU199" s="86">
        <v>3938</v>
      </c>
      <c r="BV199" s="86">
        <v>3855</v>
      </c>
      <c r="BW199" s="86">
        <v>3763</v>
      </c>
      <c r="BX199" s="86">
        <v>3752</v>
      </c>
      <c r="BY199" s="86">
        <v>3597</v>
      </c>
      <c r="BZ199" s="86">
        <v>3564</v>
      </c>
      <c r="CA199" s="86">
        <v>3498</v>
      </c>
      <c r="CB199" s="86">
        <v>3428</v>
      </c>
      <c r="CC199" s="86">
        <v>3357</v>
      </c>
      <c r="CD199" s="86">
        <v>3238</v>
      </c>
      <c r="CE199" s="86">
        <v>3277</v>
      </c>
      <c r="CF199" s="86">
        <v>3190</v>
      </c>
      <c r="CG199" s="86">
        <v>28561</v>
      </c>
      <c r="CH199" s="86">
        <v>24095</v>
      </c>
      <c r="CI199" s="86">
        <v>20672</v>
      </c>
      <c r="CJ199" s="86">
        <v>18208</v>
      </c>
      <c r="CK199" s="86">
        <v>16209</v>
      </c>
      <c r="CL199" s="86">
        <v>14566</v>
      </c>
      <c r="CM199" s="86">
        <v>13205</v>
      </c>
      <c r="CN199" s="86">
        <v>12337</v>
      </c>
      <c r="CO199" s="86">
        <v>11163</v>
      </c>
      <c r="CP199" s="86">
        <v>10387</v>
      </c>
      <c r="CQ199" s="86">
        <v>9789</v>
      </c>
      <c r="CR199" s="86">
        <v>9302</v>
      </c>
      <c r="CS199" s="86">
        <v>8718</v>
      </c>
      <c r="CT199" s="86">
        <v>8236</v>
      </c>
      <c r="CU199" s="382"/>
    </row>
    <row r="200" spans="1:99" s="86" customFormat="1" x14ac:dyDescent="0.2">
      <c r="A200" s="375">
        <v>278</v>
      </c>
      <c r="B200" s="375">
        <v>46</v>
      </c>
      <c r="C200" s="349" t="s">
        <v>156</v>
      </c>
      <c r="D200" s="375">
        <v>1516</v>
      </c>
      <c r="E200" s="164">
        <f t="shared" si="6"/>
        <v>11107.4</v>
      </c>
      <c r="F200" s="394">
        <f t="shared" si="7"/>
        <v>34.500255843830303</v>
      </c>
      <c r="G200" s="86">
        <v>1193</v>
      </c>
      <c r="H200" s="86">
        <v>1189</v>
      </c>
      <c r="I200" s="86">
        <v>1166</v>
      </c>
      <c r="J200" s="86">
        <v>1211</v>
      </c>
      <c r="K200" s="86">
        <v>1221</v>
      </c>
      <c r="L200" s="86">
        <v>1262</v>
      </c>
      <c r="M200" s="86">
        <v>1207</v>
      </c>
      <c r="N200" s="86">
        <v>1180</v>
      </c>
      <c r="O200" s="86">
        <v>1216</v>
      </c>
      <c r="P200" s="86">
        <v>1192</v>
      </c>
      <c r="Q200" s="86">
        <v>1170</v>
      </c>
      <c r="R200" s="86">
        <v>1190</v>
      </c>
      <c r="S200" s="86">
        <v>1151</v>
      </c>
      <c r="T200" s="86">
        <v>1165</v>
      </c>
      <c r="U200" s="86">
        <v>1148</v>
      </c>
      <c r="V200" s="86">
        <v>1163</v>
      </c>
      <c r="W200" s="86">
        <v>1145</v>
      </c>
      <c r="X200" s="86">
        <v>1130</v>
      </c>
      <c r="Y200" s="86">
        <v>1171</v>
      </c>
      <c r="Z200" s="86">
        <v>1112</v>
      </c>
      <c r="AA200" s="86">
        <v>11170</v>
      </c>
      <c r="AB200" s="86">
        <v>10641</v>
      </c>
      <c r="AC200" s="86">
        <v>10289</v>
      </c>
      <c r="AD200" s="86">
        <v>9691</v>
      </c>
      <c r="AE200" s="86">
        <v>9107</v>
      </c>
      <c r="AF200" s="86">
        <v>8708</v>
      </c>
      <c r="AG200" s="86">
        <v>8262</v>
      </c>
      <c r="AH200" s="86">
        <v>7863</v>
      </c>
      <c r="AI200" s="86">
        <v>7619</v>
      </c>
      <c r="AJ200" s="86">
        <v>7220</v>
      </c>
      <c r="AK200" s="86">
        <v>7048</v>
      </c>
      <c r="AL200" s="86">
        <v>6614</v>
      </c>
      <c r="AM200" s="86">
        <v>6450</v>
      </c>
      <c r="AN200" s="86">
        <v>6018</v>
      </c>
      <c r="AO200" s="86">
        <v>5866</v>
      </c>
      <c r="AP200" s="86">
        <v>5666</v>
      </c>
      <c r="AQ200" s="86">
        <v>5402</v>
      </c>
      <c r="AR200" s="86">
        <v>5283</v>
      </c>
      <c r="AS200" s="86">
        <v>5164</v>
      </c>
      <c r="AT200" s="86">
        <v>4855</v>
      </c>
      <c r="AU200" s="86">
        <v>4784</v>
      </c>
      <c r="AV200" s="86">
        <v>4557</v>
      </c>
      <c r="AW200" s="86">
        <v>4417</v>
      </c>
      <c r="AX200" s="86">
        <v>4263</v>
      </c>
      <c r="AY200" s="86">
        <v>4123</v>
      </c>
      <c r="AZ200" s="86">
        <v>3984</v>
      </c>
      <c r="BA200" s="86">
        <v>3876</v>
      </c>
      <c r="BB200" s="86">
        <v>3718</v>
      </c>
      <c r="BC200" s="86">
        <v>3672</v>
      </c>
      <c r="BD200" s="86">
        <v>3677</v>
      </c>
      <c r="BE200" s="86">
        <v>3553</v>
      </c>
      <c r="BF200" s="86">
        <v>3393</v>
      </c>
      <c r="BG200" s="86">
        <v>3303</v>
      </c>
      <c r="BH200" s="86">
        <v>3191</v>
      </c>
      <c r="BI200" s="86">
        <v>3056</v>
      </c>
      <c r="BJ200" s="86">
        <v>3097</v>
      </c>
      <c r="BK200" s="86">
        <v>2998</v>
      </c>
      <c r="BL200" s="86">
        <v>2962</v>
      </c>
      <c r="BM200" s="86">
        <v>2853</v>
      </c>
      <c r="BN200" s="86">
        <v>2762</v>
      </c>
      <c r="BO200" s="86">
        <v>2625</v>
      </c>
      <c r="BP200" s="86">
        <v>2619</v>
      </c>
      <c r="BQ200" s="86">
        <v>2585</v>
      </c>
      <c r="BR200" s="86">
        <v>2586</v>
      </c>
      <c r="BS200" s="86">
        <v>2551</v>
      </c>
      <c r="BT200" s="86">
        <v>2407</v>
      </c>
      <c r="BU200" s="86">
        <v>2404</v>
      </c>
      <c r="BV200" s="86">
        <v>2335</v>
      </c>
      <c r="BW200" s="86">
        <v>2357</v>
      </c>
      <c r="BX200" s="86">
        <v>2355</v>
      </c>
      <c r="BY200" s="86">
        <v>2298</v>
      </c>
      <c r="BZ200" s="86">
        <v>2217</v>
      </c>
      <c r="CA200" s="86">
        <v>2099</v>
      </c>
      <c r="CB200" s="86">
        <v>2079</v>
      </c>
      <c r="CC200" s="86">
        <v>2031</v>
      </c>
      <c r="CD200" s="86">
        <v>2042</v>
      </c>
      <c r="CE200" s="86">
        <v>1989</v>
      </c>
      <c r="CF200" s="86">
        <v>1981</v>
      </c>
      <c r="CG200" s="86">
        <v>18112</v>
      </c>
      <c r="CH200" s="86">
        <v>15721</v>
      </c>
      <c r="CI200" s="86">
        <v>13986</v>
      </c>
      <c r="CJ200" s="86">
        <v>12439</v>
      </c>
      <c r="CK200" s="86">
        <v>11370</v>
      </c>
      <c r="CL200" s="86">
        <v>10475</v>
      </c>
      <c r="CM200" s="86">
        <v>9691</v>
      </c>
      <c r="CN200" s="86">
        <v>9084</v>
      </c>
      <c r="CO200" s="86">
        <v>8443</v>
      </c>
      <c r="CP200" s="86">
        <v>8049</v>
      </c>
      <c r="CQ200" s="86">
        <v>7761</v>
      </c>
      <c r="CR200" s="86">
        <v>7389</v>
      </c>
      <c r="CS200" s="86">
        <v>7013</v>
      </c>
      <c r="CT200" s="86">
        <v>6659</v>
      </c>
      <c r="CU200" s="382"/>
    </row>
    <row r="201" spans="1:99" s="86" customFormat="1" x14ac:dyDescent="0.2">
      <c r="A201" s="375">
        <v>283</v>
      </c>
      <c r="B201" s="375">
        <v>46</v>
      </c>
      <c r="C201" s="349" t="s">
        <v>155</v>
      </c>
      <c r="D201" s="375">
        <v>7581</v>
      </c>
      <c r="E201" s="164">
        <f t="shared" si="6"/>
        <v>38953.5</v>
      </c>
      <c r="F201" s="394">
        <f t="shared" si="7"/>
        <v>63.625022383583172</v>
      </c>
      <c r="G201" s="86">
        <v>4221</v>
      </c>
      <c r="H201" s="86">
        <v>4141</v>
      </c>
      <c r="I201" s="86">
        <v>4157</v>
      </c>
      <c r="J201" s="86">
        <v>4148</v>
      </c>
      <c r="K201" s="86">
        <v>4189</v>
      </c>
      <c r="L201" s="86">
        <v>4142</v>
      </c>
      <c r="M201" s="86">
        <v>4025</v>
      </c>
      <c r="N201" s="86">
        <v>4073</v>
      </c>
      <c r="O201" s="86">
        <v>4120</v>
      </c>
      <c r="P201" s="86">
        <v>4016</v>
      </c>
      <c r="Q201" s="86">
        <v>4003</v>
      </c>
      <c r="R201" s="86">
        <v>3913</v>
      </c>
      <c r="S201" s="86">
        <v>3987</v>
      </c>
      <c r="T201" s="86">
        <v>4031</v>
      </c>
      <c r="U201" s="86">
        <v>3957</v>
      </c>
      <c r="V201" s="86">
        <v>3912</v>
      </c>
      <c r="W201" s="86">
        <v>3906</v>
      </c>
      <c r="X201" s="86">
        <v>3836</v>
      </c>
      <c r="Y201" s="86">
        <v>3825</v>
      </c>
      <c r="Z201" s="86">
        <v>3783</v>
      </c>
      <c r="AA201" s="86">
        <v>37296</v>
      </c>
      <c r="AB201" s="86">
        <v>35146</v>
      </c>
      <c r="AC201" s="86">
        <v>33584</v>
      </c>
      <c r="AD201" s="86">
        <v>31493</v>
      </c>
      <c r="AE201" s="86">
        <v>29691</v>
      </c>
      <c r="AF201" s="86">
        <v>28041</v>
      </c>
      <c r="AG201" s="86">
        <v>26782</v>
      </c>
      <c r="AH201" s="86">
        <v>25563</v>
      </c>
      <c r="AI201" s="86">
        <v>24285</v>
      </c>
      <c r="AJ201" s="86">
        <v>22935</v>
      </c>
      <c r="AK201" s="86">
        <v>21787</v>
      </c>
      <c r="AL201" s="86">
        <v>20703</v>
      </c>
      <c r="AM201" s="86">
        <v>19889</v>
      </c>
      <c r="AN201" s="86">
        <v>18959</v>
      </c>
      <c r="AO201" s="86">
        <v>18104</v>
      </c>
      <c r="AP201" s="86">
        <v>17511</v>
      </c>
      <c r="AQ201" s="86">
        <v>16660</v>
      </c>
      <c r="AR201" s="86">
        <v>15969</v>
      </c>
      <c r="AS201" s="86">
        <v>15333</v>
      </c>
      <c r="AT201" s="86">
        <v>14727</v>
      </c>
      <c r="AU201" s="86">
        <v>14089</v>
      </c>
      <c r="AV201" s="86">
        <v>13330</v>
      </c>
      <c r="AW201" s="86">
        <v>13102</v>
      </c>
      <c r="AX201" s="86">
        <v>12682</v>
      </c>
      <c r="AY201" s="86">
        <v>12263</v>
      </c>
      <c r="AZ201" s="86">
        <v>11719</v>
      </c>
      <c r="BA201" s="86">
        <v>11454</v>
      </c>
      <c r="BB201" s="86">
        <v>11097</v>
      </c>
      <c r="BC201" s="86">
        <v>10651</v>
      </c>
      <c r="BD201" s="86">
        <v>10258</v>
      </c>
      <c r="BE201" s="86">
        <v>10055</v>
      </c>
      <c r="BF201" s="86">
        <v>9983</v>
      </c>
      <c r="BG201" s="86">
        <v>9420</v>
      </c>
      <c r="BH201" s="86">
        <v>9004</v>
      </c>
      <c r="BI201" s="86">
        <v>8813</v>
      </c>
      <c r="BJ201" s="86">
        <v>8598</v>
      </c>
      <c r="BK201" s="86">
        <v>8299</v>
      </c>
      <c r="BL201" s="86">
        <v>8057</v>
      </c>
      <c r="BM201" s="86">
        <v>7982</v>
      </c>
      <c r="BN201" s="86">
        <v>7601</v>
      </c>
      <c r="BO201" s="86">
        <v>7446</v>
      </c>
      <c r="BP201" s="86">
        <v>7257</v>
      </c>
      <c r="BQ201" s="86">
        <v>7117</v>
      </c>
      <c r="BR201" s="86">
        <v>7004</v>
      </c>
      <c r="BS201" s="86">
        <v>6660</v>
      </c>
      <c r="BT201" s="86">
        <v>6524</v>
      </c>
      <c r="BU201" s="86">
        <v>6401</v>
      </c>
      <c r="BV201" s="86">
        <v>6221</v>
      </c>
      <c r="BW201" s="86">
        <v>6093</v>
      </c>
      <c r="BX201" s="86">
        <v>6056</v>
      </c>
      <c r="BY201" s="86">
        <v>5869</v>
      </c>
      <c r="BZ201" s="86">
        <v>5688</v>
      </c>
      <c r="CA201" s="86">
        <v>5530</v>
      </c>
      <c r="CB201" s="86">
        <v>5466</v>
      </c>
      <c r="CC201" s="86">
        <v>5402</v>
      </c>
      <c r="CD201" s="86">
        <v>5208</v>
      </c>
      <c r="CE201" s="86">
        <v>5134</v>
      </c>
      <c r="CF201" s="86">
        <v>5126</v>
      </c>
      <c r="CG201" s="86">
        <v>45465</v>
      </c>
      <c r="CH201" s="86">
        <v>38046</v>
      </c>
      <c r="CI201" s="86">
        <v>32642</v>
      </c>
      <c r="CJ201" s="86">
        <v>28252</v>
      </c>
      <c r="CK201" s="86">
        <v>24940</v>
      </c>
      <c r="CL201" s="86">
        <v>22265</v>
      </c>
      <c r="CM201" s="86">
        <v>20037</v>
      </c>
      <c r="CN201" s="86">
        <v>18376</v>
      </c>
      <c r="CO201" s="86">
        <v>16944</v>
      </c>
      <c r="CP201" s="86">
        <v>15628</v>
      </c>
      <c r="CQ201" s="86">
        <v>14641</v>
      </c>
      <c r="CR201" s="86">
        <v>13706</v>
      </c>
      <c r="CS201" s="86">
        <v>12794</v>
      </c>
      <c r="CT201" s="86">
        <v>11986</v>
      </c>
      <c r="CU201" s="382"/>
    </row>
    <row r="202" spans="1:99" s="86" customFormat="1" x14ac:dyDescent="0.2">
      <c r="A202" s="375">
        <v>287</v>
      </c>
      <c r="B202" s="375">
        <v>46</v>
      </c>
      <c r="C202" s="349" t="s">
        <v>156</v>
      </c>
      <c r="D202" s="375">
        <v>1516</v>
      </c>
      <c r="E202" s="164">
        <f t="shared" si="6"/>
        <v>11281.9</v>
      </c>
      <c r="F202" s="394">
        <f t="shared" si="7"/>
        <v>34.937986440019451</v>
      </c>
      <c r="G202" s="86">
        <v>1268</v>
      </c>
      <c r="H202" s="86">
        <v>1243</v>
      </c>
      <c r="I202" s="86">
        <v>1226</v>
      </c>
      <c r="J202" s="86">
        <v>1241</v>
      </c>
      <c r="K202" s="86">
        <v>1246</v>
      </c>
      <c r="L202" s="86">
        <v>1247</v>
      </c>
      <c r="M202" s="86">
        <v>1170</v>
      </c>
      <c r="N202" s="86">
        <v>1199</v>
      </c>
      <c r="O202" s="86">
        <v>1211</v>
      </c>
      <c r="P202" s="86">
        <v>1230</v>
      </c>
      <c r="Q202" s="86">
        <v>1192</v>
      </c>
      <c r="R202" s="86">
        <v>1172</v>
      </c>
      <c r="S202" s="86">
        <v>1196</v>
      </c>
      <c r="T202" s="86">
        <v>1205</v>
      </c>
      <c r="U202" s="86">
        <v>1193</v>
      </c>
      <c r="V202" s="86">
        <v>1191</v>
      </c>
      <c r="W202" s="86">
        <v>1157</v>
      </c>
      <c r="X202" s="86">
        <v>1220</v>
      </c>
      <c r="Y202" s="86">
        <v>1193</v>
      </c>
      <c r="Z202" s="86">
        <v>1196</v>
      </c>
      <c r="AA202" s="86">
        <v>11665</v>
      </c>
      <c r="AB202" s="86">
        <v>10927</v>
      </c>
      <c r="AC202" s="86">
        <v>10418</v>
      </c>
      <c r="AD202" s="86">
        <v>9969</v>
      </c>
      <c r="AE202" s="86">
        <v>9566</v>
      </c>
      <c r="AF202" s="86">
        <v>8997</v>
      </c>
      <c r="AG202" s="86">
        <v>8562</v>
      </c>
      <c r="AH202" s="86">
        <v>8218</v>
      </c>
      <c r="AI202" s="86">
        <v>7910</v>
      </c>
      <c r="AJ202" s="86">
        <v>7658</v>
      </c>
      <c r="AK202" s="86">
        <v>7423</v>
      </c>
      <c r="AL202" s="86">
        <v>6968</v>
      </c>
      <c r="AM202" s="86">
        <v>6660</v>
      </c>
      <c r="AN202" s="86">
        <v>6353</v>
      </c>
      <c r="AO202" s="86">
        <v>6278</v>
      </c>
      <c r="AP202" s="86">
        <v>5908</v>
      </c>
      <c r="AQ202" s="86">
        <v>5638</v>
      </c>
      <c r="AR202" s="86">
        <v>5479</v>
      </c>
      <c r="AS202" s="86">
        <v>5328</v>
      </c>
      <c r="AT202" s="86">
        <v>5197</v>
      </c>
      <c r="AU202" s="86">
        <v>4994</v>
      </c>
      <c r="AV202" s="86">
        <v>4777</v>
      </c>
      <c r="AW202" s="86">
        <v>4705</v>
      </c>
      <c r="AX202" s="86">
        <v>4610</v>
      </c>
      <c r="AY202" s="86">
        <v>4454</v>
      </c>
      <c r="AZ202" s="86">
        <v>4266</v>
      </c>
      <c r="BA202" s="86">
        <v>4098</v>
      </c>
      <c r="BB202" s="86">
        <v>4091</v>
      </c>
      <c r="BC202" s="86">
        <v>3999</v>
      </c>
      <c r="BD202" s="86">
        <v>3860</v>
      </c>
      <c r="BE202" s="86">
        <v>3742</v>
      </c>
      <c r="BF202" s="86">
        <v>3610</v>
      </c>
      <c r="BG202" s="86">
        <v>3486</v>
      </c>
      <c r="BH202" s="86">
        <v>3387</v>
      </c>
      <c r="BI202" s="86">
        <v>3400</v>
      </c>
      <c r="BJ202" s="86">
        <v>3320</v>
      </c>
      <c r="BK202" s="86">
        <v>3288</v>
      </c>
      <c r="BL202" s="86">
        <v>3152</v>
      </c>
      <c r="BM202" s="86">
        <v>3029</v>
      </c>
      <c r="BN202" s="86">
        <v>3056</v>
      </c>
      <c r="BO202" s="86">
        <v>3012</v>
      </c>
      <c r="BP202" s="86">
        <v>2874</v>
      </c>
      <c r="BQ202" s="86">
        <v>2891</v>
      </c>
      <c r="BR202" s="86">
        <v>2806</v>
      </c>
      <c r="BS202" s="86">
        <v>2743</v>
      </c>
      <c r="BT202" s="86">
        <v>2635</v>
      </c>
      <c r="BU202" s="86">
        <v>2650</v>
      </c>
      <c r="BV202" s="86">
        <v>2586</v>
      </c>
      <c r="BW202" s="86">
        <v>2552</v>
      </c>
      <c r="BX202" s="86">
        <v>2481</v>
      </c>
      <c r="BY202" s="86">
        <v>2466</v>
      </c>
      <c r="BZ202" s="86">
        <v>2382</v>
      </c>
      <c r="CA202" s="86">
        <v>2431</v>
      </c>
      <c r="CB202" s="86">
        <v>2288</v>
      </c>
      <c r="CC202" s="86">
        <v>2300</v>
      </c>
      <c r="CD202" s="86">
        <v>2259</v>
      </c>
      <c r="CE202" s="86">
        <v>2275</v>
      </c>
      <c r="CF202" s="86">
        <v>2146</v>
      </c>
      <c r="CG202" s="86">
        <v>20074</v>
      </c>
      <c r="CH202" s="86">
        <v>17641</v>
      </c>
      <c r="CI202" s="86">
        <v>15674</v>
      </c>
      <c r="CJ202" s="86">
        <v>14296</v>
      </c>
      <c r="CK202" s="86">
        <v>13035</v>
      </c>
      <c r="CL202" s="86">
        <v>12132</v>
      </c>
      <c r="CM202" s="86">
        <v>11325</v>
      </c>
      <c r="CN202" s="86">
        <v>10580</v>
      </c>
      <c r="CO202" s="86">
        <v>9937</v>
      </c>
      <c r="CP202" s="86">
        <v>9400</v>
      </c>
      <c r="CQ202" s="86">
        <v>8949</v>
      </c>
      <c r="CR202" s="86">
        <v>8572</v>
      </c>
      <c r="CS202" s="86">
        <v>8309</v>
      </c>
      <c r="CT202" s="86">
        <v>8013</v>
      </c>
      <c r="CU202" s="382"/>
    </row>
    <row r="203" spans="1:99" s="86" customFormat="1" x14ac:dyDescent="0.2">
      <c r="A203" s="375">
        <v>292</v>
      </c>
      <c r="B203" s="375">
        <v>46</v>
      </c>
      <c r="C203" s="349" t="s">
        <v>155</v>
      </c>
      <c r="D203" s="375">
        <v>11372</v>
      </c>
      <c r="E203" s="164">
        <f t="shared" si="6"/>
        <v>49068.25</v>
      </c>
      <c r="F203" s="394">
        <f t="shared" si="7"/>
        <v>71.375578924032098</v>
      </c>
      <c r="G203" s="86">
        <v>5282</v>
      </c>
      <c r="H203" s="86">
        <v>5257</v>
      </c>
      <c r="I203" s="86">
        <v>5273</v>
      </c>
      <c r="J203" s="86">
        <v>5228</v>
      </c>
      <c r="K203" s="86">
        <v>5193</v>
      </c>
      <c r="L203" s="86">
        <v>5201</v>
      </c>
      <c r="M203" s="86">
        <v>5167</v>
      </c>
      <c r="N203" s="86">
        <v>5153</v>
      </c>
      <c r="O203" s="86">
        <v>4952</v>
      </c>
      <c r="P203" s="86">
        <v>5054</v>
      </c>
      <c r="Q203" s="86">
        <v>5092</v>
      </c>
      <c r="R203" s="86">
        <v>5015</v>
      </c>
      <c r="S203" s="86">
        <v>5029</v>
      </c>
      <c r="T203" s="86">
        <v>5018</v>
      </c>
      <c r="U203" s="86">
        <v>4869</v>
      </c>
      <c r="V203" s="86">
        <v>4951</v>
      </c>
      <c r="W203" s="86">
        <v>4915</v>
      </c>
      <c r="X203" s="86">
        <v>4893</v>
      </c>
      <c r="Y203" s="86">
        <v>4852</v>
      </c>
      <c r="Z203" s="86">
        <v>4776</v>
      </c>
      <c r="AA203" s="86">
        <v>47006</v>
      </c>
      <c r="AB203" s="86">
        <v>44809</v>
      </c>
      <c r="AC203" s="86">
        <v>42418</v>
      </c>
      <c r="AD203" s="86">
        <v>39958</v>
      </c>
      <c r="AE203" s="86">
        <v>37754</v>
      </c>
      <c r="AF203" s="86">
        <v>35728</v>
      </c>
      <c r="AG203" s="86">
        <v>33628</v>
      </c>
      <c r="AH203" s="86">
        <v>31836</v>
      </c>
      <c r="AI203" s="86">
        <v>30238</v>
      </c>
      <c r="AJ203" s="86">
        <v>28853</v>
      </c>
      <c r="AK203" s="86">
        <v>27415</v>
      </c>
      <c r="AL203" s="86">
        <v>26388</v>
      </c>
      <c r="AM203" s="86">
        <v>25099</v>
      </c>
      <c r="AN203" s="86">
        <v>23914</v>
      </c>
      <c r="AO203" s="86">
        <v>23081</v>
      </c>
      <c r="AP203" s="86">
        <v>21828</v>
      </c>
      <c r="AQ203" s="86">
        <v>20802</v>
      </c>
      <c r="AR203" s="86">
        <v>20163</v>
      </c>
      <c r="AS203" s="86">
        <v>19371</v>
      </c>
      <c r="AT203" s="86">
        <v>18534</v>
      </c>
      <c r="AU203" s="86">
        <v>17801</v>
      </c>
      <c r="AV203" s="86">
        <v>17056</v>
      </c>
      <c r="AW203" s="86">
        <v>16425</v>
      </c>
      <c r="AX203" s="86">
        <v>15889</v>
      </c>
      <c r="AY203" s="86">
        <v>15202</v>
      </c>
      <c r="AZ203" s="86">
        <v>14500</v>
      </c>
      <c r="BA203" s="86">
        <v>13940</v>
      </c>
      <c r="BB203" s="86">
        <v>13701</v>
      </c>
      <c r="BC203" s="86">
        <v>13342</v>
      </c>
      <c r="BD203" s="86">
        <v>13055</v>
      </c>
      <c r="BE203" s="86">
        <v>12580</v>
      </c>
      <c r="BF203" s="86">
        <v>12229</v>
      </c>
      <c r="BG203" s="86">
        <v>11880</v>
      </c>
      <c r="BH203" s="86">
        <v>11209</v>
      </c>
      <c r="BI203" s="86">
        <v>11036</v>
      </c>
      <c r="BJ203" s="86">
        <v>10700</v>
      </c>
      <c r="BK203" s="86">
        <v>10316</v>
      </c>
      <c r="BL203" s="86">
        <v>10093</v>
      </c>
      <c r="BM203" s="86">
        <v>9866</v>
      </c>
      <c r="BN203" s="86">
        <v>9614</v>
      </c>
      <c r="BO203" s="86">
        <v>9308</v>
      </c>
      <c r="BP203" s="86">
        <v>9110</v>
      </c>
      <c r="BQ203" s="86">
        <v>8771</v>
      </c>
      <c r="BR203" s="86">
        <v>8538</v>
      </c>
      <c r="BS203" s="86">
        <v>8440</v>
      </c>
      <c r="BT203" s="86">
        <v>8320</v>
      </c>
      <c r="BU203" s="86">
        <v>7895</v>
      </c>
      <c r="BV203" s="86">
        <v>7777</v>
      </c>
      <c r="BW203" s="86">
        <v>7524</v>
      </c>
      <c r="BX203" s="86">
        <v>7538</v>
      </c>
      <c r="BY203" s="86">
        <v>7256</v>
      </c>
      <c r="BZ203" s="86">
        <v>7106</v>
      </c>
      <c r="CA203" s="86">
        <v>6988</v>
      </c>
      <c r="CB203" s="86">
        <v>6723</v>
      </c>
      <c r="CC203" s="86">
        <v>6684</v>
      </c>
      <c r="CD203" s="86">
        <v>6576</v>
      </c>
      <c r="CE203" s="86">
        <v>6360</v>
      </c>
      <c r="CF203" s="86">
        <v>6314</v>
      </c>
      <c r="CG203" s="86">
        <v>56139</v>
      </c>
      <c r="CH203" s="86">
        <v>47322</v>
      </c>
      <c r="CI203" s="86">
        <v>40313</v>
      </c>
      <c r="CJ203" s="86">
        <v>34903</v>
      </c>
      <c r="CK203" s="86">
        <v>30898</v>
      </c>
      <c r="CL203" s="86">
        <v>27527</v>
      </c>
      <c r="CM203" s="86">
        <v>24733</v>
      </c>
      <c r="CN203" s="86">
        <v>22533</v>
      </c>
      <c r="CO203" s="86">
        <v>20859</v>
      </c>
      <c r="CP203" s="86">
        <v>19259</v>
      </c>
      <c r="CQ203" s="86">
        <v>17853</v>
      </c>
      <c r="CR203" s="86">
        <v>16631</v>
      </c>
      <c r="CS203" s="86">
        <v>15630</v>
      </c>
      <c r="CT203" s="86">
        <v>14705</v>
      </c>
      <c r="CU203" s="382"/>
    </row>
    <row r="204" spans="1:99" s="86" customFormat="1" x14ac:dyDescent="0.2">
      <c r="A204" s="375">
        <v>296</v>
      </c>
      <c r="B204" s="375">
        <v>46</v>
      </c>
      <c r="C204" s="349" t="s">
        <v>156</v>
      </c>
      <c r="D204" s="375">
        <v>1516</v>
      </c>
      <c r="E204" s="164">
        <f t="shared" si="6"/>
        <v>11316.55</v>
      </c>
      <c r="F204" s="394">
        <f t="shared" si="7"/>
        <v>35.117782348065283</v>
      </c>
      <c r="G204" s="86">
        <v>1272</v>
      </c>
      <c r="H204" s="86">
        <v>1227</v>
      </c>
      <c r="I204" s="86">
        <v>1257</v>
      </c>
      <c r="J204" s="86">
        <v>1243</v>
      </c>
      <c r="K204" s="86">
        <v>1236</v>
      </c>
      <c r="L204" s="86">
        <v>1273</v>
      </c>
      <c r="M204" s="86">
        <v>1284</v>
      </c>
      <c r="N204" s="86">
        <v>1213</v>
      </c>
      <c r="O204" s="86">
        <v>1213</v>
      </c>
      <c r="P204" s="86">
        <v>1244</v>
      </c>
      <c r="Q204" s="86">
        <v>1224</v>
      </c>
      <c r="R204" s="86">
        <v>1189</v>
      </c>
      <c r="S204" s="86">
        <v>1203</v>
      </c>
      <c r="T204" s="86">
        <v>1236</v>
      </c>
      <c r="U204" s="86">
        <v>1209</v>
      </c>
      <c r="V204" s="86">
        <v>1176</v>
      </c>
      <c r="W204" s="86">
        <v>1175</v>
      </c>
      <c r="X204" s="86">
        <v>1182</v>
      </c>
      <c r="Y204" s="86">
        <v>1168</v>
      </c>
      <c r="Z204" s="86">
        <v>1202</v>
      </c>
      <c r="AA204" s="86">
        <v>11566</v>
      </c>
      <c r="AB204" s="86">
        <v>11045</v>
      </c>
      <c r="AC204" s="86">
        <v>10531</v>
      </c>
      <c r="AD204" s="86">
        <v>9644</v>
      </c>
      <c r="AE204" s="86">
        <v>9622</v>
      </c>
      <c r="AF204" s="86">
        <v>9121</v>
      </c>
      <c r="AG204" s="86">
        <v>8871</v>
      </c>
      <c r="AH204" s="86">
        <v>8282</v>
      </c>
      <c r="AI204" s="86">
        <v>8022</v>
      </c>
      <c r="AJ204" s="86">
        <v>7658</v>
      </c>
      <c r="AK204" s="86">
        <v>7023</v>
      </c>
      <c r="AL204" s="86">
        <v>6738</v>
      </c>
      <c r="AM204" s="86">
        <v>6679</v>
      </c>
      <c r="AN204" s="86">
        <v>6490</v>
      </c>
      <c r="AO204" s="86">
        <v>6350</v>
      </c>
      <c r="AP204" s="86">
        <v>5987</v>
      </c>
      <c r="AQ204" s="86">
        <v>5933</v>
      </c>
      <c r="AR204" s="86">
        <v>5643</v>
      </c>
      <c r="AS204" s="86">
        <v>5487</v>
      </c>
      <c r="AT204" s="86">
        <v>5230</v>
      </c>
      <c r="AU204" s="86">
        <v>5083</v>
      </c>
      <c r="AV204" s="86">
        <v>4985</v>
      </c>
      <c r="AW204" s="86">
        <v>4825</v>
      </c>
      <c r="AX204" s="86">
        <v>4667</v>
      </c>
      <c r="AY204" s="86">
        <v>4447</v>
      </c>
      <c r="AZ204" s="86">
        <v>4434</v>
      </c>
      <c r="BA204" s="86">
        <v>4307</v>
      </c>
      <c r="BB204" s="86">
        <v>4088</v>
      </c>
      <c r="BC204" s="86">
        <v>3990</v>
      </c>
      <c r="BD204" s="86">
        <v>3962</v>
      </c>
      <c r="BE204" s="86">
        <v>3834</v>
      </c>
      <c r="BF204" s="86">
        <v>3848</v>
      </c>
      <c r="BG204" s="86">
        <v>3669</v>
      </c>
      <c r="BH204" s="86">
        <v>3542</v>
      </c>
      <c r="BI204" s="86">
        <v>3460</v>
      </c>
      <c r="BJ204" s="86">
        <v>3441</v>
      </c>
      <c r="BK204" s="86">
        <v>3272</v>
      </c>
      <c r="BL204" s="86">
        <v>3347</v>
      </c>
      <c r="BM204" s="86">
        <v>3219</v>
      </c>
      <c r="BN204" s="86">
        <v>3114</v>
      </c>
      <c r="BO204" s="86">
        <v>3118</v>
      </c>
      <c r="BP204" s="86">
        <v>3070</v>
      </c>
      <c r="BQ204" s="86">
        <v>2920</v>
      </c>
      <c r="BR204" s="86">
        <v>2895</v>
      </c>
      <c r="BS204" s="86">
        <v>2840</v>
      </c>
      <c r="BT204" s="86">
        <v>2828</v>
      </c>
      <c r="BU204" s="86">
        <v>2739</v>
      </c>
      <c r="BV204" s="86">
        <v>2751</v>
      </c>
      <c r="BW204" s="86">
        <v>2626</v>
      </c>
      <c r="BX204" s="86">
        <v>2593</v>
      </c>
      <c r="BY204" s="86">
        <v>2562</v>
      </c>
      <c r="BZ204" s="86">
        <v>2557</v>
      </c>
      <c r="CA204" s="86">
        <v>2499</v>
      </c>
      <c r="CB204" s="86">
        <v>2442</v>
      </c>
      <c r="CC204" s="86">
        <v>2411</v>
      </c>
      <c r="CD204" s="86">
        <v>2416</v>
      </c>
      <c r="CE204" s="86">
        <v>2335</v>
      </c>
      <c r="CF204" s="86">
        <v>2334</v>
      </c>
      <c r="CG204" s="86">
        <v>21472</v>
      </c>
      <c r="CH204" s="86">
        <v>18967</v>
      </c>
      <c r="CI204" s="86">
        <v>16961</v>
      </c>
      <c r="CJ204" s="86">
        <v>15354</v>
      </c>
      <c r="CK204" s="86">
        <v>14096</v>
      </c>
      <c r="CL204" s="86">
        <v>13155</v>
      </c>
      <c r="CM204" s="86">
        <v>12328</v>
      </c>
      <c r="CN204" s="86">
        <v>11574</v>
      </c>
      <c r="CO204" s="86">
        <v>10925</v>
      </c>
      <c r="CP204" s="86">
        <v>10412</v>
      </c>
      <c r="CQ204" s="86">
        <v>9615</v>
      </c>
      <c r="CR204" s="86">
        <v>9449</v>
      </c>
      <c r="CS204" s="86">
        <v>9038</v>
      </c>
      <c r="CT204" s="86">
        <v>8891</v>
      </c>
      <c r="CU204" s="382"/>
    </row>
    <row r="205" spans="1:99" s="86" customFormat="1" x14ac:dyDescent="0.2">
      <c r="A205" s="375">
        <v>301</v>
      </c>
      <c r="B205" s="375">
        <v>46</v>
      </c>
      <c r="C205" s="349" t="s">
        <v>155</v>
      </c>
      <c r="D205" s="375">
        <v>0</v>
      </c>
      <c r="E205" s="164">
        <f t="shared" si="6"/>
        <v>150.80000000000001</v>
      </c>
      <c r="F205" s="394">
        <f t="shared" si="7"/>
        <v>5.9345216045099942</v>
      </c>
      <c r="G205" s="86">
        <v>33</v>
      </c>
      <c r="H205" s="86">
        <v>45</v>
      </c>
      <c r="I205" s="86">
        <v>27</v>
      </c>
      <c r="J205" s="86">
        <v>34</v>
      </c>
      <c r="K205" s="86">
        <v>30</v>
      </c>
      <c r="L205" s="86">
        <v>37</v>
      </c>
      <c r="M205" s="86">
        <v>33</v>
      </c>
      <c r="N205" s="86">
        <v>36</v>
      </c>
      <c r="O205" s="86">
        <v>31</v>
      </c>
      <c r="P205" s="86">
        <v>34</v>
      </c>
      <c r="Q205" s="86">
        <v>32</v>
      </c>
      <c r="R205" s="86">
        <v>29</v>
      </c>
      <c r="S205" s="86">
        <v>37</v>
      </c>
      <c r="T205" s="86">
        <v>29</v>
      </c>
      <c r="U205" s="86">
        <v>35</v>
      </c>
      <c r="V205" s="86">
        <v>35</v>
      </c>
      <c r="W205" s="86">
        <v>35</v>
      </c>
      <c r="X205" s="86">
        <v>34</v>
      </c>
      <c r="Y205" s="86">
        <v>32</v>
      </c>
      <c r="Z205" s="86">
        <v>39</v>
      </c>
      <c r="AA205" s="86">
        <v>349</v>
      </c>
      <c r="AB205" s="86">
        <v>356</v>
      </c>
      <c r="AC205" s="86">
        <v>311</v>
      </c>
      <c r="AD205" s="86">
        <v>314</v>
      </c>
      <c r="AE205" s="86">
        <v>333</v>
      </c>
      <c r="AF205" s="86">
        <v>329</v>
      </c>
      <c r="AG205" s="86">
        <v>318</v>
      </c>
      <c r="AH205" s="86">
        <v>334</v>
      </c>
      <c r="AI205" s="86">
        <v>319</v>
      </c>
      <c r="AJ205" s="86">
        <v>319</v>
      </c>
      <c r="AK205" s="86">
        <v>313</v>
      </c>
      <c r="AL205" s="86">
        <v>291</v>
      </c>
      <c r="AM205" s="86">
        <v>298</v>
      </c>
      <c r="AN205" s="86">
        <v>303</v>
      </c>
      <c r="AO205" s="86">
        <v>287</v>
      </c>
      <c r="AP205" s="86">
        <v>293</v>
      </c>
      <c r="AQ205" s="86">
        <v>280</v>
      </c>
      <c r="AR205" s="86">
        <v>278</v>
      </c>
      <c r="AS205" s="86">
        <v>291</v>
      </c>
      <c r="AT205" s="86">
        <v>265</v>
      </c>
      <c r="AU205" s="86">
        <v>297</v>
      </c>
      <c r="AV205" s="86">
        <v>248</v>
      </c>
      <c r="AW205" s="86">
        <v>274</v>
      </c>
      <c r="AX205" s="86">
        <v>271</v>
      </c>
      <c r="AY205" s="86">
        <v>251</v>
      </c>
      <c r="AZ205" s="86">
        <v>272</v>
      </c>
      <c r="BA205" s="86">
        <v>272</v>
      </c>
      <c r="BB205" s="86">
        <v>251</v>
      </c>
      <c r="BC205" s="86">
        <v>272</v>
      </c>
      <c r="BD205" s="86">
        <v>262</v>
      </c>
      <c r="BE205" s="86">
        <v>289</v>
      </c>
      <c r="BF205" s="86">
        <v>264</v>
      </c>
      <c r="BG205" s="86">
        <v>265</v>
      </c>
      <c r="BH205" s="86">
        <v>270</v>
      </c>
      <c r="BI205" s="86">
        <v>255</v>
      </c>
      <c r="BJ205" s="86">
        <v>265</v>
      </c>
      <c r="BK205" s="86">
        <v>254</v>
      </c>
      <c r="BL205" s="86">
        <v>253</v>
      </c>
      <c r="BM205" s="86">
        <v>250</v>
      </c>
      <c r="BN205" s="86">
        <v>247</v>
      </c>
      <c r="BO205" s="86">
        <v>226</v>
      </c>
      <c r="BP205" s="86">
        <v>232</v>
      </c>
      <c r="BQ205" s="86">
        <v>231</v>
      </c>
      <c r="BR205" s="86">
        <v>243</v>
      </c>
      <c r="BS205" s="86">
        <v>266</v>
      </c>
      <c r="BT205" s="86">
        <v>230</v>
      </c>
      <c r="BU205" s="86">
        <v>230</v>
      </c>
      <c r="BV205" s="86">
        <v>236</v>
      </c>
      <c r="BW205" s="86">
        <v>244</v>
      </c>
      <c r="BX205" s="86">
        <v>240</v>
      </c>
      <c r="BY205" s="86">
        <v>241</v>
      </c>
      <c r="BZ205" s="86">
        <v>247</v>
      </c>
      <c r="CA205" s="86">
        <v>241</v>
      </c>
      <c r="CB205" s="86">
        <v>227</v>
      </c>
      <c r="CC205" s="86">
        <v>208</v>
      </c>
      <c r="CD205" s="86">
        <v>248</v>
      </c>
      <c r="CE205" s="86">
        <v>228</v>
      </c>
      <c r="CF205" s="86">
        <v>219</v>
      </c>
      <c r="CG205" s="86">
        <v>2302</v>
      </c>
      <c r="CH205" s="86">
        <v>2222</v>
      </c>
      <c r="CI205" s="86">
        <v>2152</v>
      </c>
      <c r="CJ205" s="86">
        <v>2171</v>
      </c>
      <c r="CK205" s="86">
        <v>2084</v>
      </c>
      <c r="CL205" s="86">
        <v>2112</v>
      </c>
      <c r="CM205" s="86">
        <v>2017</v>
      </c>
      <c r="CN205" s="86">
        <v>1982</v>
      </c>
      <c r="CO205" s="86">
        <v>2035</v>
      </c>
      <c r="CP205" s="86">
        <v>2034</v>
      </c>
      <c r="CQ205" s="86">
        <v>1899</v>
      </c>
      <c r="CR205" s="86">
        <v>1950</v>
      </c>
      <c r="CS205" s="86">
        <v>1899</v>
      </c>
      <c r="CT205" s="86">
        <v>1855</v>
      </c>
      <c r="CU205" s="382"/>
    </row>
    <row r="206" spans="1:99" s="86" customFormat="1" x14ac:dyDescent="0.2">
      <c r="A206" s="375">
        <v>305</v>
      </c>
      <c r="B206" s="375">
        <v>46</v>
      </c>
      <c r="C206" s="349" t="s">
        <v>156</v>
      </c>
      <c r="D206" s="375">
        <v>1516</v>
      </c>
      <c r="E206" s="164">
        <f t="shared" si="6"/>
        <v>10441.4</v>
      </c>
      <c r="F206" s="394">
        <f t="shared" si="7"/>
        <v>33.181318928613848</v>
      </c>
      <c r="G206" s="86">
        <v>1107</v>
      </c>
      <c r="H206" s="86">
        <v>1115</v>
      </c>
      <c r="I206" s="86">
        <v>1136</v>
      </c>
      <c r="J206" s="86">
        <v>1064</v>
      </c>
      <c r="K206" s="86">
        <v>1109</v>
      </c>
      <c r="L206" s="86">
        <v>1118</v>
      </c>
      <c r="M206" s="86">
        <v>1121</v>
      </c>
      <c r="N206" s="86">
        <v>1102</v>
      </c>
      <c r="O206" s="86">
        <v>1121</v>
      </c>
      <c r="P206" s="86">
        <v>1089</v>
      </c>
      <c r="Q206" s="86">
        <v>1113</v>
      </c>
      <c r="R206" s="86">
        <v>1123</v>
      </c>
      <c r="S206" s="86">
        <v>1074</v>
      </c>
      <c r="T206" s="86">
        <v>1112</v>
      </c>
      <c r="U206" s="86">
        <v>1048</v>
      </c>
      <c r="V206" s="86">
        <v>1084</v>
      </c>
      <c r="W206" s="86">
        <v>1075</v>
      </c>
      <c r="X206" s="86">
        <v>1015</v>
      </c>
      <c r="Y206" s="86">
        <v>1073</v>
      </c>
      <c r="Z206" s="86">
        <v>1043</v>
      </c>
      <c r="AA206" s="86">
        <v>10365</v>
      </c>
      <c r="AB206" s="86">
        <v>9814</v>
      </c>
      <c r="AC206" s="86">
        <v>9276</v>
      </c>
      <c r="AD206" s="86">
        <v>8800</v>
      </c>
      <c r="AE206" s="86">
        <v>8334</v>
      </c>
      <c r="AF206" s="86">
        <v>7930</v>
      </c>
      <c r="AG206" s="86">
        <v>7522</v>
      </c>
      <c r="AH206" s="86">
        <v>7205</v>
      </c>
      <c r="AI206" s="86">
        <v>6799</v>
      </c>
      <c r="AJ206" s="86">
        <v>6380</v>
      </c>
      <c r="AK206" s="86">
        <v>6307</v>
      </c>
      <c r="AL206" s="86">
        <v>5900</v>
      </c>
      <c r="AM206" s="86">
        <v>5681</v>
      </c>
      <c r="AN206" s="86">
        <v>5552</v>
      </c>
      <c r="AO206" s="86">
        <v>5106</v>
      </c>
      <c r="AP206" s="86">
        <v>5018</v>
      </c>
      <c r="AQ206" s="86">
        <v>4878</v>
      </c>
      <c r="AR206" s="86">
        <v>4633</v>
      </c>
      <c r="AS206" s="86">
        <v>4406</v>
      </c>
      <c r="AT206" s="86">
        <v>4348</v>
      </c>
      <c r="AU206" s="86">
        <v>4187</v>
      </c>
      <c r="AV206" s="86">
        <v>4055</v>
      </c>
      <c r="AW206" s="86">
        <v>3844</v>
      </c>
      <c r="AX206" s="86">
        <v>3722</v>
      </c>
      <c r="AY206" s="86">
        <v>3605</v>
      </c>
      <c r="AZ206" s="86">
        <v>3516</v>
      </c>
      <c r="BA206" s="86">
        <v>3365</v>
      </c>
      <c r="BB206" s="86">
        <v>3283</v>
      </c>
      <c r="BC206" s="86">
        <v>3247</v>
      </c>
      <c r="BD206" s="86">
        <v>3085</v>
      </c>
      <c r="BE206" s="86">
        <v>3074</v>
      </c>
      <c r="BF206" s="86">
        <v>2916</v>
      </c>
      <c r="BG206" s="86">
        <v>2898</v>
      </c>
      <c r="BH206" s="86">
        <v>2679</v>
      </c>
      <c r="BI206" s="86">
        <v>2580</v>
      </c>
      <c r="BJ206" s="86">
        <v>2586</v>
      </c>
      <c r="BK206" s="86">
        <v>2601</v>
      </c>
      <c r="BL206" s="86">
        <v>2454</v>
      </c>
      <c r="BM206" s="86">
        <v>2400</v>
      </c>
      <c r="BN206" s="86">
        <v>2353</v>
      </c>
      <c r="BO206" s="86">
        <v>2250</v>
      </c>
      <c r="BP206" s="86">
        <v>2252</v>
      </c>
      <c r="BQ206" s="86">
        <v>2239</v>
      </c>
      <c r="BR206" s="86">
        <v>2180</v>
      </c>
      <c r="BS206" s="86">
        <v>2055</v>
      </c>
      <c r="BT206" s="86">
        <v>2040</v>
      </c>
      <c r="BU206" s="86">
        <v>1923</v>
      </c>
      <c r="BV206" s="86">
        <v>1939</v>
      </c>
      <c r="BW206" s="86">
        <v>1952</v>
      </c>
      <c r="BX206" s="86">
        <v>1836</v>
      </c>
      <c r="BY206" s="86">
        <v>1826</v>
      </c>
      <c r="BZ206" s="86">
        <v>1773</v>
      </c>
      <c r="CA206" s="86">
        <v>1764</v>
      </c>
      <c r="CB206" s="86">
        <v>1747</v>
      </c>
      <c r="CC206" s="86">
        <v>1737</v>
      </c>
      <c r="CD206" s="86">
        <v>1710</v>
      </c>
      <c r="CE206" s="86">
        <v>1645</v>
      </c>
      <c r="CF206" s="86">
        <v>1596</v>
      </c>
      <c r="CG206" s="86">
        <v>14511</v>
      </c>
      <c r="CH206" s="86">
        <v>12403</v>
      </c>
      <c r="CI206" s="86">
        <v>10687</v>
      </c>
      <c r="CJ206" s="86">
        <v>9645</v>
      </c>
      <c r="CK206" s="86">
        <v>8601</v>
      </c>
      <c r="CL206" s="86">
        <v>7831</v>
      </c>
      <c r="CM206" s="86">
        <v>7101</v>
      </c>
      <c r="CN206" s="86">
        <v>6544</v>
      </c>
      <c r="CO206" s="86">
        <v>6142</v>
      </c>
      <c r="CP206" s="86">
        <v>5825</v>
      </c>
      <c r="CQ206" s="86">
        <v>5394</v>
      </c>
      <c r="CR206" s="86">
        <v>5068</v>
      </c>
      <c r="CS206" s="86">
        <v>4903</v>
      </c>
      <c r="CT206" s="86">
        <v>4689</v>
      </c>
      <c r="CU206" s="382"/>
    </row>
    <row r="207" spans="1:99" s="86" customFormat="1" x14ac:dyDescent="0.2">
      <c r="A207" s="375">
        <v>310</v>
      </c>
      <c r="B207" s="375">
        <v>46</v>
      </c>
      <c r="C207" s="349" t="s">
        <v>155</v>
      </c>
      <c r="D207" s="375">
        <v>3791</v>
      </c>
      <c r="E207" s="164">
        <f t="shared" si="6"/>
        <v>21893.4</v>
      </c>
      <c r="F207" s="394">
        <f t="shared" si="7"/>
        <v>47.78205145632419</v>
      </c>
      <c r="G207" s="86">
        <v>2363</v>
      </c>
      <c r="H207" s="86">
        <v>2357</v>
      </c>
      <c r="I207" s="86">
        <v>2316</v>
      </c>
      <c r="J207" s="86">
        <v>2306</v>
      </c>
      <c r="K207" s="86">
        <v>2359</v>
      </c>
      <c r="L207" s="86">
        <v>2383</v>
      </c>
      <c r="M207" s="86">
        <v>2315</v>
      </c>
      <c r="N207" s="86">
        <v>2331</v>
      </c>
      <c r="O207" s="86">
        <v>2310</v>
      </c>
      <c r="P207" s="86">
        <v>2275</v>
      </c>
      <c r="Q207" s="86">
        <v>2291</v>
      </c>
      <c r="R207" s="86">
        <v>2238</v>
      </c>
      <c r="S207" s="86">
        <v>2219</v>
      </c>
      <c r="T207" s="86">
        <v>2163</v>
      </c>
      <c r="U207" s="86">
        <v>2220</v>
      </c>
      <c r="V207" s="86">
        <v>2207</v>
      </c>
      <c r="W207" s="86">
        <v>2189</v>
      </c>
      <c r="X207" s="86">
        <v>2248</v>
      </c>
      <c r="Y207" s="86">
        <v>2170</v>
      </c>
      <c r="Z207" s="86">
        <v>2092</v>
      </c>
      <c r="AA207" s="86">
        <v>21004</v>
      </c>
      <c r="AB207" s="86">
        <v>20068</v>
      </c>
      <c r="AC207" s="86">
        <v>19150</v>
      </c>
      <c r="AD207" s="86">
        <v>17918</v>
      </c>
      <c r="AE207" s="86">
        <v>16955</v>
      </c>
      <c r="AF207" s="86">
        <v>16198</v>
      </c>
      <c r="AG207" s="86">
        <v>15247</v>
      </c>
      <c r="AH207" s="86">
        <v>14538</v>
      </c>
      <c r="AI207" s="86">
        <v>13655</v>
      </c>
      <c r="AJ207" s="86">
        <v>13081</v>
      </c>
      <c r="AK207" s="86">
        <v>12401</v>
      </c>
      <c r="AL207" s="86">
        <v>11946</v>
      </c>
      <c r="AM207" s="86">
        <v>11506</v>
      </c>
      <c r="AN207" s="86">
        <v>10965</v>
      </c>
      <c r="AO207" s="86">
        <v>10433</v>
      </c>
      <c r="AP207" s="86">
        <v>10039</v>
      </c>
      <c r="AQ207" s="86">
        <v>9705</v>
      </c>
      <c r="AR207" s="86">
        <v>9215</v>
      </c>
      <c r="AS207" s="86">
        <v>8856</v>
      </c>
      <c r="AT207" s="86">
        <v>8498</v>
      </c>
      <c r="AU207" s="86">
        <v>8069</v>
      </c>
      <c r="AV207" s="86">
        <v>7914</v>
      </c>
      <c r="AW207" s="86">
        <v>7651</v>
      </c>
      <c r="AX207" s="86">
        <v>7405</v>
      </c>
      <c r="AY207" s="86">
        <v>7075</v>
      </c>
      <c r="AZ207" s="86">
        <v>6847</v>
      </c>
      <c r="BA207" s="86">
        <v>6460</v>
      </c>
      <c r="BB207" s="86">
        <v>6136</v>
      </c>
      <c r="BC207" s="86">
        <v>6264</v>
      </c>
      <c r="BD207" s="86">
        <v>6041</v>
      </c>
      <c r="BE207" s="86">
        <v>5811</v>
      </c>
      <c r="BF207" s="86">
        <v>5706</v>
      </c>
      <c r="BG207" s="86">
        <v>5445</v>
      </c>
      <c r="BH207" s="86">
        <v>5178</v>
      </c>
      <c r="BI207" s="86">
        <v>5168</v>
      </c>
      <c r="BJ207" s="86">
        <v>5028</v>
      </c>
      <c r="BK207" s="86">
        <v>4954</v>
      </c>
      <c r="BL207" s="86">
        <v>4786</v>
      </c>
      <c r="BM207" s="86">
        <v>4646</v>
      </c>
      <c r="BN207" s="86">
        <v>4533</v>
      </c>
      <c r="BO207" s="86">
        <v>4400</v>
      </c>
      <c r="BP207" s="86">
        <v>4307</v>
      </c>
      <c r="BQ207" s="86">
        <v>4189</v>
      </c>
      <c r="BR207" s="86">
        <v>4045</v>
      </c>
      <c r="BS207" s="86">
        <v>3935</v>
      </c>
      <c r="BT207" s="86">
        <v>3829</v>
      </c>
      <c r="BU207" s="86">
        <v>3856</v>
      </c>
      <c r="BV207" s="86">
        <v>3704</v>
      </c>
      <c r="BW207" s="86">
        <v>3625</v>
      </c>
      <c r="BX207" s="86">
        <v>3519</v>
      </c>
      <c r="BY207" s="86">
        <v>3413</v>
      </c>
      <c r="BZ207" s="86">
        <v>3360</v>
      </c>
      <c r="CA207" s="86">
        <v>3336</v>
      </c>
      <c r="CB207" s="86">
        <v>3265</v>
      </c>
      <c r="CC207" s="86">
        <v>3236</v>
      </c>
      <c r="CD207" s="86">
        <v>3091</v>
      </c>
      <c r="CE207" s="86">
        <v>3032</v>
      </c>
      <c r="CF207" s="86">
        <v>3007</v>
      </c>
      <c r="CG207" s="86">
        <v>26779</v>
      </c>
      <c r="CH207" s="86">
        <v>22760</v>
      </c>
      <c r="CI207" s="86">
        <v>19522</v>
      </c>
      <c r="CJ207" s="86">
        <v>17028</v>
      </c>
      <c r="CK207" s="86">
        <v>15311</v>
      </c>
      <c r="CL207" s="86">
        <v>13683</v>
      </c>
      <c r="CM207" s="86">
        <v>12224</v>
      </c>
      <c r="CN207" s="86">
        <v>11241</v>
      </c>
      <c r="CO207" s="86">
        <v>10478</v>
      </c>
      <c r="CP207" s="86">
        <v>9568</v>
      </c>
      <c r="CQ207" s="86">
        <v>9071</v>
      </c>
      <c r="CR207" s="86">
        <v>8495</v>
      </c>
      <c r="CS207" s="86">
        <v>7986</v>
      </c>
      <c r="CT207" s="86">
        <v>7666</v>
      </c>
      <c r="CU207" s="382"/>
    </row>
    <row r="208" spans="1:99" s="86" customFormat="1" x14ac:dyDescent="0.2">
      <c r="A208" s="379">
        <v>314</v>
      </c>
      <c r="B208" s="379">
        <v>46</v>
      </c>
      <c r="C208" s="351" t="s">
        <v>156</v>
      </c>
      <c r="D208" s="379">
        <v>1516</v>
      </c>
      <c r="E208" s="381">
        <f t="shared" si="6"/>
        <v>10718.95</v>
      </c>
      <c r="F208" s="395">
        <f t="shared" si="7"/>
        <v>33.857300594723775</v>
      </c>
      <c r="G208" s="87">
        <v>1139</v>
      </c>
      <c r="H208" s="87">
        <v>1195</v>
      </c>
      <c r="I208" s="87">
        <v>1171</v>
      </c>
      <c r="J208" s="87">
        <v>1186</v>
      </c>
      <c r="K208" s="87">
        <v>1110</v>
      </c>
      <c r="L208" s="87">
        <v>1156</v>
      </c>
      <c r="M208" s="87">
        <v>1194</v>
      </c>
      <c r="N208" s="87">
        <v>1217</v>
      </c>
      <c r="O208" s="87">
        <v>1140</v>
      </c>
      <c r="P208" s="87">
        <v>1165</v>
      </c>
      <c r="Q208" s="87">
        <v>1152</v>
      </c>
      <c r="R208" s="87">
        <v>1142</v>
      </c>
      <c r="S208" s="87">
        <v>1112</v>
      </c>
      <c r="T208" s="87">
        <v>1147</v>
      </c>
      <c r="U208" s="87">
        <v>1108</v>
      </c>
      <c r="V208" s="87">
        <v>1136</v>
      </c>
      <c r="W208" s="87">
        <v>1055</v>
      </c>
      <c r="X208" s="87">
        <v>1070</v>
      </c>
      <c r="Y208" s="87">
        <v>1062</v>
      </c>
      <c r="Z208" s="87">
        <v>1051</v>
      </c>
      <c r="AA208" s="87">
        <v>10702</v>
      </c>
      <c r="AB208" s="87">
        <v>10122</v>
      </c>
      <c r="AC208" s="87">
        <v>9541</v>
      </c>
      <c r="AD208" s="87">
        <v>9173</v>
      </c>
      <c r="AE208" s="87">
        <v>8679</v>
      </c>
      <c r="AF208" s="87">
        <v>8274</v>
      </c>
      <c r="AG208" s="87">
        <v>8023</v>
      </c>
      <c r="AH208" s="87">
        <v>7606</v>
      </c>
      <c r="AI208" s="87">
        <v>7115</v>
      </c>
      <c r="AJ208" s="87">
        <v>6924</v>
      </c>
      <c r="AK208" s="87">
        <v>6601</v>
      </c>
      <c r="AL208" s="87">
        <v>6428</v>
      </c>
      <c r="AM208" s="87">
        <v>6187</v>
      </c>
      <c r="AN208" s="87">
        <v>5766</v>
      </c>
      <c r="AO208" s="87">
        <v>5565</v>
      </c>
      <c r="AP208" s="87">
        <v>5352</v>
      </c>
      <c r="AQ208" s="87">
        <v>5234</v>
      </c>
      <c r="AR208" s="87">
        <v>5031</v>
      </c>
      <c r="AS208" s="87">
        <v>4843</v>
      </c>
      <c r="AT208" s="87">
        <v>4718</v>
      </c>
      <c r="AU208" s="87">
        <v>4536</v>
      </c>
      <c r="AV208" s="87">
        <v>4294</v>
      </c>
      <c r="AW208" s="87">
        <v>4157</v>
      </c>
      <c r="AX208" s="87">
        <v>4136</v>
      </c>
      <c r="AY208" s="87">
        <v>3933</v>
      </c>
      <c r="AZ208" s="87">
        <v>3745</v>
      </c>
      <c r="BA208" s="87">
        <v>3667</v>
      </c>
      <c r="BB208" s="87">
        <v>3645</v>
      </c>
      <c r="BC208" s="87">
        <v>3291</v>
      </c>
      <c r="BD208" s="87">
        <v>3433</v>
      </c>
      <c r="BE208" s="87">
        <v>3230</v>
      </c>
      <c r="BF208" s="87">
        <v>3215</v>
      </c>
      <c r="BG208" s="87">
        <v>3168</v>
      </c>
      <c r="BH208" s="87">
        <v>3022</v>
      </c>
      <c r="BI208" s="87">
        <v>2952</v>
      </c>
      <c r="BJ208" s="87">
        <v>2945</v>
      </c>
      <c r="BK208" s="87">
        <v>2881</v>
      </c>
      <c r="BL208" s="87">
        <v>2775</v>
      </c>
      <c r="BM208" s="87">
        <v>2719</v>
      </c>
      <c r="BN208" s="87">
        <v>2621</v>
      </c>
      <c r="BO208" s="87">
        <v>2566</v>
      </c>
      <c r="BP208" s="87">
        <v>2559</v>
      </c>
      <c r="BQ208" s="87">
        <v>2489</v>
      </c>
      <c r="BR208" s="87">
        <v>2431</v>
      </c>
      <c r="BS208" s="87">
        <v>2330</v>
      </c>
      <c r="BT208" s="87">
        <v>2325</v>
      </c>
      <c r="BU208" s="87">
        <v>2276</v>
      </c>
      <c r="BV208" s="87">
        <v>2172</v>
      </c>
      <c r="BW208" s="87">
        <v>2228</v>
      </c>
      <c r="BX208" s="87">
        <v>2134</v>
      </c>
      <c r="BY208" s="87">
        <v>2115</v>
      </c>
      <c r="BZ208" s="87">
        <v>2132</v>
      </c>
      <c r="CA208" s="87">
        <v>2089</v>
      </c>
      <c r="CB208" s="87">
        <v>1956</v>
      </c>
      <c r="CC208" s="87">
        <v>1978</v>
      </c>
      <c r="CD208" s="87">
        <v>1929</v>
      </c>
      <c r="CE208" s="87">
        <v>1896</v>
      </c>
      <c r="CF208" s="87">
        <v>1882</v>
      </c>
      <c r="CG208" s="87">
        <v>17176</v>
      </c>
      <c r="CH208" s="87">
        <v>14754</v>
      </c>
      <c r="CI208" s="87">
        <v>13121</v>
      </c>
      <c r="CJ208" s="87">
        <v>11835</v>
      </c>
      <c r="CK208" s="87">
        <v>10691</v>
      </c>
      <c r="CL208" s="87">
        <v>9808</v>
      </c>
      <c r="CM208" s="87">
        <v>9188</v>
      </c>
      <c r="CN208" s="87">
        <v>8358</v>
      </c>
      <c r="CO208" s="87">
        <v>7914</v>
      </c>
      <c r="CP208" s="87">
        <v>7605</v>
      </c>
      <c r="CQ208" s="87">
        <v>7099</v>
      </c>
      <c r="CR208" s="87">
        <v>6730</v>
      </c>
      <c r="CS208" s="87">
        <v>6507</v>
      </c>
      <c r="CT208" s="87">
        <v>6194</v>
      </c>
      <c r="CU208" s="382"/>
    </row>
    <row r="209" spans="1:99" s="86" customFormat="1" x14ac:dyDescent="0.2">
      <c r="A209" s="375">
        <v>139</v>
      </c>
      <c r="B209" s="375">
        <v>47</v>
      </c>
      <c r="C209" s="349" t="s">
        <v>155</v>
      </c>
      <c r="D209" s="376">
        <v>0</v>
      </c>
      <c r="E209" s="164">
        <f t="shared" si="6"/>
        <v>127424.95</v>
      </c>
      <c r="F209" s="394">
        <f t="shared" si="7"/>
        <v>114.74489213646423</v>
      </c>
      <c r="G209" s="86">
        <v>13758</v>
      </c>
      <c r="H209" s="83">
        <v>13823</v>
      </c>
      <c r="I209" s="83">
        <v>13604</v>
      </c>
      <c r="J209" s="83">
        <v>13468</v>
      </c>
      <c r="K209" s="83">
        <v>13462</v>
      </c>
      <c r="L209" s="83">
        <v>13392</v>
      </c>
      <c r="M209" s="83">
        <v>13353</v>
      </c>
      <c r="N209" s="83">
        <v>13135</v>
      </c>
      <c r="O209" s="83">
        <v>13107</v>
      </c>
      <c r="P209" s="83">
        <v>13146</v>
      </c>
      <c r="Q209" s="83">
        <v>12901</v>
      </c>
      <c r="R209" s="83">
        <v>13056</v>
      </c>
      <c r="S209" s="83">
        <v>12605</v>
      </c>
      <c r="T209" s="83">
        <v>12873</v>
      </c>
      <c r="U209" s="83">
        <v>12775</v>
      </c>
      <c r="V209" s="83">
        <v>12840</v>
      </c>
      <c r="W209" s="83">
        <v>12619</v>
      </c>
      <c r="X209" s="83">
        <v>12659</v>
      </c>
      <c r="Y209" s="83">
        <v>12625</v>
      </c>
      <c r="Z209" s="83">
        <v>12499</v>
      </c>
      <c r="AA209" s="83">
        <v>121603</v>
      </c>
      <c r="AB209" s="83">
        <v>115286</v>
      </c>
      <c r="AC209" s="83">
        <v>108962</v>
      </c>
      <c r="AD209" s="83">
        <v>102751</v>
      </c>
      <c r="AE209" s="83">
        <v>97304</v>
      </c>
      <c r="AF209" s="83">
        <v>92027</v>
      </c>
      <c r="AG209" s="83">
        <v>87214</v>
      </c>
      <c r="AH209" s="83">
        <v>82452</v>
      </c>
      <c r="AI209" s="83">
        <v>77594</v>
      </c>
      <c r="AJ209" s="83">
        <v>73928</v>
      </c>
      <c r="AK209" s="83">
        <v>70154</v>
      </c>
      <c r="AL209" s="83">
        <v>66949</v>
      </c>
      <c r="AM209" s="83">
        <v>63242</v>
      </c>
      <c r="AN209" s="83">
        <v>60360</v>
      </c>
      <c r="AO209" s="83">
        <v>57633</v>
      </c>
      <c r="AP209" s="83">
        <v>55467</v>
      </c>
      <c r="AQ209" s="83">
        <v>52614</v>
      </c>
      <c r="AR209" s="83">
        <v>50382</v>
      </c>
      <c r="AS209" s="83">
        <v>48506</v>
      </c>
      <c r="AT209" s="83">
        <v>46131</v>
      </c>
      <c r="AU209" s="83">
        <v>44472</v>
      </c>
      <c r="AV209" s="83">
        <v>42790</v>
      </c>
      <c r="AW209" s="83">
        <v>41197</v>
      </c>
      <c r="AX209" s="83">
        <v>39250</v>
      </c>
      <c r="AY209" s="83">
        <v>37983</v>
      </c>
      <c r="AZ209" s="83">
        <v>36803</v>
      </c>
      <c r="BA209" s="83">
        <v>35489</v>
      </c>
      <c r="BB209" s="83">
        <v>33810</v>
      </c>
      <c r="BC209" s="83">
        <v>32804</v>
      </c>
      <c r="BD209" s="83">
        <v>31942</v>
      </c>
      <c r="BE209" s="83">
        <v>30497</v>
      </c>
      <c r="BF209" s="83">
        <v>29598</v>
      </c>
      <c r="BG209" s="83">
        <v>28681</v>
      </c>
      <c r="BH209" s="83">
        <v>27796</v>
      </c>
      <c r="BI209" s="83">
        <v>26821</v>
      </c>
      <c r="BJ209" s="83">
        <v>25932</v>
      </c>
      <c r="BK209" s="83">
        <v>25362</v>
      </c>
      <c r="BL209" s="83">
        <v>24574</v>
      </c>
      <c r="BM209" s="83">
        <v>23741</v>
      </c>
      <c r="BN209" s="83">
        <v>22990</v>
      </c>
      <c r="BO209" s="83">
        <v>22745</v>
      </c>
      <c r="BP209" s="83">
        <v>22086</v>
      </c>
      <c r="BQ209" s="83">
        <v>21401</v>
      </c>
      <c r="BR209" s="83">
        <v>20763</v>
      </c>
      <c r="BS209" s="83">
        <v>20284</v>
      </c>
      <c r="BT209" s="83">
        <v>19614</v>
      </c>
      <c r="BU209" s="83">
        <v>19080</v>
      </c>
      <c r="BV209" s="83">
        <v>18626</v>
      </c>
      <c r="BW209" s="83">
        <v>18066</v>
      </c>
      <c r="BX209" s="83">
        <v>17904</v>
      </c>
      <c r="BY209" s="83">
        <v>17326</v>
      </c>
      <c r="BZ209" s="83">
        <v>17019</v>
      </c>
      <c r="CA209" s="83">
        <v>16469</v>
      </c>
      <c r="CB209" s="83">
        <v>16028</v>
      </c>
      <c r="CC209" s="83">
        <v>15911</v>
      </c>
      <c r="CD209" s="83">
        <v>15560</v>
      </c>
      <c r="CE209" s="83">
        <v>15069</v>
      </c>
      <c r="CF209" s="83">
        <v>14730</v>
      </c>
      <c r="CG209" s="83">
        <v>132251</v>
      </c>
      <c r="CH209" s="83">
        <v>109830</v>
      </c>
      <c r="CI209" s="83">
        <v>92612</v>
      </c>
      <c r="CJ209" s="83">
        <v>80407</v>
      </c>
      <c r="CK209" s="83">
        <v>70381</v>
      </c>
      <c r="CL209" s="83">
        <v>62801</v>
      </c>
      <c r="CM209" s="83">
        <v>56680</v>
      </c>
      <c r="CN209" s="83">
        <v>51288</v>
      </c>
      <c r="CO209" s="83">
        <v>47324</v>
      </c>
      <c r="CP209" s="83">
        <v>43522</v>
      </c>
      <c r="CQ209" s="83">
        <v>40323</v>
      </c>
      <c r="CR209" s="83">
        <v>37628</v>
      </c>
      <c r="CS209" s="83">
        <v>35275</v>
      </c>
      <c r="CT209" s="83">
        <v>33226</v>
      </c>
      <c r="CU209" s="382"/>
    </row>
    <row r="210" spans="1:99" s="86" customFormat="1" x14ac:dyDescent="0.2">
      <c r="A210" s="375">
        <v>143</v>
      </c>
      <c r="B210" s="375">
        <v>47</v>
      </c>
      <c r="C210" s="349" t="s">
        <v>156</v>
      </c>
      <c r="D210" s="376">
        <v>1515</v>
      </c>
      <c r="E210" s="164">
        <f t="shared" si="6"/>
        <v>24249.7</v>
      </c>
      <c r="F210" s="394">
        <f t="shared" si="7"/>
        <v>51.523673807390992</v>
      </c>
      <c r="G210" s="86">
        <v>2702</v>
      </c>
      <c r="H210" s="83">
        <v>2797</v>
      </c>
      <c r="I210" s="83">
        <v>2771</v>
      </c>
      <c r="J210" s="83">
        <v>2692</v>
      </c>
      <c r="K210" s="83">
        <v>2722</v>
      </c>
      <c r="L210" s="83">
        <v>2679</v>
      </c>
      <c r="M210" s="83">
        <v>2630</v>
      </c>
      <c r="N210" s="83">
        <v>2663</v>
      </c>
      <c r="O210" s="83">
        <v>2617</v>
      </c>
      <c r="P210" s="83">
        <v>2663</v>
      </c>
      <c r="Q210" s="83">
        <v>2596</v>
      </c>
      <c r="R210" s="83">
        <v>2579</v>
      </c>
      <c r="S210" s="83">
        <v>2620</v>
      </c>
      <c r="T210" s="83">
        <v>2591</v>
      </c>
      <c r="U210" s="83">
        <v>2568</v>
      </c>
      <c r="V210" s="83">
        <v>2657</v>
      </c>
      <c r="W210" s="83">
        <v>2496</v>
      </c>
      <c r="X210" s="83">
        <v>2525</v>
      </c>
      <c r="Y210" s="83">
        <v>2515</v>
      </c>
      <c r="Z210" s="83">
        <v>2497</v>
      </c>
      <c r="AA210" s="83">
        <v>24497</v>
      </c>
      <c r="AB210" s="83">
        <v>23452</v>
      </c>
      <c r="AC210" s="83">
        <v>22207</v>
      </c>
      <c r="AD210" s="83">
        <v>21052</v>
      </c>
      <c r="AE210" s="83">
        <v>20221</v>
      </c>
      <c r="AF210" s="83">
        <v>19215</v>
      </c>
      <c r="AG210" s="83">
        <v>18250</v>
      </c>
      <c r="AH210" s="83">
        <v>17283</v>
      </c>
      <c r="AI210" s="83">
        <v>16520</v>
      </c>
      <c r="AJ210" s="83">
        <v>15603</v>
      </c>
      <c r="AK210" s="83">
        <v>15226</v>
      </c>
      <c r="AL210" s="83">
        <v>14449</v>
      </c>
      <c r="AM210" s="83">
        <v>13964</v>
      </c>
      <c r="AN210" s="83">
        <v>13405</v>
      </c>
      <c r="AO210" s="83">
        <v>12836</v>
      </c>
      <c r="AP210" s="83">
        <v>12215</v>
      </c>
      <c r="AQ210" s="83">
        <v>11854</v>
      </c>
      <c r="AR210" s="83">
        <v>11444</v>
      </c>
      <c r="AS210" s="83">
        <v>11138</v>
      </c>
      <c r="AT210" s="83">
        <v>10565</v>
      </c>
      <c r="AU210" s="83">
        <v>10329</v>
      </c>
      <c r="AV210" s="83">
        <v>10119</v>
      </c>
      <c r="AW210" s="83">
        <v>9759</v>
      </c>
      <c r="AX210" s="83">
        <v>9498</v>
      </c>
      <c r="AY210" s="83">
        <v>9196</v>
      </c>
      <c r="AZ210" s="83">
        <v>8882</v>
      </c>
      <c r="BA210" s="83">
        <v>8767</v>
      </c>
      <c r="BB210" s="83">
        <v>8522</v>
      </c>
      <c r="BC210" s="83">
        <v>8220</v>
      </c>
      <c r="BD210" s="83">
        <v>7889</v>
      </c>
      <c r="BE210" s="83">
        <v>7843</v>
      </c>
      <c r="BF210" s="83">
        <v>7688</v>
      </c>
      <c r="BG210" s="83">
        <v>7463</v>
      </c>
      <c r="BH210" s="83">
        <v>7350</v>
      </c>
      <c r="BI210" s="83">
        <v>7120</v>
      </c>
      <c r="BJ210" s="83">
        <v>6801</v>
      </c>
      <c r="BK210" s="83">
        <v>6734</v>
      </c>
      <c r="BL210" s="83">
        <v>6657</v>
      </c>
      <c r="BM210" s="83">
        <v>6534</v>
      </c>
      <c r="BN210" s="83">
        <v>6447</v>
      </c>
      <c r="BO210" s="83">
        <v>6311</v>
      </c>
      <c r="BP210" s="83">
        <v>6166</v>
      </c>
      <c r="BQ210" s="83">
        <v>6093</v>
      </c>
      <c r="BR210" s="83">
        <v>5889</v>
      </c>
      <c r="BS210" s="83">
        <v>5825</v>
      </c>
      <c r="BT210" s="83">
        <v>5656</v>
      </c>
      <c r="BU210" s="83">
        <v>5578</v>
      </c>
      <c r="BV210" s="83">
        <v>5593</v>
      </c>
      <c r="BW210" s="83">
        <v>5499</v>
      </c>
      <c r="BX210" s="83">
        <v>5401</v>
      </c>
      <c r="BY210" s="83">
        <v>5311</v>
      </c>
      <c r="BZ210" s="83">
        <v>5141</v>
      </c>
      <c r="CA210" s="83">
        <v>5080</v>
      </c>
      <c r="CB210" s="83">
        <v>5034</v>
      </c>
      <c r="CC210" s="83">
        <v>4970</v>
      </c>
      <c r="CD210" s="83">
        <v>4926</v>
      </c>
      <c r="CE210" s="83">
        <v>4772</v>
      </c>
      <c r="CF210" s="83">
        <v>4740</v>
      </c>
      <c r="CG210" s="83">
        <v>44193</v>
      </c>
      <c r="CH210" s="83">
        <v>39505</v>
      </c>
      <c r="CI210" s="83">
        <v>36154</v>
      </c>
      <c r="CJ210" s="83">
        <v>32983</v>
      </c>
      <c r="CK210" s="83">
        <v>30809</v>
      </c>
      <c r="CL210" s="83">
        <v>28926</v>
      </c>
      <c r="CM210" s="83">
        <v>27100</v>
      </c>
      <c r="CN210" s="83">
        <v>25851</v>
      </c>
      <c r="CO210" s="83">
        <v>24703</v>
      </c>
      <c r="CP210" s="83">
        <v>23277</v>
      </c>
      <c r="CQ210" s="83">
        <v>22352</v>
      </c>
      <c r="CR210" s="83">
        <v>21530</v>
      </c>
      <c r="CS210" s="83">
        <v>20822</v>
      </c>
      <c r="CT210" s="83">
        <v>19984</v>
      </c>
      <c r="CU210" s="382"/>
    </row>
    <row r="211" spans="1:99" s="86" customFormat="1" x14ac:dyDescent="0.2">
      <c r="A211" s="375">
        <v>319</v>
      </c>
      <c r="B211" s="375">
        <v>47</v>
      </c>
      <c r="C211" s="349" t="s">
        <v>155</v>
      </c>
      <c r="D211" s="376">
        <v>3791</v>
      </c>
      <c r="E211" s="164">
        <f t="shared" si="6"/>
        <v>49170.95</v>
      </c>
      <c r="F211" s="394">
        <f t="shared" si="7"/>
        <v>71.695923864950785</v>
      </c>
      <c r="G211" s="86">
        <v>5335</v>
      </c>
      <c r="H211" s="83">
        <v>5356</v>
      </c>
      <c r="I211" s="83">
        <v>5257</v>
      </c>
      <c r="J211" s="83">
        <v>5348</v>
      </c>
      <c r="K211" s="83">
        <v>5219</v>
      </c>
      <c r="L211" s="83">
        <v>5190</v>
      </c>
      <c r="M211" s="83">
        <v>5202</v>
      </c>
      <c r="N211" s="83">
        <v>5194</v>
      </c>
      <c r="O211" s="83">
        <v>5187</v>
      </c>
      <c r="P211" s="83">
        <v>5236</v>
      </c>
      <c r="Q211" s="83">
        <v>5181</v>
      </c>
      <c r="R211" s="83">
        <v>5046</v>
      </c>
      <c r="S211" s="83">
        <v>5035</v>
      </c>
      <c r="T211" s="83">
        <v>4974</v>
      </c>
      <c r="U211" s="83">
        <v>4932</v>
      </c>
      <c r="V211" s="83">
        <v>4970</v>
      </c>
      <c r="W211" s="83">
        <v>4850</v>
      </c>
      <c r="X211" s="83">
        <v>4852</v>
      </c>
      <c r="Y211" s="83">
        <v>4946</v>
      </c>
      <c r="Z211" s="83">
        <v>4799</v>
      </c>
      <c r="AA211" s="83">
        <v>46809</v>
      </c>
      <c r="AB211" s="83">
        <v>44576</v>
      </c>
      <c r="AC211" s="83">
        <v>41442</v>
      </c>
      <c r="AD211" s="83">
        <v>39420</v>
      </c>
      <c r="AE211" s="83">
        <v>36956</v>
      </c>
      <c r="AF211" s="83">
        <v>34943</v>
      </c>
      <c r="AG211" s="83">
        <v>33120</v>
      </c>
      <c r="AH211" s="83">
        <v>31334</v>
      </c>
      <c r="AI211" s="83">
        <v>29655</v>
      </c>
      <c r="AJ211" s="83">
        <v>28402</v>
      </c>
      <c r="AK211" s="83">
        <v>26628</v>
      </c>
      <c r="AL211" s="83">
        <v>25591</v>
      </c>
      <c r="AM211" s="83">
        <v>24236</v>
      </c>
      <c r="AN211" s="83">
        <v>23513</v>
      </c>
      <c r="AO211" s="83">
        <v>22186</v>
      </c>
      <c r="AP211" s="83">
        <v>21127</v>
      </c>
      <c r="AQ211" s="83">
        <v>20445</v>
      </c>
      <c r="AR211" s="83">
        <v>19070</v>
      </c>
      <c r="AS211" s="83">
        <v>18684</v>
      </c>
      <c r="AT211" s="83">
        <v>17930</v>
      </c>
      <c r="AU211" s="83">
        <v>17392</v>
      </c>
      <c r="AV211" s="83">
        <v>16468</v>
      </c>
      <c r="AW211" s="83">
        <v>15944</v>
      </c>
      <c r="AX211" s="83">
        <v>15253</v>
      </c>
      <c r="AY211" s="83">
        <v>14996</v>
      </c>
      <c r="AZ211" s="83">
        <v>14141</v>
      </c>
      <c r="BA211" s="83">
        <v>13765</v>
      </c>
      <c r="BB211" s="83">
        <v>13240</v>
      </c>
      <c r="BC211" s="83">
        <v>12951</v>
      </c>
      <c r="BD211" s="83">
        <v>12482</v>
      </c>
      <c r="BE211" s="83">
        <v>12276</v>
      </c>
      <c r="BF211" s="83">
        <v>11758</v>
      </c>
      <c r="BG211" s="83">
        <v>11241</v>
      </c>
      <c r="BH211" s="83">
        <v>10889</v>
      </c>
      <c r="BI211" s="83">
        <v>10747</v>
      </c>
      <c r="BJ211" s="83">
        <v>10469</v>
      </c>
      <c r="BK211" s="83">
        <v>10099</v>
      </c>
      <c r="BL211" s="83">
        <v>9793</v>
      </c>
      <c r="BM211" s="83">
        <v>9572</v>
      </c>
      <c r="BN211" s="83">
        <v>9399</v>
      </c>
      <c r="BO211" s="83">
        <v>9059</v>
      </c>
      <c r="BP211" s="83">
        <v>8781</v>
      </c>
      <c r="BQ211" s="83">
        <v>8604</v>
      </c>
      <c r="BR211" s="83">
        <v>8472</v>
      </c>
      <c r="BS211" s="83">
        <v>8330</v>
      </c>
      <c r="BT211" s="83">
        <v>7996</v>
      </c>
      <c r="BU211" s="83">
        <v>7898</v>
      </c>
      <c r="BV211" s="83">
        <v>7726</v>
      </c>
      <c r="BW211" s="83">
        <v>7471</v>
      </c>
      <c r="BX211" s="83">
        <v>7260</v>
      </c>
      <c r="BY211" s="83">
        <v>7117</v>
      </c>
      <c r="BZ211" s="83">
        <v>7034</v>
      </c>
      <c r="CA211" s="83">
        <v>6898</v>
      </c>
      <c r="CB211" s="83">
        <v>6696</v>
      </c>
      <c r="CC211" s="83">
        <v>6657</v>
      </c>
      <c r="CD211" s="83">
        <v>6430</v>
      </c>
      <c r="CE211" s="83">
        <v>6460</v>
      </c>
      <c r="CF211" s="83">
        <v>6223</v>
      </c>
      <c r="CG211" s="83">
        <v>56846</v>
      </c>
      <c r="CH211" s="83">
        <v>48717</v>
      </c>
      <c r="CI211" s="83">
        <v>42630</v>
      </c>
      <c r="CJ211" s="83">
        <v>37187</v>
      </c>
      <c r="CK211" s="83">
        <v>33676</v>
      </c>
      <c r="CL211" s="83">
        <v>30734</v>
      </c>
      <c r="CM211" s="83">
        <v>27956</v>
      </c>
      <c r="CN211" s="83">
        <v>25983</v>
      </c>
      <c r="CO211" s="83">
        <v>24243</v>
      </c>
      <c r="CP211" s="83">
        <v>22747</v>
      </c>
      <c r="CQ211" s="83">
        <v>21620</v>
      </c>
      <c r="CR211" s="83">
        <v>20422</v>
      </c>
      <c r="CS211" s="83">
        <v>19222</v>
      </c>
      <c r="CT211" s="83">
        <v>18449</v>
      </c>
      <c r="CU211" s="382"/>
    </row>
    <row r="212" spans="1:99" s="86" customFormat="1" x14ac:dyDescent="0.2">
      <c r="A212" s="375">
        <v>323</v>
      </c>
      <c r="B212" s="375">
        <v>47</v>
      </c>
      <c r="C212" s="349" t="s">
        <v>156</v>
      </c>
      <c r="D212" s="376">
        <v>1516</v>
      </c>
      <c r="E212" s="164">
        <f t="shared" si="6"/>
        <v>22394.75</v>
      </c>
      <c r="F212" s="394">
        <f t="shared" si="7"/>
        <v>49.145144991413346</v>
      </c>
      <c r="G212" s="86">
        <v>2437</v>
      </c>
      <c r="H212" s="83">
        <v>2462</v>
      </c>
      <c r="I212" s="83">
        <v>2535</v>
      </c>
      <c r="J212" s="83">
        <v>2468</v>
      </c>
      <c r="K212" s="83">
        <v>2442</v>
      </c>
      <c r="L212" s="83">
        <v>2482</v>
      </c>
      <c r="M212" s="83">
        <v>2494</v>
      </c>
      <c r="N212" s="83">
        <v>2431</v>
      </c>
      <c r="O212" s="83">
        <v>2398</v>
      </c>
      <c r="P212" s="83">
        <v>2379</v>
      </c>
      <c r="Q212" s="83">
        <v>2481</v>
      </c>
      <c r="R212" s="83">
        <v>2385</v>
      </c>
      <c r="S212" s="83">
        <v>2376</v>
      </c>
      <c r="T212" s="83">
        <v>2375</v>
      </c>
      <c r="U212" s="83">
        <v>2324</v>
      </c>
      <c r="V212" s="83">
        <v>2263</v>
      </c>
      <c r="W212" s="83">
        <v>2307</v>
      </c>
      <c r="X212" s="83">
        <v>2344</v>
      </c>
      <c r="Y212" s="83">
        <v>2268</v>
      </c>
      <c r="Z212" s="83">
        <v>2245</v>
      </c>
      <c r="AA212" s="83">
        <v>22285</v>
      </c>
      <c r="AB212" s="83">
        <v>21342</v>
      </c>
      <c r="AC212" s="83">
        <v>20094</v>
      </c>
      <c r="AD212" s="83">
        <v>18807</v>
      </c>
      <c r="AE212" s="83">
        <v>18071</v>
      </c>
      <c r="AF212" s="83">
        <v>16975</v>
      </c>
      <c r="AG212" s="83">
        <v>16192</v>
      </c>
      <c r="AH212" s="83">
        <v>15300</v>
      </c>
      <c r="AI212" s="83">
        <v>14727</v>
      </c>
      <c r="AJ212" s="83">
        <v>13880</v>
      </c>
      <c r="AK212" s="83">
        <v>13407</v>
      </c>
      <c r="AL212" s="83">
        <v>12707</v>
      </c>
      <c r="AM212" s="83">
        <v>12144</v>
      </c>
      <c r="AN212" s="83">
        <v>11554</v>
      </c>
      <c r="AO212" s="83">
        <v>11214</v>
      </c>
      <c r="AP212" s="83">
        <v>10661</v>
      </c>
      <c r="AQ212" s="83">
        <v>10259</v>
      </c>
      <c r="AR212" s="83">
        <v>9773</v>
      </c>
      <c r="AS212" s="83">
        <v>9617</v>
      </c>
      <c r="AT212" s="83">
        <v>9283</v>
      </c>
      <c r="AU212" s="83">
        <v>9028</v>
      </c>
      <c r="AV212" s="83">
        <v>8585</v>
      </c>
      <c r="AW212" s="83">
        <v>8231</v>
      </c>
      <c r="AX212" s="83">
        <v>8016</v>
      </c>
      <c r="AY212" s="83">
        <v>7820</v>
      </c>
      <c r="AZ212" s="83">
        <v>7611</v>
      </c>
      <c r="BA212" s="83">
        <v>7351</v>
      </c>
      <c r="BB212" s="83">
        <v>7103</v>
      </c>
      <c r="BC212" s="83">
        <v>6997</v>
      </c>
      <c r="BD212" s="83">
        <v>6707</v>
      </c>
      <c r="BE212" s="83">
        <v>6598</v>
      </c>
      <c r="BF212" s="83">
        <v>6347</v>
      </c>
      <c r="BG212" s="83">
        <v>6236</v>
      </c>
      <c r="BH212" s="83">
        <v>6157</v>
      </c>
      <c r="BI212" s="83">
        <v>5956</v>
      </c>
      <c r="BJ212" s="83">
        <v>5814</v>
      </c>
      <c r="BK212" s="83">
        <v>5630</v>
      </c>
      <c r="BL212" s="83">
        <v>5596</v>
      </c>
      <c r="BM212" s="83">
        <v>5435</v>
      </c>
      <c r="BN212" s="83">
        <v>5337</v>
      </c>
      <c r="BO212" s="83">
        <v>5085</v>
      </c>
      <c r="BP212" s="83">
        <v>5104</v>
      </c>
      <c r="BQ212" s="83">
        <v>4987</v>
      </c>
      <c r="BR212" s="83">
        <v>4790</v>
      </c>
      <c r="BS212" s="83">
        <v>4877</v>
      </c>
      <c r="BT212" s="83">
        <v>4667</v>
      </c>
      <c r="BU212" s="83">
        <v>4527</v>
      </c>
      <c r="BV212" s="83">
        <v>4455</v>
      </c>
      <c r="BW212" s="83">
        <v>4328</v>
      </c>
      <c r="BX212" s="83">
        <v>4352</v>
      </c>
      <c r="BY212" s="83">
        <v>4358</v>
      </c>
      <c r="BZ212" s="83">
        <v>4216</v>
      </c>
      <c r="CA212" s="83">
        <v>4163</v>
      </c>
      <c r="CB212" s="83">
        <v>4051</v>
      </c>
      <c r="CC212" s="83">
        <v>4028</v>
      </c>
      <c r="CD212" s="83">
        <v>3933</v>
      </c>
      <c r="CE212" s="83">
        <v>3849</v>
      </c>
      <c r="CF212" s="83">
        <v>3858</v>
      </c>
      <c r="CG212" s="83">
        <v>35332</v>
      </c>
      <c r="CH212" s="83">
        <v>31214</v>
      </c>
      <c r="CI212" s="83">
        <v>28305</v>
      </c>
      <c r="CJ212" s="83">
        <v>25656</v>
      </c>
      <c r="CK212" s="83">
        <v>23724</v>
      </c>
      <c r="CL212" s="83">
        <v>22185</v>
      </c>
      <c r="CM212" s="83">
        <v>20613</v>
      </c>
      <c r="CN212" s="83">
        <v>19549</v>
      </c>
      <c r="CO212" s="83">
        <v>18719</v>
      </c>
      <c r="CP212" s="83">
        <v>17862</v>
      </c>
      <c r="CQ212" s="83">
        <v>17033</v>
      </c>
      <c r="CR212" s="83">
        <v>16313</v>
      </c>
      <c r="CS212" s="83">
        <v>15801</v>
      </c>
      <c r="CT212" s="83">
        <v>15264</v>
      </c>
      <c r="CU212" s="382"/>
    </row>
    <row r="213" spans="1:99" s="86" customFormat="1" x14ac:dyDescent="0.2">
      <c r="A213" s="375">
        <v>328</v>
      </c>
      <c r="B213" s="375">
        <v>47</v>
      </c>
      <c r="C213" s="349" t="s">
        <v>155</v>
      </c>
      <c r="D213" s="376">
        <v>7581</v>
      </c>
      <c r="E213" s="164">
        <f t="shared" si="6"/>
        <v>86014.05</v>
      </c>
      <c r="F213" s="394">
        <f t="shared" si="7"/>
        <v>94.580752252686693</v>
      </c>
      <c r="G213" s="86">
        <v>9275</v>
      </c>
      <c r="H213" s="83">
        <v>9375</v>
      </c>
      <c r="I213" s="83">
        <v>9351</v>
      </c>
      <c r="J213" s="83">
        <v>9149</v>
      </c>
      <c r="K213" s="83">
        <v>9160</v>
      </c>
      <c r="L213" s="83">
        <v>9112</v>
      </c>
      <c r="M213" s="83">
        <v>9152</v>
      </c>
      <c r="N213" s="83">
        <v>8991</v>
      </c>
      <c r="O213" s="83">
        <v>8898</v>
      </c>
      <c r="P213" s="83">
        <v>8939</v>
      </c>
      <c r="Q213" s="83">
        <v>8913</v>
      </c>
      <c r="R213" s="83">
        <v>8864</v>
      </c>
      <c r="S213" s="83">
        <v>8771</v>
      </c>
      <c r="T213" s="83">
        <v>8709</v>
      </c>
      <c r="U213" s="83">
        <v>8587</v>
      </c>
      <c r="V213" s="83">
        <v>8539</v>
      </c>
      <c r="W213" s="83">
        <v>8501</v>
      </c>
      <c r="X213" s="83">
        <v>8493</v>
      </c>
      <c r="Y213" s="83">
        <v>8448</v>
      </c>
      <c r="Z213" s="83">
        <v>8478</v>
      </c>
      <c r="AA213" s="83">
        <v>81208</v>
      </c>
      <c r="AB213" s="83">
        <v>76699</v>
      </c>
      <c r="AC213" s="83">
        <v>72647</v>
      </c>
      <c r="AD213" s="83">
        <v>67773</v>
      </c>
      <c r="AE213" s="83">
        <v>63667</v>
      </c>
      <c r="AF213" s="83">
        <v>60874</v>
      </c>
      <c r="AG213" s="83">
        <v>56897</v>
      </c>
      <c r="AH213" s="83">
        <v>53978</v>
      </c>
      <c r="AI213" s="83">
        <v>51045</v>
      </c>
      <c r="AJ213" s="83">
        <v>48663</v>
      </c>
      <c r="AK213" s="83">
        <v>46236</v>
      </c>
      <c r="AL213" s="83">
        <v>43680</v>
      </c>
      <c r="AM213" s="83">
        <v>41931</v>
      </c>
      <c r="AN213" s="83">
        <v>39653</v>
      </c>
      <c r="AO213" s="83">
        <v>38032</v>
      </c>
      <c r="AP213" s="83">
        <v>36032</v>
      </c>
      <c r="AQ213" s="83">
        <v>34391</v>
      </c>
      <c r="AR213" s="83">
        <v>33129</v>
      </c>
      <c r="AS213" s="83">
        <v>32140</v>
      </c>
      <c r="AT213" s="83">
        <v>30373</v>
      </c>
      <c r="AU213" s="83">
        <v>29370</v>
      </c>
      <c r="AV213" s="83">
        <v>28298</v>
      </c>
      <c r="AW213" s="83">
        <v>26902</v>
      </c>
      <c r="AX213" s="83">
        <v>26255</v>
      </c>
      <c r="AY213" s="83">
        <v>25379</v>
      </c>
      <c r="AZ213" s="83">
        <v>24429</v>
      </c>
      <c r="BA213" s="83">
        <v>23376</v>
      </c>
      <c r="BB213" s="83">
        <v>22611</v>
      </c>
      <c r="BC213" s="83">
        <v>21936</v>
      </c>
      <c r="BD213" s="83">
        <v>21121</v>
      </c>
      <c r="BE213" s="83">
        <v>20415</v>
      </c>
      <c r="BF213" s="83">
        <v>19747</v>
      </c>
      <c r="BG213" s="83">
        <v>19339</v>
      </c>
      <c r="BH213" s="83">
        <v>18365</v>
      </c>
      <c r="BI213" s="83">
        <v>18004</v>
      </c>
      <c r="BJ213" s="83">
        <v>17630</v>
      </c>
      <c r="BK213" s="83">
        <v>17088</v>
      </c>
      <c r="BL213" s="83">
        <v>16621</v>
      </c>
      <c r="BM213" s="83">
        <v>16267</v>
      </c>
      <c r="BN213" s="83">
        <v>15885</v>
      </c>
      <c r="BO213" s="83">
        <v>15469</v>
      </c>
      <c r="BP213" s="83">
        <v>14938</v>
      </c>
      <c r="BQ213" s="83">
        <v>14578</v>
      </c>
      <c r="BR213" s="83">
        <v>14100</v>
      </c>
      <c r="BS213" s="83">
        <v>13824</v>
      </c>
      <c r="BT213" s="83">
        <v>13595</v>
      </c>
      <c r="BU213" s="83">
        <v>13183</v>
      </c>
      <c r="BV213" s="83">
        <v>12940</v>
      </c>
      <c r="BW213" s="83">
        <v>12690</v>
      </c>
      <c r="BX213" s="83">
        <v>12314</v>
      </c>
      <c r="BY213" s="83">
        <v>12011</v>
      </c>
      <c r="BZ213" s="83">
        <v>11776</v>
      </c>
      <c r="CA213" s="83">
        <v>11487</v>
      </c>
      <c r="CB213" s="83">
        <v>11242</v>
      </c>
      <c r="CC213" s="83">
        <v>10972</v>
      </c>
      <c r="CD213" s="83">
        <v>10909</v>
      </c>
      <c r="CE213" s="83">
        <v>10571</v>
      </c>
      <c r="CF213" s="83">
        <v>10277</v>
      </c>
      <c r="CG213" s="83">
        <v>93947</v>
      </c>
      <c r="CH213" s="83">
        <v>79114</v>
      </c>
      <c r="CI213" s="83">
        <v>68268</v>
      </c>
      <c r="CJ213" s="83">
        <v>59890</v>
      </c>
      <c r="CK213" s="83">
        <v>53884</v>
      </c>
      <c r="CL213" s="83">
        <v>48104</v>
      </c>
      <c r="CM213" s="83">
        <v>43903</v>
      </c>
      <c r="CN213" s="83">
        <v>40381</v>
      </c>
      <c r="CO213" s="83">
        <v>37584</v>
      </c>
      <c r="CP213" s="83">
        <v>35250</v>
      </c>
      <c r="CQ213" s="83">
        <v>32899</v>
      </c>
      <c r="CR213" s="83">
        <v>30812</v>
      </c>
      <c r="CS213" s="83">
        <v>29107</v>
      </c>
      <c r="CT213" s="83">
        <v>27662</v>
      </c>
      <c r="CU213" s="382"/>
    </row>
    <row r="214" spans="1:99" s="86" customFormat="1" x14ac:dyDescent="0.2">
      <c r="A214" s="375">
        <v>332</v>
      </c>
      <c r="B214" s="375">
        <v>47</v>
      </c>
      <c r="C214" s="349" t="s">
        <v>156</v>
      </c>
      <c r="D214" s="376">
        <v>1516</v>
      </c>
      <c r="E214" s="164">
        <f t="shared" si="6"/>
        <v>22510</v>
      </c>
      <c r="F214" s="394">
        <f t="shared" si="7"/>
        <v>49.596990191606558</v>
      </c>
      <c r="G214" s="86">
        <v>2550</v>
      </c>
      <c r="H214" s="83">
        <v>2510</v>
      </c>
      <c r="I214" s="83">
        <v>2563</v>
      </c>
      <c r="J214" s="83">
        <v>2478</v>
      </c>
      <c r="K214" s="83">
        <v>2524</v>
      </c>
      <c r="L214" s="83">
        <v>2516</v>
      </c>
      <c r="M214" s="83">
        <v>2483</v>
      </c>
      <c r="N214" s="83">
        <v>2433</v>
      </c>
      <c r="O214" s="83">
        <v>2499</v>
      </c>
      <c r="P214" s="83">
        <v>2465</v>
      </c>
      <c r="Q214" s="83">
        <v>2442</v>
      </c>
      <c r="R214" s="83">
        <v>2431</v>
      </c>
      <c r="S214" s="83">
        <v>2356</v>
      </c>
      <c r="T214" s="83">
        <v>2372</v>
      </c>
      <c r="U214" s="83">
        <v>2382</v>
      </c>
      <c r="V214" s="83">
        <v>2367</v>
      </c>
      <c r="W214" s="83">
        <v>2368</v>
      </c>
      <c r="X214" s="83">
        <v>2334</v>
      </c>
      <c r="Y214" s="83">
        <v>2345</v>
      </c>
      <c r="Z214" s="83">
        <v>2294</v>
      </c>
      <c r="AA214" s="83">
        <v>22978</v>
      </c>
      <c r="AB214" s="83">
        <v>21723</v>
      </c>
      <c r="AC214" s="83">
        <v>20604</v>
      </c>
      <c r="AD214" s="83">
        <v>19807</v>
      </c>
      <c r="AE214" s="83">
        <v>18470</v>
      </c>
      <c r="AF214" s="83">
        <v>17808</v>
      </c>
      <c r="AG214" s="83">
        <v>16856</v>
      </c>
      <c r="AH214" s="83">
        <v>15872</v>
      </c>
      <c r="AI214" s="83">
        <v>15264</v>
      </c>
      <c r="AJ214" s="83">
        <v>14631</v>
      </c>
      <c r="AK214" s="83">
        <v>13979</v>
      </c>
      <c r="AL214" s="83">
        <v>13416</v>
      </c>
      <c r="AM214" s="83">
        <v>12880</v>
      </c>
      <c r="AN214" s="83">
        <v>12400</v>
      </c>
      <c r="AO214" s="83">
        <v>11871</v>
      </c>
      <c r="AP214" s="83">
        <v>11323</v>
      </c>
      <c r="AQ214" s="83">
        <v>10956</v>
      </c>
      <c r="AR214" s="83">
        <v>10505</v>
      </c>
      <c r="AS214" s="83">
        <v>10237</v>
      </c>
      <c r="AT214" s="83">
        <v>9852</v>
      </c>
      <c r="AU214" s="83">
        <v>9522</v>
      </c>
      <c r="AV214" s="83">
        <v>9182</v>
      </c>
      <c r="AW214" s="83">
        <v>9082</v>
      </c>
      <c r="AX214" s="83">
        <v>8799</v>
      </c>
      <c r="AY214" s="83">
        <v>8438</v>
      </c>
      <c r="AZ214" s="83">
        <v>8178</v>
      </c>
      <c r="BA214" s="83">
        <v>8010</v>
      </c>
      <c r="BB214" s="83">
        <v>7771</v>
      </c>
      <c r="BC214" s="83">
        <v>7565</v>
      </c>
      <c r="BD214" s="83">
        <v>7314</v>
      </c>
      <c r="BE214" s="83">
        <v>7221</v>
      </c>
      <c r="BF214" s="83">
        <v>7004</v>
      </c>
      <c r="BG214" s="83">
        <v>6833</v>
      </c>
      <c r="BH214" s="83">
        <v>6608</v>
      </c>
      <c r="BI214" s="83">
        <v>6513</v>
      </c>
      <c r="BJ214" s="83">
        <v>6388</v>
      </c>
      <c r="BK214" s="83">
        <v>6234</v>
      </c>
      <c r="BL214" s="83">
        <v>6091</v>
      </c>
      <c r="BM214" s="83">
        <v>6032</v>
      </c>
      <c r="BN214" s="83">
        <v>5854</v>
      </c>
      <c r="BO214" s="83">
        <v>5669</v>
      </c>
      <c r="BP214" s="83">
        <v>5593</v>
      </c>
      <c r="BQ214" s="83">
        <v>5435</v>
      </c>
      <c r="BR214" s="83">
        <v>5394</v>
      </c>
      <c r="BS214" s="83">
        <v>5311</v>
      </c>
      <c r="BT214" s="83">
        <v>5296</v>
      </c>
      <c r="BU214" s="83">
        <v>5194</v>
      </c>
      <c r="BV214" s="83">
        <v>5044</v>
      </c>
      <c r="BW214" s="83">
        <v>5004</v>
      </c>
      <c r="BX214" s="83">
        <v>4949</v>
      </c>
      <c r="BY214" s="83">
        <v>4824</v>
      </c>
      <c r="BZ214" s="83">
        <v>4617</v>
      </c>
      <c r="CA214" s="83">
        <v>4706</v>
      </c>
      <c r="CB214" s="83">
        <v>4613</v>
      </c>
      <c r="CC214" s="83">
        <v>4539</v>
      </c>
      <c r="CD214" s="83">
        <v>4487</v>
      </c>
      <c r="CE214" s="83">
        <v>4351</v>
      </c>
      <c r="CF214" s="83">
        <v>4388</v>
      </c>
      <c r="CG214" s="83">
        <v>40263</v>
      </c>
      <c r="CH214" s="83">
        <v>35901</v>
      </c>
      <c r="CI214" s="83">
        <v>32578</v>
      </c>
      <c r="CJ214" s="83">
        <v>29864</v>
      </c>
      <c r="CK214" s="83">
        <v>27905</v>
      </c>
      <c r="CL214" s="83">
        <v>26216</v>
      </c>
      <c r="CM214" s="83">
        <v>24660</v>
      </c>
      <c r="CN214" s="83">
        <v>23143</v>
      </c>
      <c r="CO214" s="83">
        <v>22335</v>
      </c>
      <c r="CP214" s="83">
        <v>21228</v>
      </c>
      <c r="CQ214" s="83">
        <v>20335</v>
      </c>
      <c r="CR214" s="83">
        <v>19698</v>
      </c>
      <c r="CS214" s="83">
        <v>18676</v>
      </c>
      <c r="CT214" s="83">
        <v>18244</v>
      </c>
      <c r="CU214" s="382"/>
    </row>
    <row r="215" spans="1:99" s="86" customFormat="1" x14ac:dyDescent="0.2">
      <c r="A215" s="375">
        <v>337</v>
      </c>
      <c r="B215" s="375">
        <v>47</v>
      </c>
      <c r="C215" s="349" t="s">
        <v>155</v>
      </c>
      <c r="D215" s="376">
        <v>11372</v>
      </c>
      <c r="E215" s="164">
        <f t="shared" si="6"/>
        <v>116032.7</v>
      </c>
      <c r="F215" s="394">
        <f t="shared" si="7"/>
        <v>109.73861205433747</v>
      </c>
      <c r="G215" s="86">
        <v>12684</v>
      </c>
      <c r="H215" s="83">
        <v>12562</v>
      </c>
      <c r="I215" s="83">
        <v>12620</v>
      </c>
      <c r="J215" s="83">
        <v>12584</v>
      </c>
      <c r="K215" s="83">
        <v>12358</v>
      </c>
      <c r="L215" s="83">
        <v>12237</v>
      </c>
      <c r="M215" s="83">
        <v>12212</v>
      </c>
      <c r="N215" s="83">
        <v>12096</v>
      </c>
      <c r="O215" s="83">
        <v>11989</v>
      </c>
      <c r="P215" s="83">
        <v>12118</v>
      </c>
      <c r="Q215" s="83">
        <v>11888</v>
      </c>
      <c r="R215" s="83">
        <v>11802</v>
      </c>
      <c r="S215" s="83">
        <v>11670</v>
      </c>
      <c r="T215" s="83">
        <v>11750</v>
      </c>
      <c r="U215" s="83">
        <v>11546</v>
      </c>
      <c r="V215" s="83">
        <v>11454</v>
      </c>
      <c r="W215" s="83">
        <v>11581</v>
      </c>
      <c r="X215" s="83">
        <v>11387</v>
      </c>
      <c r="Y215" s="83">
        <v>11382</v>
      </c>
      <c r="Z215" s="83">
        <v>11353</v>
      </c>
      <c r="AA215" s="83">
        <v>110258</v>
      </c>
      <c r="AB215" s="83">
        <v>103708</v>
      </c>
      <c r="AC215" s="83">
        <v>97746</v>
      </c>
      <c r="AD215" s="83">
        <v>91696</v>
      </c>
      <c r="AE215" s="83">
        <v>86723</v>
      </c>
      <c r="AF215" s="83">
        <v>81501</v>
      </c>
      <c r="AG215" s="83">
        <v>77161</v>
      </c>
      <c r="AH215" s="83">
        <v>72859</v>
      </c>
      <c r="AI215" s="83">
        <v>69203</v>
      </c>
      <c r="AJ215" s="83">
        <v>65056</v>
      </c>
      <c r="AK215" s="83">
        <v>61739</v>
      </c>
      <c r="AL215" s="83">
        <v>59183</v>
      </c>
      <c r="AM215" s="83">
        <v>56132</v>
      </c>
      <c r="AN215" s="83">
        <v>53017</v>
      </c>
      <c r="AO215" s="83">
        <v>51454</v>
      </c>
      <c r="AP215" s="83">
        <v>48758</v>
      </c>
      <c r="AQ215" s="83">
        <v>46945</v>
      </c>
      <c r="AR215" s="83">
        <v>44745</v>
      </c>
      <c r="AS215" s="83">
        <v>42499</v>
      </c>
      <c r="AT215" s="83">
        <v>41180</v>
      </c>
      <c r="AU215" s="83">
        <v>38989</v>
      </c>
      <c r="AV215" s="83">
        <v>37906</v>
      </c>
      <c r="AW215" s="83">
        <v>36541</v>
      </c>
      <c r="AX215" s="83">
        <v>34923</v>
      </c>
      <c r="AY215" s="83">
        <v>33451</v>
      </c>
      <c r="AZ215" s="83">
        <v>32672</v>
      </c>
      <c r="BA215" s="83">
        <v>31458</v>
      </c>
      <c r="BB215" s="83">
        <v>30399</v>
      </c>
      <c r="BC215" s="83">
        <v>29483</v>
      </c>
      <c r="BD215" s="83">
        <v>28408</v>
      </c>
      <c r="BE215" s="83">
        <v>27432</v>
      </c>
      <c r="BF215" s="83">
        <v>26797</v>
      </c>
      <c r="BG215" s="83">
        <v>25573</v>
      </c>
      <c r="BH215" s="83">
        <v>24647</v>
      </c>
      <c r="BI215" s="83">
        <v>24084</v>
      </c>
      <c r="BJ215" s="83">
        <v>23340</v>
      </c>
      <c r="BK215" s="83">
        <v>22802</v>
      </c>
      <c r="BL215" s="83">
        <v>22103</v>
      </c>
      <c r="BM215" s="83">
        <v>21382</v>
      </c>
      <c r="BN215" s="83">
        <v>21065</v>
      </c>
      <c r="BO215" s="83">
        <v>20413</v>
      </c>
      <c r="BP215" s="83">
        <v>19887</v>
      </c>
      <c r="BQ215" s="83">
        <v>19480</v>
      </c>
      <c r="BR215" s="83">
        <v>18886</v>
      </c>
      <c r="BS215" s="83">
        <v>17914</v>
      </c>
      <c r="BT215" s="83">
        <v>18049</v>
      </c>
      <c r="BU215" s="83">
        <v>17626</v>
      </c>
      <c r="BV215" s="83">
        <v>16918</v>
      </c>
      <c r="BW215" s="83">
        <v>16752</v>
      </c>
      <c r="BX215" s="83">
        <v>16487</v>
      </c>
      <c r="BY215" s="83">
        <v>15821</v>
      </c>
      <c r="BZ215" s="83">
        <v>15692</v>
      </c>
      <c r="CA215" s="83">
        <v>15233</v>
      </c>
      <c r="CB215" s="83">
        <v>14913</v>
      </c>
      <c r="CC215" s="83">
        <v>14706</v>
      </c>
      <c r="CD215" s="83">
        <v>14300</v>
      </c>
      <c r="CE215" s="83">
        <v>13949</v>
      </c>
      <c r="CF215" s="83">
        <v>13806</v>
      </c>
      <c r="CG215" s="83">
        <v>123399</v>
      </c>
      <c r="CH215" s="83">
        <v>103892</v>
      </c>
      <c r="CI215" s="83">
        <v>89399</v>
      </c>
      <c r="CJ215" s="83">
        <v>78314</v>
      </c>
      <c r="CK215" s="83">
        <v>69718</v>
      </c>
      <c r="CL215" s="83">
        <v>63179</v>
      </c>
      <c r="CM215" s="83">
        <v>56986</v>
      </c>
      <c r="CN215" s="83">
        <v>52434</v>
      </c>
      <c r="CO215" s="83">
        <v>48588</v>
      </c>
      <c r="CP215" s="83">
        <v>44941</v>
      </c>
      <c r="CQ215" s="83">
        <v>42083</v>
      </c>
      <c r="CR215" s="83">
        <v>39557</v>
      </c>
      <c r="CS215" s="83">
        <v>37108</v>
      </c>
      <c r="CT215" s="83">
        <v>34968</v>
      </c>
      <c r="CU215" s="382"/>
    </row>
    <row r="216" spans="1:99" s="86" customFormat="1" x14ac:dyDescent="0.2">
      <c r="A216" s="375">
        <v>341</v>
      </c>
      <c r="B216" s="375">
        <v>47</v>
      </c>
      <c r="C216" s="349" t="s">
        <v>156</v>
      </c>
      <c r="D216" s="376">
        <v>1516</v>
      </c>
      <c r="E216" s="164">
        <f t="shared" si="6"/>
        <v>23146.1</v>
      </c>
      <c r="F216" s="394">
        <f t="shared" si="7"/>
        <v>50.510636929446228</v>
      </c>
      <c r="G216" s="86">
        <v>2731</v>
      </c>
      <c r="H216" s="83">
        <v>2630</v>
      </c>
      <c r="I216" s="83">
        <v>2654</v>
      </c>
      <c r="J216" s="83">
        <v>2580</v>
      </c>
      <c r="K216" s="83">
        <v>2563</v>
      </c>
      <c r="L216" s="83">
        <v>2544</v>
      </c>
      <c r="M216" s="83">
        <v>2565</v>
      </c>
      <c r="N216" s="83">
        <v>2549</v>
      </c>
      <c r="O216" s="83">
        <v>2511</v>
      </c>
      <c r="P216" s="83">
        <v>2508</v>
      </c>
      <c r="Q216" s="83">
        <v>2537</v>
      </c>
      <c r="R216" s="83">
        <v>2568</v>
      </c>
      <c r="S216" s="83">
        <v>2520</v>
      </c>
      <c r="T216" s="83">
        <v>2436</v>
      </c>
      <c r="U216" s="83">
        <v>2429</v>
      </c>
      <c r="V216" s="83">
        <v>2422</v>
      </c>
      <c r="W216" s="83">
        <v>2411</v>
      </c>
      <c r="X216" s="83">
        <v>2429</v>
      </c>
      <c r="Y216" s="83">
        <v>2460</v>
      </c>
      <c r="Z216" s="83">
        <v>2467</v>
      </c>
      <c r="AA216" s="83">
        <v>23939</v>
      </c>
      <c r="AB216" s="83">
        <v>22531</v>
      </c>
      <c r="AC216" s="83">
        <v>21375</v>
      </c>
      <c r="AD216" s="83">
        <v>20275</v>
      </c>
      <c r="AE216" s="83">
        <v>19298</v>
      </c>
      <c r="AF216" s="83">
        <v>18260</v>
      </c>
      <c r="AG216" s="83">
        <v>17505</v>
      </c>
      <c r="AH216" s="83">
        <v>16612</v>
      </c>
      <c r="AI216" s="83">
        <v>15640</v>
      </c>
      <c r="AJ216" s="83">
        <v>15396</v>
      </c>
      <c r="AK216" s="83">
        <v>14554</v>
      </c>
      <c r="AL216" s="83">
        <v>14266</v>
      </c>
      <c r="AM216" s="83">
        <v>13443</v>
      </c>
      <c r="AN216" s="83">
        <v>13022</v>
      </c>
      <c r="AO216" s="83">
        <v>12351</v>
      </c>
      <c r="AP216" s="83">
        <v>11969</v>
      </c>
      <c r="AQ216" s="83">
        <v>11505</v>
      </c>
      <c r="AR216" s="83">
        <v>11177</v>
      </c>
      <c r="AS216" s="83">
        <v>10866</v>
      </c>
      <c r="AT216" s="83">
        <v>10492</v>
      </c>
      <c r="AU216" s="83">
        <v>10146</v>
      </c>
      <c r="AV216" s="83">
        <v>9915</v>
      </c>
      <c r="AW216" s="83">
        <v>9623</v>
      </c>
      <c r="AX216" s="83">
        <v>9179</v>
      </c>
      <c r="AY216" s="83">
        <v>9041</v>
      </c>
      <c r="AZ216" s="83">
        <v>8736</v>
      </c>
      <c r="BA216" s="83">
        <v>8464</v>
      </c>
      <c r="BB216" s="83">
        <v>8157</v>
      </c>
      <c r="BC216" s="83">
        <v>8020</v>
      </c>
      <c r="BD216" s="83">
        <v>7799</v>
      </c>
      <c r="BE216" s="83">
        <v>7708</v>
      </c>
      <c r="BF216" s="83">
        <v>7563</v>
      </c>
      <c r="BG216" s="83">
        <v>7352</v>
      </c>
      <c r="BH216" s="83">
        <v>7074</v>
      </c>
      <c r="BI216" s="83">
        <v>7081</v>
      </c>
      <c r="BJ216" s="83">
        <v>6800</v>
      </c>
      <c r="BK216" s="83">
        <v>6704</v>
      </c>
      <c r="BL216" s="83">
        <v>6615</v>
      </c>
      <c r="BM216" s="83">
        <v>6410</v>
      </c>
      <c r="BN216" s="83">
        <v>6237</v>
      </c>
      <c r="BO216" s="83">
        <v>6149</v>
      </c>
      <c r="BP216" s="83">
        <v>6075</v>
      </c>
      <c r="BQ216" s="83">
        <v>6036</v>
      </c>
      <c r="BR216" s="83">
        <v>5900</v>
      </c>
      <c r="BS216" s="83">
        <v>5808</v>
      </c>
      <c r="BT216" s="83">
        <v>5704</v>
      </c>
      <c r="BU216" s="83">
        <v>5530</v>
      </c>
      <c r="BV216" s="83">
        <v>5410</v>
      </c>
      <c r="BW216" s="83">
        <v>5429</v>
      </c>
      <c r="BX216" s="83">
        <v>5288</v>
      </c>
      <c r="BY216" s="83">
        <v>5301</v>
      </c>
      <c r="BZ216" s="83">
        <v>5163</v>
      </c>
      <c r="CA216" s="83">
        <v>5014</v>
      </c>
      <c r="CB216" s="83">
        <v>4987</v>
      </c>
      <c r="CC216" s="83">
        <v>4964</v>
      </c>
      <c r="CD216" s="83">
        <v>4907</v>
      </c>
      <c r="CE216" s="83">
        <v>4805</v>
      </c>
      <c r="CF216" s="83">
        <v>4825</v>
      </c>
      <c r="CG216" s="83">
        <v>44600</v>
      </c>
      <c r="CH216" s="83">
        <v>39755</v>
      </c>
      <c r="CI216" s="83">
        <v>36387</v>
      </c>
      <c r="CJ216" s="83">
        <v>33479</v>
      </c>
      <c r="CK216" s="83">
        <v>30887</v>
      </c>
      <c r="CL216" s="83">
        <v>29373</v>
      </c>
      <c r="CM216" s="83">
        <v>27688</v>
      </c>
      <c r="CN216" s="83">
        <v>26311</v>
      </c>
      <c r="CO216" s="83">
        <v>24865</v>
      </c>
      <c r="CP216" s="83">
        <v>23902</v>
      </c>
      <c r="CQ216" s="83">
        <v>23239</v>
      </c>
      <c r="CR216" s="83">
        <v>22095</v>
      </c>
      <c r="CS216" s="83">
        <v>21455</v>
      </c>
      <c r="CT216" s="83">
        <v>20763</v>
      </c>
      <c r="CU216" s="382"/>
    </row>
    <row r="217" spans="1:99" s="86" customFormat="1" x14ac:dyDescent="0.2">
      <c r="A217" s="375">
        <v>346</v>
      </c>
      <c r="B217" s="376">
        <v>47</v>
      </c>
      <c r="C217" s="349" t="s">
        <v>155</v>
      </c>
      <c r="D217" s="376">
        <v>0</v>
      </c>
      <c r="E217" s="164">
        <f t="shared" si="6"/>
        <v>351.05</v>
      </c>
      <c r="F217" s="394">
        <f t="shared" si="7"/>
        <v>9.2177123077606264</v>
      </c>
      <c r="G217" s="86">
        <v>74</v>
      </c>
      <c r="H217" s="83">
        <v>73</v>
      </c>
      <c r="I217" s="83">
        <v>81</v>
      </c>
      <c r="J217" s="83">
        <v>88</v>
      </c>
      <c r="K217" s="83">
        <v>90</v>
      </c>
      <c r="L217" s="83">
        <v>83</v>
      </c>
      <c r="M217" s="83">
        <v>74</v>
      </c>
      <c r="N217" s="83">
        <v>91</v>
      </c>
      <c r="O217" s="83">
        <v>82</v>
      </c>
      <c r="P217" s="83">
        <v>73</v>
      </c>
      <c r="Q217" s="83">
        <v>83</v>
      </c>
      <c r="R217" s="83">
        <v>78</v>
      </c>
      <c r="S217" s="83">
        <v>81</v>
      </c>
      <c r="T217" s="83">
        <v>95</v>
      </c>
      <c r="U217" s="83">
        <v>81</v>
      </c>
      <c r="V217" s="83">
        <v>98</v>
      </c>
      <c r="W217" s="83">
        <v>80</v>
      </c>
      <c r="X217" s="83">
        <v>83</v>
      </c>
      <c r="Y217" s="83">
        <v>74</v>
      </c>
      <c r="Z217" s="83">
        <v>89</v>
      </c>
      <c r="AA217" s="83">
        <v>883</v>
      </c>
      <c r="AB217" s="83">
        <v>860</v>
      </c>
      <c r="AC217" s="83">
        <v>846</v>
      </c>
      <c r="AD217" s="83">
        <v>854</v>
      </c>
      <c r="AE217" s="83">
        <v>823</v>
      </c>
      <c r="AF217" s="83">
        <v>789</v>
      </c>
      <c r="AG217" s="83">
        <v>826</v>
      </c>
      <c r="AH217" s="83">
        <v>777</v>
      </c>
      <c r="AI217" s="83">
        <v>771</v>
      </c>
      <c r="AJ217" s="83">
        <v>778</v>
      </c>
      <c r="AK217" s="83">
        <v>733</v>
      </c>
      <c r="AL217" s="83">
        <v>703</v>
      </c>
      <c r="AM217" s="83">
        <v>749</v>
      </c>
      <c r="AN217" s="83">
        <v>727</v>
      </c>
      <c r="AO217" s="83">
        <v>738</v>
      </c>
      <c r="AP217" s="83">
        <v>708</v>
      </c>
      <c r="AQ217" s="83">
        <v>735</v>
      </c>
      <c r="AR217" s="83">
        <v>688</v>
      </c>
      <c r="AS217" s="83">
        <v>722</v>
      </c>
      <c r="AT217" s="83">
        <v>700</v>
      </c>
      <c r="AU217" s="83">
        <v>661</v>
      </c>
      <c r="AV217" s="83">
        <v>675</v>
      </c>
      <c r="AW217" s="83">
        <v>642</v>
      </c>
      <c r="AX217" s="83">
        <v>644</v>
      </c>
      <c r="AY217" s="83">
        <v>672</v>
      </c>
      <c r="AZ217" s="83">
        <v>633</v>
      </c>
      <c r="BA217" s="83">
        <v>652</v>
      </c>
      <c r="BB217" s="83">
        <v>650</v>
      </c>
      <c r="BC217" s="83">
        <v>624</v>
      </c>
      <c r="BD217" s="83">
        <v>661</v>
      </c>
      <c r="BE217" s="83">
        <v>645</v>
      </c>
      <c r="BF217" s="83">
        <v>643</v>
      </c>
      <c r="BG217" s="83">
        <v>633</v>
      </c>
      <c r="BH217" s="83">
        <v>639</v>
      </c>
      <c r="BI217" s="83">
        <v>613</v>
      </c>
      <c r="BJ217" s="83">
        <v>601</v>
      </c>
      <c r="BK217" s="83">
        <v>626</v>
      </c>
      <c r="BL217" s="83">
        <v>631</v>
      </c>
      <c r="BM217" s="83">
        <v>598</v>
      </c>
      <c r="BN217" s="83">
        <v>623</v>
      </c>
      <c r="BO217" s="83">
        <v>618</v>
      </c>
      <c r="BP217" s="83">
        <v>598</v>
      </c>
      <c r="BQ217" s="83">
        <v>621</v>
      </c>
      <c r="BR217" s="83">
        <v>580</v>
      </c>
      <c r="BS217" s="83">
        <v>615</v>
      </c>
      <c r="BT217" s="83">
        <v>588</v>
      </c>
      <c r="BU217" s="83">
        <v>597</v>
      </c>
      <c r="BV217" s="83">
        <v>589</v>
      </c>
      <c r="BW217" s="83">
        <v>616</v>
      </c>
      <c r="BX217" s="83">
        <v>609</v>
      </c>
      <c r="BY217" s="83">
        <v>596</v>
      </c>
      <c r="BZ217" s="83">
        <v>596</v>
      </c>
      <c r="CA217" s="83">
        <v>606</v>
      </c>
      <c r="CB217" s="83">
        <v>570</v>
      </c>
      <c r="CC217" s="83">
        <v>627</v>
      </c>
      <c r="CD217" s="83">
        <v>586</v>
      </c>
      <c r="CE217" s="83">
        <v>556</v>
      </c>
      <c r="CF217" s="83">
        <v>587</v>
      </c>
      <c r="CG217" s="83">
        <v>5584</v>
      </c>
      <c r="CH217" s="83">
        <v>5498</v>
      </c>
      <c r="CI217" s="83">
        <v>5406</v>
      </c>
      <c r="CJ217" s="83">
        <v>5374</v>
      </c>
      <c r="CK217" s="83">
        <v>5187</v>
      </c>
      <c r="CL217" s="83">
        <v>5214</v>
      </c>
      <c r="CM217" s="83">
        <v>5104</v>
      </c>
      <c r="CN217" s="83">
        <v>5180</v>
      </c>
      <c r="CO217" s="83">
        <v>4954</v>
      </c>
      <c r="CP217" s="83">
        <v>5005</v>
      </c>
      <c r="CQ217" s="83">
        <v>4952</v>
      </c>
      <c r="CR217" s="83">
        <v>4912</v>
      </c>
      <c r="CS217" s="83">
        <v>4735</v>
      </c>
      <c r="CT217" s="83">
        <v>4754</v>
      </c>
      <c r="CU217" s="382"/>
    </row>
    <row r="218" spans="1:99" s="86" customFormat="1" x14ac:dyDescent="0.2">
      <c r="A218" s="375">
        <v>350</v>
      </c>
      <c r="B218" s="376">
        <v>47</v>
      </c>
      <c r="C218" s="349" t="s">
        <v>156</v>
      </c>
      <c r="D218" s="376">
        <v>1516</v>
      </c>
      <c r="E218" s="164">
        <f t="shared" si="6"/>
        <v>20752.2</v>
      </c>
      <c r="F218" s="394">
        <f t="shared" si="7"/>
        <v>46.828402854375653</v>
      </c>
      <c r="G218" s="86">
        <v>2333</v>
      </c>
      <c r="H218" s="83">
        <v>2274</v>
      </c>
      <c r="I218" s="83">
        <v>2220</v>
      </c>
      <c r="J218" s="83">
        <v>2284</v>
      </c>
      <c r="K218" s="83">
        <v>2235</v>
      </c>
      <c r="L218" s="83">
        <v>2275</v>
      </c>
      <c r="M218" s="83">
        <v>2208</v>
      </c>
      <c r="N218" s="83">
        <v>2176</v>
      </c>
      <c r="O218" s="83">
        <v>2209</v>
      </c>
      <c r="P218" s="83">
        <v>2237</v>
      </c>
      <c r="Q218" s="83">
        <v>2149</v>
      </c>
      <c r="R218" s="83">
        <v>2117</v>
      </c>
      <c r="S218" s="83">
        <v>2094</v>
      </c>
      <c r="T218" s="83">
        <v>2132</v>
      </c>
      <c r="U218" s="83">
        <v>2164</v>
      </c>
      <c r="V218" s="83">
        <v>2110</v>
      </c>
      <c r="W218" s="83">
        <v>2078</v>
      </c>
      <c r="X218" s="83">
        <v>2058</v>
      </c>
      <c r="Y218" s="83">
        <v>2128</v>
      </c>
      <c r="Z218" s="83">
        <v>2075</v>
      </c>
      <c r="AA218" s="83">
        <v>20350</v>
      </c>
      <c r="AB218" s="83">
        <v>19130</v>
      </c>
      <c r="AC218" s="83">
        <v>18127</v>
      </c>
      <c r="AD218" s="83">
        <v>17094</v>
      </c>
      <c r="AE218" s="83">
        <v>15940</v>
      </c>
      <c r="AF218" s="83">
        <v>15172</v>
      </c>
      <c r="AG218" s="83">
        <v>14417</v>
      </c>
      <c r="AH218" s="83">
        <v>13574</v>
      </c>
      <c r="AI218" s="83">
        <v>13045</v>
      </c>
      <c r="AJ218" s="83">
        <v>12142</v>
      </c>
      <c r="AK218" s="83">
        <v>11773</v>
      </c>
      <c r="AL218" s="83">
        <v>11128</v>
      </c>
      <c r="AM218" s="83">
        <v>10534</v>
      </c>
      <c r="AN218" s="83">
        <v>10135</v>
      </c>
      <c r="AO218" s="83">
        <v>9751</v>
      </c>
      <c r="AP218" s="83">
        <v>9290</v>
      </c>
      <c r="AQ218" s="83">
        <v>8976</v>
      </c>
      <c r="AR218" s="83">
        <v>8660</v>
      </c>
      <c r="AS218" s="83">
        <v>8286</v>
      </c>
      <c r="AT218" s="83">
        <v>7967</v>
      </c>
      <c r="AU218" s="83">
        <v>7689</v>
      </c>
      <c r="AV218" s="83">
        <v>7371</v>
      </c>
      <c r="AW218" s="83">
        <v>7001</v>
      </c>
      <c r="AX218" s="83">
        <v>6840</v>
      </c>
      <c r="AY218" s="83">
        <v>6540</v>
      </c>
      <c r="AZ218" s="83">
        <v>6346</v>
      </c>
      <c r="BA218" s="83">
        <v>6207</v>
      </c>
      <c r="BB218" s="83">
        <v>5919</v>
      </c>
      <c r="BC218" s="83">
        <v>5859</v>
      </c>
      <c r="BD218" s="83">
        <v>5728</v>
      </c>
      <c r="BE218" s="83">
        <v>5487</v>
      </c>
      <c r="BF218" s="83">
        <v>5291</v>
      </c>
      <c r="BG218" s="83">
        <v>5216</v>
      </c>
      <c r="BH218" s="83">
        <v>5076</v>
      </c>
      <c r="BI218" s="83">
        <v>4890</v>
      </c>
      <c r="BJ218" s="83">
        <v>4800</v>
      </c>
      <c r="BK218" s="83">
        <v>4676</v>
      </c>
      <c r="BL218" s="83">
        <v>4525</v>
      </c>
      <c r="BM218" s="83">
        <v>4430</v>
      </c>
      <c r="BN218" s="83">
        <v>4343</v>
      </c>
      <c r="BO218" s="83">
        <v>4135</v>
      </c>
      <c r="BP218" s="83">
        <v>4084</v>
      </c>
      <c r="BQ218" s="83">
        <v>3967</v>
      </c>
      <c r="BR218" s="83">
        <v>3935</v>
      </c>
      <c r="BS218" s="83">
        <v>3829</v>
      </c>
      <c r="BT218" s="83">
        <v>3695</v>
      </c>
      <c r="BU218" s="83">
        <v>3646</v>
      </c>
      <c r="BV218" s="83">
        <v>3531</v>
      </c>
      <c r="BW218" s="83">
        <v>3466</v>
      </c>
      <c r="BX218" s="83">
        <v>3422</v>
      </c>
      <c r="BY218" s="83">
        <v>3363</v>
      </c>
      <c r="BZ218" s="83">
        <v>3349</v>
      </c>
      <c r="CA218" s="83">
        <v>3209</v>
      </c>
      <c r="CB218" s="83">
        <v>3197</v>
      </c>
      <c r="CC218" s="83">
        <v>3084</v>
      </c>
      <c r="CD218" s="83">
        <v>3092</v>
      </c>
      <c r="CE218" s="83">
        <v>2998</v>
      </c>
      <c r="CF218" s="83">
        <v>2877</v>
      </c>
      <c r="CG218" s="83">
        <v>26977</v>
      </c>
      <c r="CH218" s="83">
        <v>23659</v>
      </c>
      <c r="CI218" s="83">
        <v>20579</v>
      </c>
      <c r="CJ218" s="83">
        <v>18537</v>
      </c>
      <c r="CK218" s="83">
        <v>17004</v>
      </c>
      <c r="CL218" s="83">
        <v>15644</v>
      </c>
      <c r="CM218" s="83">
        <v>14295</v>
      </c>
      <c r="CN218" s="83">
        <v>13554</v>
      </c>
      <c r="CO218" s="83">
        <v>12695</v>
      </c>
      <c r="CP218" s="83">
        <v>11971</v>
      </c>
      <c r="CQ218" s="83">
        <v>11467</v>
      </c>
      <c r="CR218" s="83">
        <v>10952</v>
      </c>
      <c r="CS218" s="83">
        <v>10351</v>
      </c>
      <c r="CT218" s="83">
        <v>10165</v>
      </c>
      <c r="CU218" s="382"/>
    </row>
    <row r="219" spans="1:99" s="86" customFormat="1" x14ac:dyDescent="0.2">
      <c r="A219" s="375">
        <v>355</v>
      </c>
      <c r="B219" s="375">
        <v>47</v>
      </c>
      <c r="C219" s="349" t="s">
        <v>155</v>
      </c>
      <c r="D219" s="376">
        <v>3791</v>
      </c>
      <c r="E219" s="164">
        <f t="shared" si="6"/>
        <v>46345.1</v>
      </c>
      <c r="F219" s="394">
        <f t="shared" si="7"/>
        <v>69.533047634680102</v>
      </c>
      <c r="G219" s="86">
        <v>5039</v>
      </c>
      <c r="H219" s="83">
        <v>5002</v>
      </c>
      <c r="I219" s="83">
        <v>4961</v>
      </c>
      <c r="J219" s="83">
        <v>4914</v>
      </c>
      <c r="K219" s="83">
        <v>4951</v>
      </c>
      <c r="L219" s="83">
        <v>4889</v>
      </c>
      <c r="M219" s="83">
        <v>4889</v>
      </c>
      <c r="N219" s="83">
        <v>5118</v>
      </c>
      <c r="O219" s="83">
        <v>4790</v>
      </c>
      <c r="P219" s="83">
        <v>4836</v>
      </c>
      <c r="Q219" s="83">
        <v>4821</v>
      </c>
      <c r="R219" s="83">
        <v>4730</v>
      </c>
      <c r="S219" s="83">
        <v>4684</v>
      </c>
      <c r="T219" s="83">
        <v>4650</v>
      </c>
      <c r="U219" s="83">
        <v>4698</v>
      </c>
      <c r="V219" s="83">
        <v>4699</v>
      </c>
      <c r="W219" s="83">
        <v>4639</v>
      </c>
      <c r="X219" s="83">
        <v>4686</v>
      </c>
      <c r="Y219" s="83">
        <v>4601</v>
      </c>
      <c r="Z219" s="83">
        <v>4485</v>
      </c>
      <c r="AA219" s="83">
        <v>44375</v>
      </c>
      <c r="AB219" s="83">
        <v>41714</v>
      </c>
      <c r="AC219" s="83">
        <v>39555</v>
      </c>
      <c r="AD219" s="83">
        <v>37306</v>
      </c>
      <c r="AE219" s="83">
        <v>35268</v>
      </c>
      <c r="AF219" s="83">
        <v>33272</v>
      </c>
      <c r="AG219" s="83">
        <v>31534</v>
      </c>
      <c r="AH219" s="83">
        <v>29984</v>
      </c>
      <c r="AI219" s="83">
        <v>28335</v>
      </c>
      <c r="AJ219" s="83">
        <v>26772</v>
      </c>
      <c r="AK219" s="83">
        <v>25497</v>
      </c>
      <c r="AL219" s="83">
        <v>23942</v>
      </c>
      <c r="AM219" s="83">
        <v>22798</v>
      </c>
      <c r="AN219" s="83">
        <v>21909</v>
      </c>
      <c r="AO219" s="83">
        <v>20905</v>
      </c>
      <c r="AP219" s="83">
        <v>20112</v>
      </c>
      <c r="AQ219" s="83">
        <v>19104</v>
      </c>
      <c r="AR219" s="83">
        <v>18407</v>
      </c>
      <c r="AS219" s="83">
        <v>17339</v>
      </c>
      <c r="AT219" s="83">
        <v>16850</v>
      </c>
      <c r="AU219" s="83">
        <v>16320</v>
      </c>
      <c r="AV219" s="83">
        <v>15773</v>
      </c>
      <c r="AW219" s="83">
        <v>15147</v>
      </c>
      <c r="AX219" s="83">
        <v>14570</v>
      </c>
      <c r="AY219" s="83">
        <v>14006</v>
      </c>
      <c r="AZ219" s="83">
        <v>13522</v>
      </c>
      <c r="BA219" s="83">
        <v>13078</v>
      </c>
      <c r="BB219" s="83">
        <v>12593</v>
      </c>
      <c r="BC219" s="83">
        <v>12119</v>
      </c>
      <c r="BD219" s="83">
        <v>11859</v>
      </c>
      <c r="BE219" s="83">
        <v>11552</v>
      </c>
      <c r="BF219" s="83">
        <v>11123</v>
      </c>
      <c r="BG219" s="83">
        <v>10772</v>
      </c>
      <c r="BH219" s="83">
        <v>10385</v>
      </c>
      <c r="BI219" s="83">
        <v>10268</v>
      </c>
      <c r="BJ219" s="83">
        <v>9886</v>
      </c>
      <c r="BK219" s="83">
        <v>9556</v>
      </c>
      <c r="BL219" s="83">
        <v>9221</v>
      </c>
      <c r="BM219" s="83">
        <v>9174</v>
      </c>
      <c r="BN219" s="83">
        <v>8838</v>
      </c>
      <c r="BO219" s="83">
        <v>8619</v>
      </c>
      <c r="BP219" s="83">
        <v>8402</v>
      </c>
      <c r="BQ219" s="83">
        <v>8159</v>
      </c>
      <c r="BR219" s="83">
        <v>7908</v>
      </c>
      <c r="BS219" s="83">
        <v>7749</v>
      </c>
      <c r="BT219" s="83">
        <v>7597</v>
      </c>
      <c r="BU219" s="83">
        <v>7408</v>
      </c>
      <c r="BV219" s="83">
        <v>7289</v>
      </c>
      <c r="BW219" s="83">
        <v>7116</v>
      </c>
      <c r="BX219" s="83">
        <v>6959</v>
      </c>
      <c r="BY219" s="83">
        <v>6810</v>
      </c>
      <c r="BZ219" s="83">
        <v>6709</v>
      </c>
      <c r="CA219" s="83">
        <v>6529</v>
      </c>
      <c r="CB219" s="83">
        <v>6431</v>
      </c>
      <c r="CC219" s="83">
        <v>6204</v>
      </c>
      <c r="CD219" s="83">
        <v>6087</v>
      </c>
      <c r="CE219" s="83">
        <v>6001</v>
      </c>
      <c r="CF219" s="83">
        <v>5823</v>
      </c>
      <c r="CG219" s="83">
        <v>52922</v>
      </c>
      <c r="CH219" s="83">
        <v>44857</v>
      </c>
      <c r="CI219" s="83">
        <v>39280</v>
      </c>
      <c r="CJ219" s="83">
        <v>34580</v>
      </c>
      <c r="CK219" s="83">
        <v>31005</v>
      </c>
      <c r="CL219" s="83">
        <v>27996</v>
      </c>
      <c r="CM219" s="83">
        <v>25902</v>
      </c>
      <c r="CN219" s="83">
        <v>23811</v>
      </c>
      <c r="CO219" s="83">
        <v>22062</v>
      </c>
      <c r="CP219" s="83">
        <v>20430</v>
      </c>
      <c r="CQ219" s="83">
        <v>19406</v>
      </c>
      <c r="CR219" s="83">
        <v>18366</v>
      </c>
      <c r="CS219" s="83">
        <v>17249</v>
      </c>
      <c r="CT219" s="83">
        <v>16669</v>
      </c>
      <c r="CU219" s="382"/>
    </row>
    <row r="220" spans="1:99" s="86" customFormat="1" x14ac:dyDescent="0.2">
      <c r="A220" s="375">
        <v>359</v>
      </c>
      <c r="B220" s="375">
        <v>47</v>
      </c>
      <c r="C220" s="349" t="s">
        <v>156</v>
      </c>
      <c r="D220" s="376">
        <v>1516</v>
      </c>
      <c r="E220" s="381">
        <f t="shared" si="6"/>
        <v>21177.85</v>
      </c>
      <c r="F220" s="395">
        <f t="shared" si="7"/>
        <v>47.7205875120992</v>
      </c>
      <c r="G220" s="86">
        <v>2417</v>
      </c>
      <c r="H220" s="83">
        <v>2385</v>
      </c>
      <c r="I220" s="83">
        <v>2363</v>
      </c>
      <c r="J220" s="83">
        <v>2348</v>
      </c>
      <c r="K220" s="83">
        <v>2334</v>
      </c>
      <c r="L220" s="83">
        <v>2270</v>
      </c>
      <c r="M220" s="83">
        <v>2343</v>
      </c>
      <c r="N220" s="83">
        <v>2238</v>
      </c>
      <c r="O220" s="83">
        <v>2318</v>
      </c>
      <c r="P220" s="83">
        <v>2238</v>
      </c>
      <c r="Q220" s="83">
        <v>2241</v>
      </c>
      <c r="R220" s="83">
        <v>2297</v>
      </c>
      <c r="S220" s="83">
        <v>2207</v>
      </c>
      <c r="T220" s="83">
        <v>2242</v>
      </c>
      <c r="U220" s="83">
        <v>2155</v>
      </c>
      <c r="V220" s="83">
        <v>2156</v>
      </c>
      <c r="W220" s="83">
        <v>2167</v>
      </c>
      <c r="X220" s="83">
        <v>2151</v>
      </c>
      <c r="Y220" s="83">
        <v>2165</v>
      </c>
      <c r="Z220" s="83">
        <v>2110</v>
      </c>
      <c r="AA220" s="83">
        <v>20856</v>
      </c>
      <c r="AB220" s="83">
        <v>19973</v>
      </c>
      <c r="AC220" s="83">
        <v>18984</v>
      </c>
      <c r="AD220" s="83">
        <v>17856</v>
      </c>
      <c r="AE220" s="83">
        <v>16854</v>
      </c>
      <c r="AF220" s="83">
        <v>16094</v>
      </c>
      <c r="AG220" s="83">
        <v>15469</v>
      </c>
      <c r="AH220" s="83">
        <v>14549</v>
      </c>
      <c r="AI220" s="83">
        <v>13942</v>
      </c>
      <c r="AJ220" s="83">
        <v>13084</v>
      </c>
      <c r="AK220" s="83">
        <v>12738</v>
      </c>
      <c r="AL220" s="83">
        <v>12046</v>
      </c>
      <c r="AM220" s="83">
        <v>11379</v>
      </c>
      <c r="AN220" s="83">
        <v>11334</v>
      </c>
      <c r="AO220" s="83">
        <v>10575</v>
      </c>
      <c r="AP220" s="83">
        <v>10028</v>
      </c>
      <c r="AQ220" s="83">
        <v>9708</v>
      </c>
      <c r="AR220" s="83">
        <v>9365</v>
      </c>
      <c r="AS220" s="83">
        <v>8949</v>
      </c>
      <c r="AT220" s="83">
        <v>8591</v>
      </c>
      <c r="AU220" s="83">
        <v>8413</v>
      </c>
      <c r="AV220" s="83">
        <v>8066</v>
      </c>
      <c r="AW220" s="83">
        <v>7815</v>
      </c>
      <c r="AX220" s="83">
        <v>7681</v>
      </c>
      <c r="AY220" s="83">
        <v>7487</v>
      </c>
      <c r="AZ220" s="83">
        <v>7130</v>
      </c>
      <c r="BA220" s="83">
        <v>6952</v>
      </c>
      <c r="BB220" s="83">
        <v>6712</v>
      </c>
      <c r="BC220" s="83">
        <v>6473</v>
      </c>
      <c r="BD220" s="83">
        <v>6455</v>
      </c>
      <c r="BE220" s="83">
        <v>6176</v>
      </c>
      <c r="BF220" s="83">
        <v>5988</v>
      </c>
      <c r="BG220" s="83">
        <v>5786</v>
      </c>
      <c r="BH220" s="83">
        <v>5711</v>
      </c>
      <c r="BI220" s="83">
        <v>5513</v>
      </c>
      <c r="BJ220" s="83">
        <v>5453</v>
      </c>
      <c r="BK220" s="83">
        <v>5202</v>
      </c>
      <c r="BL220" s="83">
        <v>5146</v>
      </c>
      <c r="BM220" s="83">
        <v>5076</v>
      </c>
      <c r="BN220" s="83">
        <v>4903</v>
      </c>
      <c r="BO220" s="83">
        <v>4798</v>
      </c>
      <c r="BP220" s="83">
        <v>4710</v>
      </c>
      <c r="BQ220" s="83">
        <v>4634</v>
      </c>
      <c r="BR220" s="83">
        <v>4602</v>
      </c>
      <c r="BS220" s="83">
        <v>4422</v>
      </c>
      <c r="BT220" s="83">
        <v>4342</v>
      </c>
      <c r="BU220" s="83">
        <v>4337</v>
      </c>
      <c r="BV220" s="83">
        <v>4258</v>
      </c>
      <c r="BW220" s="83">
        <v>4098</v>
      </c>
      <c r="BX220" s="83">
        <v>4092</v>
      </c>
      <c r="BY220" s="83">
        <v>4037</v>
      </c>
      <c r="BZ220" s="83">
        <v>3948</v>
      </c>
      <c r="CA220" s="83">
        <v>3953</v>
      </c>
      <c r="CB220" s="83">
        <v>3804</v>
      </c>
      <c r="CC220" s="83">
        <v>3696</v>
      </c>
      <c r="CD220" s="83">
        <v>3611</v>
      </c>
      <c r="CE220" s="83">
        <v>3687</v>
      </c>
      <c r="CF220" s="83">
        <v>3565</v>
      </c>
      <c r="CG220" s="83">
        <v>32888</v>
      </c>
      <c r="CH220" s="83">
        <v>28793</v>
      </c>
      <c r="CI220" s="83">
        <v>25928</v>
      </c>
      <c r="CJ220" s="83">
        <v>23747</v>
      </c>
      <c r="CK220" s="83">
        <v>21831</v>
      </c>
      <c r="CL220" s="83">
        <v>20143</v>
      </c>
      <c r="CM220" s="83">
        <v>18995</v>
      </c>
      <c r="CN220" s="83">
        <v>17867</v>
      </c>
      <c r="CO220" s="83">
        <v>16922</v>
      </c>
      <c r="CP220" s="83">
        <v>16226</v>
      </c>
      <c r="CQ220" s="83">
        <v>15396</v>
      </c>
      <c r="CR220" s="83">
        <v>14857</v>
      </c>
      <c r="CS220" s="83">
        <v>14247</v>
      </c>
      <c r="CT220" s="83">
        <v>13646</v>
      </c>
      <c r="CU220" s="382"/>
    </row>
    <row r="221" spans="1:99" s="86" customFormat="1" x14ac:dyDescent="0.2">
      <c r="A221" s="377">
        <v>147</v>
      </c>
      <c r="B221" s="377">
        <v>48</v>
      </c>
      <c r="C221" s="347" t="s">
        <v>155</v>
      </c>
      <c r="D221" s="377">
        <v>0</v>
      </c>
      <c r="E221" s="164">
        <f t="shared" si="6"/>
        <v>2246.5</v>
      </c>
      <c r="F221" s="394">
        <f t="shared" si="7"/>
        <v>16.263345470335079</v>
      </c>
      <c r="G221" s="85">
        <v>272</v>
      </c>
      <c r="H221" s="85">
        <v>281</v>
      </c>
      <c r="I221" s="85">
        <v>247</v>
      </c>
      <c r="J221" s="85">
        <v>281</v>
      </c>
      <c r="K221" s="85">
        <v>277</v>
      </c>
      <c r="L221" s="85">
        <v>276</v>
      </c>
      <c r="M221" s="85">
        <v>270</v>
      </c>
      <c r="N221" s="85">
        <v>240</v>
      </c>
      <c r="O221" s="85">
        <v>253</v>
      </c>
      <c r="P221" s="85">
        <v>270</v>
      </c>
      <c r="Q221" s="85">
        <v>259</v>
      </c>
      <c r="R221" s="85">
        <v>275</v>
      </c>
      <c r="S221" s="85">
        <v>274</v>
      </c>
      <c r="T221" s="85">
        <v>270</v>
      </c>
      <c r="U221" s="85">
        <v>256</v>
      </c>
      <c r="V221" s="85">
        <v>258</v>
      </c>
      <c r="W221" s="85">
        <v>248</v>
      </c>
      <c r="X221" s="85">
        <v>232</v>
      </c>
      <c r="Y221" s="85">
        <v>241</v>
      </c>
      <c r="Z221" s="85">
        <v>264</v>
      </c>
      <c r="AA221" s="85">
        <v>2432</v>
      </c>
      <c r="AB221" s="85">
        <v>2282</v>
      </c>
      <c r="AC221" s="85">
        <v>2199</v>
      </c>
      <c r="AD221" s="85">
        <v>2119</v>
      </c>
      <c r="AE221" s="85">
        <v>1925</v>
      </c>
      <c r="AF221" s="85">
        <v>1743</v>
      </c>
      <c r="AG221" s="85">
        <v>1791</v>
      </c>
      <c r="AH221" s="85">
        <v>1750</v>
      </c>
      <c r="AI221" s="85">
        <v>1607</v>
      </c>
      <c r="AJ221" s="85">
        <v>1532</v>
      </c>
      <c r="AK221" s="85">
        <v>1442</v>
      </c>
      <c r="AL221" s="85">
        <v>1424</v>
      </c>
      <c r="AM221" s="85">
        <v>1405</v>
      </c>
      <c r="AN221" s="85">
        <v>1327</v>
      </c>
      <c r="AO221" s="85">
        <v>1302</v>
      </c>
      <c r="AP221" s="85">
        <v>1249</v>
      </c>
      <c r="AQ221" s="85">
        <v>1211</v>
      </c>
      <c r="AR221" s="85">
        <v>1173</v>
      </c>
      <c r="AS221" s="85">
        <v>1103</v>
      </c>
      <c r="AT221" s="85">
        <v>1096</v>
      </c>
      <c r="AU221" s="85">
        <v>1047</v>
      </c>
      <c r="AV221" s="85">
        <v>1039</v>
      </c>
      <c r="AW221" s="85">
        <v>995</v>
      </c>
      <c r="AX221" s="85">
        <v>944</v>
      </c>
      <c r="AY221" s="85">
        <v>1000</v>
      </c>
      <c r="AZ221" s="85">
        <v>968</v>
      </c>
      <c r="BA221" s="85">
        <v>901</v>
      </c>
      <c r="BB221" s="85">
        <v>935</v>
      </c>
      <c r="BC221" s="85">
        <v>900</v>
      </c>
      <c r="BD221" s="85">
        <v>903</v>
      </c>
      <c r="BE221" s="85">
        <v>845</v>
      </c>
      <c r="BF221" s="85">
        <v>824</v>
      </c>
      <c r="BG221" s="85">
        <v>867</v>
      </c>
      <c r="BH221" s="85">
        <v>789</v>
      </c>
      <c r="BI221" s="85">
        <v>768</v>
      </c>
      <c r="BJ221" s="85">
        <v>787</v>
      </c>
      <c r="BK221" s="85">
        <v>755</v>
      </c>
      <c r="BL221" s="85">
        <v>805</v>
      </c>
      <c r="BM221" s="85">
        <v>745</v>
      </c>
      <c r="BN221" s="85">
        <v>758</v>
      </c>
      <c r="BO221" s="85">
        <v>727</v>
      </c>
      <c r="BP221" s="85">
        <v>705</v>
      </c>
      <c r="BQ221" s="85">
        <v>669</v>
      </c>
      <c r="BR221" s="85">
        <v>671</v>
      </c>
      <c r="BS221" s="85">
        <v>689</v>
      </c>
      <c r="BT221" s="85">
        <v>688</v>
      </c>
      <c r="BU221" s="85">
        <v>689</v>
      </c>
      <c r="BV221" s="85">
        <v>658</v>
      </c>
      <c r="BW221" s="85">
        <v>651</v>
      </c>
      <c r="BX221" s="85">
        <v>682</v>
      </c>
      <c r="BY221" s="85">
        <v>639</v>
      </c>
      <c r="BZ221" s="85">
        <v>634</v>
      </c>
      <c r="CA221" s="85">
        <v>624</v>
      </c>
      <c r="CB221" s="85">
        <v>584</v>
      </c>
      <c r="CC221" s="85">
        <v>609</v>
      </c>
      <c r="CD221" s="85">
        <v>631</v>
      </c>
      <c r="CE221" s="85">
        <v>621</v>
      </c>
      <c r="CF221" s="85">
        <v>608</v>
      </c>
      <c r="CG221" s="85">
        <v>5770</v>
      </c>
      <c r="CH221" s="85">
        <v>5352</v>
      </c>
      <c r="CI221" s="85">
        <v>4987</v>
      </c>
      <c r="CJ221" s="85">
        <v>4856</v>
      </c>
      <c r="CK221" s="85">
        <v>4667</v>
      </c>
      <c r="CL221" s="85">
        <v>4446</v>
      </c>
      <c r="CM221" s="85">
        <v>4337</v>
      </c>
      <c r="CN221" s="85">
        <v>4172</v>
      </c>
      <c r="CO221" s="85">
        <v>4084</v>
      </c>
      <c r="CP221" s="85">
        <v>4029</v>
      </c>
      <c r="CQ221" s="85">
        <v>3883</v>
      </c>
      <c r="CR221" s="85">
        <v>3839</v>
      </c>
      <c r="CS221" s="85">
        <v>3782</v>
      </c>
      <c r="CT221" s="85">
        <v>3728</v>
      </c>
      <c r="CU221" s="382"/>
    </row>
    <row r="222" spans="1:99" s="86" customFormat="1" x14ac:dyDescent="0.2">
      <c r="A222" s="375">
        <v>151</v>
      </c>
      <c r="B222" s="375">
        <v>48</v>
      </c>
      <c r="C222" s="349" t="s">
        <v>156</v>
      </c>
      <c r="D222" s="375">
        <v>1515</v>
      </c>
      <c r="E222" s="164">
        <f t="shared" si="6"/>
        <v>2347.25</v>
      </c>
      <c r="F222" s="394">
        <f t="shared" si="7"/>
        <v>16.370474784242479</v>
      </c>
      <c r="G222" s="86">
        <v>273</v>
      </c>
      <c r="H222" s="86">
        <v>274</v>
      </c>
      <c r="I222" s="86">
        <v>265</v>
      </c>
      <c r="J222" s="86">
        <v>289</v>
      </c>
      <c r="K222" s="86">
        <v>297</v>
      </c>
      <c r="L222" s="86">
        <v>293</v>
      </c>
      <c r="M222" s="86">
        <v>263</v>
      </c>
      <c r="N222" s="86">
        <v>275</v>
      </c>
      <c r="O222" s="86">
        <v>270</v>
      </c>
      <c r="P222" s="86">
        <v>248</v>
      </c>
      <c r="Q222" s="86">
        <v>278</v>
      </c>
      <c r="R222" s="86">
        <v>264</v>
      </c>
      <c r="S222" s="86">
        <v>281</v>
      </c>
      <c r="T222" s="86">
        <v>261</v>
      </c>
      <c r="U222" s="86">
        <v>256</v>
      </c>
      <c r="V222" s="86">
        <v>254</v>
      </c>
      <c r="W222" s="86">
        <v>236</v>
      </c>
      <c r="X222" s="86">
        <v>260</v>
      </c>
      <c r="Y222" s="86">
        <v>240</v>
      </c>
      <c r="Z222" s="86">
        <v>251</v>
      </c>
      <c r="AA222" s="86">
        <v>2379</v>
      </c>
      <c r="AB222" s="86">
        <v>2236</v>
      </c>
      <c r="AC222" s="86">
        <v>2030</v>
      </c>
      <c r="AD222" s="86">
        <v>1964</v>
      </c>
      <c r="AE222" s="86">
        <v>1872</v>
      </c>
      <c r="AF222" s="86">
        <v>1762</v>
      </c>
      <c r="AG222" s="86">
        <v>1651</v>
      </c>
      <c r="AH222" s="86">
        <v>1548</v>
      </c>
      <c r="AI222" s="86">
        <v>1462</v>
      </c>
      <c r="AJ222" s="86">
        <v>1405</v>
      </c>
      <c r="AK222" s="86">
        <v>1374</v>
      </c>
      <c r="AL222" s="86">
        <v>1278</v>
      </c>
      <c r="AM222" s="86">
        <v>1262</v>
      </c>
      <c r="AN222" s="86">
        <v>1207</v>
      </c>
      <c r="AO222" s="86">
        <v>1193</v>
      </c>
      <c r="AP222" s="86">
        <v>1126</v>
      </c>
      <c r="AQ222" s="86">
        <v>1099</v>
      </c>
      <c r="AR222" s="86">
        <v>1007</v>
      </c>
      <c r="AS222" s="86">
        <v>1025</v>
      </c>
      <c r="AT222" s="86">
        <v>963</v>
      </c>
      <c r="AU222" s="86">
        <v>933</v>
      </c>
      <c r="AV222" s="86">
        <v>868</v>
      </c>
      <c r="AW222" s="86">
        <v>876</v>
      </c>
      <c r="AX222" s="86">
        <v>842</v>
      </c>
      <c r="AY222" s="86">
        <v>827</v>
      </c>
      <c r="AZ222" s="86">
        <v>822</v>
      </c>
      <c r="BA222" s="86">
        <v>787</v>
      </c>
      <c r="BB222" s="86">
        <v>791</v>
      </c>
      <c r="BC222" s="86">
        <v>782</v>
      </c>
      <c r="BD222" s="86">
        <v>725</v>
      </c>
      <c r="BE222" s="86">
        <v>757</v>
      </c>
      <c r="BF222" s="86">
        <v>663</v>
      </c>
      <c r="BG222" s="86">
        <v>709</v>
      </c>
      <c r="BH222" s="86">
        <v>696</v>
      </c>
      <c r="BI222" s="86">
        <v>694</v>
      </c>
      <c r="BJ222" s="86">
        <v>728</v>
      </c>
      <c r="BK222" s="86">
        <v>664</v>
      </c>
      <c r="BL222" s="86">
        <v>620</v>
      </c>
      <c r="BM222" s="86">
        <v>659</v>
      </c>
      <c r="BN222" s="86">
        <v>625</v>
      </c>
      <c r="BO222" s="86">
        <v>612</v>
      </c>
      <c r="BP222" s="86">
        <v>612</v>
      </c>
      <c r="BQ222" s="86">
        <v>588</v>
      </c>
      <c r="BR222" s="86">
        <v>591</v>
      </c>
      <c r="BS222" s="86">
        <v>592</v>
      </c>
      <c r="BT222" s="86">
        <v>578</v>
      </c>
      <c r="BU222" s="86">
        <v>592</v>
      </c>
      <c r="BV222" s="86">
        <v>564</v>
      </c>
      <c r="BW222" s="86">
        <v>539</v>
      </c>
      <c r="BX222" s="86">
        <v>538</v>
      </c>
      <c r="BY222" s="86">
        <v>561</v>
      </c>
      <c r="BZ222" s="86">
        <v>523</v>
      </c>
      <c r="CA222" s="86">
        <v>517</v>
      </c>
      <c r="CB222" s="86">
        <v>535</v>
      </c>
      <c r="CC222" s="86">
        <v>520</v>
      </c>
      <c r="CD222" s="86">
        <v>475</v>
      </c>
      <c r="CE222" s="86">
        <v>510</v>
      </c>
      <c r="CF222" s="86">
        <v>504</v>
      </c>
      <c r="CG222" s="86">
        <v>4810</v>
      </c>
      <c r="CH222" s="86">
        <v>4519</v>
      </c>
      <c r="CI222" s="86">
        <v>4222</v>
      </c>
      <c r="CJ222" s="86">
        <v>3983</v>
      </c>
      <c r="CK222" s="86">
        <v>3813</v>
      </c>
      <c r="CL222" s="86">
        <v>3718</v>
      </c>
      <c r="CM222" s="86">
        <v>3573</v>
      </c>
      <c r="CN222" s="86">
        <v>3600</v>
      </c>
      <c r="CO222" s="86">
        <v>3443</v>
      </c>
      <c r="CP222" s="86">
        <v>3308</v>
      </c>
      <c r="CQ222" s="86">
        <v>3295</v>
      </c>
      <c r="CR222" s="86">
        <v>3193</v>
      </c>
      <c r="CS222" s="86">
        <v>3222</v>
      </c>
      <c r="CT222" s="86">
        <v>3113</v>
      </c>
      <c r="CU222" s="382"/>
    </row>
    <row r="223" spans="1:99" s="86" customFormat="1" x14ac:dyDescent="0.2">
      <c r="A223" s="375">
        <v>454</v>
      </c>
      <c r="B223" s="375">
        <v>48</v>
      </c>
      <c r="C223" s="349" t="s">
        <v>155</v>
      </c>
      <c r="D223" s="375">
        <v>1010</v>
      </c>
      <c r="E223" s="164">
        <f t="shared" si="6"/>
        <v>1527.35</v>
      </c>
      <c r="F223" s="394">
        <f t="shared" si="7"/>
        <v>13.366582563074017</v>
      </c>
      <c r="G223" s="86">
        <v>192</v>
      </c>
      <c r="H223" s="86">
        <v>173</v>
      </c>
      <c r="I223" s="86">
        <v>204</v>
      </c>
      <c r="J223" s="86">
        <v>188</v>
      </c>
      <c r="K223" s="86">
        <v>176</v>
      </c>
      <c r="L223" s="86">
        <v>193</v>
      </c>
      <c r="M223" s="86">
        <v>183</v>
      </c>
      <c r="N223" s="86">
        <v>163</v>
      </c>
      <c r="O223" s="86">
        <v>171</v>
      </c>
      <c r="P223" s="86">
        <v>172</v>
      </c>
      <c r="Q223" s="86">
        <v>172</v>
      </c>
      <c r="R223" s="86">
        <v>177</v>
      </c>
      <c r="S223" s="86">
        <v>167</v>
      </c>
      <c r="T223" s="86">
        <v>173</v>
      </c>
      <c r="U223" s="86">
        <v>187</v>
      </c>
      <c r="V223" s="86">
        <v>154</v>
      </c>
      <c r="W223" s="86">
        <v>165</v>
      </c>
      <c r="X223" s="86">
        <v>178</v>
      </c>
      <c r="Y223" s="86">
        <v>171</v>
      </c>
      <c r="Z223" s="86">
        <v>177</v>
      </c>
      <c r="AA223" s="86">
        <v>1673</v>
      </c>
      <c r="AB223" s="86">
        <v>1510</v>
      </c>
      <c r="AC223" s="86">
        <v>1425</v>
      </c>
      <c r="AD223" s="86">
        <v>1364</v>
      </c>
      <c r="AE223" s="86">
        <v>1330</v>
      </c>
      <c r="AF223" s="86">
        <v>1195</v>
      </c>
      <c r="AG223" s="86">
        <v>1149</v>
      </c>
      <c r="AH223" s="86">
        <v>1152</v>
      </c>
      <c r="AI223" s="86">
        <v>1041</v>
      </c>
      <c r="AJ223" s="86">
        <v>1038</v>
      </c>
      <c r="AK223" s="86">
        <v>956</v>
      </c>
      <c r="AL223" s="86">
        <v>943</v>
      </c>
      <c r="AM223" s="86">
        <v>872</v>
      </c>
      <c r="AN223" s="86">
        <v>847</v>
      </c>
      <c r="AO223" s="86">
        <v>822</v>
      </c>
      <c r="AP223" s="86">
        <v>808</v>
      </c>
      <c r="AQ223" s="86">
        <v>772</v>
      </c>
      <c r="AR223" s="86">
        <v>746</v>
      </c>
      <c r="AS223" s="86">
        <v>758</v>
      </c>
      <c r="AT223" s="86">
        <v>687</v>
      </c>
      <c r="AU223" s="86">
        <v>699</v>
      </c>
      <c r="AV223" s="86">
        <v>649</v>
      </c>
      <c r="AW223" s="86">
        <v>653</v>
      </c>
      <c r="AX223" s="86">
        <v>630</v>
      </c>
      <c r="AY223" s="86">
        <v>625</v>
      </c>
      <c r="AZ223" s="86">
        <v>617</v>
      </c>
      <c r="BA223" s="86">
        <v>596</v>
      </c>
      <c r="BB223" s="86">
        <v>571</v>
      </c>
      <c r="BC223" s="86">
        <v>570</v>
      </c>
      <c r="BD223" s="86">
        <v>555</v>
      </c>
      <c r="BE223" s="86">
        <v>517</v>
      </c>
      <c r="BF223" s="86">
        <v>521</v>
      </c>
      <c r="BG223" s="86">
        <v>500</v>
      </c>
      <c r="BH223" s="86">
        <v>512</v>
      </c>
      <c r="BI223" s="86">
        <v>547</v>
      </c>
      <c r="BJ223" s="86">
        <v>501</v>
      </c>
      <c r="BK223" s="86">
        <v>486</v>
      </c>
      <c r="BL223" s="86">
        <v>477</v>
      </c>
      <c r="BM223" s="86">
        <v>489</v>
      </c>
      <c r="BN223" s="86">
        <v>427</v>
      </c>
      <c r="BO223" s="86">
        <v>473</v>
      </c>
      <c r="BP223" s="86">
        <v>476</v>
      </c>
      <c r="BQ223" s="86">
        <v>424</v>
      </c>
      <c r="BR223" s="86">
        <v>432</v>
      </c>
      <c r="BS223" s="86">
        <v>441</v>
      </c>
      <c r="BT223" s="86">
        <v>449</v>
      </c>
      <c r="BU223" s="86">
        <v>417</v>
      </c>
      <c r="BV223" s="86">
        <v>429</v>
      </c>
      <c r="BW223" s="86">
        <v>448</v>
      </c>
      <c r="BX223" s="86">
        <v>401</v>
      </c>
      <c r="BY223" s="86">
        <v>401</v>
      </c>
      <c r="BZ223" s="86">
        <v>401</v>
      </c>
      <c r="CA223" s="86">
        <v>369</v>
      </c>
      <c r="CB223" s="86">
        <v>402</v>
      </c>
      <c r="CC223" s="86">
        <v>377</v>
      </c>
      <c r="CD223" s="86">
        <v>391</v>
      </c>
      <c r="CE223" s="86">
        <v>370</v>
      </c>
      <c r="CF223" s="86">
        <v>376</v>
      </c>
      <c r="CG223" s="86">
        <v>3649</v>
      </c>
      <c r="CH223" s="86">
        <v>3396</v>
      </c>
      <c r="CI223" s="86">
        <v>3275</v>
      </c>
      <c r="CJ223" s="86">
        <v>3029</v>
      </c>
      <c r="CK223" s="86">
        <v>2891</v>
      </c>
      <c r="CL223" s="86">
        <v>2799</v>
      </c>
      <c r="CM223" s="86">
        <v>2804</v>
      </c>
      <c r="CN223" s="86">
        <v>2739</v>
      </c>
      <c r="CO223" s="86">
        <v>2625</v>
      </c>
      <c r="CP223" s="86">
        <v>2600</v>
      </c>
      <c r="CQ223" s="86">
        <v>2556</v>
      </c>
      <c r="CR223" s="86">
        <v>2511</v>
      </c>
      <c r="CS223" s="86">
        <v>2361</v>
      </c>
      <c r="CT223" s="86">
        <v>2452</v>
      </c>
      <c r="CU223" s="382"/>
    </row>
    <row r="224" spans="1:99" s="86" customFormat="1" x14ac:dyDescent="0.2">
      <c r="A224" s="375">
        <v>458</v>
      </c>
      <c r="B224" s="375">
        <v>48</v>
      </c>
      <c r="C224" s="349" t="s">
        <v>156</v>
      </c>
      <c r="D224" s="375">
        <v>1516</v>
      </c>
      <c r="E224" s="164">
        <f t="shared" si="6"/>
        <v>2349.9</v>
      </c>
      <c r="F224" s="394">
        <f t="shared" si="7"/>
        <v>16.193015516319846</v>
      </c>
      <c r="G224" s="86">
        <v>291</v>
      </c>
      <c r="H224" s="86">
        <v>275</v>
      </c>
      <c r="I224" s="86">
        <v>295</v>
      </c>
      <c r="J224" s="86">
        <v>287</v>
      </c>
      <c r="K224" s="86">
        <v>277</v>
      </c>
      <c r="L224" s="86">
        <v>269</v>
      </c>
      <c r="M224" s="86">
        <v>276</v>
      </c>
      <c r="N224" s="86">
        <v>258</v>
      </c>
      <c r="O224" s="86">
        <v>243</v>
      </c>
      <c r="P224" s="86">
        <v>262</v>
      </c>
      <c r="Q224" s="86">
        <v>261</v>
      </c>
      <c r="R224" s="86">
        <v>233</v>
      </c>
      <c r="S224" s="86">
        <v>232</v>
      </c>
      <c r="T224" s="86">
        <v>267</v>
      </c>
      <c r="U224" s="86">
        <v>260</v>
      </c>
      <c r="V224" s="86">
        <v>254</v>
      </c>
      <c r="W224" s="86">
        <v>264</v>
      </c>
      <c r="X224" s="86">
        <v>227</v>
      </c>
      <c r="Y224" s="86">
        <v>250</v>
      </c>
      <c r="Z224" s="86">
        <v>224</v>
      </c>
      <c r="AA224" s="86">
        <v>2348</v>
      </c>
      <c r="AB224" s="86">
        <v>2182</v>
      </c>
      <c r="AC224" s="86">
        <v>2087</v>
      </c>
      <c r="AD224" s="86">
        <v>1931</v>
      </c>
      <c r="AE224" s="86">
        <v>1797</v>
      </c>
      <c r="AF224" s="86">
        <v>1697</v>
      </c>
      <c r="AG224" s="86">
        <v>1631</v>
      </c>
      <c r="AH224" s="86">
        <v>1502</v>
      </c>
      <c r="AI224" s="86">
        <v>1433</v>
      </c>
      <c r="AJ224" s="86">
        <v>1119</v>
      </c>
      <c r="AK224" s="86">
        <v>1348</v>
      </c>
      <c r="AL224" s="86">
        <v>1253</v>
      </c>
      <c r="AM224" s="86">
        <v>1206</v>
      </c>
      <c r="AN224" s="86">
        <v>1149</v>
      </c>
      <c r="AO224" s="86">
        <v>1096</v>
      </c>
      <c r="AP224" s="86">
        <v>1057</v>
      </c>
      <c r="AQ224" s="86">
        <v>1090</v>
      </c>
      <c r="AR224" s="86">
        <v>1024</v>
      </c>
      <c r="AS224" s="86">
        <v>965</v>
      </c>
      <c r="AT224" s="86">
        <v>923</v>
      </c>
      <c r="AU224" s="86">
        <v>925</v>
      </c>
      <c r="AV224" s="86">
        <v>844</v>
      </c>
      <c r="AW224" s="86">
        <v>820</v>
      </c>
      <c r="AX224" s="86">
        <v>811</v>
      </c>
      <c r="AY224" s="86">
        <v>811</v>
      </c>
      <c r="AZ224" s="86">
        <v>773</v>
      </c>
      <c r="BA224" s="86">
        <v>756</v>
      </c>
      <c r="BB224" s="86">
        <v>731</v>
      </c>
      <c r="BC224" s="86">
        <v>721</v>
      </c>
      <c r="BD224" s="86">
        <v>692</v>
      </c>
      <c r="BE224" s="86">
        <v>695</v>
      </c>
      <c r="BF224" s="86">
        <v>664</v>
      </c>
      <c r="BG224" s="86">
        <v>666</v>
      </c>
      <c r="BH224" s="86">
        <v>637</v>
      </c>
      <c r="BI224" s="86">
        <v>628</v>
      </c>
      <c r="BJ224" s="86">
        <v>618</v>
      </c>
      <c r="BK224" s="86">
        <v>602</v>
      </c>
      <c r="BL224" s="86">
        <v>563</v>
      </c>
      <c r="BM224" s="86">
        <v>562</v>
      </c>
      <c r="BN224" s="86">
        <v>585</v>
      </c>
      <c r="BO224" s="86">
        <v>557</v>
      </c>
      <c r="BP224" s="86">
        <v>538</v>
      </c>
      <c r="BQ224" s="86">
        <v>534</v>
      </c>
      <c r="BR224" s="86">
        <v>564</v>
      </c>
      <c r="BS224" s="86">
        <v>530</v>
      </c>
      <c r="BT224" s="86">
        <v>507</v>
      </c>
      <c r="BU224" s="86">
        <v>531</v>
      </c>
      <c r="BV224" s="86">
        <v>510</v>
      </c>
      <c r="BW224" s="86">
        <v>475</v>
      </c>
      <c r="BX224" s="86">
        <v>454</v>
      </c>
      <c r="BY224" s="86">
        <v>499</v>
      </c>
      <c r="BZ224" s="86">
        <v>487</v>
      </c>
      <c r="CA224" s="86">
        <v>452</v>
      </c>
      <c r="CB224" s="86">
        <v>474</v>
      </c>
      <c r="CC224" s="86">
        <v>465</v>
      </c>
      <c r="CD224" s="86">
        <v>476</v>
      </c>
      <c r="CE224" s="86">
        <v>467</v>
      </c>
      <c r="CF224" s="86">
        <v>450</v>
      </c>
      <c r="CG224" s="86">
        <v>4250</v>
      </c>
      <c r="CH224" s="86">
        <v>3941</v>
      </c>
      <c r="CI224" s="86">
        <v>3619</v>
      </c>
      <c r="CJ224" s="86">
        <v>3425</v>
      </c>
      <c r="CK224" s="86">
        <v>3245</v>
      </c>
      <c r="CL224" s="86">
        <v>3092</v>
      </c>
      <c r="CM224" s="86">
        <v>3048</v>
      </c>
      <c r="CN224" s="86">
        <v>2887</v>
      </c>
      <c r="CO224" s="86">
        <v>2795</v>
      </c>
      <c r="CP224" s="86">
        <v>2741</v>
      </c>
      <c r="CQ224" s="86">
        <v>2610</v>
      </c>
      <c r="CR224" s="86">
        <v>2624</v>
      </c>
      <c r="CS224" s="86">
        <v>2586</v>
      </c>
      <c r="CT224" s="86">
        <v>2466</v>
      </c>
      <c r="CU224" s="382"/>
    </row>
    <row r="225" spans="1:99" s="86" customFormat="1" x14ac:dyDescent="0.2">
      <c r="A225" s="375">
        <v>463</v>
      </c>
      <c r="B225" s="375">
        <v>48</v>
      </c>
      <c r="C225" s="349" t="s">
        <v>155</v>
      </c>
      <c r="D225" s="375">
        <v>2021</v>
      </c>
      <c r="E225" s="164">
        <f t="shared" si="6"/>
        <v>3252.3</v>
      </c>
      <c r="F225" s="394">
        <f t="shared" si="7"/>
        <v>18.77979338004673</v>
      </c>
      <c r="G225" s="86">
        <v>379</v>
      </c>
      <c r="H225" s="86">
        <v>369</v>
      </c>
      <c r="I225" s="86">
        <v>378</v>
      </c>
      <c r="J225" s="86">
        <v>389</v>
      </c>
      <c r="K225" s="86">
        <v>367</v>
      </c>
      <c r="L225" s="86">
        <v>357</v>
      </c>
      <c r="M225" s="86">
        <v>355</v>
      </c>
      <c r="N225" s="86">
        <v>372</v>
      </c>
      <c r="O225" s="86">
        <v>359</v>
      </c>
      <c r="P225" s="86">
        <v>361</v>
      </c>
      <c r="Q225" s="86">
        <v>349</v>
      </c>
      <c r="R225" s="86">
        <v>356</v>
      </c>
      <c r="S225" s="86">
        <v>316</v>
      </c>
      <c r="T225" s="86">
        <v>329</v>
      </c>
      <c r="U225" s="86">
        <v>344</v>
      </c>
      <c r="V225" s="86">
        <v>324</v>
      </c>
      <c r="W225" s="86">
        <v>330</v>
      </c>
      <c r="X225" s="86">
        <v>320</v>
      </c>
      <c r="Y225" s="86">
        <v>335</v>
      </c>
      <c r="Z225" s="86">
        <v>318</v>
      </c>
      <c r="AA225" s="86">
        <v>3195</v>
      </c>
      <c r="AB225" s="86">
        <v>2929</v>
      </c>
      <c r="AC225" s="86">
        <v>2730</v>
      </c>
      <c r="AD225" s="86">
        <v>2555</v>
      </c>
      <c r="AE225" s="86">
        <v>2315</v>
      </c>
      <c r="AF225" s="86">
        <v>2230</v>
      </c>
      <c r="AG225" s="86">
        <v>2155</v>
      </c>
      <c r="AH225" s="86">
        <v>1971</v>
      </c>
      <c r="AI225" s="86">
        <v>1873</v>
      </c>
      <c r="AJ225" s="86">
        <v>1833</v>
      </c>
      <c r="AK225" s="86">
        <v>1727</v>
      </c>
      <c r="AL225" s="86">
        <v>1638</v>
      </c>
      <c r="AM225" s="86">
        <v>1574</v>
      </c>
      <c r="AN225" s="86">
        <v>1432</v>
      </c>
      <c r="AO225" s="86">
        <v>1430</v>
      </c>
      <c r="AP225" s="86">
        <v>1335</v>
      </c>
      <c r="AQ225" s="86">
        <v>1303</v>
      </c>
      <c r="AR225" s="86">
        <v>1228</v>
      </c>
      <c r="AS225" s="86">
        <v>1203</v>
      </c>
      <c r="AT225" s="86">
        <v>1140</v>
      </c>
      <c r="AU225" s="86">
        <v>1131</v>
      </c>
      <c r="AV225" s="86">
        <v>1061</v>
      </c>
      <c r="AW225" s="86">
        <v>1022</v>
      </c>
      <c r="AX225" s="86">
        <v>1022</v>
      </c>
      <c r="AY225" s="86">
        <v>1025</v>
      </c>
      <c r="AZ225" s="86">
        <v>974</v>
      </c>
      <c r="BA225" s="86">
        <v>948</v>
      </c>
      <c r="BB225" s="86">
        <v>875</v>
      </c>
      <c r="BC225" s="86">
        <v>879</v>
      </c>
      <c r="BD225" s="86">
        <v>877</v>
      </c>
      <c r="BE225" s="86">
        <v>819</v>
      </c>
      <c r="BF225" s="86">
        <v>821</v>
      </c>
      <c r="BG225" s="86">
        <v>823</v>
      </c>
      <c r="BH225" s="86">
        <v>791</v>
      </c>
      <c r="BI225" s="86">
        <v>713</v>
      </c>
      <c r="BJ225" s="86">
        <v>766</v>
      </c>
      <c r="BK225" s="86">
        <v>707</v>
      </c>
      <c r="BL225" s="86">
        <v>733</v>
      </c>
      <c r="BM225" s="86">
        <v>678</v>
      </c>
      <c r="BN225" s="86">
        <v>667</v>
      </c>
      <c r="BO225" s="86">
        <v>659</v>
      </c>
      <c r="BP225" s="86">
        <v>644</v>
      </c>
      <c r="BQ225" s="86">
        <v>642</v>
      </c>
      <c r="BR225" s="86">
        <v>628</v>
      </c>
      <c r="BS225" s="86">
        <v>625</v>
      </c>
      <c r="BT225" s="86">
        <v>627</v>
      </c>
      <c r="BU225" s="86">
        <v>592</v>
      </c>
      <c r="BV225" s="86">
        <v>574</v>
      </c>
      <c r="BW225" s="86">
        <v>627</v>
      </c>
      <c r="BX225" s="86">
        <v>550</v>
      </c>
      <c r="BY225" s="86">
        <v>552</v>
      </c>
      <c r="BZ225" s="86">
        <v>537</v>
      </c>
      <c r="CA225" s="86">
        <v>541</v>
      </c>
      <c r="CB225" s="86">
        <v>510</v>
      </c>
      <c r="CC225" s="86">
        <v>515</v>
      </c>
      <c r="CD225" s="86">
        <v>534</v>
      </c>
      <c r="CE225" s="86">
        <v>511</v>
      </c>
      <c r="CF225" s="86">
        <v>533</v>
      </c>
      <c r="CG225" s="86">
        <v>4678</v>
      </c>
      <c r="CH225" s="86">
        <v>4292</v>
      </c>
      <c r="CI225" s="86">
        <v>3935</v>
      </c>
      <c r="CJ225" s="86">
        <v>3641</v>
      </c>
      <c r="CK225" s="86">
        <v>3382</v>
      </c>
      <c r="CL225" s="86">
        <v>3228</v>
      </c>
      <c r="CM225" s="86">
        <v>3182</v>
      </c>
      <c r="CN225" s="86">
        <v>2960</v>
      </c>
      <c r="CO225" s="86">
        <v>2887</v>
      </c>
      <c r="CP225" s="86">
        <v>2772</v>
      </c>
      <c r="CQ225" s="86">
        <v>2698</v>
      </c>
      <c r="CR225" s="86">
        <v>2580</v>
      </c>
      <c r="CS225" s="86">
        <v>2525</v>
      </c>
      <c r="CT225" s="86">
        <v>2499</v>
      </c>
      <c r="CU225" s="382"/>
    </row>
    <row r="226" spans="1:99" s="86" customFormat="1" x14ac:dyDescent="0.2">
      <c r="A226" s="375">
        <v>467</v>
      </c>
      <c r="B226" s="375">
        <v>48</v>
      </c>
      <c r="C226" s="349" t="s">
        <v>156</v>
      </c>
      <c r="D226" s="375">
        <v>1516</v>
      </c>
      <c r="E226" s="164">
        <f t="shared" si="6"/>
        <v>2680.1</v>
      </c>
      <c r="F226" s="394">
        <f t="shared" si="7"/>
        <v>17.24864936242653</v>
      </c>
      <c r="G226" s="86">
        <v>315</v>
      </c>
      <c r="H226" s="86">
        <v>317</v>
      </c>
      <c r="I226" s="86">
        <v>312</v>
      </c>
      <c r="J226" s="86">
        <v>296</v>
      </c>
      <c r="K226" s="86">
        <v>323</v>
      </c>
      <c r="L226" s="86">
        <v>314</v>
      </c>
      <c r="M226" s="86">
        <v>297</v>
      </c>
      <c r="N226" s="86">
        <v>269</v>
      </c>
      <c r="O226" s="86">
        <v>321</v>
      </c>
      <c r="P226" s="86">
        <v>296</v>
      </c>
      <c r="Q226" s="86">
        <v>274</v>
      </c>
      <c r="R226" s="86">
        <v>287</v>
      </c>
      <c r="S226" s="86">
        <v>299</v>
      </c>
      <c r="T226" s="86">
        <v>291</v>
      </c>
      <c r="U226" s="86">
        <v>287</v>
      </c>
      <c r="V226" s="86">
        <v>288</v>
      </c>
      <c r="W226" s="86">
        <v>265</v>
      </c>
      <c r="X226" s="86">
        <v>298</v>
      </c>
      <c r="Y226" s="86">
        <v>278</v>
      </c>
      <c r="Z226" s="86">
        <v>267</v>
      </c>
      <c r="AA226" s="86">
        <v>2673</v>
      </c>
      <c r="AB226" s="86">
        <v>2474</v>
      </c>
      <c r="AC226" s="86">
        <v>2309</v>
      </c>
      <c r="AD226" s="86">
        <v>2170</v>
      </c>
      <c r="AE226" s="86">
        <v>2004</v>
      </c>
      <c r="AF226" s="86">
        <v>1899</v>
      </c>
      <c r="AG226" s="86">
        <v>1786</v>
      </c>
      <c r="AH226" s="86">
        <v>1680</v>
      </c>
      <c r="AI226" s="86">
        <v>1635</v>
      </c>
      <c r="AJ226" s="86">
        <v>1568</v>
      </c>
      <c r="AK226" s="86">
        <v>1489</v>
      </c>
      <c r="AL226" s="86">
        <v>1421</v>
      </c>
      <c r="AM226" s="86">
        <v>1385</v>
      </c>
      <c r="AN226" s="86">
        <v>1302</v>
      </c>
      <c r="AO226" s="86">
        <v>1246</v>
      </c>
      <c r="AP226" s="86">
        <v>1134</v>
      </c>
      <c r="AQ226" s="86">
        <v>1123</v>
      </c>
      <c r="AR226" s="86">
        <v>1118</v>
      </c>
      <c r="AS226" s="86">
        <v>1060</v>
      </c>
      <c r="AT226" s="86">
        <v>1021</v>
      </c>
      <c r="AU226" s="86">
        <v>975</v>
      </c>
      <c r="AV226" s="86">
        <v>903</v>
      </c>
      <c r="AW226" s="86">
        <v>910</v>
      </c>
      <c r="AX226" s="86">
        <v>897</v>
      </c>
      <c r="AY226" s="86">
        <v>908</v>
      </c>
      <c r="AZ226" s="86">
        <v>857</v>
      </c>
      <c r="BA226" s="86">
        <v>885</v>
      </c>
      <c r="BB226" s="86">
        <v>812</v>
      </c>
      <c r="BC226" s="86">
        <v>786</v>
      </c>
      <c r="BD226" s="86">
        <v>739</v>
      </c>
      <c r="BE226" s="86">
        <v>747</v>
      </c>
      <c r="BF226" s="86">
        <v>745</v>
      </c>
      <c r="BG226" s="86">
        <v>724</v>
      </c>
      <c r="BH226" s="86">
        <v>687</v>
      </c>
      <c r="BI226" s="86">
        <v>702</v>
      </c>
      <c r="BJ226" s="86">
        <v>689</v>
      </c>
      <c r="BK226" s="86">
        <v>679</v>
      </c>
      <c r="BL226" s="86">
        <v>683</v>
      </c>
      <c r="BM226" s="86">
        <v>639</v>
      </c>
      <c r="BN226" s="86">
        <v>621</v>
      </c>
      <c r="BO226" s="86">
        <v>632</v>
      </c>
      <c r="BP226" s="86">
        <v>613</v>
      </c>
      <c r="BQ226" s="86">
        <v>635</v>
      </c>
      <c r="BR226" s="86">
        <v>604</v>
      </c>
      <c r="BS226" s="86">
        <v>567</v>
      </c>
      <c r="BT226" s="86">
        <v>570</v>
      </c>
      <c r="BU226" s="86">
        <v>538</v>
      </c>
      <c r="BV226" s="86">
        <v>569</v>
      </c>
      <c r="BW226" s="86">
        <v>575</v>
      </c>
      <c r="BX226" s="86">
        <v>560</v>
      </c>
      <c r="BY226" s="86">
        <v>539</v>
      </c>
      <c r="BZ226" s="86">
        <v>542</v>
      </c>
      <c r="CA226" s="86">
        <v>547</v>
      </c>
      <c r="CB226" s="86">
        <v>515</v>
      </c>
      <c r="CC226" s="86">
        <v>507</v>
      </c>
      <c r="CD226" s="86">
        <v>494</v>
      </c>
      <c r="CE226" s="86">
        <v>523</v>
      </c>
      <c r="CF226" s="86">
        <v>506</v>
      </c>
      <c r="CG226" s="86">
        <v>4680</v>
      </c>
      <c r="CH226" s="86">
        <v>4261</v>
      </c>
      <c r="CI226" s="86">
        <v>3951</v>
      </c>
      <c r="CJ226" s="86">
        <v>3725</v>
      </c>
      <c r="CK226" s="86">
        <v>3511</v>
      </c>
      <c r="CL226" s="86">
        <v>3392</v>
      </c>
      <c r="CM226" s="86">
        <v>3300</v>
      </c>
      <c r="CN226" s="86">
        <v>3075</v>
      </c>
      <c r="CO226" s="86">
        <v>3008</v>
      </c>
      <c r="CP226" s="86">
        <v>2922</v>
      </c>
      <c r="CQ226" s="86">
        <v>2936</v>
      </c>
      <c r="CR226" s="86">
        <v>2721</v>
      </c>
      <c r="CS226" s="86">
        <v>2727</v>
      </c>
      <c r="CT226" s="86">
        <v>2611</v>
      </c>
      <c r="CU226" s="382"/>
    </row>
    <row r="227" spans="1:99" s="86" customFormat="1" x14ac:dyDescent="0.2">
      <c r="A227" s="375">
        <v>472</v>
      </c>
      <c r="B227" s="375">
        <v>48</v>
      </c>
      <c r="C227" s="349" t="s">
        <v>155</v>
      </c>
      <c r="D227" s="375">
        <v>4168</v>
      </c>
      <c r="E227" s="164">
        <f t="shared" si="6"/>
        <v>7431.25</v>
      </c>
      <c r="F227" s="394">
        <f t="shared" si="7"/>
        <v>28.042680207873399</v>
      </c>
      <c r="G227" s="86">
        <v>858</v>
      </c>
      <c r="H227" s="86">
        <v>805</v>
      </c>
      <c r="I227" s="86">
        <v>832</v>
      </c>
      <c r="J227" s="86">
        <v>812</v>
      </c>
      <c r="K227" s="86">
        <v>787</v>
      </c>
      <c r="L227" s="86">
        <v>812</v>
      </c>
      <c r="M227" s="86">
        <v>796</v>
      </c>
      <c r="N227" s="86">
        <v>1022</v>
      </c>
      <c r="O227" s="86">
        <v>769</v>
      </c>
      <c r="P227" s="86">
        <v>787</v>
      </c>
      <c r="Q227" s="86">
        <v>763</v>
      </c>
      <c r="R227" s="86">
        <v>741</v>
      </c>
      <c r="S227" s="86">
        <v>759</v>
      </c>
      <c r="T227" s="86">
        <v>733</v>
      </c>
      <c r="U227" s="86">
        <v>741</v>
      </c>
      <c r="V227" s="86">
        <v>751</v>
      </c>
      <c r="W227" s="86">
        <v>719</v>
      </c>
      <c r="X227" s="86">
        <v>701</v>
      </c>
      <c r="Y227" s="86">
        <v>747</v>
      </c>
      <c r="Z227" s="86">
        <v>714</v>
      </c>
      <c r="AA227" s="86">
        <v>6785</v>
      </c>
      <c r="AB227" s="86">
        <v>6398</v>
      </c>
      <c r="AC227" s="86">
        <v>5806</v>
      </c>
      <c r="AD227" s="86">
        <v>5537</v>
      </c>
      <c r="AE227" s="86">
        <v>5080</v>
      </c>
      <c r="AF227" s="86">
        <v>4777</v>
      </c>
      <c r="AG227" s="86">
        <v>4541</v>
      </c>
      <c r="AH227" s="86">
        <v>4265</v>
      </c>
      <c r="AI227" s="86">
        <v>3926</v>
      </c>
      <c r="AJ227" s="86">
        <v>3750</v>
      </c>
      <c r="AK227" s="86">
        <v>3563</v>
      </c>
      <c r="AL227" s="86">
        <v>3324</v>
      </c>
      <c r="AM227" s="86">
        <v>3253</v>
      </c>
      <c r="AN227" s="86">
        <v>3122</v>
      </c>
      <c r="AO227" s="86">
        <v>2974</v>
      </c>
      <c r="AP227" s="86">
        <v>2827</v>
      </c>
      <c r="AQ227" s="86">
        <v>2648</v>
      </c>
      <c r="AR227" s="86">
        <v>2541</v>
      </c>
      <c r="AS227" s="86">
        <v>2485</v>
      </c>
      <c r="AT227" s="86">
        <v>2379</v>
      </c>
      <c r="AU227" s="86">
        <v>2372</v>
      </c>
      <c r="AV227" s="86">
        <v>2204</v>
      </c>
      <c r="AW227" s="86">
        <v>2115</v>
      </c>
      <c r="AX227" s="86">
        <v>2059</v>
      </c>
      <c r="AY227" s="86">
        <v>2040</v>
      </c>
      <c r="AZ227" s="86">
        <v>1981</v>
      </c>
      <c r="BA227" s="86">
        <v>1853</v>
      </c>
      <c r="BB227" s="86">
        <v>1807</v>
      </c>
      <c r="BC227" s="86">
        <v>1732</v>
      </c>
      <c r="BD227" s="86">
        <v>1681</v>
      </c>
      <c r="BE227" s="86">
        <v>1657</v>
      </c>
      <c r="BF227" s="86">
        <v>1582</v>
      </c>
      <c r="BG227" s="86">
        <v>1522</v>
      </c>
      <c r="BH227" s="86">
        <v>1566</v>
      </c>
      <c r="BI227" s="86">
        <v>1536</v>
      </c>
      <c r="BJ227" s="86">
        <v>1443</v>
      </c>
      <c r="BK227" s="86">
        <v>1430</v>
      </c>
      <c r="BL227" s="86">
        <v>1400</v>
      </c>
      <c r="BM227" s="86">
        <v>1355</v>
      </c>
      <c r="BN227" s="86">
        <v>1371</v>
      </c>
      <c r="BO227" s="86">
        <v>1330</v>
      </c>
      <c r="BP227" s="86">
        <v>1251</v>
      </c>
      <c r="BQ227" s="86">
        <v>1266</v>
      </c>
      <c r="BR227" s="86">
        <v>1249</v>
      </c>
      <c r="BS227" s="86">
        <v>1175</v>
      </c>
      <c r="BT227" s="86">
        <v>1191</v>
      </c>
      <c r="BU227" s="86">
        <v>1113</v>
      </c>
      <c r="BV227" s="86">
        <v>1148</v>
      </c>
      <c r="BW227" s="86">
        <v>1087</v>
      </c>
      <c r="BX227" s="86">
        <v>1113</v>
      </c>
      <c r="BY227" s="86">
        <v>1035</v>
      </c>
      <c r="BZ227" s="86">
        <v>1075</v>
      </c>
      <c r="CA227" s="86">
        <v>1070</v>
      </c>
      <c r="CB227" s="86">
        <v>1028</v>
      </c>
      <c r="CC227" s="86">
        <v>940</v>
      </c>
      <c r="CD227" s="86">
        <v>1020</v>
      </c>
      <c r="CE227" s="86">
        <v>953</v>
      </c>
      <c r="CF227" s="86">
        <v>950</v>
      </c>
      <c r="CG227" s="86">
        <v>8905</v>
      </c>
      <c r="CH227" s="86">
        <v>7897</v>
      </c>
      <c r="CI227" s="86">
        <v>7115</v>
      </c>
      <c r="CJ227" s="86">
        <v>6444</v>
      </c>
      <c r="CK227" s="86">
        <v>5944</v>
      </c>
      <c r="CL227" s="86">
        <v>5565</v>
      </c>
      <c r="CM227" s="86">
        <v>5279</v>
      </c>
      <c r="CN227" s="86">
        <v>4849</v>
      </c>
      <c r="CO227" s="86">
        <v>4611</v>
      </c>
      <c r="CP227" s="86">
        <v>4365</v>
      </c>
      <c r="CQ227" s="86">
        <v>4232</v>
      </c>
      <c r="CR227" s="86">
        <v>4077</v>
      </c>
      <c r="CS227" s="86">
        <v>4008</v>
      </c>
      <c r="CT227" s="86">
        <v>3857</v>
      </c>
      <c r="CU227" s="382"/>
    </row>
    <row r="228" spans="1:99" s="86" customFormat="1" x14ac:dyDescent="0.2">
      <c r="A228" s="375">
        <v>476</v>
      </c>
      <c r="B228" s="375">
        <v>48</v>
      </c>
      <c r="C228" s="349" t="s">
        <v>156</v>
      </c>
      <c r="D228" s="375">
        <v>1516</v>
      </c>
      <c r="E228" s="164">
        <f t="shared" si="6"/>
        <v>3126.95</v>
      </c>
      <c r="F228" s="394">
        <f t="shared" si="7"/>
        <v>18.685670736507927</v>
      </c>
      <c r="G228" s="86">
        <v>397</v>
      </c>
      <c r="H228" s="86">
        <v>350</v>
      </c>
      <c r="I228" s="86">
        <v>371</v>
      </c>
      <c r="J228" s="86">
        <v>358</v>
      </c>
      <c r="K228" s="86">
        <v>358</v>
      </c>
      <c r="L228" s="86">
        <v>359</v>
      </c>
      <c r="M228" s="86">
        <v>363</v>
      </c>
      <c r="N228" s="86">
        <v>370</v>
      </c>
      <c r="O228" s="86">
        <v>328</v>
      </c>
      <c r="P228" s="86">
        <v>381</v>
      </c>
      <c r="Q228" s="86">
        <v>353</v>
      </c>
      <c r="R228" s="86">
        <v>336</v>
      </c>
      <c r="S228" s="86">
        <v>350</v>
      </c>
      <c r="T228" s="86">
        <v>355</v>
      </c>
      <c r="U228" s="86">
        <v>329</v>
      </c>
      <c r="V228" s="86">
        <v>322</v>
      </c>
      <c r="W228" s="86">
        <v>293</v>
      </c>
      <c r="X228" s="86">
        <v>311</v>
      </c>
      <c r="Y228" s="86">
        <v>325</v>
      </c>
      <c r="Z228" s="86">
        <v>310</v>
      </c>
      <c r="AA228" s="86">
        <v>3119</v>
      </c>
      <c r="AB228" s="86">
        <v>2953</v>
      </c>
      <c r="AC228" s="86">
        <v>2799</v>
      </c>
      <c r="AD228" s="86">
        <v>2558</v>
      </c>
      <c r="AE228" s="86">
        <v>2415</v>
      </c>
      <c r="AF228" s="86">
        <v>2244</v>
      </c>
      <c r="AG228" s="86">
        <v>2190</v>
      </c>
      <c r="AH228" s="86">
        <v>2054</v>
      </c>
      <c r="AI228" s="86">
        <v>2000</v>
      </c>
      <c r="AJ228" s="86">
        <v>1892</v>
      </c>
      <c r="AK228" s="86">
        <v>1755</v>
      </c>
      <c r="AL228" s="86">
        <v>1746</v>
      </c>
      <c r="AM228" s="86">
        <v>1598</v>
      </c>
      <c r="AN228" s="86">
        <v>1570</v>
      </c>
      <c r="AO228" s="86">
        <v>1496</v>
      </c>
      <c r="AP228" s="86">
        <v>1451</v>
      </c>
      <c r="AQ228" s="86">
        <v>1411</v>
      </c>
      <c r="AR228" s="86">
        <v>1356</v>
      </c>
      <c r="AS228" s="86">
        <v>1362</v>
      </c>
      <c r="AT228" s="86">
        <v>1240</v>
      </c>
      <c r="AU228" s="86">
        <v>1243</v>
      </c>
      <c r="AV228" s="86">
        <v>1204</v>
      </c>
      <c r="AW228" s="86">
        <v>1137</v>
      </c>
      <c r="AX228" s="86">
        <v>1130</v>
      </c>
      <c r="AY228" s="86">
        <v>1122</v>
      </c>
      <c r="AZ228" s="86">
        <v>1073</v>
      </c>
      <c r="BA228" s="86">
        <v>1051</v>
      </c>
      <c r="BB228" s="86">
        <v>1002</v>
      </c>
      <c r="BC228" s="86">
        <v>966</v>
      </c>
      <c r="BD228" s="86">
        <v>1014</v>
      </c>
      <c r="BE228" s="86">
        <v>946</v>
      </c>
      <c r="BF228" s="86">
        <v>917</v>
      </c>
      <c r="BG228" s="86">
        <v>915</v>
      </c>
      <c r="BH228" s="86">
        <v>897</v>
      </c>
      <c r="BI228" s="86">
        <v>872</v>
      </c>
      <c r="BJ228" s="86">
        <v>877</v>
      </c>
      <c r="BK228" s="86">
        <v>827</v>
      </c>
      <c r="BL228" s="86">
        <v>806</v>
      </c>
      <c r="BM228" s="86">
        <v>790</v>
      </c>
      <c r="BN228" s="86">
        <v>824</v>
      </c>
      <c r="BO228" s="86">
        <v>791</v>
      </c>
      <c r="BP228" s="86">
        <v>777</v>
      </c>
      <c r="BQ228" s="86">
        <v>815</v>
      </c>
      <c r="BR228" s="86">
        <v>767</v>
      </c>
      <c r="BS228" s="86">
        <v>706</v>
      </c>
      <c r="BT228" s="86">
        <v>721</v>
      </c>
      <c r="BU228" s="86">
        <v>700</v>
      </c>
      <c r="BV228" s="86">
        <v>717</v>
      </c>
      <c r="BW228" s="86">
        <v>713</v>
      </c>
      <c r="BX228" s="86">
        <v>704</v>
      </c>
      <c r="BY228" s="86">
        <v>679</v>
      </c>
      <c r="BZ228" s="86">
        <v>652</v>
      </c>
      <c r="CA228" s="86">
        <v>682</v>
      </c>
      <c r="CB228" s="86">
        <v>638</v>
      </c>
      <c r="CC228" s="86">
        <v>617</v>
      </c>
      <c r="CD228" s="86">
        <v>635</v>
      </c>
      <c r="CE228" s="86">
        <v>658</v>
      </c>
      <c r="CF228" s="86">
        <v>608</v>
      </c>
      <c r="CG228" s="86">
        <v>5934</v>
      </c>
      <c r="CH228" s="86">
        <v>5408</v>
      </c>
      <c r="CI228" s="86">
        <v>5087</v>
      </c>
      <c r="CJ228" s="86">
        <v>4795</v>
      </c>
      <c r="CK228" s="86">
        <v>4536</v>
      </c>
      <c r="CL228" s="86">
        <v>4262</v>
      </c>
      <c r="CM228" s="86">
        <v>4101</v>
      </c>
      <c r="CN228" s="86">
        <v>3845</v>
      </c>
      <c r="CO228" s="86">
        <v>3722</v>
      </c>
      <c r="CP228" s="86">
        <v>3672</v>
      </c>
      <c r="CQ228" s="86">
        <v>3527</v>
      </c>
      <c r="CR228" s="86">
        <v>3499</v>
      </c>
      <c r="CS228" s="86">
        <v>3415</v>
      </c>
      <c r="CT228" s="86">
        <v>3236</v>
      </c>
      <c r="CU228" s="382"/>
    </row>
    <row r="229" spans="1:99" s="86" customFormat="1" x14ac:dyDescent="0.2">
      <c r="A229" s="375">
        <v>481</v>
      </c>
      <c r="B229" s="375">
        <v>48</v>
      </c>
      <c r="C229" s="349" t="s">
        <v>155</v>
      </c>
      <c r="D229" s="375">
        <v>0</v>
      </c>
      <c r="E229" s="164">
        <f t="shared" si="6"/>
        <v>47.599999999999994</v>
      </c>
      <c r="F229" s="394">
        <f t="shared" si="7"/>
        <v>4.4988262083114661</v>
      </c>
      <c r="G229" s="86">
        <v>16</v>
      </c>
      <c r="H229" s="86">
        <v>12</v>
      </c>
      <c r="I229" s="86">
        <v>23</v>
      </c>
      <c r="J229" s="86">
        <v>19</v>
      </c>
      <c r="K229" s="86">
        <v>21</v>
      </c>
      <c r="L229" s="86">
        <v>21</v>
      </c>
      <c r="M229" s="86">
        <v>25</v>
      </c>
      <c r="N229" s="86">
        <v>13</v>
      </c>
      <c r="O229" s="86">
        <v>18</v>
      </c>
      <c r="P229" s="86">
        <v>24</v>
      </c>
      <c r="Q229" s="86">
        <v>22</v>
      </c>
      <c r="R229" s="86">
        <v>22</v>
      </c>
      <c r="S229" s="86">
        <v>16</v>
      </c>
      <c r="T229" s="86">
        <v>15</v>
      </c>
      <c r="U229" s="86">
        <v>20</v>
      </c>
      <c r="V229" s="86">
        <v>23</v>
      </c>
      <c r="W229" s="86">
        <v>18</v>
      </c>
      <c r="X229" s="86">
        <v>20</v>
      </c>
      <c r="Y229" s="86">
        <v>24</v>
      </c>
      <c r="Z229" s="86">
        <v>20</v>
      </c>
      <c r="AA229" s="86">
        <v>218</v>
      </c>
      <c r="AB229" s="86">
        <v>224</v>
      </c>
      <c r="AC229" s="86">
        <v>201</v>
      </c>
      <c r="AD229" s="86">
        <v>204</v>
      </c>
      <c r="AE229" s="86">
        <v>197</v>
      </c>
      <c r="AF229" s="86">
        <v>226</v>
      </c>
      <c r="AG229" s="86">
        <v>193</v>
      </c>
      <c r="AH229" s="86">
        <v>204</v>
      </c>
      <c r="AI229" s="86">
        <v>207</v>
      </c>
      <c r="AJ229" s="86">
        <v>204</v>
      </c>
      <c r="AK229" s="86">
        <v>200</v>
      </c>
      <c r="AL229" s="86">
        <v>185</v>
      </c>
      <c r="AM229" s="86">
        <v>186</v>
      </c>
      <c r="AN229" s="86">
        <v>216</v>
      </c>
      <c r="AO229" s="86">
        <v>185</v>
      </c>
      <c r="AP229" s="86">
        <v>193</v>
      </c>
      <c r="AQ229" s="86">
        <v>190</v>
      </c>
      <c r="AR229" s="86">
        <v>196</v>
      </c>
      <c r="AS229" s="86">
        <v>174</v>
      </c>
      <c r="AT229" s="86">
        <v>175</v>
      </c>
      <c r="AU229" s="86">
        <v>183</v>
      </c>
      <c r="AV229" s="86">
        <v>163</v>
      </c>
      <c r="AW229" s="86">
        <v>184</v>
      </c>
      <c r="AX229" s="86">
        <v>170</v>
      </c>
      <c r="AY229" s="86">
        <v>193</v>
      </c>
      <c r="AZ229" s="86">
        <v>180</v>
      </c>
      <c r="BA229" s="86">
        <v>176</v>
      </c>
      <c r="BB229" s="86">
        <v>179</v>
      </c>
      <c r="BC229" s="86">
        <v>182</v>
      </c>
      <c r="BD229" s="86">
        <v>179</v>
      </c>
      <c r="BE229" s="86">
        <v>178</v>
      </c>
      <c r="BF229" s="86">
        <v>186</v>
      </c>
      <c r="BG229" s="86">
        <v>174</v>
      </c>
      <c r="BH229" s="86">
        <v>177</v>
      </c>
      <c r="BI229" s="86">
        <v>160</v>
      </c>
      <c r="BJ229" s="86">
        <v>167</v>
      </c>
      <c r="BK229" s="86">
        <v>157</v>
      </c>
      <c r="BL229" s="86">
        <v>162</v>
      </c>
      <c r="BM229" s="86">
        <v>171</v>
      </c>
      <c r="BN229" s="86">
        <v>163</v>
      </c>
      <c r="BO229" s="86">
        <v>184</v>
      </c>
      <c r="BP229" s="86">
        <v>174</v>
      </c>
      <c r="BQ229" s="86">
        <v>168</v>
      </c>
      <c r="BR229" s="86">
        <v>170</v>
      </c>
      <c r="BS229" s="86">
        <v>169</v>
      </c>
      <c r="BT229" s="86">
        <v>170</v>
      </c>
      <c r="BU229" s="86">
        <v>170</v>
      </c>
      <c r="BV229" s="86">
        <v>181</v>
      </c>
      <c r="BW229" s="86">
        <v>157</v>
      </c>
      <c r="BX229" s="86">
        <v>184</v>
      </c>
      <c r="BY229" s="86">
        <v>158</v>
      </c>
      <c r="BZ229" s="86">
        <v>154</v>
      </c>
      <c r="CA229" s="86">
        <v>174</v>
      </c>
      <c r="CB229" s="86">
        <v>150</v>
      </c>
      <c r="CC229" s="86">
        <v>164</v>
      </c>
      <c r="CD229" s="86">
        <v>157</v>
      </c>
      <c r="CE229" s="86">
        <v>165</v>
      </c>
      <c r="CF229" s="86">
        <v>164</v>
      </c>
      <c r="CG229" s="86">
        <v>1593</v>
      </c>
      <c r="CH229" s="86">
        <v>1570</v>
      </c>
      <c r="CI229" s="86">
        <v>1613</v>
      </c>
      <c r="CJ229" s="86">
        <v>1593</v>
      </c>
      <c r="CK229" s="86">
        <v>1568</v>
      </c>
      <c r="CL229" s="86">
        <v>1576</v>
      </c>
      <c r="CM229" s="86">
        <v>1565</v>
      </c>
      <c r="CN229" s="86">
        <v>1529</v>
      </c>
      <c r="CO229" s="86">
        <v>1553</v>
      </c>
      <c r="CP229" s="86">
        <v>1488</v>
      </c>
      <c r="CQ229" s="86">
        <v>1519</v>
      </c>
      <c r="CR229" s="86">
        <v>1556</v>
      </c>
      <c r="CS229" s="86">
        <v>1492</v>
      </c>
      <c r="CT229" s="86">
        <v>1476</v>
      </c>
      <c r="CU229" s="382"/>
    </row>
    <row r="230" spans="1:99" s="86" customFormat="1" x14ac:dyDescent="0.2">
      <c r="A230" s="375">
        <v>485</v>
      </c>
      <c r="B230" s="375">
        <v>48</v>
      </c>
      <c r="C230" s="349" t="s">
        <v>156</v>
      </c>
      <c r="D230" s="375">
        <v>1516</v>
      </c>
      <c r="E230" s="164">
        <f t="shared" si="6"/>
        <v>3037.8</v>
      </c>
      <c r="F230" s="394">
        <f t="shared" si="7"/>
        <v>18.187954792902836</v>
      </c>
      <c r="G230" s="86">
        <v>361</v>
      </c>
      <c r="H230" s="86">
        <v>376</v>
      </c>
      <c r="I230" s="86">
        <v>319</v>
      </c>
      <c r="J230" s="86">
        <v>345</v>
      </c>
      <c r="K230" s="86">
        <v>333</v>
      </c>
      <c r="L230" s="86">
        <v>334</v>
      </c>
      <c r="M230" s="86">
        <v>341</v>
      </c>
      <c r="N230" s="86">
        <v>338</v>
      </c>
      <c r="O230" s="86">
        <v>338</v>
      </c>
      <c r="P230" s="86">
        <v>337</v>
      </c>
      <c r="Q230" s="86">
        <v>333</v>
      </c>
      <c r="R230" s="86">
        <v>316</v>
      </c>
      <c r="S230" s="86">
        <v>313</v>
      </c>
      <c r="T230" s="86">
        <v>317</v>
      </c>
      <c r="U230" s="86">
        <v>312</v>
      </c>
      <c r="V230" s="86">
        <v>317</v>
      </c>
      <c r="W230" s="86">
        <v>310</v>
      </c>
      <c r="X230" s="86">
        <v>278</v>
      </c>
      <c r="Y230" s="86">
        <v>326</v>
      </c>
      <c r="Z230" s="86">
        <v>308</v>
      </c>
      <c r="AA230" s="86">
        <v>2898</v>
      </c>
      <c r="AB230" s="86">
        <v>2708</v>
      </c>
      <c r="AC230" s="86">
        <v>2567</v>
      </c>
      <c r="AD230" s="86">
        <v>2454</v>
      </c>
      <c r="AE230" s="86">
        <v>2260</v>
      </c>
      <c r="AF230" s="86">
        <v>2164</v>
      </c>
      <c r="AG230" s="86">
        <v>2022</v>
      </c>
      <c r="AH230" s="86">
        <v>1913</v>
      </c>
      <c r="AI230" s="86">
        <v>1803</v>
      </c>
      <c r="AJ230" s="86">
        <v>1687</v>
      </c>
      <c r="AK230" s="86">
        <v>1610</v>
      </c>
      <c r="AL230" s="86">
        <v>1503</v>
      </c>
      <c r="AM230" s="86">
        <v>1429</v>
      </c>
      <c r="AN230" s="86">
        <v>1362</v>
      </c>
      <c r="AO230" s="86">
        <v>1331</v>
      </c>
      <c r="AP230" s="86">
        <v>1236</v>
      </c>
      <c r="AQ230" s="86">
        <v>1211</v>
      </c>
      <c r="AR230" s="86">
        <v>1185</v>
      </c>
      <c r="AS230" s="86">
        <v>1106</v>
      </c>
      <c r="AT230" s="86">
        <v>1130</v>
      </c>
      <c r="AU230" s="86">
        <v>1037</v>
      </c>
      <c r="AV230" s="86">
        <v>1008</v>
      </c>
      <c r="AW230" s="86">
        <v>1006</v>
      </c>
      <c r="AX230" s="86">
        <v>958</v>
      </c>
      <c r="AY230" s="86">
        <v>955</v>
      </c>
      <c r="AZ230" s="86">
        <v>888</v>
      </c>
      <c r="BA230" s="86">
        <v>875</v>
      </c>
      <c r="BB230" s="86">
        <v>821</v>
      </c>
      <c r="BC230" s="86">
        <v>832</v>
      </c>
      <c r="BD230" s="86">
        <v>786</v>
      </c>
      <c r="BE230" s="86">
        <v>783</v>
      </c>
      <c r="BF230" s="86">
        <v>720</v>
      </c>
      <c r="BG230" s="86">
        <v>724</v>
      </c>
      <c r="BH230" s="86">
        <v>730</v>
      </c>
      <c r="BI230" s="86">
        <v>695</v>
      </c>
      <c r="BJ230" s="86">
        <v>734</v>
      </c>
      <c r="BK230" s="86">
        <v>642</v>
      </c>
      <c r="BL230" s="86">
        <v>661</v>
      </c>
      <c r="BM230" s="86">
        <v>632</v>
      </c>
      <c r="BN230" s="86">
        <v>606</v>
      </c>
      <c r="BO230" s="86">
        <v>611</v>
      </c>
      <c r="BP230" s="86">
        <v>575</v>
      </c>
      <c r="BQ230" s="86">
        <v>633</v>
      </c>
      <c r="BR230" s="86">
        <v>586</v>
      </c>
      <c r="BS230" s="86">
        <v>602</v>
      </c>
      <c r="BT230" s="86">
        <v>568</v>
      </c>
      <c r="BU230" s="86">
        <v>541</v>
      </c>
      <c r="BV230" s="86">
        <v>557</v>
      </c>
      <c r="BW230" s="86">
        <v>572</v>
      </c>
      <c r="BX230" s="86">
        <v>546</v>
      </c>
      <c r="BY230" s="86">
        <v>536</v>
      </c>
      <c r="BZ230" s="86">
        <v>532</v>
      </c>
      <c r="CA230" s="86">
        <v>514</v>
      </c>
      <c r="CB230" s="86">
        <v>513</v>
      </c>
      <c r="CC230" s="86">
        <v>524</v>
      </c>
      <c r="CD230" s="86">
        <v>512</v>
      </c>
      <c r="CE230" s="86">
        <v>487</v>
      </c>
      <c r="CF230" s="86">
        <v>489</v>
      </c>
      <c r="CG230" s="86">
        <v>4504</v>
      </c>
      <c r="CH230" s="86">
        <v>4017</v>
      </c>
      <c r="CI230" s="86">
        <v>3741</v>
      </c>
      <c r="CJ230" s="86">
        <v>3545</v>
      </c>
      <c r="CK230" s="86">
        <v>3284</v>
      </c>
      <c r="CL230" s="86">
        <v>3045</v>
      </c>
      <c r="CM230" s="86">
        <v>2912</v>
      </c>
      <c r="CN230" s="86">
        <v>2809</v>
      </c>
      <c r="CO230" s="86">
        <v>2718</v>
      </c>
      <c r="CP230" s="86">
        <v>2767</v>
      </c>
      <c r="CQ230" s="86">
        <v>2538</v>
      </c>
      <c r="CR230" s="86">
        <v>2455</v>
      </c>
      <c r="CS230" s="86">
        <v>2385</v>
      </c>
      <c r="CT230" s="86">
        <v>2379</v>
      </c>
      <c r="CU230" s="382"/>
    </row>
    <row r="231" spans="1:99" s="86" customFormat="1" x14ac:dyDescent="0.2">
      <c r="A231" s="375">
        <v>490</v>
      </c>
      <c r="B231" s="375">
        <v>48</v>
      </c>
      <c r="C231" s="349" t="s">
        <v>155</v>
      </c>
      <c r="D231" s="375">
        <v>1010</v>
      </c>
      <c r="E231" s="164">
        <f t="shared" si="6"/>
        <v>2048.9499999999998</v>
      </c>
      <c r="F231" s="394">
        <f t="shared" si="7"/>
        <v>15.036560408857815</v>
      </c>
      <c r="G231" s="86">
        <v>255</v>
      </c>
      <c r="H231" s="86">
        <v>240</v>
      </c>
      <c r="I231" s="86">
        <v>234</v>
      </c>
      <c r="J231" s="86">
        <v>240</v>
      </c>
      <c r="K231" s="86">
        <v>233</v>
      </c>
      <c r="L231" s="86">
        <v>237</v>
      </c>
      <c r="M231" s="86">
        <v>229</v>
      </c>
      <c r="N231" s="86">
        <v>242</v>
      </c>
      <c r="O231" s="86">
        <v>241</v>
      </c>
      <c r="P231" s="86">
        <v>204</v>
      </c>
      <c r="Q231" s="86">
        <v>239</v>
      </c>
      <c r="R231" s="86">
        <v>227</v>
      </c>
      <c r="S231" s="86">
        <v>218</v>
      </c>
      <c r="T231" s="86">
        <v>226</v>
      </c>
      <c r="U231" s="86">
        <v>216</v>
      </c>
      <c r="V231" s="86">
        <v>201</v>
      </c>
      <c r="W231" s="86">
        <v>187</v>
      </c>
      <c r="X231" s="86">
        <v>222</v>
      </c>
      <c r="Y231" s="86">
        <v>191</v>
      </c>
      <c r="Z231" s="86">
        <v>208</v>
      </c>
      <c r="AA231" s="86">
        <v>1983</v>
      </c>
      <c r="AB231" s="86">
        <v>1926</v>
      </c>
      <c r="AC231" s="86">
        <v>1781</v>
      </c>
      <c r="AD231" s="86">
        <v>1672</v>
      </c>
      <c r="AE231" s="86">
        <v>1546</v>
      </c>
      <c r="AF231" s="86">
        <v>1467</v>
      </c>
      <c r="AG231" s="86">
        <v>1414</v>
      </c>
      <c r="AH231" s="86">
        <v>1343</v>
      </c>
      <c r="AI231" s="86">
        <v>1270</v>
      </c>
      <c r="AJ231" s="86">
        <v>1204</v>
      </c>
      <c r="AK231" s="86">
        <v>1143</v>
      </c>
      <c r="AL231" s="86">
        <v>1054</v>
      </c>
      <c r="AM231" s="86">
        <v>999</v>
      </c>
      <c r="AN231" s="86">
        <v>963</v>
      </c>
      <c r="AO231" s="86">
        <v>937</v>
      </c>
      <c r="AP231" s="86">
        <v>909</v>
      </c>
      <c r="AQ231" s="86">
        <v>866</v>
      </c>
      <c r="AR231" s="86">
        <v>847</v>
      </c>
      <c r="AS231" s="86">
        <v>805</v>
      </c>
      <c r="AT231" s="86">
        <v>787</v>
      </c>
      <c r="AU231" s="86">
        <v>764</v>
      </c>
      <c r="AV231" s="86">
        <v>708</v>
      </c>
      <c r="AW231" s="86">
        <v>705</v>
      </c>
      <c r="AX231" s="86">
        <v>708</v>
      </c>
      <c r="AY231" s="86">
        <v>657</v>
      </c>
      <c r="AZ231" s="86">
        <v>644</v>
      </c>
      <c r="BA231" s="86">
        <v>654</v>
      </c>
      <c r="BB231" s="86">
        <v>593</v>
      </c>
      <c r="BC231" s="86">
        <v>594</v>
      </c>
      <c r="BD231" s="86">
        <v>563</v>
      </c>
      <c r="BE231" s="86">
        <v>573</v>
      </c>
      <c r="BF231" s="86">
        <v>543</v>
      </c>
      <c r="BG231" s="86">
        <v>544</v>
      </c>
      <c r="BH231" s="86">
        <v>538</v>
      </c>
      <c r="BI231" s="86">
        <v>520</v>
      </c>
      <c r="BJ231" s="86">
        <v>515</v>
      </c>
      <c r="BK231" s="86">
        <v>472</v>
      </c>
      <c r="BL231" s="86">
        <v>494</v>
      </c>
      <c r="BM231" s="86">
        <v>472</v>
      </c>
      <c r="BN231" s="86">
        <v>496</v>
      </c>
      <c r="BO231" s="86">
        <v>455</v>
      </c>
      <c r="BP231" s="86">
        <v>452</v>
      </c>
      <c r="BQ231" s="86">
        <v>440</v>
      </c>
      <c r="BR231" s="86">
        <v>438</v>
      </c>
      <c r="BS231" s="86">
        <v>452</v>
      </c>
      <c r="BT231" s="86">
        <v>432</v>
      </c>
      <c r="BU231" s="86">
        <v>418</v>
      </c>
      <c r="BV231" s="86">
        <v>395</v>
      </c>
      <c r="BW231" s="86">
        <v>406</v>
      </c>
      <c r="BX231" s="86">
        <v>382</v>
      </c>
      <c r="BY231" s="86">
        <v>422</v>
      </c>
      <c r="BZ231" s="86">
        <v>406</v>
      </c>
      <c r="CA231" s="86">
        <v>393</v>
      </c>
      <c r="CB231" s="86">
        <v>397</v>
      </c>
      <c r="CC231" s="86">
        <v>367</v>
      </c>
      <c r="CD231" s="86">
        <v>374</v>
      </c>
      <c r="CE231" s="86">
        <v>354</v>
      </c>
      <c r="CF231" s="86">
        <v>355</v>
      </c>
      <c r="CG231" s="86">
        <v>3339</v>
      </c>
      <c r="CH231" s="86">
        <v>3110</v>
      </c>
      <c r="CI231" s="86">
        <v>2873</v>
      </c>
      <c r="CJ231" s="86">
        <v>2693</v>
      </c>
      <c r="CK231" s="86">
        <v>2594</v>
      </c>
      <c r="CL231" s="86">
        <v>2498</v>
      </c>
      <c r="CM231" s="86">
        <v>2385</v>
      </c>
      <c r="CN231" s="86">
        <v>2243</v>
      </c>
      <c r="CO231" s="86">
        <v>2223</v>
      </c>
      <c r="CP231" s="86">
        <v>2107</v>
      </c>
      <c r="CQ231" s="86">
        <v>2131</v>
      </c>
      <c r="CR231" s="86">
        <v>2027</v>
      </c>
      <c r="CS231" s="86">
        <v>1960</v>
      </c>
      <c r="CT231" s="86">
        <v>1961</v>
      </c>
      <c r="CU231" s="382"/>
    </row>
    <row r="232" spans="1:99" s="86" customFormat="1" x14ac:dyDescent="0.2">
      <c r="A232" s="379">
        <v>494</v>
      </c>
      <c r="B232" s="379">
        <v>48</v>
      </c>
      <c r="C232" s="351" t="s">
        <v>156</v>
      </c>
      <c r="D232" s="379">
        <v>1516</v>
      </c>
      <c r="E232" s="381">
        <f t="shared" si="6"/>
        <v>3124.1</v>
      </c>
      <c r="F232" s="395">
        <f t="shared" si="7"/>
        <v>18.449155415288512</v>
      </c>
      <c r="G232" s="87">
        <v>350</v>
      </c>
      <c r="H232" s="87">
        <v>350</v>
      </c>
      <c r="I232" s="87">
        <v>345</v>
      </c>
      <c r="J232" s="87">
        <v>356</v>
      </c>
      <c r="K232" s="87">
        <v>374</v>
      </c>
      <c r="L232" s="87">
        <v>342</v>
      </c>
      <c r="M232" s="87">
        <v>349</v>
      </c>
      <c r="N232" s="87">
        <v>328</v>
      </c>
      <c r="O232" s="87">
        <v>343</v>
      </c>
      <c r="P232" s="87">
        <v>321</v>
      </c>
      <c r="Q232" s="87">
        <v>345</v>
      </c>
      <c r="R232" s="87">
        <v>317</v>
      </c>
      <c r="S232" s="87">
        <v>348</v>
      </c>
      <c r="T232" s="87">
        <v>331</v>
      </c>
      <c r="U232" s="87">
        <v>328</v>
      </c>
      <c r="V232" s="87">
        <v>340</v>
      </c>
      <c r="W232" s="87">
        <v>336</v>
      </c>
      <c r="X232" s="87">
        <v>316</v>
      </c>
      <c r="Y232" s="87">
        <v>321</v>
      </c>
      <c r="Z232" s="87">
        <v>315</v>
      </c>
      <c r="AA232" s="87">
        <v>2988</v>
      </c>
      <c r="AB232" s="87">
        <v>2752</v>
      </c>
      <c r="AC232" s="87">
        <v>2672</v>
      </c>
      <c r="AD232" s="87">
        <v>2400</v>
      </c>
      <c r="AE232" s="87">
        <v>2385</v>
      </c>
      <c r="AF232" s="87">
        <v>2196</v>
      </c>
      <c r="AG232" s="87">
        <v>2034</v>
      </c>
      <c r="AH232" s="87">
        <v>1937</v>
      </c>
      <c r="AI232" s="87">
        <v>1865</v>
      </c>
      <c r="AJ232" s="87">
        <v>1703</v>
      </c>
      <c r="AK232" s="87">
        <v>1713</v>
      </c>
      <c r="AL232" s="87">
        <v>1594</v>
      </c>
      <c r="AM232" s="87">
        <v>1503</v>
      </c>
      <c r="AN232" s="87">
        <v>1466</v>
      </c>
      <c r="AO232" s="87">
        <v>1392</v>
      </c>
      <c r="AP232" s="87">
        <v>1318</v>
      </c>
      <c r="AQ232" s="87">
        <v>1300</v>
      </c>
      <c r="AR232" s="87">
        <v>1209</v>
      </c>
      <c r="AS232" s="87">
        <v>1189</v>
      </c>
      <c r="AT232" s="87">
        <v>1132</v>
      </c>
      <c r="AU232" s="87">
        <v>1084</v>
      </c>
      <c r="AV232" s="87">
        <v>1046</v>
      </c>
      <c r="AW232" s="87">
        <v>1015</v>
      </c>
      <c r="AX232" s="87">
        <v>970</v>
      </c>
      <c r="AY232" s="87">
        <v>995</v>
      </c>
      <c r="AZ232" s="87">
        <v>931</v>
      </c>
      <c r="BA232" s="87">
        <v>915</v>
      </c>
      <c r="BB232" s="87">
        <v>893</v>
      </c>
      <c r="BC232" s="87">
        <v>906</v>
      </c>
      <c r="BD232" s="87">
        <v>846</v>
      </c>
      <c r="BE232" s="87">
        <v>877</v>
      </c>
      <c r="BF232" s="87">
        <v>783</v>
      </c>
      <c r="BG232" s="87">
        <v>810</v>
      </c>
      <c r="BH232" s="87">
        <v>766</v>
      </c>
      <c r="BI232" s="87">
        <v>757</v>
      </c>
      <c r="BJ232" s="87">
        <v>710</v>
      </c>
      <c r="BK232" s="87">
        <v>729</v>
      </c>
      <c r="BL232" s="87">
        <v>731</v>
      </c>
      <c r="BM232" s="87">
        <v>691</v>
      </c>
      <c r="BN232" s="87">
        <v>650</v>
      </c>
      <c r="BO232" s="87">
        <v>642</v>
      </c>
      <c r="BP232" s="87">
        <v>667</v>
      </c>
      <c r="BQ232" s="87">
        <v>625</v>
      </c>
      <c r="BR232" s="87">
        <v>647</v>
      </c>
      <c r="BS232" s="87">
        <v>600</v>
      </c>
      <c r="BT232" s="87">
        <v>614</v>
      </c>
      <c r="BU232" s="87">
        <v>593</v>
      </c>
      <c r="BV232" s="87">
        <v>562</v>
      </c>
      <c r="BW232" s="87">
        <v>582</v>
      </c>
      <c r="BX232" s="87">
        <v>577</v>
      </c>
      <c r="BY232" s="87">
        <v>579</v>
      </c>
      <c r="BZ232" s="87">
        <v>565</v>
      </c>
      <c r="CA232" s="87">
        <v>568</v>
      </c>
      <c r="CB232" s="87">
        <v>531</v>
      </c>
      <c r="CC232" s="87">
        <v>526</v>
      </c>
      <c r="CD232" s="87">
        <v>545</v>
      </c>
      <c r="CE232" s="87">
        <v>543</v>
      </c>
      <c r="CF232" s="87">
        <v>497</v>
      </c>
      <c r="CG232" s="87">
        <v>4834</v>
      </c>
      <c r="CH232" s="87">
        <v>4407</v>
      </c>
      <c r="CI232" s="87">
        <v>3991</v>
      </c>
      <c r="CJ232" s="87">
        <v>3739</v>
      </c>
      <c r="CK232" s="87">
        <v>3490</v>
      </c>
      <c r="CL232" s="87">
        <v>3339</v>
      </c>
      <c r="CM232" s="87">
        <v>3155</v>
      </c>
      <c r="CN232" s="87">
        <v>3004</v>
      </c>
      <c r="CO232" s="87">
        <v>2913</v>
      </c>
      <c r="CP232" s="87">
        <v>2818</v>
      </c>
      <c r="CQ232" s="87">
        <v>2749</v>
      </c>
      <c r="CR232" s="87">
        <v>2675</v>
      </c>
      <c r="CS232" s="87">
        <v>2578</v>
      </c>
      <c r="CT232" s="87">
        <v>2490</v>
      </c>
      <c r="CU232" s="382"/>
    </row>
    <row r="233" spans="1:99" s="86" customFormat="1" x14ac:dyDescent="0.2">
      <c r="A233" s="375">
        <v>155</v>
      </c>
      <c r="B233" s="375">
        <v>49</v>
      </c>
      <c r="C233" s="349" t="s">
        <v>155</v>
      </c>
      <c r="D233" s="376">
        <v>0</v>
      </c>
      <c r="E233" s="164">
        <f t="shared" si="6"/>
        <v>243.5</v>
      </c>
      <c r="F233" s="394">
        <f t="shared" si="7"/>
        <v>7.9509069615561678</v>
      </c>
      <c r="G233" s="86">
        <v>69</v>
      </c>
      <c r="H233" s="83">
        <v>49</v>
      </c>
      <c r="I233" s="83">
        <v>55</v>
      </c>
      <c r="J233" s="83">
        <v>52</v>
      </c>
      <c r="K233" s="83">
        <v>63</v>
      </c>
      <c r="L233" s="83">
        <v>64</v>
      </c>
      <c r="M233" s="83">
        <v>69</v>
      </c>
      <c r="N233" s="83">
        <v>63</v>
      </c>
      <c r="O233" s="83">
        <v>59</v>
      </c>
      <c r="P233" s="83">
        <v>72</v>
      </c>
      <c r="Q233" s="83">
        <v>56</v>
      </c>
      <c r="R233" s="83">
        <v>70</v>
      </c>
      <c r="S233" s="83">
        <v>64</v>
      </c>
      <c r="T233" s="83">
        <v>66</v>
      </c>
      <c r="U233" s="83">
        <v>63</v>
      </c>
      <c r="V233" s="83">
        <v>67</v>
      </c>
      <c r="W233" s="83">
        <v>63</v>
      </c>
      <c r="X233" s="83">
        <v>59</v>
      </c>
      <c r="Y233" s="83">
        <v>67</v>
      </c>
      <c r="Z233" s="83">
        <v>63</v>
      </c>
      <c r="AA233" s="83">
        <v>668</v>
      </c>
      <c r="AB233" s="83">
        <v>656</v>
      </c>
      <c r="AC233" s="83">
        <v>645</v>
      </c>
      <c r="AD233" s="83">
        <v>674</v>
      </c>
      <c r="AE233" s="83">
        <v>652</v>
      </c>
      <c r="AF233" s="83">
        <v>626</v>
      </c>
      <c r="AG233" s="83">
        <v>648</v>
      </c>
      <c r="AH233" s="83">
        <v>625</v>
      </c>
      <c r="AI233" s="83">
        <v>603</v>
      </c>
      <c r="AJ233" s="83">
        <v>615</v>
      </c>
      <c r="AK233" s="83">
        <v>612</v>
      </c>
      <c r="AL233" s="83">
        <v>590</v>
      </c>
      <c r="AM233" s="83">
        <v>599</v>
      </c>
      <c r="AN233" s="83">
        <v>557</v>
      </c>
      <c r="AO233" s="83">
        <v>579</v>
      </c>
      <c r="AP233" s="83">
        <v>589</v>
      </c>
      <c r="AQ233" s="83">
        <v>567</v>
      </c>
      <c r="AR233" s="83">
        <v>526</v>
      </c>
      <c r="AS233" s="83">
        <v>566</v>
      </c>
      <c r="AT233" s="83">
        <v>536</v>
      </c>
      <c r="AU233" s="83">
        <v>558</v>
      </c>
      <c r="AV233" s="83">
        <v>563</v>
      </c>
      <c r="AW233" s="83">
        <v>545</v>
      </c>
      <c r="AX233" s="83">
        <v>501</v>
      </c>
      <c r="AY233" s="83">
        <v>526</v>
      </c>
      <c r="AZ233" s="83">
        <v>512</v>
      </c>
      <c r="BA233" s="83">
        <v>520</v>
      </c>
      <c r="BB233" s="83">
        <v>512</v>
      </c>
      <c r="BC233" s="83">
        <v>522</v>
      </c>
      <c r="BD233" s="83">
        <v>500</v>
      </c>
      <c r="BE233" s="83">
        <v>485</v>
      </c>
      <c r="BF233" s="83">
        <v>510</v>
      </c>
      <c r="BG233" s="83">
        <v>512</v>
      </c>
      <c r="BH233" s="83">
        <v>491</v>
      </c>
      <c r="BI233" s="83">
        <v>491</v>
      </c>
      <c r="BJ233" s="83">
        <v>503</v>
      </c>
      <c r="BK233" s="83">
        <v>490</v>
      </c>
      <c r="BL233" s="83">
        <v>522</v>
      </c>
      <c r="BM233" s="83">
        <v>485</v>
      </c>
      <c r="BN233" s="83">
        <v>530</v>
      </c>
      <c r="BO233" s="83">
        <v>461</v>
      </c>
      <c r="BP233" s="83">
        <v>481</v>
      </c>
      <c r="BQ233" s="83">
        <v>507</v>
      </c>
      <c r="BR233" s="83">
        <v>467</v>
      </c>
      <c r="BS233" s="83">
        <v>470</v>
      </c>
      <c r="BT233" s="83">
        <v>481</v>
      </c>
      <c r="BU233" s="83">
        <v>463</v>
      </c>
      <c r="BV233" s="83">
        <v>468</v>
      </c>
      <c r="BW233" s="83">
        <v>483</v>
      </c>
      <c r="BX233" s="83">
        <v>471</v>
      </c>
      <c r="BY233" s="83">
        <v>465</v>
      </c>
      <c r="BZ233" s="83">
        <v>454</v>
      </c>
      <c r="CA233" s="83">
        <v>472</v>
      </c>
      <c r="CB233" s="83">
        <v>464</v>
      </c>
      <c r="CC233" s="83">
        <v>465</v>
      </c>
      <c r="CD233" s="83">
        <v>447</v>
      </c>
      <c r="CE233" s="83">
        <v>475</v>
      </c>
      <c r="CF233" s="83">
        <v>460</v>
      </c>
      <c r="CG233" s="83">
        <v>4457</v>
      </c>
      <c r="CH233" s="83">
        <v>4454</v>
      </c>
      <c r="CI233" s="83">
        <v>4338</v>
      </c>
      <c r="CJ233" s="83">
        <v>4173</v>
      </c>
      <c r="CK233" s="83">
        <v>4139</v>
      </c>
      <c r="CL233" s="83">
        <v>4024</v>
      </c>
      <c r="CM233" s="83">
        <v>3985</v>
      </c>
      <c r="CN233" s="83">
        <v>3980</v>
      </c>
      <c r="CO233" s="83">
        <v>3926</v>
      </c>
      <c r="CP233" s="83">
        <v>3818</v>
      </c>
      <c r="CQ233" s="83">
        <v>3793</v>
      </c>
      <c r="CR233" s="83">
        <v>3869</v>
      </c>
      <c r="CS233" s="83">
        <v>3820</v>
      </c>
      <c r="CT233" s="83">
        <v>3840</v>
      </c>
      <c r="CU233" s="382"/>
    </row>
    <row r="234" spans="1:99" s="86" customFormat="1" x14ac:dyDescent="0.2">
      <c r="A234" s="375">
        <v>159</v>
      </c>
      <c r="B234" s="375">
        <v>49</v>
      </c>
      <c r="C234" s="349" t="s">
        <v>156</v>
      </c>
      <c r="D234" s="376">
        <v>1515</v>
      </c>
      <c r="E234" s="164">
        <f t="shared" si="6"/>
        <v>143.05000000000001</v>
      </c>
      <c r="F234" s="394">
        <f t="shared" si="7"/>
        <v>6.662193697088477</v>
      </c>
      <c r="G234" s="86">
        <v>39</v>
      </c>
      <c r="H234" s="83">
        <v>42</v>
      </c>
      <c r="I234" s="83">
        <v>46</v>
      </c>
      <c r="J234" s="83">
        <v>40</v>
      </c>
      <c r="K234" s="83">
        <v>41</v>
      </c>
      <c r="L234" s="83">
        <v>49</v>
      </c>
      <c r="M234" s="83">
        <v>45</v>
      </c>
      <c r="N234" s="83">
        <v>42</v>
      </c>
      <c r="O234" s="83">
        <v>35</v>
      </c>
      <c r="P234" s="83">
        <v>44</v>
      </c>
      <c r="Q234" s="83">
        <v>44</v>
      </c>
      <c r="R234" s="83">
        <v>44</v>
      </c>
      <c r="S234" s="83">
        <v>46</v>
      </c>
      <c r="T234" s="83">
        <v>43</v>
      </c>
      <c r="U234" s="83">
        <v>41</v>
      </c>
      <c r="V234" s="83">
        <v>53</v>
      </c>
      <c r="W234" s="83">
        <v>43</v>
      </c>
      <c r="X234" s="83">
        <v>45</v>
      </c>
      <c r="Y234" s="83">
        <v>43</v>
      </c>
      <c r="Z234" s="83">
        <v>43</v>
      </c>
      <c r="AA234" s="83">
        <v>454</v>
      </c>
      <c r="AB234" s="83">
        <v>453</v>
      </c>
      <c r="AC234" s="83">
        <v>453</v>
      </c>
      <c r="AD234" s="83">
        <v>464</v>
      </c>
      <c r="AE234" s="83">
        <v>427</v>
      </c>
      <c r="AF234" s="83">
        <v>444</v>
      </c>
      <c r="AG234" s="83">
        <v>428</v>
      </c>
      <c r="AH234" s="83">
        <v>450</v>
      </c>
      <c r="AI234" s="83">
        <v>439</v>
      </c>
      <c r="AJ234" s="83">
        <v>429</v>
      </c>
      <c r="AK234" s="83">
        <v>420</v>
      </c>
      <c r="AL234" s="83">
        <v>395</v>
      </c>
      <c r="AM234" s="83">
        <v>423</v>
      </c>
      <c r="AN234" s="83">
        <v>397</v>
      </c>
      <c r="AO234" s="83">
        <v>402</v>
      </c>
      <c r="AP234" s="83">
        <v>442</v>
      </c>
      <c r="AQ234" s="83">
        <v>385</v>
      </c>
      <c r="AR234" s="83">
        <v>397</v>
      </c>
      <c r="AS234" s="83">
        <v>378</v>
      </c>
      <c r="AT234" s="83">
        <v>378</v>
      </c>
      <c r="AU234" s="83">
        <v>389</v>
      </c>
      <c r="AV234" s="83">
        <v>393</v>
      </c>
      <c r="AW234" s="83">
        <v>371</v>
      </c>
      <c r="AX234" s="83">
        <v>344</v>
      </c>
      <c r="AY234" s="83">
        <v>356</v>
      </c>
      <c r="AZ234" s="83">
        <v>387</v>
      </c>
      <c r="BA234" s="83">
        <v>376</v>
      </c>
      <c r="BB234" s="83">
        <v>380</v>
      </c>
      <c r="BC234" s="83">
        <v>387</v>
      </c>
      <c r="BD234" s="83">
        <v>358</v>
      </c>
      <c r="BE234" s="83">
        <v>353</v>
      </c>
      <c r="BF234" s="83">
        <v>364</v>
      </c>
      <c r="BG234" s="83">
        <v>384</v>
      </c>
      <c r="BH234" s="83">
        <v>346</v>
      </c>
      <c r="BI234" s="83">
        <v>343</v>
      </c>
      <c r="BJ234" s="83">
        <v>377</v>
      </c>
      <c r="BK234" s="83">
        <v>347</v>
      </c>
      <c r="BL234" s="83">
        <v>379</v>
      </c>
      <c r="BM234" s="83">
        <v>355</v>
      </c>
      <c r="BN234" s="83">
        <v>348</v>
      </c>
      <c r="BO234" s="83">
        <v>351</v>
      </c>
      <c r="BP234" s="83">
        <v>356</v>
      </c>
      <c r="BQ234" s="83">
        <v>341</v>
      </c>
      <c r="BR234" s="83">
        <v>331</v>
      </c>
      <c r="BS234" s="83">
        <v>364</v>
      </c>
      <c r="BT234" s="83">
        <v>344</v>
      </c>
      <c r="BU234" s="83">
        <v>353</v>
      </c>
      <c r="BV234" s="83">
        <v>343</v>
      </c>
      <c r="BW234" s="83">
        <v>342</v>
      </c>
      <c r="BX234" s="83">
        <v>355</v>
      </c>
      <c r="BY234" s="83">
        <v>342</v>
      </c>
      <c r="BZ234" s="83">
        <v>365</v>
      </c>
      <c r="CA234" s="83">
        <v>317</v>
      </c>
      <c r="CB234" s="83">
        <v>351</v>
      </c>
      <c r="CC234" s="83">
        <v>337</v>
      </c>
      <c r="CD234" s="83">
        <v>312</v>
      </c>
      <c r="CE234" s="83">
        <v>320</v>
      </c>
      <c r="CF234" s="83">
        <v>325</v>
      </c>
      <c r="CG234" s="83">
        <v>3313</v>
      </c>
      <c r="CH234" s="83">
        <v>3282</v>
      </c>
      <c r="CI234" s="83">
        <v>3223</v>
      </c>
      <c r="CJ234" s="83">
        <v>3118</v>
      </c>
      <c r="CK234" s="83">
        <v>3098</v>
      </c>
      <c r="CL234" s="83">
        <v>3090</v>
      </c>
      <c r="CM234" s="83">
        <v>3050</v>
      </c>
      <c r="CN234" s="83">
        <v>2961</v>
      </c>
      <c r="CO234" s="83">
        <v>3028</v>
      </c>
      <c r="CP234" s="83">
        <v>3002</v>
      </c>
      <c r="CQ234" s="83">
        <v>2959</v>
      </c>
      <c r="CR234" s="83">
        <v>2926</v>
      </c>
      <c r="CS234" s="83">
        <v>2868</v>
      </c>
      <c r="CT234" s="83">
        <v>2951</v>
      </c>
      <c r="CU234" s="382"/>
    </row>
    <row r="235" spans="1:99" s="86" customFormat="1" x14ac:dyDescent="0.2">
      <c r="A235" s="375">
        <v>499</v>
      </c>
      <c r="B235" s="375">
        <v>49</v>
      </c>
      <c r="C235" s="349" t="s">
        <v>155</v>
      </c>
      <c r="D235" s="376">
        <v>1010</v>
      </c>
      <c r="E235" s="164">
        <f t="shared" si="6"/>
        <v>167.65</v>
      </c>
      <c r="F235" s="394">
        <f t="shared" si="7"/>
        <v>6.4390558821762651</v>
      </c>
      <c r="G235" s="86">
        <v>44</v>
      </c>
      <c r="H235" s="83">
        <v>35</v>
      </c>
      <c r="I235" s="83">
        <v>38</v>
      </c>
      <c r="J235" s="83">
        <v>44</v>
      </c>
      <c r="K235" s="83">
        <v>38</v>
      </c>
      <c r="L235" s="83">
        <v>35</v>
      </c>
      <c r="M235" s="83">
        <v>49</v>
      </c>
      <c r="N235" s="83">
        <v>35</v>
      </c>
      <c r="O235" s="83">
        <v>45</v>
      </c>
      <c r="P235" s="83">
        <v>39</v>
      </c>
      <c r="Q235" s="83">
        <v>38</v>
      </c>
      <c r="R235" s="83">
        <v>46</v>
      </c>
      <c r="S235" s="83">
        <v>42</v>
      </c>
      <c r="T235" s="83">
        <v>40</v>
      </c>
      <c r="U235" s="83">
        <v>42</v>
      </c>
      <c r="V235" s="83">
        <v>35</v>
      </c>
      <c r="W235" s="83">
        <v>46</v>
      </c>
      <c r="X235" s="83">
        <v>43</v>
      </c>
      <c r="Y235" s="83">
        <v>37</v>
      </c>
      <c r="Z235" s="83">
        <v>41</v>
      </c>
      <c r="AA235" s="83">
        <v>425</v>
      </c>
      <c r="AB235" s="83">
        <v>405</v>
      </c>
      <c r="AC235" s="83">
        <v>416</v>
      </c>
      <c r="AD235" s="83">
        <v>408</v>
      </c>
      <c r="AE235" s="83">
        <v>435</v>
      </c>
      <c r="AF235" s="83">
        <v>401</v>
      </c>
      <c r="AG235" s="83">
        <v>409</v>
      </c>
      <c r="AH235" s="83">
        <v>400</v>
      </c>
      <c r="AI235" s="83">
        <v>380</v>
      </c>
      <c r="AJ235" s="83">
        <v>379</v>
      </c>
      <c r="AK235" s="83">
        <v>370</v>
      </c>
      <c r="AL235" s="83">
        <v>362</v>
      </c>
      <c r="AM235" s="83">
        <v>366</v>
      </c>
      <c r="AN235" s="83">
        <v>397</v>
      </c>
      <c r="AO235" s="83">
        <v>391</v>
      </c>
      <c r="AP235" s="83">
        <v>365</v>
      </c>
      <c r="AQ235" s="83">
        <v>358</v>
      </c>
      <c r="AR235" s="83">
        <v>344</v>
      </c>
      <c r="AS235" s="83">
        <v>338</v>
      </c>
      <c r="AT235" s="83">
        <v>349</v>
      </c>
      <c r="AU235" s="83">
        <v>349</v>
      </c>
      <c r="AV235" s="83">
        <v>332</v>
      </c>
      <c r="AW235" s="83">
        <v>334</v>
      </c>
      <c r="AX235" s="83">
        <v>322</v>
      </c>
      <c r="AY235" s="83">
        <v>342</v>
      </c>
      <c r="AZ235" s="83">
        <v>347</v>
      </c>
      <c r="BA235" s="83">
        <v>350</v>
      </c>
      <c r="BB235" s="83">
        <v>347</v>
      </c>
      <c r="BC235" s="83">
        <v>343</v>
      </c>
      <c r="BD235" s="83">
        <v>352</v>
      </c>
      <c r="BE235" s="83">
        <v>329</v>
      </c>
      <c r="BF235" s="83">
        <v>305</v>
      </c>
      <c r="BG235" s="83">
        <v>323</v>
      </c>
      <c r="BH235" s="83">
        <v>323</v>
      </c>
      <c r="BI235" s="83">
        <v>328</v>
      </c>
      <c r="BJ235" s="83">
        <v>296</v>
      </c>
      <c r="BK235" s="83">
        <v>338</v>
      </c>
      <c r="BL235" s="83">
        <v>321</v>
      </c>
      <c r="BM235" s="83">
        <v>300</v>
      </c>
      <c r="BN235" s="83">
        <v>328</v>
      </c>
      <c r="BO235" s="83">
        <v>317</v>
      </c>
      <c r="BP235" s="83">
        <v>304</v>
      </c>
      <c r="BQ235" s="83">
        <v>327</v>
      </c>
      <c r="BR235" s="83">
        <v>298</v>
      </c>
      <c r="BS235" s="83">
        <v>283</v>
      </c>
      <c r="BT235" s="83">
        <v>304</v>
      </c>
      <c r="BU235" s="83">
        <v>294</v>
      </c>
      <c r="BV235" s="83">
        <v>284</v>
      </c>
      <c r="BW235" s="83">
        <v>290</v>
      </c>
      <c r="BX235" s="83">
        <v>303</v>
      </c>
      <c r="BY235" s="83">
        <v>286</v>
      </c>
      <c r="BZ235" s="83">
        <v>285</v>
      </c>
      <c r="CA235" s="83">
        <v>272</v>
      </c>
      <c r="CB235" s="83">
        <v>283</v>
      </c>
      <c r="CC235" s="83">
        <v>296</v>
      </c>
      <c r="CD235" s="83">
        <v>280</v>
      </c>
      <c r="CE235" s="83">
        <v>265</v>
      </c>
      <c r="CF235" s="83">
        <v>291</v>
      </c>
      <c r="CG235" s="83">
        <v>2940</v>
      </c>
      <c r="CH235" s="83">
        <v>2719</v>
      </c>
      <c r="CI235" s="83">
        <v>2772</v>
      </c>
      <c r="CJ235" s="83">
        <v>2669</v>
      </c>
      <c r="CK235" s="83">
        <v>2573</v>
      </c>
      <c r="CL235" s="83">
        <v>2573</v>
      </c>
      <c r="CM235" s="83">
        <v>2576</v>
      </c>
      <c r="CN235" s="83">
        <v>2509</v>
      </c>
      <c r="CO235" s="83">
        <v>2513</v>
      </c>
      <c r="CP235" s="83">
        <v>2485</v>
      </c>
      <c r="CQ235" s="83">
        <v>2435</v>
      </c>
      <c r="CR235" s="83">
        <v>2407</v>
      </c>
      <c r="CS235" s="83">
        <v>2392</v>
      </c>
      <c r="CT235" s="83">
        <v>2375</v>
      </c>
      <c r="CU235" s="382"/>
    </row>
    <row r="236" spans="1:99" s="86" customFormat="1" x14ac:dyDescent="0.2">
      <c r="A236" s="375">
        <v>503</v>
      </c>
      <c r="B236" s="375">
        <v>49</v>
      </c>
      <c r="C236" s="349" t="s">
        <v>156</v>
      </c>
      <c r="D236" s="376">
        <v>1516</v>
      </c>
      <c r="E236" s="164">
        <f t="shared" si="6"/>
        <v>87.25</v>
      </c>
      <c r="F236" s="394">
        <f t="shared" si="7"/>
        <v>5.4736581987382369</v>
      </c>
      <c r="G236" s="86">
        <v>26</v>
      </c>
      <c r="H236" s="83">
        <v>23</v>
      </c>
      <c r="I236" s="83">
        <v>28</v>
      </c>
      <c r="J236" s="83">
        <v>33</v>
      </c>
      <c r="K236" s="83">
        <v>32</v>
      </c>
      <c r="L236" s="83">
        <v>22</v>
      </c>
      <c r="M236" s="83">
        <v>30</v>
      </c>
      <c r="N236" s="83">
        <v>32</v>
      </c>
      <c r="O236" s="83">
        <v>34</v>
      </c>
      <c r="P236" s="83">
        <v>27</v>
      </c>
      <c r="Q236" s="83">
        <v>29</v>
      </c>
      <c r="R236" s="83">
        <v>32</v>
      </c>
      <c r="S236" s="83">
        <v>32</v>
      </c>
      <c r="T236" s="83">
        <v>30</v>
      </c>
      <c r="U236" s="83">
        <v>31</v>
      </c>
      <c r="V236" s="83">
        <v>28</v>
      </c>
      <c r="W236" s="83">
        <v>27</v>
      </c>
      <c r="X236" s="83">
        <v>30</v>
      </c>
      <c r="Y236" s="83">
        <v>37</v>
      </c>
      <c r="Z236" s="83">
        <v>30</v>
      </c>
      <c r="AA236" s="83">
        <v>312</v>
      </c>
      <c r="AB236" s="83">
        <v>309</v>
      </c>
      <c r="AC236" s="83">
        <v>320</v>
      </c>
      <c r="AD236" s="83">
        <v>323</v>
      </c>
      <c r="AE236" s="83">
        <v>329</v>
      </c>
      <c r="AF236" s="83">
        <v>315</v>
      </c>
      <c r="AG236" s="83">
        <v>295</v>
      </c>
      <c r="AH236" s="83">
        <v>313</v>
      </c>
      <c r="AI236" s="83">
        <v>312</v>
      </c>
      <c r="AJ236" s="83">
        <v>318</v>
      </c>
      <c r="AK236" s="83">
        <v>312</v>
      </c>
      <c r="AL236" s="83">
        <v>337</v>
      </c>
      <c r="AM236" s="83">
        <v>291</v>
      </c>
      <c r="AN236" s="83">
        <v>292</v>
      </c>
      <c r="AO236" s="83">
        <v>304</v>
      </c>
      <c r="AP236" s="83">
        <v>281</v>
      </c>
      <c r="AQ236" s="83">
        <v>305</v>
      </c>
      <c r="AR236" s="83">
        <v>280</v>
      </c>
      <c r="AS236" s="83">
        <v>268</v>
      </c>
      <c r="AT236" s="83">
        <v>296</v>
      </c>
      <c r="AU236" s="83">
        <v>280</v>
      </c>
      <c r="AV236" s="83">
        <v>270</v>
      </c>
      <c r="AW236" s="83">
        <v>292</v>
      </c>
      <c r="AX236" s="83">
        <v>288</v>
      </c>
      <c r="AY236" s="83">
        <v>272</v>
      </c>
      <c r="AZ236" s="83">
        <v>282</v>
      </c>
      <c r="BA236" s="83">
        <v>249</v>
      </c>
      <c r="BB236" s="83">
        <v>275</v>
      </c>
      <c r="BC236" s="83">
        <v>284</v>
      </c>
      <c r="BD236" s="83">
        <v>242</v>
      </c>
      <c r="BE236" s="83">
        <v>269</v>
      </c>
      <c r="BF236" s="83">
        <v>268</v>
      </c>
      <c r="BG236" s="83">
        <v>282</v>
      </c>
      <c r="BH236" s="83">
        <v>273</v>
      </c>
      <c r="BI236" s="83">
        <v>251</v>
      </c>
      <c r="BJ236" s="83">
        <v>260</v>
      </c>
      <c r="BK236" s="83">
        <v>268</v>
      </c>
      <c r="BL236" s="83">
        <v>261</v>
      </c>
      <c r="BM236" s="83">
        <v>268</v>
      </c>
      <c r="BN236" s="83">
        <v>254</v>
      </c>
      <c r="BO236" s="83">
        <v>258</v>
      </c>
      <c r="BP236" s="83">
        <v>258</v>
      </c>
      <c r="BQ236" s="83">
        <v>255</v>
      </c>
      <c r="BR236" s="83">
        <v>254</v>
      </c>
      <c r="BS236" s="83">
        <v>253</v>
      </c>
      <c r="BT236" s="83">
        <v>246</v>
      </c>
      <c r="BU236" s="83">
        <v>239</v>
      </c>
      <c r="BV236" s="83">
        <v>234</v>
      </c>
      <c r="BW236" s="83">
        <v>253</v>
      </c>
      <c r="BX236" s="83">
        <v>275</v>
      </c>
      <c r="BY236" s="83">
        <v>231</v>
      </c>
      <c r="BZ236" s="83">
        <v>247</v>
      </c>
      <c r="CA236" s="83">
        <v>235</v>
      </c>
      <c r="CB236" s="83">
        <v>241</v>
      </c>
      <c r="CC236" s="83">
        <v>237</v>
      </c>
      <c r="CD236" s="83">
        <v>234</v>
      </c>
      <c r="CE236" s="83">
        <v>254</v>
      </c>
      <c r="CF236" s="83">
        <v>247</v>
      </c>
      <c r="CG236" s="83">
        <v>2372</v>
      </c>
      <c r="CH236" s="83">
        <v>2351</v>
      </c>
      <c r="CI236" s="83">
        <v>2345</v>
      </c>
      <c r="CJ236" s="83">
        <v>2263</v>
      </c>
      <c r="CK236" s="83">
        <v>2201</v>
      </c>
      <c r="CL236" s="83">
        <v>2201</v>
      </c>
      <c r="CM236" s="83">
        <v>2150</v>
      </c>
      <c r="CN236" s="83">
        <v>2170</v>
      </c>
      <c r="CO236" s="83">
        <v>2093</v>
      </c>
      <c r="CP236" s="83">
        <v>2109</v>
      </c>
      <c r="CQ236" s="83">
        <v>2083</v>
      </c>
      <c r="CR236" s="83">
        <v>2072</v>
      </c>
      <c r="CS236" s="83">
        <v>2082</v>
      </c>
      <c r="CT236" s="83">
        <v>2103</v>
      </c>
      <c r="CU236" s="382"/>
    </row>
    <row r="237" spans="1:99" s="86" customFormat="1" x14ac:dyDescent="0.2">
      <c r="A237" s="375">
        <v>508</v>
      </c>
      <c r="B237" s="375">
        <v>49</v>
      </c>
      <c r="C237" s="349" t="s">
        <v>155</v>
      </c>
      <c r="D237" s="376">
        <v>2021</v>
      </c>
      <c r="E237" s="164">
        <f t="shared" si="6"/>
        <v>107.94999999999999</v>
      </c>
      <c r="F237" s="394">
        <f t="shared" si="7"/>
        <v>5.4024850676173939</v>
      </c>
      <c r="G237" s="86">
        <v>27</v>
      </c>
      <c r="H237" s="83">
        <v>35</v>
      </c>
      <c r="I237" s="83">
        <v>24</v>
      </c>
      <c r="J237" s="83">
        <v>28</v>
      </c>
      <c r="K237" s="83">
        <v>28</v>
      </c>
      <c r="L237" s="83">
        <v>28</v>
      </c>
      <c r="M237" s="83">
        <v>32</v>
      </c>
      <c r="N237" s="83">
        <v>21</v>
      </c>
      <c r="O237" s="83">
        <v>29</v>
      </c>
      <c r="P237" s="83">
        <v>24</v>
      </c>
      <c r="Q237" s="83">
        <v>31</v>
      </c>
      <c r="R237" s="83">
        <v>23</v>
      </c>
      <c r="S237" s="83">
        <v>29</v>
      </c>
      <c r="T237" s="83">
        <v>44</v>
      </c>
      <c r="U237" s="83">
        <v>34</v>
      </c>
      <c r="V237" s="83">
        <v>28</v>
      </c>
      <c r="W237" s="83">
        <v>29</v>
      </c>
      <c r="X237" s="83">
        <v>32</v>
      </c>
      <c r="Y237" s="83">
        <v>25</v>
      </c>
      <c r="Z237" s="83">
        <v>27</v>
      </c>
      <c r="AA237" s="83">
        <v>311</v>
      </c>
      <c r="AB237" s="83">
        <v>300</v>
      </c>
      <c r="AC237" s="83">
        <v>302</v>
      </c>
      <c r="AD237" s="83">
        <v>279</v>
      </c>
      <c r="AE237" s="83">
        <v>292</v>
      </c>
      <c r="AF237" s="83">
        <v>290</v>
      </c>
      <c r="AG237" s="83">
        <v>272</v>
      </c>
      <c r="AH237" s="83">
        <v>292</v>
      </c>
      <c r="AI237" s="83">
        <v>286</v>
      </c>
      <c r="AJ237" s="83">
        <v>273</v>
      </c>
      <c r="AK237" s="83">
        <v>276</v>
      </c>
      <c r="AL237" s="83">
        <v>278</v>
      </c>
      <c r="AM237" s="83">
        <v>250</v>
      </c>
      <c r="AN237" s="83">
        <v>268</v>
      </c>
      <c r="AO237" s="83">
        <v>245</v>
      </c>
      <c r="AP237" s="83">
        <v>265</v>
      </c>
      <c r="AQ237" s="83">
        <v>262</v>
      </c>
      <c r="AR237" s="83">
        <v>234</v>
      </c>
      <c r="AS237" s="83">
        <v>252</v>
      </c>
      <c r="AT237" s="83">
        <v>258</v>
      </c>
      <c r="AU237" s="83">
        <v>245</v>
      </c>
      <c r="AV237" s="83">
        <v>257</v>
      </c>
      <c r="AW237" s="83">
        <v>263</v>
      </c>
      <c r="AX237" s="83">
        <v>239</v>
      </c>
      <c r="AY237" s="83">
        <v>242</v>
      </c>
      <c r="AZ237" s="83">
        <v>248</v>
      </c>
      <c r="BA237" s="83">
        <v>240</v>
      </c>
      <c r="BB237" s="83">
        <v>239</v>
      </c>
      <c r="BC237" s="83">
        <v>215</v>
      </c>
      <c r="BD237" s="83">
        <v>231</v>
      </c>
      <c r="BE237" s="83">
        <v>242</v>
      </c>
      <c r="BF237" s="83">
        <v>242</v>
      </c>
      <c r="BG237" s="83">
        <v>215</v>
      </c>
      <c r="BH237" s="83">
        <v>227</v>
      </c>
      <c r="BI237" s="83">
        <v>219</v>
      </c>
      <c r="BJ237" s="83">
        <v>226</v>
      </c>
      <c r="BK237" s="83">
        <v>240</v>
      </c>
      <c r="BL237" s="83">
        <v>225</v>
      </c>
      <c r="BM237" s="83">
        <v>215</v>
      </c>
      <c r="BN237" s="83">
        <v>225</v>
      </c>
      <c r="BO237" s="83">
        <v>218</v>
      </c>
      <c r="BP237" s="83">
        <v>208</v>
      </c>
      <c r="BQ237" s="83">
        <v>218</v>
      </c>
      <c r="BR237" s="83">
        <v>215</v>
      </c>
      <c r="BS237" s="83">
        <v>221</v>
      </c>
      <c r="BT237" s="83">
        <v>220</v>
      </c>
      <c r="BU237" s="83">
        <v>212</v>
      </c>
      <c r="BV237" s="83">
        <v>203</v>
      </c>
      <c r="BW237" s="83">
        <v>227</v>
      </c>
      <c r="BX237" s="83">
        <v>217</v>
      </c>
      <c r="BY237" s="83">
        <v>211</v>
      </c>
      <c r="BZ237" s="83">
        <v>212</v>
      </c>
      <c r="CA237" s="83">
        <v>218</v>
      </c>
      <c r="CB237" s="83">
        <v>216</v>
      </c>
      <c r="CC237" s="83">
        <v>196</v>
      </c>
      <c r="CD237" s="83">
        <v>208</v>
      </c>
      <c r="CE237" s="83">
        <v>233</v>
      </c>
      <c r="CF237" s="83">
        <v>194</v>
      </c>
      <c r="CG237" s="83">
        <v>2060</v>
      </c>
      <c r="CH237" s="83">
        <v>1971</v>
      </c>
      <c r="CI237" s="83">
        <v>1989</v>
      </c>
      <c r="CJ237" s="83">
        <v>1905</v>
      </c>
      <c r="CK237" s="83">
        <v>1890</v>
      </c>
      <c r="CL237" s="83">
        <v>1870</v>
      </c>
      <c r="CM237" s="83">
        <v>1850</v>
      </c>
      <c r="CN237" s="83">
        <v>1837</v>
      </c>
      <c r="CO237" s="83">
        <v>1831</v>
      </c>
      <c r="CP237" s="83">
        <v>1792</v>
      </c>
      <c r="CQ237" s="83">
        <v>1797</v>
      </c>
      <c r="CR237" s="83">
        <v>1779</v>
      </c>
      <c r="CS237" s="83">
        <v>1818</v>
      </c>
      <c r="CT237" s="83">
        <v>1803</v>
      </c>
      <c r="CU237" s="382"/>
    </row>
    <row r="238" spans="1:99" s="86" customFormat="1" x14ac:dyDescent="0.2">
      <c r="A238" s="375">
        <v>512</v>
      </c>
      <c r="B238" s="375">
        <v>49</v>
      </c>
      <c r="C238" s="349" t="s">
        <v>156</v>
      </c>
      <c r="D238" s="376">
        <v>1516</v>
      </c>
      <c r="E238" s="164">
        <f t="shared" si="6"/>
        <v>101.30000000000001</v>
      </c>
      <c r="F238" s="394">
        <f t="shared" si="7"/>
        <v>5.2536475798061986</v>
      </c>
      <c r="G238" s="86">
        <v>34</v>
      </c>
      <c r="H238" s="83">
        <v>22</v>
      </c>
      <c r="I238" s="83">
        <v>27</v>
      </c>
      <c r="J238" s="83">
        <v>32</v>
      </c>
      <c r="K238" s="83">
        <v>19</v>
      </c>
      <c r="L238" s="83">
        <v>25</v>
      </c>
      <c r="M238" s="83">
        <v>25</v>
      </c>
      <c r="N238" s="83">
        <v>31</v>
      </c>
      <c r="O238" s="83">
        <v>26</v>
      </c>
      <c r="P238" s="83">
        <v>25</v>
      </c>
      <c r="Q238" s="83">
        <v>29</v>
      </c>
      <c r="R238" s="83">
        <v>24</v>
      </c>
      <c r="S238" s="83">
        <v>20</v>
      </c>
      <c r="T238" s="83">
        <v>29</v>
      </c>
      <c r="U238" s="83">
        <v>28</v>
      </c>
      <c r="V238" s="83">
        <v>30</v>
      </c>
      <c r="W238" s="83">
        <v>26</v>
      </c>
      <c r="X238" s="83">
        <v>24</v>
      </c>
      <c r="Y238" s="83">
        <v>29</v>
      </c>
      <c r="Z238" s="83">
        <v>32</v>
      </c>
      <c r="AA238" s="83">
        <v>281</v>
      </c>
      <c r="AB238" s="83">
        <v>273</v>
      </c>
      <c r="AC238" s="83">
        <v>286</v>
      </c>
      <c r="AD238" s="83">
        <v>281</v>
      </c>
      <c r="AE238" s="83">
        <v>258</v>
      </c>
      <c r="AF238" s="83">
        <v>511</v>
      </c>
      <c r="AG238" s="83">
        <v>250</v>
      </c>
      <c r="AH238" s="83">
        <v>265</v>
      </c>
      <c r="AI238" s="83">
        <v>250</v>
      </c>
      <c r="AJ238" s="83">
        <v>259</v>
      </c>
      <c r="AK238" s="83">
        <v>259</v>
      </c>
      <c r="AL238" s="83">
        <v>239</v>
      </c>
      <c r="AM238" s="83">
        <v>227</v>
      </c>
      <c r="AN238" s="83">
        <v>221</v>
      </c>
      <c r="AO238" s="83">
        <v>220</v>
      </c>
      <c r="AP238" s="83">
        <v>232</v>
      </c>
      <c r="AQ238" s="83">
        <v>219</v>
      </c>
      <c r="AR238" s="83">
        <v>220</v>
      </c>
      <c r="AS238" s="83">
        <v>236</v>
      </c>
      <c r="AT238" s="83">
        <v>213</v>
      </c>
      <c r="AU238" s="83">
        <v>223</v>
      </c>
      <c r="AV238" s="83">
        <v>222</v>
      </c>
      <c r="AW238" s="83">
        <v>212</v>
      </c>
      <c r="AX238" s="83">
        <v>199</v>
      </c>
      <c r="AY238" s="83">
        <v>227</v>
      </c>
      <c r="AZ238" s="83">
        <v>219</v>
      </c>
      <c r="BA238" s="83">
        <v>206</v>
      </c>
      <c r="BB238" s="83">
        <v>220</v>
      </c>
      <c r="BC238" s="83">
        <v>212</v>
      </c>
      <c r="BD238" s="83">
        <v>200</v>
      </c>
      <c r="BE238" s="83">
        <v>215</v>
      </c>
      <c r="BF238" s="83">
        <v>218</v>
      </c>
      <c r="BG238" s="83">
        <v>200</v>
      </c>
      <c r="BH238" s="83">
        <v>203</v>
      </c>
      <c r="BI238" s="83">
        <v>215</v>
      </c>
      <c r="BJ238" s="83">
        <v>197</v>
      </c>
      <c r="BK238" s="83">
        <v>215</v>
      </c>
      <c r="BL238" s="83">
        <v>187</v>
      </c>
      <c r="BM238" s="83">
        <v>188</v>
      </c>
      <c r="BN238" s="83">
        <v>208</v>
      </c>
      <c r="BO238" s="83">
        <v>194</v>
      </c>
      <c r="BP238" s="83">
        <v>201</v>
      </c>
      <c r="BQ238" s="83">
        <v>210</v>
      </c>
      <c r="BR238" s="83">
        <v>211</v>
      </c>
      <c r="BS238" s="83">
        <v>195</v>
      </c>
      <c r="BT238" s="83">
        <v>201</v>
      </c>
      <c r="BU238" s="83">
        <v>195</v>
      </c>
      <c r="BV238" s="83">
        <v>213</v>
      </c>
      <c r="BW238" s="83">
        <v>187</v>
      </c>
      <c r="BX238" s="83">
        <v>202</v>
      </c>
      <c r="BY238" s="83">
        <v>191</v>
      </c>
      <c r="BZ238" s="83">
        <v>184</v>
      </c>
      <c r="CA238" s="83">
        <v>186</v>
      </c>
      <c r="CB238" s="83">
        <v>204</v>
      </c>
      <c r="CC238" s="83">
        <v>212</v>
      </c>
      <c r="CD238" s="83">
        <v>186</v>
      </c>
      <c r="CE238" s="83">
        <v>197</v>
      </c>
      <c r="CF238" s="83">
        <v>207</v>
      </c>
      <c r="CG238" s="83">
        <v>1880</v>
      </c>
      <c r="CH238" s="83">
        <v>1906</v>
      </c>
      <c r="CI238" s="83">
        <v>1849</v>
      </c>
      <c r="CJ238" s="83">
        <v>1798</v>
      </c>
      <c r="CK238" s="83">
        <v>1737</v>
      </c>
      <c r="CL238" s="83">
        <v>1761</v>
      </c>
      <c r="CM238" s="83">
        <v>1739</v>
      </c>
      <c r="CN238" s="83">
        <v>1751</v>
      </c>
      <c r="CO238" s="83">
        <v>1811</v>
      </c>
      <c r="CP238" s="83">
        <v>1754</v>
      </c>
      <c r="CQ238" s="83">
        <v>1697</v>
      </c>
      <c r="CR238" s="83">
        <v>1688</v>
      </c>
      <c r="CS238" s="83">
        <v>1695</v>
      </c>
      <c r="CT238" s="83">
        <v>1649</v>
      </c>
      <c r="CU238" s="382"/>
    </row>
    <row r="239" spans="1:99" s="86" customFormat="1" x14ac:dyDescent="0.2">
      <c r="A239" s="375">
        <v>517</v>
      </c>
      <c r="B239" s="375">
        <v>49</v>
      </c>
      <c r="C239" s="349" t="s">
        <v>155</v>
      </c>
      <c r="D239" s="376">
        <v>4168</v>
      </c>
      <c r="E239" s="164">
        <f t="shared" si="6"/>
        <v>134.19999999999999</v>
      </c>
      <c r="F239" s="394">
        <f t="shared" si="7"/>
        <v>5.5569268209421638</v>
      </c>
      <c r="G239" s="86">
        <v>28</v>
      </c>
      <c r="H239" s="83">
        <v>27</v>
      </c>
      <c r="I239" s="83">
        <v>26</v>
      </c>
      <c r="J239" s="83">
        <v>36</v>
      </c>
      <c r="K239" s="83">
        <v>30</v>
      </c>
      <c r="L239" s="83">
        <v>28</v>
      </c>
      <c r="M239" s="83">
        <v>40</v>
      </c>
      <c r="N239" s="83">
        <v>32</v>
      </c>
      <c r="O239" s="83">
        <v>29</v>
      </c>
      <c r="P239" s="83">
        <v>32</v>
      </c>
      <c r="Q239" s="83">
        <v>33</v>
      </c>
      <c r="R239" s="83">
        <v>28</v>
      </c>
      <c r="S239" s="83">
        <v>30</v>
      </c>
      <c r="T239" s="83">
        <v>28</v>
      </c>
      <c r="U239" s="83">
        <v>30</v>
      </c>
      <c r="V239" s="83">
        <v>27</v>
      </c>
      <c r="W239" s="83">
        <v>27</v>
      </c>
      <c r="X239" s="83">
        <v>33</v>
      </c>
      <c r="Y239" s="83">
        <v>29</v>
      </c>
      <c r="Z239" s="83">
        <v>29</v>
      </c>
      <c r="AA239" s="83">
        <v>289</v>
      </c>
      <c r="AB239" s="83">
        <v>351</v>
      </c>
      <c r="AC239" s="83">
        <v>328</v>
      </c>
      <c r="AD239" s="83">
        <v>321</v>
      </c>
      <c r="AE239" s="83">
        <v>293</v>
      </c>
      <c r="AF239" s="83">
        <v>304</v>
      </c>
      <c r="AG239" s="83">
        <v>304</v>
      </c>
      <c r="AH239" s="83">
        <v>303</v>
      </c>
      <c r="AI239" s="83">
        <v>299</v>
      </c>
      <c r="AJ239" s="83">
        <v>301</v>
      </c>
      <c r="AK239" s="83">
        <v>283</v>
      </c>
      <c r="AL239" s="83">
        <v>278</v>
      </c>
      <c r="AM239" s="83">
        <v>261</v>
      </c>
      <c r="AN239" s="83">
        <v>282</v>
      </c>
      <c r="AO239" s="83">
        <v>265</v>
      </c>
      <c r="AP239" s="83">
        <v>250</v>
      </c>
      <c r="AQ239" s="83">
        <v>292</v>
      </c>
      <c r="AR239" s="83">
        <v>247</v>
      </c>
      <c r="AS239" s="83">
        <v>263</v>
      </c>
      <c r="AT239" s="83">
        <v>254</v>
      </c>
      <c r="AU239" s="83">
        <v>275</v>
      </c>
      <c r="AV239" s="83">
        <v>238</v>
      </c>
      <c r="AW239" s="83">
        <v>253</v>
      </c>
      <c r="AX239" s="83">
        <v>259</v>
      </c>
      <c r="AY239" s="83">
        <v>255</v>
      </c>
      <c r="AZ239" s="83">
        <v>236</v>
      </c>
      <c r="BA239" s="83">
        <v>241</v>
      </c>
      <c r="BB239" s="83">
        <v>242</v>
      </c>
      <c r="BC239" s="83">
        <v>242</v>
      </c>
      <c r="BD239" s="83">
        <v>239</v>
      </c>
      <c r="BE239" s="83">
        <v>248</v>
      </c>
      <c r="BF239" s="83">
        <v>254</v>
      </c>
      <c r="BG239" s="83">
        <v>221</v>
      </c>
      <c r="BH239" s="83">
        <v>235</v>
      </c>
      <c r="BI239" s="83">
        <v>238</v>
      </c>
      <c r="BJ239" s="83">
        <v>212</v>
      </c>
      <c r="BK239" s="83">
        <v>226</v>
      </c>
      <c r="BL239" s="83">
        <v>228</v>
      </c>
      <c r="BM239" s="83">
        <v>251</v>
      </c>
      <c r="BN239" s="83">
        <v>217</v>
      </c>
      <c r="BO239" s="83">
        <v>205</v>
      </c>
      <c r="BP239" s="83">
        <v>231</v>
      </c>
      <c r="BQ239" s="83">
        <v>224</v>
      </c>
      <c r="BR239" s="83">
        <v>211</v>
      </c>
      <c r="BS239" s="83">
        <v>221</v>
      </c>
      <c r="BT239" s="83">
        <v>203</v>
      </c>
      <c r="BU239" s="83">
        <v>200</v>
      </c>
      <c r="BV239" s="83">
        <v>197</v>
      </c>
      <c r="BW239" s="83">
        <v>215</v>
      </c>
      <c r="BX239" s="83">
        <v>197</v>
      </c>
      <c r="BY239" s="83">
        <v>220</v>
      </c>
      <c r="BZ239" s="83">
        <v>214</v>
      </c>
      <c r="CA239" s="83">
        <v>209</v>
      </c>
      <c r="CB239" s="83">
        <v>199</v>
      </c>
      <c r="CC239" s="83">
        <v>203</v>
      </c>
      <c r="CD239" s="83">
        <v>217</v>
      </c>
      <c r="CE239" s="83">
        <v>201</v>
      </c>
      <c r="CF239" s="83">
        <v>209</v>
      </c>
      <c r="CG239" s="83">
        <v>1983</v>
      </c>
      <c r="CH239" s="83">
        <v>2015</v>
      </c>
      <c r="CI239" s="83">
        <v>1925</v>
      </c>
      <c r="CJ239" s="83">
        <v>1909</v>
      </c>
      <c r="CK239" s="83">
        <v>1837</v>
      </c>
      <c r="CL239" s="83">
        <v>1823</v>
      </c>
      <c r="CM239" s="83">
        <v>1759</v>
      </c>
      <c r="CN239" s="83">
        <v>1682</v>
      </c>
      <c r="CO239" s="83">
        <v>1711</v>
      </c>
      <c r="CP239" s="83">
        <v>1739</v>
      </c>
      <c r="CQ239" s="83">
        <v>1670</v>
      </c>
      <c r="CR239" s="83">
        <v>1632</v>
      </c>
      <c r="CS239" s="83">
        <v>1666</v>
      </c>
      <c r="CT239" s="83">
        <v>1670</v>
      </c>
      <c r="CU239" s="382"/>
    </row>
    <row r="240" spans="1:99" s="86" customFormat="1" x14ac:dyDescent="0.2">
      <c r="A240" s="375">
        <v>521</v>
      </c>
      <c r="B240" s="375">
        <v>49</v>
      </c>
      <c r="C240" s="349" t="s">
        <v>156</v>
      </c>
      <c r="D240" s="376">
        <v>1516</v>
      </c>
      <c r="E240" s="164">
        <f t="shared" si="6"/>
        <v>91.35</v>
      </c>
      <c r="F240" s="394">
        <f t="shared" si="7"/>
        <v>5.0101267536617087</v>
      </c>
      <c r="G240" s="86">
        <v>24</v>
      </c>
      <c r="H240" s="83">
        <v>21</v>
      </c>
      <c r="I240" s="83">
        <v>25</v>
      </c>
      <c r="J240" s="83">
        <v>24</v>
      </c>
      <c r="K240" s="83">
        <v>28</v>
      </c>
      <c r="L240" s="83">
        <v>23</v>
      </c>
      <c r="M240" s="83">
        <v>22</v>
      </c>
      <c r="N240" s="83">
        <v>26</v>
      </c>
      <c r="O240" s="83">
        <v>23</v>
      </c>
      <c r="P240" s="83">
        <v>26</v>
      </c>
      <c r="Q240" s="83">
        <v>22</v>
      </c>
      <c r="R240" s="83">
        <v>24</v>
      </c>
      <c r="S240" s="83">
        <v>24</v>
      </c>
      <c r="T240" s="83">
        <v>28</v>
      </c>
      <c r="U240" s="83">
        <v>26</v>
      </c>
      <c r="V240" s="83">
        <v>24</v>
      </c>
      <c r="W240" s="83">
        <v>24</v>
      </c>
      <c r="X240" s="83">
        <v>26</v>
      </c>
      <c r="Y240" s="83">
        <v>21</v>
      </c>
      <c r="Z240" s="83">
        <v>27</v>
      </c>
      <c r="AA240" s="83">
        <v>267</v>
      </c>
      <c r="AB240" s="83">
        <v>258</v>
      </c>
      <c r="AC240" s="83">
        <v>255</v>
      </c>
      <c r="AD240" s="83">
        <v>243</v>
      </c>
      <c r="AE240" s="83">
        <v>262</v>
      </c>
      <c r="AF240" s="83">
        <v>260</v>
      </c>
      <c r="AG240" s="83">
        <v>267</v>
      </c>
      <c r="AH240" s="83">
        <v>245</v>
      </c>
      <c r="AI240" s="83">
        <v>253</v>
      </c>
      <c r="AJ240" s="83">
        <v>221</v>
      </c>
      <c r="AK240" s="83">
        <v>230</v>
      </c>
      <c r="AL240" s="83">
        <v>227</v>
      </c>
      <c r="AM240" s="83">
        <v>233</v>
      </c>
      <c r="AN240" s="83">
        <v>205</v>
      </c>
      <c r="AO240" s="83">
        <v>226</v>
      </c>
      <c r="AP240" s="83">
        <v>206</v>
      </c>
      <c r="AQ240" s="83">
        <v>217</v>
      </c>
      <c r="AR240" s="83">
        <v>217</v>
      </c>
      <c r="AS240" s="83">
        <v>211</v>
      </c>
      <c r="AT240" s="83">
        <v>212</v>
      </c>
      <c r="AU240" s="83">
        <v>218</v>
      </c>
      <c r="AV240" s="83">
        <v>224</v>
      </c>
      <c r="AW240" s="83">
        <v>218</v>
      </c>
      <c r="AX240" s="83">
        <v>195</v>
      </c>
      <c r="AY240" s="83">
        <v>207</v>
      </c>
      <c r="AZ240" s="83">
        <v>193</v>
      </c>
      <c r="BA240" s="83">
        <v>215</v>
      </c>
      <c r="BB240" s="83">
        <v>206</v>
      </c>
      <c r="BC240" s="83">
        <v>201</v>
      </c>
      <c r="BD240" s="83">
        <v>191</v>
      </c>
      <c r="BE240" s="83">
        <v>202</v>
      </c>
      <c r="BF240" s="83">
        <v>215</v>
      </c>
      <c r="BG240" s="83">
        <v>182</v>
      </c>
      <c r="BH240" s="83">
        <v>205</v>
      </c>
      <c r="BI240" s="83">
        <v>183</v>
      </c>
      <c r="BJ240" s="83">
        <v>182</v>
      </c>
      <c r="BK240" s="83">
        <v>181</v>
      </c>
      <c r="BL240" s="83">
        <v>206</v>
      </c>
      <c r="BM240" s="83">
        <v>196</v>
      </c>
      <c r="BN240" s="83">
        <v>177</v>
      </c>
      <c r="BO240" s="83">
        <v>185</v>
      </c>
      <c r="BP240" s="83">
        <v>187</v>
      </c>
      <c r="BQ240" s="83">
        <v>182</v>
      </c>
      <c r="BR240" s="83">
        <v>193</v>
      </c>
      <c r="BS240" s="83">
        <v>193</v>
      </c>
      <c r="BT240" s="83">
        <v>195</v>
      </c>
      <c r="BU240" s="83">
        <v>181</v>
      </c>
      <c r="BV240" s="83">
        <v>174</v>
      </c>
      <c r="BW240" s="83">
        <v>199</v>
      </c>
      <c r="BX240" s="83">
        <v>190</v>
      </c>
      <c r="BY240" s="83">
        <v>191</v>
      </c>
      <c r="BZ240" s="83">
        <v>173</v>
      </c>
      <c r="CA240" s="83">
        <v>187</v>
      </c>
      <c r="CB240" s="83">
        <v>190</v>
      </c>
      <c r="CC240" s="83">
        <v>202</v>
      </c>
      <c r="CD240" s="83">
        <v>188</v>
      </c>
      <c r="CE240" s="83">
        <v>170</v>
      </c>
      <c r="CF240" s="83">
        <v>185</v>
      </c>
      <c r="CG240" s="83">
        <v>1761</v>
      </c>
      <c r="CH240" s="83">
        <v>1746</v>
      </c>
      <c r="CI240" s="83">
        <v>1743</v>
      </c>
      <c r="CJ240" s="83">
        <v>1673</v>
      </c>
      <c r="CK240" s="83">
        <v>1661</v>
      </c>
      <c r="CL240" s="83">
        <v>1644</v>
      </c>
      <c r="CM240" s="83">
        <v>1609</v>
      </c>
      <c r="CN240" s="83">
        <v>1548</v>
      </c>
      <c r="CO240" s="83">
        <v>1574</v>
      </c>
      <c r="CP240" s="83">
        <v>1591</v>
      </c>
      <c r="CQ240" s="83">
        <v>1513</v>
      </c>
      <c r="CR240" s="83">
        <v>1571</v>
      </c>
      <c r="CS240" s="83">
        <v>1541</v>
      </c>
      <c r="CT240" s="83">
        <v>1512</v>
      </c>
      <c r="CU240" s="382"/>
    </row>
    <row r="241" spans="1:99" s="86" customFormat="1" x14ac:dyDescent="0.2">
      <c r="A241" s="375">
        <v>526</v>
      </c>
      <c r="B241" s="375">
        <v>49</v>
      </c>
      <c r="C241" s="349" t="s">
        <v>155</v>
      </c>
      <c r="D241" s="376">
        <v>0</v>
      </c>
      <c r="E241" s="164">
        <f t="shared" si="6"/>
        <v>42.650000000000006</v>
      </c>
      <c r="F241" s="394">
        <f t="shared" si="7"/>
        <v>4.1432217110298541</v>
      </c>
      <c r="G241" s="86">
        <v>14</v>
      </c>
      <c r="H241" s="83">
        <v>19</v>
      </c>
      <c r="I241" s="83">
        <v>22</v>
      </c>
      <c r="J241" s="83">
        <v>17</v>
      </c>
      <c r="K241" s="83">
        <v>19</v>
      </c>
      <c r="L241" s="83">
        <v>16</v>
      </c>
      <c r="M241" s="83">
        <v>15</v>
      </c>
      <c r="N241" s="83">
        <v>14</v>
      </c>
      <c r="O241" s="83">
        <v>18</v>
      </c>
      <c r="P241" s="83">
        <v>17</v>
      </c>
      <c r="Q241" s="83">
        <v>19</v>
      </c>
      <c r="R241" s="83">
        <v>10</v>
      </c>
      <c r="S241" s="83">
        <v>25</v>
      </c>
      <c r="T241" s="83">
        <v>14</v>
      </c>
      <c r="U241" s="83">
        <v>11</v>
      </c>
      <c r="V241" s="83">
        <v>17</v>
      </c>
      <c r="W241" s="83">
        <v>13</v>
      </c>
      <c r="X241" s="83">
        <v>17</v>
      </c>
      <c r="Y241" s="83">
        <v>21</v>
      </c>
      <c r="Z241" s="83">
        <v>14</v>
      </c>
      <c r="AA241" s="83">
        <v>173</v>
      </c>
      <c r="AB241" s="83">
        <v>175</v>
      </c>
      <c r="AC241" s="83">
        <v>153</v>
      </c>
      <c r="AD241" s="83">
        <v>182</v>
      </c>
      <c r="AE241" s="83">
        <v>186</v>
      </c>
      <c r="AF241" s="83">
        <v>175</v>
      </c>
      <c r="AG241" s="83">
        <v>173</v>
      </c>
      <c r="AH241" s="83">
        <v>180</v>
      </c>
      <c r="AI241" s="83">
        <v>176</v>
      </c>
      <c r="AJ241" s="83">
        <v>155</v>
      </c>
      <c r="AK241" s="83">
        <v>146</v>
      </c>
      <c r="AL241" s="83">
        <v>180</v>
      </c>
      <c r="AM241" s="83">
        <v>161</v>
      </c>
      <c r="AN241" s="83">
        <v>179</v>
      </c>
      <c r="AO241" s="83">
        <v>162</v>
      </c>
      <c r="AP241" s="83">
        <v>152</v>
      </c>
      <c r="AQ241" s="83">
        <v>164</v>
      </c>
      <c r="AR241" s="83">
        <v>167</v>
      </c>
      <c r="AS241" s="83">
        <v>159</v>
      </c>
      <c r="AT241" s="83">
        <v>148</v>
      </c>
      <c r="AU241" s="83">
        <v>165</v>
      </c>
      <c r="AV241" s="83">
        <v>140</v>
      </c>
      <c r="AW241" s="83">
        <v>162</v>
      </c>
      <c r="AX241" s="83">
        <v>152</v>
      </c>
      <c r="AY241" s="83">
        <v>138</v>
      </c>
      <c r="AZ241" s="83">
        <v>165</v>
      </c>
      <c r="BA241" s="83">
        <v>149</v>
      </c>
      <c r="BB241" s="83">
        <v>146</v>
      </c>
      <c r="BC241" s="83">
        <v>157</v>
      </c>
      <c r="BD241" s="83">
        <v>133</v>
      </c>
      <c r="BE241" s="83">
        <v>164</v>
      </c>
      <c r="BF241" s="83">
        <v>148</v>
      </c>
      <c r="BG241" s="83">
        <v>146</v>
      </c>
      <c r="BH241" s="83">
        <v>139</v>
      </c>
      <c r="BI241" s="83">
        <v>155</v>
      </c>
      <c r="BJ241" s="83">
        <v>154</v>
      </c>
      <c r="BK241" s="83">
        <v>154</v>
      </c>
      <c r="BL241" s="83">
        <v>144</v>
      </c>
      <c r="BM241" s="83">
        <v>160</v>
      </c>
      <c r="BN241" s="83">
        <v>151</v>
      </c>
      <c r="BO241" s="83">
        <v>127</v>
      </c>
      <c r="BP241" s="83">
        <v>143</v>
      </c>
      <c r="BQ241" s="83">
        <v>151</v>
      </c>
      <c r="BR241" s="83">
        <v>150</v>
      </c>
      <c r="BS241" s="83">
        <v>140</v>
      </c>
      <c r="BT241" s="83">
        <v>146</v>
      </c>
      <c r="BU241" s="83">
        <v>122</v>
      </c>
      <c r="BV241" s="83">
        <v>143</v>
      </c>
      <c r="BW241" s="83">
        <v>146</v>
      </c>
      <c r="BX241" s="83">
        <v>144</v>
      </c>
      <c r="BY241" s="83">
        <v>147</v>
      </c>
      <c r="BZ241" s="83">
        <v>146</v>
      </c>
      <c r="CA241" s="83">
        <v>133</v>
      </c>
      <c r="CB241" s="83">
        <v>140</v>
      </c>
      <c r="CC241" s="83">
        <v>127</v>
      </c>
      <c r="CD241" s="83">
        <v>130</v>
      </c>
      <c r="CE241" s="83">
        <v>129</v>
      </c>
      <c r="CF241" s="83">
        <v>148</v>
      </c>
      <c r="CG241" s="83">
        <v>1318</v>
      </c>
      <c r="CH241" s="83">
        <v>1342</v>
      </c>
      <c r="CI241" s="83">
        <v>1293</v>
      </c>
      <c r="CJ241" s="83">
        <v>1366</v>
      </c>
      <c r="CK241" s="83">
        <v>1272</v>
      </c>
      <c r="CL241" s="83">
        <v>1261</v>
      </c>
      <c r="CM241" s="83">
        <v>1369</v>
      </c>
      <c r="CN241" s="83">
        <v>1300</v>
      </c>
      <c r="CO241" s="83">
        <v>1249</v>
      </c>
      <c r="CP241" s="83">
        <v>1249</v>
      </c>
      <c r="CQ241" s="83">
        <v>1295</v>
      </c>
      <c r="CR241" s="83">
        <v>1268</v>
      </c>
      <c r="CS241" s="83">
        <v>1249</v>
      </c>
      <c r="CT241" s="83">
        <v>1218</v>
      </c>
      <c r="CU241" s="382"/>
    </row>
    <row r="242" spans="1:99" s="86" customFormat="1" x14ac:dyDescent="0.2">
      <c r="A242" s="375">
        <v>530</v>
      </c>
      <c r="B242" s="375">
        <v>49</v>
      </c>
      <c r="C242" s="349" t="s">
        <v>156</v>
      </c>
      <c r="D242" s="376">
        <v>1516</v>
      </c>
      <c r="E242" s="164">
        <f t="shared" si="6"/>
        <v>82.300000000000011</v>
      </c>
      <c r="F242" s="394">
        <f t="shared" si="7"/>
        <v>4.7119996711306378</v>
      </c>
      <c r="G242" s="86">
        <v>20</v>
      </c>
      <c r="H242" s="83">
        <v>18</v>
      </c>
      <c r="I242" s="83">
        <v>22</v>
      </c>
      <c r="J242" s="83">
        <v>24</v>
      </c>
      <c r="K242" s="83">
        <v>18</v>
      </c>
      <c r="L242" s="83">
        <v>23</v>
      </c>
      <c r="M242" s="83">
        <v>22</v>
      </c>
      <c r="N242" s="83">
        <v>24</v>
      </c>
      <c r="O242" s="83">
        <v>28</v>
      </c>
      <c r="P242" s="83">
        <v>20</v>
      </c>
      <c r="Q242" s="83">
        <v>16</v>
      </c>
      <c r="R242" s="83">
        <v>21</v>
      </c>
      <c r="S242" s="83">
        <v>20</v>
      </c>
      <c r="T242" s="83">
        <v>19</v>
      </c>
      <c r="U242" s="83">
        <v>28</v>
      </c>
      <c r="V242" s="83">
        <v>17</v>
      </c>
      <c r="W242" s="83">
        <v>23</v>
      </c>
      <c r="X242" s="83">
        <v>23</v>
      </c>
      <c r="Y242" s="83">
        <v>21</v>
      </c>
      <c r="Z242" s="83">
        <v>22</v>
      </c>
      <c r="AA242" s="83">
        <v>219</v>
      </c>
      <c r="AB242" s="83">
        <v>229</v>
      </c>
      <c r="AC242" s="83">
        <v>220</v>
      </c>
      <c r="AD242" s="83">
        <v>215</v>
      </c>
      <c r="AE242" s="83">
        <v>205</v>
      </c>
      <c r="AF242" s="83">
        <v>217</v>
      </c>
      <c r="AG242" s="83">
        <v>197</v>
      </c>
      <c r="AH242" s="83">
        <v>203</v>
      </c>
      <c r="AI242" s="83">
        <v>219</v>
      </c>
      <c r="AJ242" s="83">
        <v>211</v>
      </c>
      <c r="AK242" s="83">
        <v>189</v>
      </c>
      <c r="AL242" s="83">
        <v>179</v>
      </c>
      <c r="AM242" s="83">
        <v>208</v>
      </c>
      <c r="AN242" s="83">
        <v>191</v>
      </c>
      <c r="AO242" s="83">
        <v>202</v>
      </c>
      <c r="AP242" s="83">
        <v>187</v>
      </c>
      <c r="AQ242" s="83">
        <v>185</v>
      </c>
      <c r="AR242" s="83">
        <v>198</v>
      </c>
      <c r="AS242" s="83">
        <v>175</v>
      </c>
      <c r="AT242" s="83">
        <v>173</v>
      </c>
      <c r="AU242" s="83">
        <v>197</v>
      </c>
      <c r="AV242" s="83">
        <v>172</v>
      </c>
      <c r="AW242" s="83">
        <v>176</v>
      </c>
      <c r="AX242" s="83">
        <v>159</v>
      </c>
      <c r="AY242" s="83">
        <v>170</v>
      </c>
      <c r="AZ242" s="83">
        <v>144</v>
      </c>
      <c r="BA242" s="83">
        <v>168</v>
      </c>
      <c r="BB242" s="83">
        <v>175</v>
      </c>
      <c r="BC242" s="83">
        <v>175</v>
      </c>
      <c r="BD242" s="83">
        <v>172</v>
      </c>
      <c r="BE242" s="83">
        <v>173</v>
      </c>
      <c r="BF242" s="83">
        <v>162</v>
      </c>
      <c r="BG242" s="83">
        <v>165</v>
      </c>
      <c r="BH242" s="83">
        <v>173</v>
      </c>
      <c r="BI242" s="83">
        <v>172</v>
      </c>
      <c r="BJ242" s="83">
        <v>155</v>
      </c>
      <c r="BK242" s="83">
        <v>168</v>
      </c>
      <c r="BL242" s="83">
        <v>158</v>
      </c>
      <c r="BM242" s="83">
        <v>162</v>
      </c>
      <c r="BN242" s="83">
        <v>154</v>
      </c>
      <c r="BO242" s="83">
        <v>173</v>
      </c>
      <c r="BP242" s="83">
        <v>162</v>
      </c>
      <c r="BQ242" s="83">
        <v>160</v>
      </c>
      <c r="BR242" s="83">
        <v>154</v>
      </c>
      <c r="BS242" s="83">
        <v>145</v>
      </c>
      <c r="BT242" s="83">
        <v>161</v>
      </c>
      <c r="BU242" s="83">
        <v>143</v>
      </c>
      <c r="BV242" s="83">
        <v>166</v>
      </c>
      <c r="BW242" s="83">
        <v>156</v>
      </c>
      <c r="BX242" s="83">
        <v>149</v>
      </c>
      <c r="BY242" s="83">
        <v>151</v>
      </c>
      <c r="BZ242" s="83">
        <v>158</v>
      </c>
      <c r="CA242" s="83">
        <v>158</v>
      </c>
      <c r="CB242" s="83">
        <v>167</v>
      </c>
      <c r="CC242" s="83">
        <v>151</v>
      </c>
      <c r="CD242" s="83">
        <v>153</v>
      </c>
      <c r="CE242" s="83">
        <v>143</v>
      </c>
      <c r="CF242" s="83">
        <v>156</v>
      </c>
      <c r="CG242" s="83">
        <v>1598</v>
      </c>
      <c r="CH242" s="83">
        <v>1492</v>
      </c>
      <c r="CI242" s="83">
        <v>1438</v>
      </c>
      <c r="CJ242" s="83">
        <v>1397</v>
      </c>
      <c r="CK242" s="83">
        <v>1445</v>
      </c>
      <c r="CL242" s="83">
        <v>1390</v>
      </c>
      <c r="CM242" s="83">
        <v>1385</v>
      </c>
      <c r="CN242" s="83">
        <v>1386</v>
      </c>
      <c r="CO242" s="83">
        <v>1378</v>
      </c>
      <c r="CP242" s="83">
        <v>1390</v>
      </c>
      <c r="CQ242" s="83">
        <v>1391</v>
      </c>
      <c r="CR242" s="83">
        <v>1328</v>
      </c>
      <c r="CS242" s="83">
        <v>1309</v>
      </c>
      <c r="CT242" s="83">
        <v>1335</v>
      </c>
      <c r="CU242" s="382"/>
    </row>
    <row r="243" spans="1:99" s="86" customFormat="1" x14ac:dyDescent="0.2">
      <c r="A243" s="375">
        <v>535</v>
      </c>
      <c r="B243" s="375">
        <v>49</v>
      </c>
      <c r="C243" s="349" t="s">
        <v>155</v>
      </c>
      <c r="D243" s="376">
        <v>1010</v>
      </c>
      <c r="E243" s="164">
        <f t="shared" si="6"/>
        <v>79.650000000000006</v>
      </c>
      <c r="F243" s="394">
        <f t="shared" si="7"/>
        <v>4.5717096634627401</v>
      </c>
      <c r="G243" s="86">
        <v>14</v>
      </c>
      <c r="H243" s="83">
        <v>19</v>
      </c>
      <c r="I243" s="83">
        <v>27</v>
      </c>
      <c r="J243" s="83">
        <v>13</v>
      </c>
      <c r="K243" s="83">
        <v>19</v>
      </c>
      <c r="L243" s="83">
        <v>22</v>
      </c>
      <c r="M243" s="83">
        <v>18</v>
      </c>
      <c r="N243" s="83">
        <v>19</v>
      </c>
      <c r="O243" s="83">
        <v>17</v>
      </c>
      <c r="P243" s="83">
        <v>22</v>
      </c>
      <c r="Q243" s="83">
        <v>26</v>
      </c>
      <c r="R243" s="83">
        <v>19</v>
      </c>
      <c r="S243" s="83">
        <v>15</v>
      </c>
      <c r="T243" s="83">
        <v>15</v>
      </c>
      <c r="U243" s="83">
        <v>35</v>
      </c>
      <c r="V243" s="83">
        <v>21</v>
      </c>
      <c r="W243" s="83">
        <v>17</v>
      </c>
      <c r="X243" s="83">
        <v>20</v>
      </c>
      <c r="Y243" s="83">
        <v>22</v>
      </c>
      <c r="Z243" s="83">
        <v>21</v>
      </c>
      <c r="AA243" s="83">
        <v>195</v>
      </c>
      <c r="AB243" s="83">
        <v>213</v>
      </c>
      <c r="AC243" s="83">
        <v>206</v>
      </c>
      <c r="AD243" s="83">
        <v>209</v>
      </c>
      <c r="AE243" s="83">
        <v>195</v>
      </c>
      <c r="AF243" s="83">
        <v>207</v>
      </c>
      <c r="AG243" s="83">
        <v>207</v>
      </c>
      <c r="AH243" s="83">
        <v>211</v>
      </c>
      <c r="AI243" s="83">
        <v>192</v>
      </c>
      <c r="AJ243" s="83">
        <v>188</v>
      </c>
      <c r="AK243" s="83">
        <v>173</v>
      </c>
      <c r="AL243" s="83">
        <v>174</v>
      </c>
      <c r="AM243" s="83">
        <v>172</v>
      </c>
      <c r="AN243" s="83">
        <v>172</v>
      </c>
      <c r="AO243" s="83">
        <v>182</v>
      </c>
      <c r="AP243" s="83">
        <v>163</v>
      </c>
      <c r="AQ243" s="83">
        <v>164</v>
      </c>
      <c r="AR243" s="83">
        <v>159</v>
      </c>
      <c r="AS243" s="83">
        <v>165</v>
      </c>
      <c r="AT243" s="83">
        <v>159</v>
      </c>
      <c r="AU243" s="83">
        <v>167</v>
      </c>
      <c r="AV243" s="83">
        <v>162</v>
      </c>
      <c r="AW243" s="83">
        <v>171</v>
      </c>
      <c r="AX243" s="83">
        <v>176</v>
      </c>
      <c r="AY243" s="83">
        <v>148</v>
      </c>
      <c r="AZ243" s="83">
        <v>168</v>
      </c>
      <c r="BA243" s="83">
        <v>141</v>
      </c>
      <c r="BB243" s="83">
        <v>168</v>
      </c>
      <c r="BC243" s="83">
        <v>167</v>
      </c>
      <c r="BD243" s="83">
        <v>153</v>
      </c>
      <c r="BE243" s="83">
        <v>170</v>
      </c>
      <c r="BF243" s="83">
        <v>160</v>
      </c>
      <c r="BG243" s="83">
        <v>158</v>
      </c>
      <c r="BH243" s="83">
        <v>145</v>
      </c>
      <c r="BI243" s="83">
        <v>141</v>
      </c>
      <c r="BJ243" s="83">
        <v>155</v>
      </c>
      <c r="BK243" s="83">
        <v>147</v>
      </c>
      <c r="BL243" s="83">
        <v>150</v>
      </c>
      <c r="BM243" s="83">
        <v>153</v>
      </c>
      <c r="BN243" s="83">
        <v>153</v>
      </c>
      <c r="BO243" s="83">
        <v>143</v>
      </c>
      <c r="BP243" s="83">
        <v>138</v>
      </c>
      <c r="BQ243" s="83">
        <v>142</v>
      </c>
      <c r="BR243" s="83">
        <v>164</v>
      </c>
      <c r="BS243" s="83">
        <v>144</v>
      </c>
      <c r="BT243" s="83">
        <v>144</v>
      </c>
      <c r="BU243" s="83">
        <v>153</v>
      </c>
      <c r="BV243" s="83">
        <v>161</v>
      </c>
      <c r="BW243" s="83">
        <v>142</v>
      </c>
      <c r="BX243" s="83">
        <v>150</v>
      </c>
      <c r="BY243" s="83">
        <v>157</v>
      </c>
      <c r="BZ243" s="83">
        <v>146</v>
      </c>
      <c r="CA243" s="83">
        <v>149</v>
      </c>
      <c r="CB243" s="83">
        <v>146</v>
      </c>
      <c r="CC243" s="83">
        <v>127</v>
      </c>
      <c r="CD243" s="83">
        <v>145</v>
      </c>
      <c r="CE243" s="83">
        <v>130</v>
      </c>
      <c r="CF243" s="83">
        <v>153</v>
      </c>
      <c r="CG243" s="83">
        <v>1428</v>
      </c>
      <c r="CH243" s="83">
        <v>1361</v>
      </c>
      <c r="CI243" s="83">
        <v>1343</v>
      </c>
      <c r="CJ243" s="83">
        <v>1359</v>
      </c>
      <c r="CK243" s="83">
        <v>1290</v>
      </c>
      <c r="CL243" s="83">
        <v>1316</v>
      </c>
      <c r="CM243" s="83">
        <v>1323</v>
      </c>
      <c r="CN243" s="83">
        <v>1259</v>
      </c>
      <c r="CO243" s="83">
        <v>1240</v>
      </c>
      <c r="CP243" s="83">
        <v>1280</v>
      </c>
      <c r="CQ243" s="83">
        <v>1291</v>
      </c>
      <c r="CR243" s="83">
        <v>1282</v>
      </c>
      <c r="CS243" s="83">
        <v>1220</v>
      </c>
      <c r="CT243" s="83">
        <v>1197</v>
      </c>
      <c r="CU243" s="382"/>
    </row>
    <row r="244" spans="1:99" s="86" customFormat="1" x14ac:dyDescent="0.2">
      <c r="A244" s="379">
        <v>539</v>
      </c>
      <c r="B244" s="379">
        <v>49</v>
      </c>
      <c r="C244" s="351" t="s">
        <v>156</v>
      </c>
      <c r="D244" s="379">
        <v>1516</v>
      </c>
      <c r="E244" s="381">
        <f t="shared" si="6"/>
        <v>87.3</v>
      </c>
      <c r="F244" s="395">
        <f t="shared" si="7"/>
        <v>4.6446681341525755</v>
      </c>
      <c r="G244" s="87">
        <v>24</v>
      </c>
      <c r="H244" s="87">
        <v>17</v>
      </c>
      <c r="I244" s="87">
        <v>23</v>
      </c>
      <c r="J244" s="87">
        <v>18</v>
      </c>
      <c r="K244" s="87">
        <v>24</v>
      </c>
      <c r="L244" s="87">
        <v>19</v>
      </c>
      <c r="M244" s="87">
        <v>21</v>
      </c>
      <c r="N244" s="87">
        <v>22</v>
      </c>
      <c r="O244" s="87">
        <v>23</v>
      </c>
      <c r="P244" s="87">
        <v>22</v>
      </c>
      <c r="Q244" s="87">
        <v>18</v>
      </c>
      <c r="R244" s="87">
        <v>18</v>
      </c>
      <c r="S244" s="87">
        <v>16</v>
      </c>
      <c r="T244" s="87">
        <v>22</v>
      </c>
      <c r="U244" s="87">
        <v>22</v>
      </c>
      <c r="V244" s="87">
        <v>23</v>
      </c>
      <c r="W244" s="87">
        <v>31</v>
      </c>
      <c r="X244" s="87">
        <v>21</v>
      </c>
      <c r="Y244" s="87">
        <v>18</v>
      </c>
      <c r="Z244" s="87">
        <v>21</v>
      </c>
      <c r="AA244" s="87">
        <v>212</v>
      </c>
      <c r="AB244" s="87">
        <v>194</v>
      </c>
      <c r="AC244" s="87">
        <v>202</v>
      </c>
      <c r="AD244" s="87">
        <v>204</v>
      </c>
      <c r="AE244" s="87">
        <v>208</v>
      </c>
      <c r="AF244" s="87">
        <v>197</v>
      </c>
      <c r="AG244" s="87">
        <v>191</v>
      </c>
      <c r="AH244" s="87">
        <v>207</v>
      </c>
      <c r="AI244" s="87">
        <v>184</v>
      </c>
      <c r="AJ244" s="87">
        <v>176</v>
      </c>
      <c r="AK244" s="87">
        <v>190</v>
      </c>
      <c r="AL244" s="87">
        <v>193</v>
      </c>
      <c r="AM244" s="87">
        <v>170</v>
      </c>
      <c r="AN244" s="87">
        <v>170</v>
      </c>
      <c r="AO244" s="87">
        <v>189</v>
      </c>
      <c r="AP244" s="87">
        <v>169</v>
      </c>
      <c r="AQ244" s="87">
        <v>167</v>
      </c>
      <c r="AR244" s="87">
        <v>183</v>
      </c>
      <c r="AS244" s="87">
        <v>177</v>
      </c>
      <c r="AT244" s="87">
        <v>161</v>
      </c>
      <c r="AU244" s="87">
        <v>177</v>
      </c>
      <c r="AV244" s="87">
        <v>169</v>
      </c>
      <c r="AW244" s="87">
        <v>182</v>
      </c>
      <c r="AX244" s="87">
        <v>179</v>
      </c>
      <c r="AY244" s="87">
        <v>165</v>
      </c>
      <c r="AZ244" s="87">
        <v>176</v>
      </c>
      <c r="BA244" s="87">
        <v>169</v>
      </c>
      <c r="BB244" s="87">
        <v>156</v>
      </c>
      <c r="BC244" s="87">
        <v>186</v>
      </c>
      <c r="BD244" s="87">
        <v>156</v>
      </c>
      <c r="BE244" s="87">
        <v>169</v>
      </c>
      <c r="BF244" s="87">
        <v>165</v>
      </c>
      <c r="BG244" s="87">
        <v>162</v>
      </c>
      <c r="BH244" s="87">
        <v>142</v>
      </c>
      <c r="BI244" s="87">
        <v>167</v>
      </c>
      <c r="BJ244" s="87">
        <v>158</v>
      </c>
      <c r="BK244" s="87">
        <v>149</v>
      </c>
      <c r="BL244" s="87">
        <v>157</v>
      </c>
      <c r="BM244" s="87">
        <v>168</v>
      </c>
      <c r="BN244" s="87">
        <v>156</v>
      </c>
      <c r="BO244" s="87">
        <v>148</v>
      </c>
      <c r="BP244" s="87">
        <v>171</v>
      </c>
      <c r="BQ244" s="87">
        <v>151</v>
      </c>
      <c r="BR244" s="87">
        <v>156</v>
      </c>
      <c r="BS244" s="87">
        <v>147</v>
      </c>
      <c r="BT244" s="87">
        <v>157</v>
      </c>
      <c r="BU244" s="87">
        <v>144</v>
      </c>
      <c r="BV244" s="87">
        <v>160</v>
      </c>
      <c r="BW244" s="87">
        <v>156</v>
      </c>
      <c r="BX244" s="87">
        <v>144</v>
      </c>
      <c r="BY244" s="87">
        <v>161</v>
      </c>
      <c r="BZ244" s="87">
        <v>141</v>
      </c>
      <c r="CA244" s="87">
        <v>168</v>
      </c>
      <c r="CB244" s="87">
        <v>146</v>
      </c>
      <c r="CC244" s="87">
        <v>150</v>
      </c>
      <c r="CD244" s="87">
        <v>153</v>
      </c>
      <c r="CE244" s="87">
        <v>163</v>
      </c>
      <c r="CF244" s="87">
        <v>158</v>
      </c>
      <c r="CG244" s="87">
        <v>1455</v>
      </c>
      <c r="CH244" s="87">
        <v>1420</v>
      </c>
      <c r="CI244" s="87">
        <v>1396</v>
      </c>
      <c r="CJ244" s="87">
        <v>1345</v>
      </c>
      <c r="CK244" s="87">
        <v>1294</v>
      </c>
      <c r="CL244" s="87">
        <v>1295</v>
      </c>
      <c r="CM244" s="87">
        <v>1317</v>
      </c>
      <c r="CN244" s="87">
        <v>1266</v>
      </c>
      <c r="CO244" s="87">
        <v>1283</v>
      </c>
      <c r="CP244" s="87">
        <v>1249</v>
      </c>
      <c r="CQ244" s="87">
        <v>1254</v>
      </c>
      <c r="CR244" s="87">
        <v>1249</v>
      </c>
      <c r="CS244" s="87">
        <v>1213</v>
      </c>
      <c r="CT244" s="87">
        <v>1271</v>
      </c>
      <c r="CU244" s="382"/>
    </row>
    <row r="245" spans="1:99" s="75" customFormat="1" x14ac:dyDescent="0.2">
      <c r="A245" s="40"/>
      <c r="B245"/>
      <c r="C245"/>
      <c r="D245"/>
      <c r="E245"/>
      <c r="F245" s="41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</row>
    <row r="246" spans="1:99" s="75" customForma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</row>
    <row r="303" spans="1:3" hidden="1" x14ac:dyDescent="0.2">
      <c r="A303" s="49" t="str">
        <f>"Disk "&amp;TEXT(B5, "0")</f>
        <v>Disk 30</v>
      </c>
      <c r="B303" s="175" t="str">
        <f>$B$1&amp;"_d"&amp;TEXT($B$5, "0")</f>
        <v>pIRIR01f_rdx1_d30</v>
      </c>
      <c r="C303" s="431" t="s">
        <v>162</v>
      </c>
    </row>
    <row r="304" spans="1:3" hidden="1" x14ac:dyDescent="0.2">
      <c r="A304" s="50" t="str">
        <f>"Disk "&amp;TEXT(B17, "0")</f>
        <v>Disk 31</v>
      </c>
      <c r="B304" s="75" t="str">
        <f>$B$1&amp;"_d"&amp;TEXT($B$17, "0")</f>
        <v>pIRIR01f_rdx1_d31</v>
      </c>
      <c r="C304" s="432"/>
    </row>
    <row r="305" spans="1:3" hidden="1" x14ac:dyDescent="0.2">
      <c r="A305" s="50" t="str">
        <f>"Disk "&amp;TEXT(B29, "0")</f>
        <v>Disk 32</v>
      </c>
      <c r="B305" s="75" t="str">
        <f>$B$1&amp;"_d"&amp;TEXT($B$29, "0")</f>
        <v>pIRIR01f_rdx1_d32</v>
      </c>
      <c r="C305" s="432"/>
    </row>
    <row r="306" spans="1:3" hidden="1" x14ac:dyDescent="0.2">
      <c r="A306" s="50" t="str">
        <f>"Disk "&amp;TEXT(B41, "0")</f>
        <v>Disk 33</v>
      </c>
      <c r="B306" s="75" t="str">
        <f>$B$1&amp;"_d"&amp;TEXT($B$41, "0")</f>
        <v>pIRIR01f_rdx1_d33</v>
      </c>
      <c r="C306" s="432"/>
    </row>
    <row r="307" spans="1:3" hidden="1" x14ac:dyDescent="0.2">
      <c r="A307" s="50" t="str">
        <f>"Disk "&amp;TEXT(B53, "0")</f>
        <v>Disk 34</v>
      </c>
      <c r="B307" s="75" t="str">
        <f>$B$1&amp;"_d"&amp;TEXT($B$53, "0")</f>
        <v>pIRIR01f_rdx1_d34</v>
      </c>
      <c r="C307" s="432"/>
    </row>
    <row r="308" spans="1:3" hidden="1" x14ac:dyDescent="0.2">
      <c r="A308" s="50" t="str">
        <f>"Disk "&amp;TEXT(B65, "0")</f>
        <v>Disk 35</v>
      </c>
      <c r="B308" s="75" t="str">
        <f>$B$1&amp;"_d"&amp;TEXT($B$65, "0")</f>
        <v>pIRIR01f_rdx1_d35</v>
      </c>
      <c r="C308" s="432"/>
    </row>
    <row r="309" spans="1:3" hidden="1" x14ac:dyDescent="0.2">
      <c r="A309" s="50" t="str">
        <f>"Disk "&amp;TEXT(B77, "0")</f>
        <v>Disk 36</v>
      </c>
      <c r="B309" s="75" t="str">
        <f>$B$1&amp;"_d"&amp;TEXT($B$77, "0")</f>
        <v>pIRIR01f_rdx1_d36</v>
      </c>
      <c r="C309" s="432"/>
    </row>
    <row r="310" spans="1:3" hidden="1" x14ac:dyDescent="0.2">
      <c r="A310" s="50" t="str">
        <f>"Disk "&amp;TEXT(B89, "0")</f>
        <v>Disk 37</v>
      </c>
      <c r="B310" s="75" t="str">
        <f>$B$1&amp;"_d"&amp;TEXT($B$89, "0")</f>
        <v>pIRIR01f_rdx1_d37</v>
      </c>
      <c r="C310" s="432"/>
    </row>
    <row r="311" spans="1:3" hidden="1" x14ac:dyDescent="0.2">
      <c r="A311" s="50" t="str">
        <f>"Disk "&amp;TEXT(B101, "0")</f>
        <v>Disk 38</v>
      </c>
      <c r="B311" s="75" t="str">
        <f>$B$1&amp;"_d"&amp;TEXT($B$101, "0")</f>
        <v>pIRIR01f_rdx1_d38</v>
      </c>
      <c r="C311" s="432"/>
    </row>
    <row r="312" spans="1:3" hidden="1" x14ac:dyDescent="0.2">
      <c r="A312" s="50" t="str">
        <f>"Disk "&amp;TEXT(B113, "0")</f>
        <v>Disk 39</v>
      </c>
      <c r="B312" s="75" t="str">
        <f>$B$1&amp;"_d"&amp;TEXT($B$113, "0")</f>
        <v>pIRIR01f_rdx1_d39</v>
      </c>
      <c r="C312" s="432"/>
    </row>
    <row r="313" spans="1:3" hidden="1" x14ac:dyDescent="0.2">
      <c r="A313" s="50" t="str">
        <f>"Disk "&amp;TEXT(B125, "0")</f>
        <v>Disk 40</v>
      </c>
      <c r="B313" s="75" t="str">
        <f>$B$1&amp;"_d"&amp;TEXT($B$125, "0")</f>
        <v>pIRIR01f_rdx1_d40</v>
      </c>
      <c r="C313" s="432"/>
    </row>
    <row r="314" spans="1:3" hidden="1" x14ac:dyDescent="0.2">
      <c r="A314" s="50" t="str">
        <f>"Disk "&amp;TEXT(B137, "0")</f>
        <v>Disk 41</v>
      </c>
      <c r="B314" s="75" t="str">
        <f>$B$1&amp;"_d"&amp;TEXT($B$137, "0")</f>
        <v>pIRIR01f_rdx1_d41</v>
      </c>
      <c r="C314" s="432"/>
    </row>
    <row r="315" spans="1:3" hidden="1" x14ac:dyDescent="0.2">
      <c r="A315" s="50" t="str">
        <f>"Disk "&amp;TEXT(B149, "0")</f>
        <v>Disk 42</v>
      </c>
      <c r="B315" s="75" t="str">
        <f>$B$1&amp;"_d"&amp;TEXT($B$149, "0")</f>
        <v>pIRIR01f_rdx1_d42</v>
      </c>
      <c r="C315" s="432"/>
    </row>
    <row r="316" spans="1:3" hidden="1" x14ac:dyDescent="0.2">
      <c r="A316" s="50" t="str">
        <f>"Disk "&amp;TEXT(B161, "0")</f>
        <v>Disk 43</v>
      </c>
      <c r="B316" s="75" t="str">
        <f>$B$1&amp;"_d"&amp;TEXT($B$161, "0")</f>
        <v>pIRIR01f_rdx1_d43</v>
      </c>
      <c r="C316" s="432"/>
    </row>
    <row r="317" spans="1:3" hidden="1" x14ac:dyDescent="0.2">
      <c r="A317" s="50" t="str">
        <f>"Disk "&amp;TEXT(B173, "0")</f>
        <v>Disk 44</v>
      </c>
      <c r="B317" s="75" t="str">
        <f>$B$1&amp;"_d"&amp;TEXT($B$173, "0")</f>
        <v>pIRIR01f_rdx1_d44</v>
      </c>
      <c r="C317" s="432"/>
    </row>
    <row r="318" spans="1:3" hidden="1" x14ac:dyDescent="0.2">
      <c r="A318" s="50" t="str">
        <f>"Disk "&amp;TEXT(B185, "0")</f>
        <v>Disk 45</v>
      </c>
      <c r="B318" s="75" t="str">
        <f>$B$1&amp;"_d"&amp;TEXT($B$185, "0")</f>
        <v>pIRIR01f_rdx1_d45</v>
      </c>
      <c r="C318" s="432"/>
    </row>
    <row r="319" spans="1:3" hidden="1" x14ac:dyDescent="0.2">
      <c r="A319" s="50" t="str">
        <f>"Disk "&amp;TEXT(B197, "0")</f>
        <v>Disk 46</v>
      </c>
      <c r="B319" s="75" t="str">
        <f>$B$1&amp;"_d"&amp;TEXT($B$197, "0")</f>
        <v>pIRIR01f_rdx1_d46</v>
      </c>
      <c r="C319" s="432"/>
    </row>
    <row r="320" spans="1:3" hidden="1" x14ac:dyDescent="0.2">
      <c r="A320" s="50" t="str">
        <f>"Disk "&amp;TEXT(B209, "0")</f>
        <v>Disk 47</v>
      </c>
      <c r="B320" s="75" t="str">
        <f>$B$1&amp;"_d"&amp;TEXT($B$209, "0")</f>
        <v>pIRIR01f_rdx1_d47</v>
      </c>
      <c r="C320" s="432"/>
    </row>
    <row r="321" spans="1:3" hidden="1" x14ac:dyDescent="0.2">
      <c r="A321" s="50" t="str">
        <f>"Disk "&amp;TEXT(B221, "0")</f>
        <v>Disk 48</v>
      </c>
      <c r="B321" s="75" t="str">
        <f>$B$1&amp;"_d"&amp;TEXT($B$221, "0")</f>
        <v>pIRIR01f_rdx1_d48</v>
      </c>
      <c r="C321" s="432"/>
    </row>
    <row r="322" spans="1:3" ht="12.75" hidden="1" thickBot="1" x14ac:dyDescent="0.25">
      <c r="A322" s="114" t="str">
        <f>"Disk "&amp;TEXT(B233, "0")</f>
        <v>Disk 49</v>
      </c>
      <c r="B322" s="426" t="str">
        <f>$B$1&amp;"_d"&amp;TEXT($B$233, "0")</f>
        <v>pIRIR01f_rdx1_d49</v>
      </c>
      <c r="C322" s="433"/>
    </row>
  </sheetData>
  <mergeCells count="2">
    <mergeCell ref="C303:C322"/>
    <mergeCell ref="P1:Q3"/>
  </mergeCells>
  <phoneticPr fontId="5"/>
  <pageMargins left="0.75" right="0.75" top="1" bottom="1" header="0.5" footer="0.5"/>
  <pageSetup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CU320"/>
  <sheetViews>
    <sheetView topLeftCell="CC1" zoomScaleNormal="100" workbookViewId="0">
      <selection activeCell="G5" sqref="G5:CT15"/>
    </sheetView>
  </sheetViews>
  <sheetFormatPr defaultColWidth="11.1640625" defaultRowHeight="12" x14ac:dyDescent="0.2"/>
  <cols>
    <col min="4" max="4" width="12.6640625" customWidth="1"/>
    <col min="5" max="6" width="11.1640625" customWidth="1"/>
    <col min="7" max="7" width="13" customWidth="1"/>
    <col min="8" max="8" width="12.1640625" customWidth="1"/>
    <col min="15" max="15" width="12.5" customWidth="1"/>
  </cols>
  <sheetData>
    <row r="3" spans="4:99" s="385" customFormat="1" x14ac:dyDescent="0.2">
      <c r="D3" s="191" t="s">
        <v>56</v>
      </c>
      <c r="E3" s="392">
        <v>0.1</v>
      </c>
      <c r="F3" s="171">
        <v>0.2</v>
      </c>
      <c r="G3" s="392">
        <v>0.3</v>
      </c>
      <c r="H3" s="171">
        <v>0.4</v>
      </c>
      <c r="I3" s="392">
        <v>0.5</v>
      </c>
      <c r="J3" s="171">
        <v>0.6</v>
      </c>
      <c r="K3" s="392">
        <v>0.7</v>
      </c>
      <c r="L3" s="171">
        <v>0.8</v>
      </c>
      <c r="M3" s="392">
        <v>0.9</v>
      </c>
      <c r="N3" s="171">
        <v>1</v>
      </c>
      <c r="O3" s="392">
        <v>1.1000000000000001</v>
      </c>
      <c r="P3" s="171">
        <v>1.2</v>
      </c>
      <c r="Q3" s="392">
        <v>1.3</v>
      </c>
      <c r="R3" s="171">
        <v>1.4</v>
      </c>
      <c r="S3" s="392">
        <v>1.5</v>
      </c>
      <c r="T3" s="171">
        <v>1.6</v>
      </c>
      <c r="U3" s="392">
        <v>1.7</v>
      </c>
      <c r="V3" s="171">
        <v>1.8</v>
      </c>
      <c r="W3" s="392">
        <v>1.9</v>
      </c>
      <c r="X3" s="171">
        <v>2</v>
      </c>
      <c r="Y3" s="389">
        <v>3</v>
      </c>
      <c r="Z3" s="389">
        <v>4</v>
      </c>
      <c r="AA3" s="389">
        <v>5</v>
      </c>
      <c r="AB3" s="389">
        <v>6</v>
      </c>
      <c r="AC3" s="389">
        <v>7</v>
      </c>
      <c r="AD3" s="389">
        <v>8</v>
      </c>
      <c r="AE3" s="389">
        <v>9</v>
      </c>
      <c r="AF3" s="389">
        <v>10</v>
      </c>
      <c r="AG3" s="389">
        <v>11</v>
      </c>
      <c r="AH3" s="389">
        <v>12</v>
      </c>
      <c r="AI3" s="389">
        <v>13</v>
      </c>
      <c r="AJ3" s="389">
        <v>14</v>
      </c>
      <c r="AK3" s="389">
        <v>15</v>
      </c>
      <c r="AL3" s="389">
        <v>16</v>
      </c>
      <c r="AM3" s="389">
        <v>17</v>
      </c>
      <c r="AN3" s="389">
        <v>18</v>
      </c>
      <c r="AO3" s="389">
        <v>19</v>
      </c>
      <c r="AP3" s="389">
        <v>20</v>
      </c>
      <c r="AQ3" s="389">
        <v>21</v>
      </c>
      <c r="AR3" s="389">
        <v>22</v>
      </c>
      <c r="AS3" s="389">
        <v>23</v>
      </c>
      <c r="AT3" s="389">
        <v>24</v>
      </c>
      <c r="AU3" s="389">
        <v>25</v>
      </c>
      <c r="AV3" s="389">
        <v>26</v>
      </c>
      <c r="AW3" s="389">
        <v>27</v>
      </c>
      <c r="AX3" s="389">
        <v>28</v>
      </c>
      <c r="AY3" s="389">
        <v>29</v>
      </c>
      <c r="AZ3" s="389">
        <v>30</v>
      </c>
      <c r="BA3" s="389">
        <v>31</v>
      </c>
      <c r="BB3" s="389">
        <v>32</v>
      </c>
      <c r="BC3" s="389">
        <v>33</v>
      </c>
      <c r="BD3" s="389">
        <v>34</v>
      </c>
      <c r="BE3" s="389">
        <v>35</v>
      </c>
      <c r="BF3" s="389">
        <v>36</v>
      </c>
      <c r="BG3" s="389">
        <v>37</v>
      </c>
      <c r="BH3" s="389">
        <v>38</v>
      </c>
      <c r="BI3" s="389">
        <v>39</v>
      </c>
      <c r="BJ3" s="389">
        <v>40</v>
      </c>
      <c r="BK3" s="389">
        <v>41</v>
      </c>
      <c r="BL3" s="389">
        <v>42</v>
      </c>
      <c r="BM3" s="389">
        <v>43</v>
      </c>
      <c r="BN3" s="389">
        <v>44</v>
      </c>
      <c r="BO3" s="389">
        <v>45</v>
      </c>
      <c r="BP3" s="389">
        <v>46</v>
      </c>
      <c r="BQ3" s="389">
        <v>47</v>
      </c>
      <c r="BR3" s="389">
        <v>48</v>
      </c>
      <c r="BS3" s="389">
        <v>49</v>
      </c>
      <c r="BT3" s="389">
        <v>50</v>
      </c>
      <c r="BU3" s="389">
        <v>51</v>
      </c>
      <c r="BV3" s="389">
        <v>52</v>
      </c>
      <c r="BW3" s="389">
        <v>53</v>
      </c>
      <c r="BX3" s="389">
        <v>54</v>
      </c>
      <c r="BY3" s="389">
        <v>55</v>
      </c>
      <c r="BZ3" s="389">
        <v>56</v>
      </c>
      <c r="CA3" s="389">
        <v>57</v>
      </c>
      <c r="CB3" s="389">
        <v>58</v>
      </c>
      <c r="CC3" s="389">
        <v>59</v>
      </c>
      <c r="CD3" s="389">
        <v>60</v>
      </c>
      <c r="CE3" s="389">
        <v>70</v>
      </c>
      <c r="CF3" s="389">
        <v>80</v>
      </c>
      <c r="CG3" s="389">
        <v>90</v>
      </c>
      <c r="CH3" s="389">
        <v>100</v>
      </c>
      <c r="CI3" s="389">
        <v>110</v>
      </c>
      <c r="CJ3" s="389">
        <v>120</v>
      </c>
      <c r="CK3" s="389">
        <v>130</v>
      </c>
      <c r="CL3" s="389">
        <v>140</v>
      </c>
      <c r="CM3" s="389">
        <v>150</v>
      </c>
      <c r="CN3" s="389">
        <v>160</v>
      </c>
      <c r="CO3" s="389">
        <v>170</v>
      </c>
      <c r="CP3" s="389">
        <v>180</v>
      </c>
      <c r="CQ3" s="389">
        <v>190</v>
      </c>
      <c r="CR3" s="390">
        <v>200</v>
      </c>
      <c r="CS3" s="389"/>
      <c r="CT3" s="390"/>
      <c r="CU3" s="384"/>
    </row>
    <row r="4" spans="4:99" s="86" customFormat="1" x14ac:dyDescent="0.2">
      <c r="D4" s="348"/>
      <c r="E4" s="393"/>
      <c r="F4" s="163"/>
      <c r="G4" s="85">
        <f>'Raw Data'!G5</f>
        <v>2344</v>
      </c>
      <c r="H4" s="85">
        <f>'Raw Data'!H5</f>
        <v>2390</v>
      </c>
      <c r="I4" s="85">
        <f>'Raw Data'!I5</f>
        <v>2346</v>
      </c>
      <c r="J4" s="85">
        <f>'Raw Data'!J5</f>
        <v>2424</v>
      </c>
      <c r="K4" s="85">
        <f>'Raw Data'!K5</f>
        <v>2346</v>
      </c>
      <c r="L4" s="85">
        <f>'Raw Data'!L5</f>
        <v>2354</v>
      </c>
      <c r="M4" s="85">
        <f>'Raw Data'!M5</f>
        <v>2287</v>
      </c>
      <c r="N4" s="85">
        <f>'Raw Data'!N5</f>
        <v>2343</v>
      </c>
      <c r="O4" s="85">
        <f>'Raw Data'!O5</f>
        <v>2363</v>
      </c>
      <c r="P4" s="85">
        <f>'Raw Data'!P5</f>
        <v>2346</v>
      </c>
      <c r="Q4" s="85">
        <f>'Raw Data'!Q5</f>
        <v>2353</v>
      </c>
      <c r="R4" s="85">
        <f>'Raw Data'!R5</f>
        <v>2297</v>
      </c>
      <c r="S4" s="85">
        <f>'Raw Data'!S5</f>
        <v>2292</v>
      </c>
      <c r="T4" s="85">
        <f>'Raw Data'!T5</f>
        <v>2343</v>
      </c>
      <c r="U4" s="85">
        <f>'Raw Data'!U5</f>
        <v>2301</v>
      </c>
      <c r="V4" s="85">
        <f>'Raw Data'!V5</f>
        <v>2270</v>
      </c>
      <c r="W4" s="85">
        <f>'Raw Data'!W5</f>
        <v>2313</v>
      </c>
      <c r="X4" s="85">
        <f>'Raw Data'!X5</f>
        <v>2343</v>
      </c>
      <c r="Y4" s="85">
        <f>'Raw Data'!Y5</f>
        <v>2310</v>
      </c>
      <c r="Z4" s="85">
        <f>'Raw Data'!Z5</f>
        <v>2215</v>
      </c>
      <c r="AA4" s="85">
        <f>'Raw Data'!AA5/10</f>
        <v>2248.5</v>
      </c>
      <c r="AB4" s="85">
        <f>'Raw Data'!AB5/10</f>
        <v>2171.8000000000002</v>
      </c>
      <c r="AC4" s="85">
        <f>'Raw Data'!AC5/10</f>
        <v>2088.4</v>
      </c>
      <c r="AD4" s="85">
        <f>'Raw Data'!AD5/10</f>
        <v>2002.1</v>
      </c>
      <c r="AE4" s="85">
        <f>'Raw Data'!AE5/10</f>
        <v>1912.4</v>
      </c>
      <c r="AF4" s="85">
        <f>'Raw Data'!AF5/10</f>
        <v>1832.8</v>
      </c>
      <c r="AG4" s="85">
        <f>'Raw Data'!AG5/10</f>
        <v>1741.9</v>
      </c>
      <c r="AH4" s="85">
        <f>'Raw Data'!AH5/10</f>
        <v>1662.1</v>
      </c>
      <c r="AI4" s="85">
        <f>'Raw Data'!AI5/10</f>
        <v>1580.2</v>
      </c>
      <c r="AJ4" s="85">
        <f>'Raw Data'!AJ5/10</f>
        <v>1520.6</v>
      </c>
      <c r="AK4" s="85">
        <f>'Raw Data'!AK5/10</f>
        <v>1448.2</v>
      </c>
      <c r="AL4" s="85">
        <f>'Raw Data'!AL5/10</f>
        <v>1413.9</v>
      </c>
      <c r="AM4" s="85">
        <f>'Raw Data'!AM5/10</f>
        <v>1336.4</v>
      </c>
      <c r="AN4" s="85">
        <f>'Raw Data'!AN5/10</f>
        <v>1282.5</v>
      </c>
      <c r="AO4" s="85">
        <f>'Raw Data'!AO5/10</f>
        <v>1219.9000000000001</v>
      </c>
      <c r="AP4" s="85">
        <f>'Raw Data'!AP5/10</f>
        <v>1155.5999999999999</v>
      </c>
      <c r="AQ4" s="85">
        <f>'Raw Data'!AQ5/10</f>
        <v>1132.4000000000001</v>
      </c>
      <c r="AR4" s="85">
        <f>'Raw Data'!AR5/10</f>
        <v>1096</v>
      </c>
      <c r="AS4" s="85">
        <f>'Raw Data'!AS5/10</f>
        <v>1046.5999999999999</v>
      </c>
      <c r="AT4" s="85">
        <f>'Raw Data'!AT5/10</f>
        <v>1022.1</v>
      </c>
      <c r="AU4" s="85">
        <f>'Raw Data'!AU5/10</f>
        <v>966.3</v>
      </c>
      <c r="AV4" s="85">
        <f>'Raw Data'!AV5/10</f>
        <v>939.2</v>
      </c>
      <c r="AW4" s="85">
        <f>'Raw Data'!AW5/10</f>
        <v>900.3</v>
      </c>
      <c r="AX4" s="85">
        <f>'Raw Data'!AX5/10</f>
        <v>877.7</v>
      </c>
      <c r="AY4" s="85">
        <f>'Raw Data'!AY5/10</f>
        <v>852.3</v>
      </c>
      <c r="AZ4" s="85">
        <f>'Raw Data'!AZ5/10</f>
        <v>826.8</v>
      </c>
      <c r="BA4" s="85">
        <f>'Raw Data'!BA5/10</f>
        <v>778.6</v>
      </c>
      <c r="BB4" s="85">
        <f>'Raw Data'!BB5/10</f>
        <v>762.8</v>
      </c>
      <c r="BC4" s="85">
        <f>'Raw Data'!BC5/10</f>
        <v>743.3</v>
      </c>
      <c r="BD4" s="85">
        <f>'Raw Data'!BD5/10</f>
        <v>720.3</v>
      </c>
      <c r="BE4" s="85">
        <f>'Raw Data'!BE5/10</f>
        <v>703.1</v>
      </c>
      <c r="BF4" s="85">
        <f>'Raw Data'!BF5/10</f>
        <v>668.9</v>
      </c>
      <c r="BG4" s="85">
        <f>'Raw Data'!BG5/10</f>
        <v>648.6</v>
      </c>
      <c r="BH4" s="85">
        <f>'Raw Data'!BH5/10</f>
        <v>648</v>
      </c>
      <c r="BI4" s="85">
        <f>'Raw Data'!BI5/10</f>
        <v>623.6</v>
      </c>
      <c r="BJ4" s="85">
        <f>'Raw Data'!BJ5/10</f>
        <v>613.9</v>
      </c>
      <c r="BK4" s="85">
        <f>'Raw Data'!BK5/10</f>
        <v>579.9</v>
      </c>
      <c r="BL4" s="85">
        <f>'Raw Data'!BL5/10</f>
        <v>582.5</v>
      </c>
      <c r="BM4" s="85">
        <f>'Raw Data'!BM5/10</f>
        <v>551.1</v>
      </c>
      <c r="BN4" s="85">
        <f>'Raw Data'!BN5/10</f>
        <v>537.79999999999995</v>
      </c>
      <c r="BO4" s="85">
        <f>'Raw Data'!BO5/10</f>
        <v>535.6</v>
      </c>
      <c r="BP4" s="85">
        <f>'Raw Data'!BP5/10</f>
        <v>520.4</v>
      </c>
      <c r="BQ4" s="85">
        <f>'Raw Data'!BQ5/10</f>
        <v>499.7</v>
      </c>
      <c r="BR4" s="85">
        <f>'Raw Data'!BR5/10</f>
        <v>494.3</v>
      </c>
      <c r="BS4" s="85">
        <f>'Raw Data'!BS5/10</f>
        <v>478.6</v>
      </c>
      <c r="BT4" s="85">
        <f>'Raw Data'!BT5/10</f>
        <v>464.5</v>
      </c>
      <c r="BU4" s="85">
        <f>'Raw Data'!BU5/10</f>
        <v>466.8</v>
      </c>
      <c r="BV4" s="85">
        <f>'Raw Data'!BV5/10</f>
        <v>456.1</v>
      </c>
      <c r="BW4" s="85">
        <f>'Raw Data'!BW5/10</f>
        <v>438.8</v>
      </c>
      <c r="BX4" s="85">
        <f>'Raw Data'!BX5/10</f>
        <v>430.9</v>
      </c>
      <c r="BY4" s="85">
        <f>'Raw Data'!BY5/10</f>
        <v>432.6</v>
      </c>
      <c r="BZ4" s="85">
        <f>'Raw Data'!BZ5/10</f>
        <v>408.4</v>
      </c>
      <c r="CA4" s="85">
        <f>'Raw Data'!CA5/10</f>
        <v>404.2</v>
      </c>
      <c r="CB4" s="85">
        <f>'Raw Data'!CB5/10</f>
        <v>394.4</v>
      </c>
      <c r="CC4" s="85">
        <f>'Raw Data'!CC5/10</f>
        <v>386.7</v>
      </c>
      <c r="CD4" s="85">
        <f>'Raw Data'!CD5/10</f>
        <v>379.3</v>
      </c>
      <c r="CE4" s="85">
        <f>'Raw Data'!CE5/10</f>
        <v>373.3</v>
      </c>
      <c r="CF4" s="85">
        <f>'Raw Data'!CF5/10</f>
        <v>367.5</v>
      </c>
      <c r="CG4" s="85">
        <f>'Raw Data'!CG5/100</f>
        <v>333.66</v>
      </c>
      <c r="CH4" s="85">
        <f>'Raw Data'!CH5/100</f>
        <v>284.60000000000002</v>
      </c>
      <c r="CI4" s="85">
        <f>'Raw Data'!CI5/100</f>
        <v>244.43</v>
      </c>
      <c r="CJ4" s="85">
        <f>'Raw Data'!CJ5/100</f>
        <v>215.46</v>
      </c>
      <c r="CK4" s="85">
        <f>'Raw Data'!CK5/100</f>
        <v>193.9</v>
      </c>
      <c r="CL4" s="85">
        <f>'Raw Data'!CL5/100</f>
        <v>175.81</v>
      </c>
      <c r="CM4" s="85">
        <f>'Raw Data'!CM5/100</f>
        <v>158.06</v>
      </c>
      <c r="CN4" s="85">
        <f>'Raw Data'!CN5/100</f>
        <v>146.56</v>
      </c>
      <c r="CO4" s="85">
        <f>'Raw Data'!CO5/100</f>
        <v>136.01</v>
      </c>
      <c r="CP4" s="85">
        <f>'Raw Data'!CP5/100</f>
        <v>126.5</v>
      </c>
      <c r="CQ4" s="85">
        <f>'Raw Data'!CQ5/100</f>
        <v>119.82</v>
      </c>
      <c r="CR4" s="85">
        <f>'Raw Data'!CR5/100</f>
        <v>111.39</v>
      </c>
      <c r="CS4" s="85">
        <f>'Raw Data'!CS5/100</f>
        <v>105.19</v>
      </c>
      <c r="CT4" s="85">
        <f>'Raw Data'!CT5/100</f>
        <v>100.38</v>
      </c>
      <c r="CU4" s="382"/>
    </row>
    <row r="5" spans="4:99" s="86" customFormat="1" x14ac:dyDescent="0.2">
      <c r="D5" s="348"/>
      <c r="E5" s="164"/>
      <c r="F5" s="394"/>
      <c r="G5" s="86">
        <f>'Raw Data'!G6</f>
        <v>693</v>
      </c>
      <c r="H5" s="86">
        <f>'Raw Data'!H6</f>
        <v>714</v>
      </c>
      <c r="I5" s="86">
        <f>'Raw Data'!I6</f>
        <v>680</v>
      </c>
      <c r="J5" s="86">
        <f>'Raw Data'!J6</f>
        <v>690</v>
      </c>
      <c r="K5" s="86">
        <f>'Raw Data'!K6</f>
        <v>713</v>
      </c>
      <c r="L5" s="86">
        <f>'Raw Data'!L6</f>
        <v>690</v>
      </c>
      <c r="M5" s="86">
        <f>'Raw Data'!M6</f>
        <v>676</v>
      </c>
      <c r="N5" s="86">
        <f>'Raw Data'!N6</f>
        <v>656</v>
      </c>
      <c r="O5" s="86">
        <f>'Raw Data'!O6</f>
        <v>716</v>
      </c>
      <c r="P5" s="86">
        <f>'Raw Data'!P6</f>
        <v>674</v>
      </c>
      <c r="Q5" s="86">
        <f>'Raw Data'!Q6</f>
        <v>661</v>
      </c>
      <c r="R5" s="86">
        <f>'Raw Data'!R6</f>
        <v>678</v>
      </c>
      <c r="S5" s="86">
        <f>'Raw Data'!S6</f>
        <v>649</v>
      </c>
      <c r="T5" s="86">
        <f>'Raw Data'!T6</f>
        <v>686</v>
      </c>
      <c r="U5" s="86">
        <f>'Raw Data'!U6</f>
        <v>649</v>
      </c>
      <c r="V5" s="86">
        <f>'Raw Data'!V6</f>
        <v>690</v>
      </c>
      <c r="W5" s="86">
        <f>'Raw Data'!W6</f>
        <v>653</v>
      </c>
      <c r="X5" s="86">
        <f>'Raw Data'!X6</f>
        <v>653</v>
      </c>
      <c r="Y5" s="86">
        <f>'Raw Data'!Y6</f>
        <v>668</v>
      </c>
      <c r="Z5" s="86">
        <f>'Raw Data'!Z6</f>
        <v>699</v>
      </c>
      <c r="AA5" s="86">
        <f>'Raw Data'!AA6/10</f>
        <v>656.2</v>
      </c>
      <c r="AB5" s="86">
        <f>'Raw Data'!AB6/10</f>
        <v>645.70000000000005</v>
      </c>
      <c r="AC5" s="86">
        <f>'Raw Data'!AC6/10</f>
        <v>620.5</v>
      </c>
      <c r="AD5" s="86">
        <f>'Raw Data'!AD6/10</f>
        <v>600.5</v>
      </c>
      <c r="AE5" s="86">
        <f>'Raw Data'!AE6/10</f>
        <v>584.5</v>
      </c>
      <c r="AF5" s="86">
        <f>'Raw Data'!AF6/10</f>
        <v>565.70000000000005</v>
      </c>
      <c r="AG5" s="86">
        <f>'Raw Data'!AG6/10</f>
        <v>543</v>
      </c>
      <c r="AH5" s="86">
        <f>'Raw Data'!AH6/10</f>
        <v>523.4</v>
      </c>
      <c r="AI5" s="86">
        <f>'Raw Data'!AI6/10</f>
        <v>502.4</v>
      </c>
      <c r="AJ5" s="86">
        <f>'Raw Data'!AJ6/10</f>
        <v>494.6</v>
      </c>
      <c r="AK5" s="86">
        <f>'Raw Data'!AK6/10</f>
        <v>460.5</v>
      </c>
      <c r="AL5" s="86">
        <f>'Raw Data'!AL6/10</f>
        <v>446.4</v>
      </c>
      <c r="AM5" s="86">
        <f>'Raw Data'!AM6/10</f>
        <v>436.1</v>
      </c>
      <c r="AN5" s="86">
        <f>'Raw Data'!AN6/10</f>
        <v>423.7</v>
      </c>
      <c r="AO5" s="86">
        <f>'Raw Data'!AO6/10</f>
        <v>410.6</v>
      </c>
      <c r="AP5" s="86">
        <f>'Raw Data'!AP6/10</f>
        <v>392.5</v>
      </c>
      <c r="AQ5" s="86">
        <f>'Raw Data'!AQ6/10</f>
        <v>379.2</v>
      </c>
      <c r="AR5" s="86">
        <f>'Raw Data'!AR6/10</f>
        <v>367.2</v>
      </c>
      <c r="AS5" s="86">
        <f>'Raw Data'!AS6/10</f>
        <v>367.8</v>
      </c>
      <c r="AT5" s="86">
        <f>'Raw Data'!AT6/10</f>
        <v>354.2</v>
      </c>
      <c r="AU5" s="86">
        <f>'Raw Data'!AU6/10</f>
        <v>338.8</v>
      </c>
      <c r="AV5" s="86">
        <f>'Raw Data'!AV6/10</f>
        <v>326.8</v>
      </c>
      <c r="AW5" s="86">
        <f>'Raw Data'!AW6/10</f>
        <v>320.3</v>
      </c>
      <c r="AX5" s="86">
        <f>'Raw Data'!AX6/10</f>
        <v>312.10000000000002</v>
      </c>
      <c r="AY5" s="86">
        <f>'Raw Data'!AY6/10</f>
        <v>309.10000000000002</v>
      </c>
      <c r="AZ5" s="86">
        <f>'Raw Data'!AZ6/10</f>
        <v>302</v>
      </c>
      <c r="BA5" s="86">
        <f>'Raw Data'!BA6/10</f>
        <v>284.8</v>
      </c>
      <c r="BB5" s="86">
        <f>'Raw Data'!BB6/10</f>
        <v>284.3</v>
      </c>
      <c r="BC5" s="86">
        <f>'Raw Data'!BC6/10</f>
        <v>277.60000000000002</v>
      </c>
      <c r="BD5" s="86">
        <f>'Raw Data'!BD6/10</f>
        <v>271.39999999999998</v>
      </c>
      <c r="BE5" s="86">
        <f>'Raw Data'!BE6/10</f>
        <v>266.60000000000002</v>
      </c>
      <c r="BF5" s="86">
        <f>'Raw Data'!BF6/10</f>
        <v>254.5</v>
      </c>
      <c r="BG5" s="86">
        <f>'Raw Data'!BG6/10</f>
        <v>251</v>
      </c>
      <c r="BH5" s="86">
        <f>'Raw Data'!BH6/10</f>
        <v>254.1</v>
      </c>
      <c r="BI5" s="86">
        <f>'Raw Data'!BI6/10</f>
        <v>249.1</v>
      </c>
      <c r="BJ5" s="86">
        <f>'Raw Data'!BJ6/10</f>
        <v>238</v>
      </c>
      <c r="BK5" s="86">
        <f>'Raw Data'!BK6/10</f>
        <v>231.3</v>
      </c>
      <c r="BL5" s="86">
        <f>'Raw Data'!BL6/10</f>
        <v>226.9</v>
      </c>
      <c r="BM5" s="86">
        <f>'Raw Data'!BM6/10</f>
        <v>225.2</v>
      </c>
      <c r="BN5" s="86">
        <f>'Raw Data'!BN6/10</f>
        <v>223.5</v>
      </c>
      <c r="BO5" s="86">
        <f>'Raw Data'!BO6/10</f>
        <v>210.2</v>
      </c>
      <c r="BP5" s="86">
        <f>'Raw Data'!BP6/10</f>
        <v>212.8</v>
      </c>
      <c r="BQ5" s="86">
        <f>'Raw Data'!BQ6/10</f>
        <v>203.9</v>
      </c>
      <c r="BR5" s="86">
        <f>'Raw Data'!BR6/10</f>
        <v>212.2</v>
      </c>
      <c r="BS5" s="86">
        <f>'Raw Data'!BS6/10</f>
        <v>203.9</v>
      </c>
      <c r="BT5" s="86">
        <f>'Raw Data'!BT6/10</f>
        <v>201.7</v>
      </c>
      <c r="BU5" s="86">
        <f>'Raw Data'!BU6/10</f>
        <v>201.6</v>
      </c>
      <c r="BV5" s="86">
        <f>'Raw Data'!BV6/10</f>
        <v>200.3</v>
      </c>
      <c r="BW5" s="86">
        <f>'Raw Data'!BW6/10</f>
        <v>188.5</v>
      </c>
      <c r="BX5" s="86">
        <f>'Raw Data'!BX6/10</f>
        <v>185.1</v>
      </c>
      <c r="BY5" s="86">
        <f>'Raw Data'!BY6/10</f>
        <v>188.1</v>
      </c>
      <c r="BZ5" s="86">
        <f>'Raw Data'!BZ6/10</f>
        <v>176.1</v>
      </c>
      <c r="CA5" s="86">
        <f>'Raw Data'!CA6/10</f>
        <v>177.3</v>
      </c>
      <c r="CB5" s="86">
        <f>'Raw Data'!CB6/10</f>
        <v>180.2</v>
      </c>
      <c r="CC5" s="86">
        <f>'Raw Data'!CC6/10</f>
        <v>173.2</v>
      </c>
      <c r="CD5" s="86">
        <f>'Raw Data'!CD6/10</f>
        <v>178.8</v>
      </c>
      <c r="CE5" s="86">
        <f>'Raw Data'!CE6/10</f>
        <v>173.9</v>
      </c>
      <c r="CF5" s="86">
        <f>'Raw Data'!CF6/10</f>
        <v>171</v>
      </c>
      <c r="CG5" s="86">
        <f>'Raw Data'!CG6/100</f>
        <v>159.57</v>
      </c>
      <c r="CH5" s="86">
        <f>'Raw Data'!CH6/100</f>
        <v>142.96</v>
      </c>
      <c r="CI5" s="86">
        <f>'Raw Data'!CI6/100</f>
        <v>129.29</v>
      </c>
      <c r="CJ5" s="86">
        <f>'Raw Data'!CJ6/100</f>
        <v>120.1</v>
      </c>
      <c r="CK5" s="86">
        <f>'Raw Data'!CK6/100</f>
        <v>110.56</v>
      </c>
      <c r="CL5" s="86">
        <f>'Raw Data'!CL6/100</f>
        <v>106.23</v>
      </c>
      <c r="CM5" s="86">
        <f>'Raw Data'!CM6/100</f>
        <v>99.17</v>
      </c>
      <c r="CN5" s="86">
        <f>'Raw Data'!CN6/100</f>
        <v>94.33</v>
      </c>
      <c r="CO5" s="86">
        <f>'Raw Data'!CO6/100</f>
        <v>90.69</v>
      </c>
      <c r="CP5" s="86">
        <f>'Raw Data'!CP6/100</f>
        <v>85.42</v>
      </c>
      <c r="CQ5" s="86">
        <f>'Raw Data'!CQ6/100</f>
        <v>82.24</v>
      </c>
      <c r="CR5" s="86">
        <f>'Raw Data'!CR6/100</f>
        <v>79.95</v>
      </c>
      <c r="CS5" s="86">
        <f>'Raw Data'!CS6/100</f>
        <v>75.64</v>
      </c>
      <c r="CT5" s="86">
        <f>'Raw Data'!CT6/100</f>
        <v>74.27</v>
      </c>
      <c r="CU5" s="382"/>
    </row>
    <row r="6" spans="4:99" s="86" customFormat="1" x14ac:dyDescent="0.2">
      <c r="D6" s="348"/>
      <c r="E6" s="164"/>
      <c r="F6" s="394"/>
      <c r="G6" s="86">
        <f>'Raw Data'!G7</f>
        <v>904</v>
      </c>
      <c r="H6" s="86">
        <f>'Raw Data'!H7</f>
        <v>861</v>
      </c>
      <c r="I6" s="86">
        <f>'Raw Data'!I7</f>
        <v>819</v>
      </c>
      <c r="J6" s="86">
        <f>'Raw Data'!J7</f>
        <v>857</v>
      </c>
      <c r="K6" s="86">
        <f>'Raw Data'!K7</f>
        <v>835</v>
      </c>
      <c r="L6" s="86">
        <f>'Raw Data'!L7</f>
        <v>867</v>
      </c>
      <c r="M6" s="86">
        <f>'Raw Data'!M7</f>
        <v>886</v>
      </c>
      <c r="N6" s="86">
        <f>'Raw Data'!N7</f>
        <v>885</v>
      </c>
      <c r="O6" s="86">
        <f>'Raw Data'!O7</f>
        <v>888</v>
      </c>
      <c r="P6" s="86">
        <f>'Raw Data'!P7</f>
        <v>895</v>
      </c>
      <c r="Q6" s="86">
        <f>'Raw Data'!Q7</f>
        <v>881</v>
      </c>
      <c r="R6" s="86">
        <f>'Raw Data'!R7</f>
        <v>866</v>
      </c>
      <c r="S6" s="86">
        <f>'Raw Data'!S7</f>
        <v>852</v>
      </c>
      <c r="T6" s="86">
        <f>'Raw Data'!T7</f>
        <v>876</v>
      </c>
      <c r="U6" s="86">
        <f>'Raw Data'!U7</f>
        <v>831</v>
      </c>
      <c r="V6" s="86">
        <f>'Raw Data'!V7</f>
        <v>816</v>
      </c>
      <c r="W6" s="86">
        <f>'Raw Data'!W7</f>
        <v>852</v>
      </c>
      <c r="X6" s="86">
        <f>'Raw Data'!X7</f>
        <v>829</v>
      </c>
      <c r="Y6" s="86">
        <f>'Raw Data'!Y7</f>
        <v>808</v>
      </c>
      <c r="Z6" s="86">
        <f>'Raw Data'!Z7</f>
        <v>873</v>
      </c>
      <c r="AA6" s="86">
        <f>'Raw Data'!AA7/10</f>
        <v>834.8</v>
      </c>
      <c r="AB6" s="86">
        <f>'Raw Data'!AB7/10</f>
        <v>795</v>
      </c>
      <c r="AC6" s="86">
        <f>'Raw Data'!AC7/10</f>
        <v>761.8</v>
      </c>
      <c r="AD6" s="86">
        <f>'Raw Data'!AD7/10</f>
        <v>733.1</v>
      </c>
      <c r="AE6" s="86">
        <f>'Raw Data'!AE7/10</f>
        <v>700.7</v>
      </c>
      <c r="AF6" s="86">
        <f>'Raw Data'!AF7/10</f>
        <v>673.1</v>
      </c>
      <c r="AG6" s="86">
        <f>'Raw Data'!AG7/10</f>
        <v>658.3</v>
      </c>
      <c r="AH6" s="86">
        <f>'Raw Data'!AH7/10</f>
        <v>622.70000000000005</v>
      </c>
      <c r="AI6" s="86">
        <f>'Raw Data'!AI7/10</f>
        <v>586.29999999999995</v>
      </c>
      <c r="AJ6" s="86">
        <f>'Raw Data'!AJ7/10</f>
        <v>565.79999999999995</v>
      </c>
      <c r="AK6" s="86">
        <f>'Raw Data'!AK7/10</f>
        <v>540.29999999999995</v>
      </c>
      <c r="AL6" s="86">
        <f>'Raw Data'!AL7/10</f>
        <v>524.70000000000005</v>
      </c>
      <c r="AM6" s="86">
        <f>'Raw Data'!AM7/10</f>
        <v>514.29999999999995</v>
      </c>
      <c r="AN6" s="86">
        <f>'Raw Data'!AN7/10</f>
        <v>487.2</v>
      </c>
      <c r="AO6" s="86">
        <f>'Raw Data'!AO7/10</f>
        <v>459.8</v>
      </c>
      <c r="AP6" s="86">
        <f>'Raw Data'!AP7/10</f>
        <v>444.8</v>
      </c>
      <c r="AQ6" s="86">
        <f>'Raw Data'!AQ7/10</f>
        <v>437.2</v>
      </c>
      <c r="AR6" s="86">
        <f>'Raw Data'!AR7/10</f>
        <v>422.3</v>
      </c>
      <c r="AS6" s="86">
        <f>'Raw Data'!AS7/10</f>
        <v>403.3</v>
      </c>
      <c r="AT6" s="86">
        <f>'Raw Data'!AT7/10</f>
        <v>382.5</v>
      </c>
      <c r="AU6" s="86">
        <f>'Raw Data'!AU7/10</f>
        <v>365.6</v>
      </c>
      <c r="AV6" s="86">
        <f>'Raw Data'!AV7/10</f>
        <v>360.8</v>
      </c>
      <c r="AW6" s="86">
        <f>'Raw Data'!AW7/10</f>
        <v>350.1</v>
      </c>
      <c r="AX6" s="86">
        <f>'Raw Data'!AX7/10</f>
        <v>336.4</v>
      </c>
      <c r="AY6" s="86">
        <f>'Raw Data'!AY7/10</f>
        <v>325.3</v>
      </c>
      <c r="AZ6" s="86">
        <f>'Raw Data'!AZ7/10</f>
        <v>318</v>
      </c>
      <c r="BA6" s="86">
        <f>'Raw Data'!BA7/10</f>
        <v>311</v>
      </c>
      <c r="BB6" s="86">
        <f>'Raw Data'!BB7/10</f>
        <v>302</v>
      </c>
      <c r="BC6" s="86">
        <f>'Raw Data'!BC7/10</f>
        <v>290.2</v>
      </c>
      <c r="BD6" s="86">
        <f>'Raw Data'!BD7/10</f>
        <v>282.39999999999998</v>
      </c>
      <c r="BE6" s="86">
        <f>'Raw Data'!BE7/10</f>
        <v>279.10000000000002</v>
      </c>
      <c r="BF6" s="86">
        <f>'Raw Data'!BF7/10</f>
        <v>267.10000000000002</v>
      </c>
      <c r="BG6" s="86">
        <f>'Raw Data'!BG7/10</f>
        <v>256.60000000000002</v>
      </c>
      <c r="BH6" s="86">
        <f>'Raw Data'!BH7/10</f>
        <v>250.9</v>
      </c>
      <c r="BI6" s="86">
        <f>'Raw Data'!BI7/10</f>
        <v>250</v>
      </c>
      <c r="BJ6" s="86">
        <f>'Raw Data'!BJ7/10</f>
        <v>239.9</v>
      </c>
      <c r="BK6" s="86">
        <f>'Raw Data'!BK7/10</f>
        <v>232.7</v>
      </c>
      <c r="BL6" s="86">
        <f>'Raw Data'!BL7/10</f>
        <v>233.4</v>
      </c>
      <c r="BM6" s="86">
        <f>'Raw Data'!BM7/10</f>
        <v>223.3</v>
      </c>
      <c r="BN6" s="86">
        <f>'Raw Data'!BN7/10</f>
        <v>219</v>
      </c>
      <c r="BO6" s="86">
        <f>'Raw Data'!BO7/10</f>
        <v>216.4</v>
      </c>
      <c r="BP6" s="86">
        <f>'Raw Data'!BP7/10</f>
        <v>212.2</v>
      </c>
      <c r="BQ6" s="86">
        <f>'Raw Data'!BQ7/10</f>
        <v>205.4</v>
      </c>
      <c r="BR6" s="86">
        <f>'Raw Data'!BR7/10</f>
        <v>202.4</v>
      </c>
      <c r="BS6" s="86">
        <f>'Raw Data'!BS7/10</f>
        <v>198</v>
      </c>
      <c r="BT6" s="86">
        <f>'Raw Data'!BT7/10</f>
        <v>187.2</v>
      </c>
      <c r="BU6" s="86">
        <f>'Raw Data'!BU7/10</f>
        <v>186.9</v>
      </c>
      <c r="BV6" s="86">
        <f>'Raw Data'!BV7/10</f>
        <v>180.4</v>
      </c>
      <c r="BW6" s="86">
        <f>'Raw Data'!BW7/10</f>
        <v>182.2</v>
      </c>
      <c r="BX6" s="86">
        <f>'Raw Data'!BX7/10</f>
        <v>181.7</v>
      </c>
      <c r="BY6" s="86">
        <f>'Raw Data'!BY7/10</f>
        <v>176.6</v>
      </c>
      <c r="BZ6" s="86">
        <f>'Raw Data'!BZ7/10</f>
        <v>170.8</v>
      </c>
      <c r="CA6" s="86">
        <f>'Raw Data'!CA7/10</f>
        <v>171.8</v>
      </c>
      <c r="CB6" s="86">
        <f>'Raw Data'!CB7/10</f>
        <v>165.9</v>
      </c>
      <c r="CC6" s="86">
        <f>'Raw Data'!CC7/10</f>
        <v>159.19999999999999</v>
      </c>
      <c r="CD6" s="86">
        <f>'Raw Data'!CD7/10</f>
        <v>152.30000000000001</v>
      </c>
      <c r="CE6" s="86">
        <f>'Raw Data'!CE7/10</f>
        <v>162.30000000000001</v>
      </c>
      <c r="CF6" s="86">
        <f>'Raw Data'!CF7/10</f>
        <v>150.69999999999999</v>
      </c>
      <c r="CG6" s="86">
        <f>'Raw Data'!CG7/100</f>
        <v>138.38999999999999</v>
      </c>
      <c r="CH6" s="86">
        <f>'Raw Data'!CH7/100</f>
        <v>120.61</v>
      </c>
      <c r="CI6" s="86">
        <f>'Raw Data'!CI7/100</f>
        <v>104.47</v>
      </c>
      <c r="CJ6" s="86">
        <f>'Raw Data'!CJ7/100</f>
        <v>94.72</v>
      </c>
      <c r="CK6" s="86">
        <f>'Raw Data'!CK7/100</f>
        <v>84.38</v>
      </c>
      <c r="CL6" s="86">
        <f>'Raw Data'!CL7/100</f>
        <v>78.540000000000006</v>
      </c>
      <c r="CM6" s="86">
        <f>'Raw Data'!CM7/100</f>
        <v>71.08</v>
      </c>
      <c r="CN6" s="86">
        <f>'Raw Data'!CN7/100</f>
        <v>66.400000000000006</v>
      </c>
      <c r="CO6" s="86">
        <f>'Raw Data'!CO7/100</f>
        <v>60.56</v>
      </c>
      <c r="CP6" s="86">
        <f>'Raw Data'!CP7/100</f>
        <v>58.1</v>
      </c>
      <c r="CQ6" s="86">
        <f>'Raw Data'!CQ7/100</f>
        <v>55.17</v>
      </c>
      <c r="CR6" s="86">
        <f>'Raw Data'!CR7/100</f>
        <v>50.59</v>
      </c>
      <c r="CS6" s="86">
        <f>'Raw Data'!CS7/100</f>
        <v>49.05</v>
      </c>
      <c r="CT6" s="86">
        <f>'Raw Data'!CT7/100</f>
        <v>47.47</v>
      </c>
      <c r="CU6" s="382"/>
    </row>
    <row r="7" spans="4:99" s="86" customFormat="1" x14ac:dyDescent="0.2">
      <c r="D7" s="348"/>
      <c r="E7" s="164"/>
      <c r="F7" s="394"/>
      <c r="G7" s="86">
        <f>'Raw Data'!G8</f>
        <v>471</v>
      </c>
      <c r="H7" s="86">
        <f>'Raw Data'!H8</f>
        <v>475</v>
      </c>
      <c r="I7" s="86">
        <f>'Raw Data'!I8</f>
        <v>486</v>
      </c>
      <c r="J7" s="86">
        <f>'Raw Data'!J8</f>
        <v>485</v>
      </c>
      <c r="K7" s="86">
        <f>'Raw Data'!K8</f>
        <v>485</v>
      </c>
      <c r="L7" s="86">
        <f>'Raw Data'!L8</f>
        <v>477</v>
      </c>
      <c r="M7" s="86">
        <f>'Raw Data'!M8</f>
        <v>486</v>
      </c>
      <c r="N7" s="86">
        <f>'Raw Data'!N8</f>
        <v>449</v>
      </c>
      <c r="O7" s="86">
        <f>'Raw Data'!O8</f>
        <v>445</v>
      </c>
      <c r="P7" s="86">
        <f>'Raw Data'!P8</f>
        <v>461</v>
      </c>
      <c r="Q7" s="86">
        <f>'Raw Data'!Q8</f>
        <v>465</v>
      </c>
      <c r="R7" s="86">
        <f>'Raw Data'!R8</f>
        <v>457</v>
      </c>
      <c r="S7" s="86">
        <f>'Raw Data'!S8</f>
        <v>492</v>
      </c>
      <c r="T7" s="86">
        <f>'Raw Data'!T8</f>
        <v>454</v>
      </c>
      <c r="U7" s="86">
        <f>'Raw Data'!U8</f>
        <v>432</v>
      </c>
      <c r="V7" s="86">
        <f>'Raw Data'!V8</f>
        <v>460</v>
      </c>
      <c r="W7" s="86">
        <f>'Raw Data'!W8</f>
        <v>451</v>
      </c>
      <c r="X7" s="86">
        <f>'Raw Data'!X8</f>
        <v>426</v>
      </c>
      <c r="Y7" s="86">
        <f>'Raw Data'!Y8</f>
        <v>448</v>
      </c>
      <c r="Z7" s="86">
        <f>'Raw Data'!Z8</f>
        <v>435</v>
      </c>
      <c r="AA7" s="86">
        <f>'Raw Data'!AA8/10</f>
        <v>441</v>
      </c>
      <c r="AB7" s="86">
        <f>'Raw Data'!AB8/10</f>
        <v>423.4</v>
      </c>
      <c r="AC7" s="86">
        <f>'Raw Data'!AC8/10</f>
        <v>412.1</v>
      </c>
      <c r="AD7" s="86">
        <f>'Raw Data'!AD8/10</f>
        <v>399.7</v>
      </c>
      <c r="AE7" s="86">
        <f>'Raw Data'!AE8/10</f>
        <v>385.1</v>
      </c>
      <c r="AF7" s="86">
        <f>'Raw Data'!AF8/10</f>
        <v>374.7</v>
      </c>
      <c r="AG7" s="86">
        <f>'Raw Data'!AG8/10</f>
        <v>349.8</v>
      </c>
      <c r="AH7" s="86">
        <f>'Raw Data'!AH8/10</f>
        <v>339.3</v>
      </c>
      <c r="AI7" s="86">
        <f>'Raw Data'!AI8/10</f>
        <v>323.10000000000002</v>
      </c>
      <c r="AJ7" s="86">
        <f>'Raw Data'!AJ8/10</f>
        <v>314.8</v>
      </c>
      <c r="AK7" s="86">
        <f>'Raw Data'!AK8/10</f>
        <v>305.60000000000002</v>
      </c>
      <c r="AL7" s="86">
        <f>'Raw Data'!AL8/10</f>
        <v>288.2</v>
      </c>
      <c r="AM7" s="86">
        <f>'Raw Data'!AM8/10</f>
        <v>279</v>
      </c>
      <c r="AN7" s="86">
        <f>'Raw Data'!AN8/10</f>
        <v>271.10000000000002</v>
      </c>
      <c r="AO7" s="86">
        <f>'Raw Data'!AO8/10</f>
        <v>266.8</v>
      </c>
      <c r="AP7" s="86">
        <f>'Raw Data'!AP8/10</f>
        <v>259.89999999999998</v>
      </c>
      <c r="AQ7" s="86">
        <f>'Raw Data'!AQ8/10</f>
        <v>254.4</v>
      </c>
      <c r="AR7" s="86">
        <f>'Raw Data'!AR8/10</f>
        <v>235.8</v>
      </c>
      <c r="AS7" s="86">
        <f>'Raw Data'!AS8/10</f>
        <v>234.4</v>
      </c>
      <c r="AT7" s="86">
        <f>'Raw Data'!AT8/10</f>
        <v>221.4</v>
      </c>
      <c r="AU7" s="86">
        <f>'Raw Data'!AU8/10</f>
        <v>216.9</v>
      </c>
      <c r="AV7" s="86">
        <f>'Raw Data'!AV8/10</f>
        <v>213.7</v>
      </c>
      <c r="AW7" s="86">
        <f>'Raw Data'!AW8/10</f>
        <v>202.7</v>
      </c>
      <c r="AX7" s="86">
        <f>'Raw Data'!AX8/10</f>
        <v>198.8</v>
      </c>
      <c r="AY7" s="86">
        <f>'Raw Data'!AY8/10</f>
        <v>199.7</v>
      </c>
      <c r="AZ7" s="86">
        <f>'Raw Data'!AZ8/10</f>
        <v>193.3</v>
      </c>
      <c r="BA7" s="86">
        <f>'Raw Data'!BA8/10</f>
        <v>191.9</v>
      </c>
      <c r="BB7" s="86">
        <f>'Raw Data'!BB8/10</f>
        <v>186.8</v>
      </c>
      <c r="BC7" s="86">
        <f>'Raw Data'!BC8/10</f>
        <v>175.7</v>
      </c>
      <c r="BD7" s="86">
        <f>'Raw Data'!BD8/10</f>
        <v>168.7</v>
      </c>
      <c r="BE7" s="86">
        <f>'Raw Data'!BE8/10</f>
        <v>163.9</v>
      </c>
      <c r="BF7" s="86">
        <f>'Raw Data'!BF8/10</f>
        <v>164.1</v>
      </c>
      <c r="BG7" s="86">
        <f>'Raw Data'!BG8/10</f>
        <v>157.69999999999999</v>
      </c>
      <c r="BH7" s="86">
        <f>'Raw Data'!BH8/10</f>
        <v>157.19999999999999</v>
      </c>
      <c r="BI7" s="86">
        <f>'Raw Data'!BI8/10</f>
        <v>158</v>
      </c>
      <c r="BJ7" s="86">
        <f>'Raw Data'!BJ8/10</f>
        <v>149.80000000000001</v>
      </c>
      <c r="BK7" s="86">
        <f>'Raw Data'!BK8/10</f>
        <v>148.69999999999999</v>
      </c>
      <c r="BL7" s="86">
        <f>'Raw Data'!BL8/10</f>
        <v>148.1</v>
      </c>
      <c r="BM7" s="86">
        <f>'Raw Data'!BM8/10</f>
        <v>141</v>
      </c>
      <c r="BN7" s="86">
        <f>'Raw Data'!BN8/10</f>
        <v>139.19999999999999</v>
      </c>
      <c r="BO7" s="86">
        <f>'Raw Data'!BO8/10</f>
        <v>139.6</v>
      </c>
      <c r="BP7" s="86">
        <f>'Raw Data'!BP8/10</f>
        <v>135.4</v>
      </c>
      <c r="BQ7" s="86">
        <f>'Raw Data'!BQ8/10</f>
        <v>137.19999999999999</v>
      </c>
      <c r="BR7" s="86">
        <f>'Raw Data'!BR8/10</f>
        <v>126.3</v>
      </c>
      <c r="BS7" s="86">
        <f>'Raw Data'!BS8/10</f>
        <v>129.4</v>
      </c>
      <c r="BT7" s="86">
        <f>'Raw Data'!BT8/10</f>
        <v>124.9</v>
      </c>
      <c r="BU7" s="86">
        <f>'Raw Data'!BU8/10</f>
        <v>127.9</v>
      </c>
      <c r="BV7" s="86">
        <f>'Raw Data'!BV8/10</f>
        <v>119.8</v>
      </c>
      <c r="BW7" s="86">
        <f>'Raw Data'!BW8/10</f>
        <v>116.9</v>
      </c>
      <c r="BX7" s="86">
        <f>'Raw Data'!BX8/10</f>
        <v>116.8</v>
      </c>
      <c r="BY7" s="86">
        <f>'Raw Data'!BY8/10</f>
        <v>121.1</v>
      </c>
      <c r="BZ7" s="86">
        <f>'Raw Data'!BZ8/10</f>
        <v>114.5</v>
      </c>
      <c r="CA7" s="86">
        <f>'Raw Data'!CA8/10</f>
        <v>112.6</v>
      </c>
      <c r="CB7" s="86">
        <f>'Raw Data'!CB8/10</f>
        <v>116</v>
      </c>
      <c r="CC7" s="86">
        <f>'Raw Data'!CC8/10</f>
        <v>106.9</v>
      </c>
      <c r="CD7" s="86">
        <f>'Raw Data'!CD8/10</f>
        <v>108.2</v>
      </c>
      <c r="CE7" s="86">
        <f>'Raw Data'!CE8/10</f>
        <v>109.2</v>
      </c>
      <c r="CF7" s="86">
        <f>'Raw Data'!CF8/10</f>
        <v>104</v>
      </c>
      <c r="CG7" s="86">
        <f>'Raw Data'!CG8/100</f>
        <v>96.88</v>
      </c>
      <c r="CH7" s="86">
        <f>'Raw Data'!CH8/100</f>
        <v>87.29</v>
      </c>
      <c r="CI7" s="86">
        <f>'Raw Data'!CI8/100</f>
        <v>80.05</v>
      </c>
      <c r="CJ7" s="86">
        <f>'Raw Data'!CJ8/100</f>
        <v>73.069999999999993</v>
      </c>
      <c r="CK7" s="86">
        <f>'Raw Data'!CK8/100</f>
        <v>69.03</v>
      </c>
      <c r="CL7" s="86">
        <f>'Raw Data'!CL8/100</f>
        <v>64.22</v>
      </c>
      <c r="CM7" s="86">
        <f>'Raw Data'!CM8/100</f>
        <v>59.31</v>
      </c>
      <c r="CN7" s="86">
        <f>'Raw Data'!CN8/100</f>
        <v>56.56</v>
      </c>
      <c r="CO7" s="86">
        <f>'Raw Data'!CO8/100</f>
        <v>54.3</v>
      </c>
      <c r="CP7" s="86">
        <f>'Raw Data'!CP8/100</f>
        <v>51.13</v>
      </c>
      <c r="CQ7" s="86">
        <f>'Raw Data'!CQ8/100</f>
        <v>52.03</v>
      </c>
      <c r="CR7" s="86">
        <f>'Raw Data'!CR8/100</f>
        <v>47.05</v>
      </c>
      <c r="CS7" s="86">
        <f>'Raw Data'!CS8/100</f>
        <v>45.92</v>
      </c>
      <c r="CT7" s="86">
        <f>'Raw Data'!CT8/100</f>
        <v>44.93</v>
      </c>
      <c r="CU7" s="382"/>
    </row>
    <row r="8" spans="4:99" s="86" customFormat="1" x14ac:dyDescent="0.2">
      <c r="D8" s="348"/>
      <c r="E8" s="164"/>
      <c r="F8" s="394"/>
      <c r="G8" s="86">
        <f>'Raw Data'!G9</f>
        <v>2011</v>
      </c>
      <c r="H8" s="86">
        <f>'Raw Data'!H9</f>
        <v>1999</v>
      </c>
      <c r="I8" s="86">
        <f>'Raw Data'!I9</f>
        <v>2025</v>
      </c>
      <c r="J8" s="86">
        <f>'Raw Data'!J9</f>
        <v>2079</v>
      </c>
      <c r="K8" s="86">
        <f>'Raw Data'!K9</f>
        <v>2040</v>
      </c>
      <c r="L8" s="86">
        <f>'Raw Data'!L9</f>
        <v>2005</v>
      </c>
      <c r="M8" s="86">
        <f>'Raw Data'!M9</f>
        <v>1963</v>
      </c>
      <c r="N8" s="86">
        <f>'Raw Data'!N9</f>
        <v>2020</v>
      </c>
      <c r="O8" s="86">
        <f>'Raw Data'!O9</f>
        <v>2033</v>
      </c>
      <c r="P8" s="86">
        <f>'Raw Data'!P9</f>
        <v>2048</v>
      </c>
      <c r="Q8" s="86">
        <f>'Raw Data'!Q9</f>
        <v>1981</v>
      </c>
      <c r="R8" s="86">
        <f>'Raw Data'!R9</f>
        <v>1992</v>
      </c>
      <c r="S8" s="86">
        <f>'Raw Data'!S9</f>
        <v>1955</v>
      </c>
      <c r="T8" s="86">
        <f>'Raw Data'!T9</f>
        <v>2026</v>
      </c>
      <c r="U8" s="86">
        <f>'Raw Data'!U9</f>
        <v>1942</v>
      </c>
      <c r="V8" s="86">
        <f>'Raw Data'!V9</f>
        <v>1961</v>
      </c>
      <c r="W8" s="86">
        <f>'Raw Data'!W9</f>
        <v>1741</v>
      </c>
      <c r="X8" s="86">
        <f>'Raw Data'!X9</f>
        <v>1940</v>
      </c>
      <c r="Y8" s="86">
        <f>'Raw Data'!Y9</f>
        <v>1952</v>
      </c>
      <c r="Z8" s="86">
        <f>'Raw Data'!Z9</f>
        <v>1943</v>
      </c>
      <c r="AA8" s="86">
        <f>'Raw Data'!AA9/10</f>
        <v>1934</v>
      </c>
      <c r="AB8" s="86">
        <f>'Raw Data'!AB9/10</f>
        <v>1856.6</v>
      </c>
      <c r="AC8" s="86">
        <f>'Raw Data'!AC9/10</f>
        <v>1776.7</v>
      </c>
      <c r="AD8" s="86">
        <f>'Raw Data'!AD9/10</f>
        <v>1708.9</v>
      </c>
      <c r="AE8" s="86">
        <f>'Raw Data'!AE9/10</f>
        <v>1651.8</v>
      </c>
      <c r="AF8" s="86">
        <f>'Raw Data'!AF9/10</f>
        <v>1584.6</v>
      </c>
      <c r="AG8" s="86">
        <f>'Raw Data'!AG9/10</f>
        <v>1517.6</v>
      </c>
      <c r="AH8" s="86">
        <f>'Raw Data'!AH9/10</f>
        <v>1447.3</v>
      </c>
      <c r="AI8" s="86">
        <f>'Raw Data'!AI9/10</f>
        <v>1400.6</v>
      </c>
      <c r="AJ8" s="86">
        <f>'Raw Data'!AJ9/10</f>
        <v>1347.7</v>
      </c>
      <c r="AK8" s="86">
        <f>'Raw Data'!AK9/10</f>
        <v>1273.5999999999999</v>
      </c>
      <c r="AL8" s="86">
        <f>'Raw Data'!AL9/10</f>
        <v>1226.5</v>
      </c>
      <c r="AM8" s="86">
        <f>'Raw Data'!AM9/10</f>
        <v>1175.4000000000001</v>
      </c>
      <c r="AN8" s="86">
        <f>'Raw Data'!AN9/10</f>
        <v>1131.7</v>
      </c>
      <c r="AO8" s="86">
        <f>'Raw Data'!AO9/10</f>
        <v>1079.3</v>
      </c>
      <c r="AP8" s="86">
        <f>'Raw Data'!AP9/10</f>
        <v>1048.8</v>
      </c>
      <c r="AQ8" s="86">
        <f>'Raw Data'!AQ9/10</f>
        <v>1014.3</v>
      </c>
      <c r="AR8" s="86">
        <f>'Raw Data'!AR9/10</f>
        <v>969.7</v>
      </c>
      <c r="AS8" s="86">
        <f>'Raw Data'!AS9/10</f>
        <v>938.5</v>
      </c>
      <c r="AT8" s="86">
        <f>'Raw Data'!AT9/10</f>
        <v>907.2</v>
      </c>
      <c r="AU8" s="86">
        <f>'Raw Data'!AU9/10</f>
        <v>868.6</v>
      </c>
      <c r="AV8" s="86">
        <f>'Raw Data'!AV9/10</f>
        <v>843.9</v>
      </c>
      <c r="AW8" s="86">
        <f>'Raw Data'!AW9/10</f>
        <v>813.9</v>
      </c>
      <c r="AX8" s="86">
        <f>'Raw Data'!AX9/10</f>
        <v>791.3</v>
      </c>
      <c r="AY8" s="86">
        <f>'Raw Data'!AY9/10</f>
        <v>765.3</v>
      </c>
      <c r="AZ8" s="86">
        <f>'Raw Data'!AZ9/10</f>
        <v>757.1</v>
      </c>
      <c r="BA8" s="86">
        <f>'Raw Data'!BA9/10</f>
        <v>726.7</v>
      </c>
      <c r="BB8" s="86">
        <f>'Raw Data'!BB9/10</f>
        <v>695.1</v>
      </c>
      <c r="BC8" s="86">
        <f>'Raw Data'!BC9/10</f>
        <v>687.3</v>
      </c>
      <c r="BD8" s="86">
        <f>'Raw Data'!BD9/10</f>
        <v>667.2</v>
      </c>
      <c r="BE8" s="86">
        <f>'Raw Data'!BE9/10</f>
        <v>638.1</v>
      </c>
      <c r="BF8" s="86">
        <f>'Raw Data'!BF9/10</f>
        <v>619.9</v>
      </c>
      <c r="BG8" s="86">
        <f>'Raw Data'!BG9/10</f>
        <v>610.6</v>
      </c>
      <c r="BH8" s="86">
        <f>'Raw Data'!BH9/10</f>
        <v>586.70000000000005</v>
      </c>
      <c r="BI8" s="86">
        <f>'Raw Data'!BI9/10</f>
        <v>571.20000000000005</v>
      </c>
      <c r="BJ8" s="86">
        <f>'Raw Data'!BJ9/10</f>
        <v>562.20000000000005</v>
      </c>
      <c r="BK8" s="86">
        <f>'Raw Data'!BK9/10</f>
        <v>560.5</v>
      </c>
      <c r="BL8" s="86">
        <f>'Raw Data'!BL9/10</f>
        <v>534.79999999999995</v>
      </c>
      <c r="BM8" s="86">
        <f>'Raw Data'!BM9/10</f>
        <v>519.4</v>
      </c>
      <c r="BN8" s="86">
        <f>'Raw Data'!BN9/10</f>
        <v>512.6</v>
      </c>
      <c r="BO8" s="86">
        <f>'Raw Data'!BO9/10</f>
        <v>493.4</v>
      </c>
      <c r="BP8" s="86">
        <f>'Raw Data'!BP9/10</f>
        <v>495</v>
      </c>
      <c r="BQ8" s="86">
        <f>'Raw Data'!BQ9/10</f>
        <v>485.3</v>
      </c>
      <c r="BR8" s="86">
        <f>'Raw Data'!BR9/10</f>
        <v>467</v>
      </c>
      <c r="BS8" s="86">
        <f>'Raw Data'!BS9/10</f>
        <v>452.6</v>
      </c>
      <c r="BT8" s="86">
        <f>'Raw Data'!BT9/10</f>
        <v>442</v>
      </c>
      <c r="BU8" s="86">
        <f>'Raw Data'!BU9/10</f>
        <v>440.1</v>
      </c>
      <c r="BV8" s="86">
        <f>'Raw Data'!BV9/10</f>
        <v>425.7</v>
      </c>
      <c r="BW8" s="86">
        <f>'Raw Data'!BW9/10</f>
        <v>418.5</v>
      </c>
      <c r="BX8" s="86">
        <f>'Raw Data'!BX9/10</f>
        <v>412.9</v>
      </c>
      <c r="BY8" s="86">
        <f>'Raw Data'!BY9/10</f>
        <v>400.2</v>
      </c>
      <c r="BZ8" s="86">
        <f>'Raw Data'!BZ9/10</f>
        <v>391.3</v>
      </c>
      <c r="CA8" s="86">
        <f>'Raw Data'!CA9/10</f>
        <v>383.8</v>
      </c>
      <c r="CB8" s="86">
        <f>'Raw Data'!CB9/10</f>
        <v>379.3</v>
      </c>
      <c r="CC8" s="86">
        <f>'Raw Data'!CC9/10</f>
        <v>375.5</v>
      </c>
      <c r="CD8" s="86">
        <f>'Raw Data'!CD9/10</f>
        <v>367.8</v>
      </c>
      <c r="CE8" s="86">
        <f>'Raw Data'!CE9/10</f>
        <v>351.8</v>
      </c>
      <c r="CF8" s="86">
        <f>'Raw Data'!CF9/10</f>
        <v>352.9</v>
      </c>
      <c r="CG8" s="86">
        <f>'Raw Data'!CG9/100</f>
        <v>324.07</v>
      </c>
      <c r="CH8" s="86">
        <f>'Raw Data'!CH9/100</f>
        <v>277.54000000000002</v>
      </c>
      <c r="CI8" s="86">
        <f>'Raw Data'!CI9/100</f>
        <v>245.12</v>
      </c>
      <c r="CJ8" s="86">
        <f>'Raw Data'!CJ9/100</f>
        <v>219.63</v>
      </c>
      <c r="CK8" s="86">
        <f>'Raw Data'!CK9/100</f>
        <v>195.81</v>
      </c>
      <c r="CL8" s="86">
        <f>'Raw Data'!CL9/100</f>
        <v>177.41</v>
      </c>
      <c r="CM8" s="86">
        <f>'Raw Data'!CM9/100</f>
        <v>164.02</v>
      </c>
      <c r="CN8" s="86">
        <f>'Raw Data'!CN9/100</f>
        <v>147.94</v>
      </c>
      <c r="CO8" s="86">
        <f>'Raw Data'!CO9/100</f>
        <v>139.24</v>
      </c>
      <c r="CP8" s="86">
        <f>'Raw Data'!CP9/100</f>
        <v>132.65</v>
      </c>
      <c r="CQ8" s="86">
        <f>'Raw Data'!CQ9/100</f>
        <v>124.57</v>
      </c>
      <c r="CR8" s="86">
        <f>'Raw Data'!CR9/100</f>
        <v>119.57</v>
      </c>
      <c r="CS8" s="86">
        <f>'Raw Data'!CS9/100</f>
        <v>112.32</v>
      </c>
      <c r="CT8" s="86">
        <f>'Raw Data'!CT9/100</f>
        <v>106.92</v>
      </c>
      <c r="CU8" s="382"/>
    </row>
    <row r="9" spans="4:99" s="86" customFormat="1" x14ac:dyDescent="0.2">
      <c r="D9" s="348"/>
      <c r="E9" s="164"/>
      <c r="F9" s="394"/>
      <c r="G9" s="86">
        <f>'Raw Data'!G10</f>
        <v>647</v>
      </c>
      <c r="H9" s="86">
        <f>'Raw Data'!H10</f>
        <v>604</v>
      </c>
      <c r="I9" s="86">
        <f>'Raw Data'!I10</f>
        <v>663</v>
      </c>
      <c r="J9" s="86">
        <f>'Raw Data'!J10</f>
        <v>603</v>
      </c>
      <c r="K9" s="86">
        <f>'Raw Data'!K10</f>
        <v>595</v>
      </c>
      <c r="L9" s="86">
        <f>'Raw Data'!L10</f>
        <v>610</v>
      </c>
      <c r="M9" s="86">
        <f>'Raw Data'!M10</f>
        <v>634</v>
      </c>
      <c r="N9" s="86">
        <f>'Raw Data'!N10</f>
        <v>608</v>
      </c>
      <c r="O9" s="86">
        <f>'Raw Data'!O10</f>
        <v>625</v>
      </c>
      <c r="P9" s="86">
        <f>'Raw Data'!P10</f>
        <v>610</v>
      </c>
      <c r="Q9" s="86">
        <f>'Raw Data'!Q10</f>
        <v>600</v>
      </c>
      <c r="R9" s="86">
        <f>'Raw Data'!R10</f>
        <v>608</v>
      </c>
      <c r="S9" s="86">
        <f>'Raw Data'!S10</f>
        <v>577</v>
      </c>
      <c r="T9" s="86">
        <f>'Raw Data'!T10</f>
        <v>572</v>
      </c>
      <c r="U9" s="86">
        <f>'Raw Data'!U10</f>
        <v>619</v>
      </c>
      <c r="V9" s="86">
        <f>'Raw Data'!V10</f>
        <v>564</v>
      </c>
      <c r="W9" s="86">
        <f>'Raw Data'!W10</f>
        <v>628</v>
      </c>
      <c r="X9" s="86">
        <f>'Raw Data'!X10</f>
        <v>573</v>
      </c>
      <c r="Y9" s="86">
        <f>'Raw Data'!Y10</f>
        <v>585</v>
      </c>
      <c r="Z9" s="86">
        <f>'Raw Data'!Z10</f>
        <v>590</v>
      </c>
      <c r="AA9" s="86">
        <f>'Raw Data'!AA10/10</f>
        <v>585.6</v>
      </c>
      <c r="AB9" s="86">
        <f>'Raw Data'!AB10/10</f>
        <v>572.70000000000005</v>
      </c>
      <c r="AC9" s="86">
        <f>'Raw Data'!AC10/10</f>
        <v>562.1</v>
      </c>
      <c r="AD9" s="86">
        <f>'Raw Data'!AD10/10</f>
        <v>540.29999999999995</v>
      </c>
      <c r="AE9" s="86">
        <f>'Raw Data'!AE10/10</f>
        <v>517.20000000000005</v>
      </c>
      <c r="AF9" s="86">
        <f>'Raw Data'!AF10/10</f>
        <v>510</v>
      </c>
      <c r="AG9" s="86">
        <f>'Raw Data'!AG10/10</f>
        <v>493.9</v>
      </c>
      <c r="AH9" s="86">
        <f>'Raw Data'!AH10/10</f>
        <v>471.8</v>
      </c>
      <c r="AI9" s="86">
        <f>'Raw Data'!AI10/10</f>
        <v>449.3</v>
      </c>
      <c r="AJ9" s="86">
        <f>'Raw Data'!AJ10/10</f>
        <v>434.2</v>
      </c>
      <c r="AK9" s="86">
        <f>'Raw Data'!AK10/10</f>
        <v>424.8</v>
      </c>
      <c r="AL9" s="86">
        <f>'Raw Data'!AL10/10</f>
        <v>403.9</v>
      </c>
      <c r="AM9" s="86">
        <f>'Raw Data'!AM10/10</f>
        <v>390.6</v>
      </c>
      <c r="AN9" s="86">
        <f>'Raw Data'!AN10/10</f>
        <v>381.8</v>
      </c>
      <c r="AO9" s="86">
        <f>'Raw Data'!AO10/10</f>
        <v>371.1</v>
      </c>
      <c r="AP9" s="86">
        <f>'Raw Data'!AP10/10</f>
        <v>351.9</v>
      </c>
      <c r="AQ9" s="86">
        <f>'Raw Data'!AQ10/10</f>
        <v>350.3</v>
      </c>
      <c r="AR9" s="86">
        <f>'Raw Data'!AR10/10</f>
        <v>339.5</v>
      </c>
      <c r="AS9" s="86">
        <f>'Raw Data'!AS10/10</f>
        <v>334.2</v>
      </c>
      <c r="AT9" s="86">
        <f>'Raw Data'!AT10/10</f>
        <v>320.3</v>
      </c>
      <c r="AU9" s="86">
        <f>'Raw Data'!AU10/10</f>
        <v>308.89999999999998</v>
      </c>
      <c r="AV9" s="86">
        <f>'Raw Data'!AV10/10</f>
        <v>303.7</v>
      </c>
      <c r="AW9" s="86">
        <f>'Raw Data'!AW10/10</f>
        <v>294.39999999999998</v>
      </c>
      <c r="AX9" s="86">
        <f>'Raw Data'!AX10/10</f>
        <v>295.7</v>
      </c>
      <c r="AY9" s="86">
        <f>'Raw Data'!AY10/10</f>
        <v>283.89999999999998</v>
      </c>
      <c r="AZ9" s="86">
        <f>'Raw Data'!AZ10/10</f>
        <v>276.3</v>
      </c>
      <c r="BA9" s="86">
        <f>'Raw Data'!BA10/10</f>
        <v>266.7</v>
      </c>
      <c r="BB9" s="86">
        <f>'Raw Data'!BB10/10</f>
        <v>262.10000000000002</v>
      </c>
      <c r="BC9" s="86">
        <f>'Raw Data'!BC10/10</f>
        <v>254.8</v>
      </c>
      <c r="BD9" s="86">
        <f>'Raw Data'!BD10/10</f>
        <v>251.7</v>
      </c>
      <c r="BE9" s="86">
        <f>'Raw Data'!BE10/10</f>
        <v>250.9</v>
      </c>
      <c r="BF9" s="86">
        <f>'Raw Data'!BF10/10</f>
        <v>240.2</v>
      </c>
      <c r="BG9" s="86">
        <f>'Raw Data'!BG10/10</f>
        <v>229.7</v>
      </c>
      <c r="BH9" s="86">
        <f>'Raw Data'!BH10/10</f>
        <v>230.4</v>
      </c>
      <c r="BI9" s="86">
        <f>'Raw Data'!BI10/10</f>
        <v>229.5</v>
      </c>
      <c r="BJ9" s="86">
        <f>'Raw Data'!BJ10/10</f>
        <v>226</v>
      </c>
      <c r="BK9" s="86">
        <f>'Raw Data'!BK10/10</f>
        <v>218.1</v>
      </c>
      <c r="BL9" s="86">
        <f>'Raw Data'!BL10/10</f>
        <v>214.2</v>
      </c>
      <c r="BM9" s="86">
        <f>'Raw Data'!BM10/10</f>
        <v>205.2</v>
      </c>
      <c r="BN9" s="86">
        <f>'Raw Data'!BN10/10</f>
        <v>205.7</v>
      </c>
      <c r="BO9" s="86">
        <f>'Raw Data'!BO10/10</f>
        <v>204.1</v>
      </c>
      <c r="BP9" s="86">
        <f>'Raw Data'!BP10/10</f>
        <v>198.6</v>
      </c>
      <c r="BQ9" s="86">
        <f>'Raw Data'!BQ10/10</f>
        <v>197.9</v>
      </c>
      <c r="BR9" s="86">
        <f>'Raw Data'!BR10/10</f>
        <v>196.4</v>
      </c>
      <c r="BS9" s="86">
        <f>'Raw Data'!BS10/10</f>
        <v>193.3</v>
      </c>
      <c r="BT9" s="86">
        <f>'Raw Data'!BT10/10</f>
        <v>192.3</v>
      </c>
      <c r="BU9" s="86">
        <f>'Raw Data'!BU10/10</f>
        <v>192.6</v>
      </c>
      <c r="BV9" s="86">
        <f>'Raw Data'!BV10/10</f>
        <v>188.1</v>
      </c>
      <c r="BW9" s="86">
        <f>'Raw Data'!BW10/10</f>
        <v>183.6</v>
      </c>
      <c r="BX9" s="86">
        <f>'Raw Data'!BX10/10</f>
        <v>178</v>
      </c>
      <c r="BY9" s="86">
        <f>'Raw Data'!BY10/10</f>
        <v>180</v>
      </c>
      <c r="BZ9" s="86">
        <f>'Raw Data'!BZ10/10</f>
        <v>176.1</v>
      </c>
      <c r="CA9" s="86">
        <f>'Raw Data'!CA10/10</f>
        <v>172.1</v>
      </c>
      <c r="CB9" s="86">
        <f>'Raw Data'!CB10/10</f>
        <v>166.9</v>
      </c>
      <c r="CC9" s="86">
        <f>'Raw Data'!CC10/10</f>
        <v>166.9</v>
      </c>
      <c r="CD9" s="86">
        <f>'Raw Data'!CD10/10</f>
        <v>165.3</v>
      </c>
      <c r="CE9" s="86">
        <f>'Raw Data'!CE10/10</f>
        <v>165.5</v>
      </c>
      <c r="CF9" s="86">
        <f>'Raw Data'!CF10/10</f>
        <v>167.7</v>
      </c>
      <c r="CG9" s="86">
        <f>'Raw Data'!CG10/100</f>
        <v>152.38</v>
      </c>
      <c r="CH9" s="86">
        <f>'Raw Data'!CH10/100</f>
        <v>137.37</v>
      </c>
      <c r="CI9" s="86">
        <f>'Raw Data'!CI10/100</f>
        <v>126.89</v>
      </c>
      <c r="CJ9" s="86">
        <f>'Raw Data'!CJ10/100</f>
        <v>117.86</v>
      </c>
      <c r="CK9" s="86">
        <f>'Raw Data'!CK10/100</f>
        <v>110.89</v>
      </c>
      <c r="CL9" s="86">
        <f>'Raw Data'!CL10/100</f>
        <v>102.87</v>
      </c>
      <c r="CM9" s="86">
        <f>'Raw Data'!CM10/100</f>
        <v>98.63</v>
      </c>
      <c r="CN9" s="86">
        <f>'Raw Data'!CN10/100</f>
        <v>93.82</v>
      </c>
      <c r="CO9" s="86">
        <f>'Raw Data'!CO10/100</f>
        <v>90.01</v>
      </c>
      <c r="CP9" s="86">
        <f>'Raw Data'!CP10/100</f>
        <v>86.83</v>
      </c>
      <c r="CQ9" s="86">
        <f>'Raw Data'!CQ10/100</f>
        <v>83.01</v>
      </c>
      <c r="CR9" s="86">
        <f>'Raw Data'!CR10/100</f>
        <v>80.41</v>
      </c>
      <c r="CS9" s="86">
        <f>'Raw Data'!CS10/100</f>
        <v>78.28</v>
      </c>
      <c r="CT9" s="86">
        <f>'Raw Data'!CT10/100</f>
        <v>74.55</v>
      </c>
      <c r="CU9" s="382"/>
    </row>
    <row r="10" spans="4:99" s="86" customFormat="1" x14ac:dyDescent="0.2">
      <c r="D10" s="348"/>
      <c r="E10" s="164"/>
      <c r="F10" s="394"/>
      <c r="G10" s="86">
        <f>'Raw Data'!G11</f>
        <v>3080</v>
      </c>
      <c r="H10" s="86">
        <f>'Raw Data'!H11</f>
        <v>3007</v>
      </c>
      <c r="I10" s="86">
        <f>'Raw Data'!I11</f>
        <v>3132</v>
      </c>
      <c r="J10" s="86">
        <f>'Raw Data'!J11</f>
        <v>3080</v>
      </c>
      <c r="K10" s="86">
        <f>'Raw Data'!K11</f>
        <v>3076</v>
      </c>
      <c r="L10" s="86">
        <f>'Raw Data'!L11</f>
        <v>3013</v>
      </c>
      <c r="M10" s="86">
        <f>'Raw Data'!M11</f>
        <v>3010</v>
      </c>
      <c r="N10" s="86">
        <f>'Raw Data'!N11</f>
        <v>3043</v>
      </c>
      <c r="O10" s="86">
        <f>'Raw Data'!O11</f>
        <v>3040</v>
      </c>
      <c r="P10" s="86">
        <f>'Raw Data'!P11</f>
        <v>3050</v>
      </c>
      <c r="Q10" s="86">
        <f>'Raw Data'!Q11</f>
        <v>3086</v>
      </c>
      <c r="R10" s="86">
        <f>'Raw Data'!R11</f>
        <v>3020</v>
      </c>
      <c r="S10" s="86">
        <f>'Raw Data'!S11</f>
        <v>3013</v>
      </c>
      <c r="T10" s="86">
        <f>'Raw Data'!T11</f>
        <v>3057</v>
      </c>
      <c r="U10" s="86">
        <f>'Raw Data'!U11</f>
        <v>2964</v>
      </c>
      <c r="V10" s="86">
        <f>'Raw Data'!V11</f>
        <v>2955</v>
      </c>
      <c r="W10" s="86">
        <f>'Raw Data'!W11</f>
        <v>3027</v>
      </c>
      <c r="X10" s="86">
        <f>'Raw Data'!X11</f>
        <v>2976</v>
      </c>
      <c r="Y10" s="86">
        <f>'Raw Data'!Y11</f>
        <v>2903</v>
      </c>
      <c r="Z10" s="86">
        <f>'Raw Data'!Z11</f>
        <v>2859</v>
      </c>
      <c r="AA10" s="86">
        <f>'Raw Data'!AA11/10</f>
        <v>2909.6</v>
      </c>
      <c r="AB10" s="86">
        <f>'Raw Data'!AB11/10</f>
        <v>2795.1</v>
      </c>
      <c r="AC10" s="86">
        <f>'Raw Data'!AC11/10</f>
        <v>2701</v>
      </c>
      <c r="AD10" s="86">
        <f>'Raw Data'!AD11/10</f>
        <v>2587.5</v>
      </c>
      <c r="AE10" s="86">
        <f>'Raw Data'!AE11/10</f>
        <v>2451.4</v>
      </c>
      <c r="AF10" s="86">
        <f>'Raw Data'!AF11/10</f>
        <v>2368.1</v>
      </c>
      <c r="AG10" s="86">
        <f>'Raw Data'!AG11/10</f>
        <v>2259.4</v>
      </c>
      <c r="AH10" s="86">
        <f>'Raw Data'!AH11/10</f>
        <v>2146</v>
      </c>
      <c r="AI10" s="86">
        <f>'Raw Data'!AI11/10</f>
        <v>2070.3000000000002</v>
      </c>
      <c r="AJ10" s="86">
        <f>'Raw Data'!AJ11/10</f>
        <v>1998.2</v>
      </c>
      <c r="AK10" s="86">
        <f>'Raw Data'!AK11/10</f>
        <v>1877.3</v>
      </c>
      <c r="AL10" s="86">
        <f>'Raw Data'!AL11/10</f>
        <v>1838.2</v>
      </c>
      <c r="AM10" s="86">
        <f>'Raw Data'!AM11/10</f>
        <v>1732.8</v>
      </c>
      <c r="AN10" s="86">
        <f>'Raw Data'!AN11/10</f>
        <v>1668.2</v>
      </c>
      <c r="AO10" s="86">
        <f>'Raw Data'!AO11/10</f>
        <v>1616.6</v>
      </c>
      <c r="AP10" s="86">
        <f>'Raw Data'!AP11/10</f>
        <v>1544.3</v>
      </c>
      <c r="AQ10" s="86">
        <f>'Raw Data'!AQ11/10</f>
        <v>1497.7</v>
      </c>
      <c r="AR10" s="86">
        <f>'Raw Data'!AR11/10</f>
        <v>1448.3</v>
      </c>
      <c r="AS10" s="86">
        <f>'Raw Data'!AS11/10</f>
        <v>1397.8</v>
      </c>
      <c r="AT10" s="86">
        <f>'Raw Data'!AT11/10</f>
        <v>1349.3</v>
      </c>
      <c r="AU10" s="86">
        <f>'Raw Data'!AU11/10</f>
        <v>1300.8</v>
      </c>
      <c r="AV10" s="86">
        <f>'Raw Data'!AV11/10</f>
        <v>1258.3</v>
      </c>
      <c r="AW10" s="86">
        <f>'Raw Data'!AW11/10</f>
        <v>1222.8</v>
      </c>
      <c r="AX10" s="86">
        <f>'Raw Data'!AX11/10</f>
        <v>1166.7</v>
      </c>
      <c r="AY10" s="86">
        <f>'Raw Data'!AY11/10</f>
        <v>1142.7</v>
      </c>
      <c r="AZ10" s="86">
        <f>'Raw Data'!AZ11/10</f>
        <v>1100.3</v>
      </c>
      <c r="BA10" s="86">
        <f>'Raw Data'!BA11/10</f>
        <v>1064.7</v>
      </c>
      <c r="BB10" s="86">
        <f>'Raw Data'!BB11/10</f>
        <v>1025.5999999999999</v>
      </c>
      <c r="BC10" s="86">
        <f>'Raw Data'!BC11/10</f>
        <v>1014.1</v>
      </c>
      <c r="BD10" s="86">
        <f>'Raw Data'!BD11/10</f>
        <v>977</v>
      </c>
      <c r="BE10" s="86">
        <f>'Raw Data'!BE11/10</f>
        <v>950</v>
      </c>
      <c r="BF10" s="86">
        <f>'Raw Data'!BF11/10</f>
        <v>906.3</v>
      </c>
      <c r="BG10" s="86">
        <f>'Raw Data'!BG11/10</f>
        <v>897.1</v>
      </c>
      <c r="BH10" s="86">
        <f>'Raw Data'!BH11/10</f>
        <v>892.7</v>
      </c>
      <c r="BI10" s="86">
        <f>'Raw Data'!BI11/10</f>
        <v>842.8</v>
      </c>
      <c r="BJ10" s="86">
        <f>'Raw Data'!BJ11/10</f>
        <v>830</v>
      </c>
      <c r="BK10" s="86">
        <f>'Raw Data'!BK11/10</f>
        <v>806.1</v>
      </c>
      <c r="BL10" s="86">
        <f>'Raw Data'!BL11/10</f>
        <v>786.6</v>
      </c>
      <c r="BM10" s="86">
        <f>'Raw Data'!BM11/10</f>
        <v>777.9</v>
      </c>
      <c r="BN10" s="86">
        <f>'Raw Data'!BN11/10</f>
        <v>747.5</v>
      </c>
      <c r="BO10" s="86">
        <f>'Raw Data'!BO11/10</f>
        <v>734.8</v>
      </c>
      <c r="BP10" s="86">
        <f>'Raw Data'!BP11/10</f>
        <v>716.3</v>
      </c>
      <c r="BQ10" s="86">
        <f>'Raw Data'!BQ11/10</f>
        <v>697.4</v>
      </c>
      <c r="BR10" s="86">
        <f>'Raw Data'!BR11/10</f>
        <v>683.2</v>
      </c>
      <c r="BS10" s="86">
        <f>'Raw Data'!BS11/10</f>
        <v>668.5</v>
      </c>
      <c r="BT10" s="86">
        <f>'Raw Data'!BT11/10</f>
        <v>651.4</v>
      </c>
      <c r="BU10" s="86">
        <f>'Raw Data'!BU11/10</f>
        <v>637</v>
      </c>
      <c r="BV10" s="86">
        <f>'Raw Data'!BV11/10</f>
        <v>631</v>
      </c>
      <c r="BW10" s="86">
        <f>'Raw Data'!BW11/10</f>
        <v>619</v>
      </c>
      <c r="BX10" s="86">
        <f>'Raw Data'!BX11/10</f>
        <v>604.9</v>
      </c>
      <c r="BY10" s="86">
        <f>'Raw Data'!BY11/10</f>
        <v>589.5</v>
      </c>
      <c r="BZ10" s="86">
        <f>'Raw Data'!BZ11/10</f>
        <v>575.9</v>
      </c>
      <c r="CA10" s="86">
        <f>'Raw Data'!CA11/10</f>
        <v>564.79999999999995</v>
      </c>
      <c r="CB10" s="86">
        <f>'Raw Data'!CB11/10</f>
        <v>554.1</v>
      </c>
      <c r="CC10" s="86">
        <f>'Raw Data'!CC11/10</f>
        <v>541.70000000000005</v>
      </c>
      <c r="CD10" s="86">
        <f>'Raw Data'!CD11/10</f>
        <v>539.29999999999995</v>
      </c>
      <c r="CE10" s="86">
        <f>'Raw Data'!CE11/10</f>
        <v>532.4</v>
      </c>
      <c r="CF10" s="86">
        <f>'Raw Data'!CF11/10</f>
        <v>519.29999999999995</v>
      </c>
      <c r="CG10" s="86">
        <f>'Raw Data'!CG11/100</f>
        <v>472.3</v>
      </c>
      <c r="CH10" s="86">
        <f>'Raw Data'!CH11/100</f>
        <v>406.19</v>
      </c>
      <c r="CI10" s="86">
        <f>'Raw Data'!CI11/100</f>
        <v>356.08</v>
      </c>
      <c r="CJ10" s="86">
        <f>'Raw Data'!CJ11/100</f>
        <v>315.87</v>
      </c>
      <c r="CK10" s="86">
        <f>'Raw Data'!CK11/100</f>
        <v>285.51</v>
      </c>
      <c r="CL10" s="86">
        <f>'Raw Data'!CL11/100</f>
        <v>260.17</v>
      </c>
      <c r="CM10" s="86">
        <f>'Raw Data'!CM11/100</f>
        <v>237.38</v>
      </c>
      <c r="CN10" s="86">
        <f>'Raw Data'!CN11/100</f>
        <v>220.14</v>
      </c>
      <c r="CO10" s="86">
        <f>'Raw Data'!CO11/100</f>
        <v>206.23</v>
      </c>
      <c r="CP10" s="86">
        <f>'Raw Data'!CP11/100</f>
        <v>193.34</v>
      </c>
      <c r="CQ10" s="86">
        <f>'Raw Data'!CQ11/100</f>
        <v>179.59</v>
      </c>
      <c r="CR10" s="86">
        <f>'Raw Data'!CR11/100</f>
        <v>169.65</v>
      </c>
      <c r="CS10" s="86">
        <f>'Raw Data'!CS11/100</f>
        <v>162.81</v>
      </c>
      <c r="CT10" s="86">
        <f>'Raw Data'!CT11/100</f>
        <v>155.29</v>
      </c>
      <c r="CU10" s="382"/>
    </row>
    <row r="11" spans="4:99" s="86" customFormat="1" x14ac:dyDescent="0.2">
      <c r="D11" s="348"/>
      <c r="E11" s="164"/>
      <c r="F11" s="394"/>
      <c r="G11" s="86">
        <f>'Raw Data'!G12</f>
        <v>654</v>
      </c>
      <c r="H11" s="86">
        <f>'Raw Data'!H12</f>
        <v>667</v>
      </c>
      <c r="I11" s="86">
        <f>'Raw Data'!I12</f>
        <v>679</v>
      </c>
      <c r="J11" s="86">
        <f>'Raw Data'!J12</f>
        <v>671</v>
      </c>
      <c r="K11" s="86">
        <f>'Raw Data'!K12</f>
        <v>679</v>
      </c>
      <c r="L11" s="86">
        <f>'Raw Data'!L12</f>
        <v>635</v>
      </c>
      <c r="M11" s="86">
        <f>'Raw Data'!M12</f>
        <v>675</v>
      </c>
      <c r="N11" s="86">
        <f>'Raw Data'!N12</f>
        <v>660</v>
      </c>
      <c r="O11" s="86">
        <f>'Raw Data'!O12</f>
        <v>666</v>
      </c>
      <c r="P11" s="86">
        <f>'Raw Data'!P12</f>
        <v>669</v>
      </c>
      <c r="Q11" s="86">
        <f>'Raw Data'!Q12</f>
        <v>673</v>
      </c>
      <c r="R11" s="86">
        <f>'Raw Data'!R12</f>
        <v>693</v>
      </c>
      <c r="S11" s="86">
        <f>'Raw Data'!S12</f>
        <v>669</v>
      </c>
      <c r="T11" s="86">
        <f>'Raw Data'!T12</f>
        <v>654</v>
      </c>
      <c r="U11" s="86">
        <f>'Raw Data'!U12</f>
        <v>696</v>
      </c>
      <c r="V11" s="86">
        <f>'Raw Data'!V12</f>
        <v>672</v>
      </c>
      <c r="W11" s="86">
        <f>'Raw Data'!W12</f>
        <v>655</v>
      </c>
      <c r="X11" s="86">
        <f>'Raw Data'!X12</f>
        <v>445</v>
      </c>
      <c r="Y11" s="86">
        <f>'Raw Data'!Y12</f>
        <v>649</v>
      </c>
      <c r="Z11" s="86">
        <f>'Raw Data'!Z12</f>
        <v>671</v>
      </c>
      <c r="AA11" s="86">
        <f>'Raw Data'!AA12/10</f>
        <v>666.4</v>
      </c>
      <c r="AB11" s="86">
        <f>'Raw Data'!AB12/10</f>
        <v>645.9</v>
      </c>
      <c r="AC11" s="86">
        <f>'Raw Data'!AC12/10</f>
        <v>639.5</v>
      </c>
      <c r="AD11" s="86">
        <f>'Raw Data'!AD12/10</f>
        <v>622.5</v>
      </c>
      <c r="AE11" s="86">
        <f>'Raw Data'!AE12/10</f>
        <v>606.20000000000005</v>
      </c>
      <c r="AF11" s="86">
        <f>'Raw Data'!AF12/10</f>
        <v>586.4</v>
      </c>
      <c r="AG11" s="86">
        <f>'Raw Data'!AG12/10</f>
        <v>572.29999999999995</v>
      </c>
      <c r="AH11" s="86">
        <f>'Raw Data'!AH12/10</f>
        <v>540.79999999999995</v>
      </c>
      <c r="AI11" s="86">
        <f>'Raw Data'!AI12/10</f>
        <v>527.6</v>
      </c>
      <c r="AJ11" s="86">
        <f>'Raw Data'!AJ12/10</f>
        <v>515.5</v>
      </c>
      <c r="AK11" s="86">
        <f>'Raw Data'!AK12/10</f>
        <v>507</v>
      </c>
      <c r="AL11" s="86">
        <f>'Raw Data'!AL12/10</f>
        <v>481.5</v>
      </c>
      <c r="AM11" s="86">
        <f>'Raw Data'!AM12/10</f>
        <v>466.5</v>
      </c>
      <c r="AN11" s="86">
        <f>'Raw Data'!AN12/10</f>
        <v>452.5</v>
      </c>
      <c r="AO11" s="86">
        <f>'Raw Data'!AO12/10</f>
        <v>439.6</v>
      </c>
      <c r="AP11" s="86">
        <f>'Raw Data'!AP12/10</f>
        <v>425</v>
      </c>
      <c r="AQ11" s="86">
        <f>'Raw Data'!AQ12/10</f>
        <v>423.6</v>
      </c>
      <c r="AR11" s="86">
        <f>'Raw Data'!AR12/10</f>
        <v>401.1</v>
      </c>
      <c r="AS11" s="86">
        <f>'Raw Data'!AS12/10</f>
        <v>399.8</v>
      </c>
      <c r="AT11" s="86">
        <f>'Raw Data'!AT12/10</f>
        <v>387</v>
      </c>
      <c r="AU11" s="86">
        <f>'Raw Data'!AU12/10</f>
        <v>372.7</v>
      </c>
      <c r="AV11" s="86">
        <f>'Raw Data'!AV12/10</f>
        <v>363.8</v>
      </c>
      <c r="AW11" s="86">
        <f>'Raw Data'!AW12/10</f>
        <v>354.5</v>
      </c>
      <c r="AX11" s="86">
        <f>'Raw Data'!AX12/10</f>
        <v>350.2</v>
      </c>
      <c r="AY11" s="86">
        <f>'Raw Data'!AY12/10</f>
        <v>344.1</v>
      </c>
      <c r="AZ11" s="86">
        <f>'Raw Data'!AZ12/10</f>
        <v>323.39999999999998</v>
      </c>
      <c r="BA11" s="86">
        <f>'Raw Data'!BA12/10</f>
        <v>324.60000000000002</v>
      </c>
      <c r="BB11" s="86">
        <f>'Raw Data'!BB12/10</f>
        <v>317.3</v>
      </c>
      <c r="BC11" s="86">
        <f>'Raw Data'!BC12/10</f>
        <v>310.60000000000002</v>
      </c>
      <c r="BD11" s="86">
        <f>'Raw Data'!BD12/10</f>
        <v>301.8</v>
      </c>
      <c r="BE11" s="86">
        <f>'Raw Data'!BE12/10</f>
        <v>302</v>
      </c>
      <c r="BF11" s="86">
        <f>'Raw Data'!BF12/10</f>
        <v>295.10000000000002</v>
      </c>
      <c r="BG11" s="86">
        <f>'Raw Data'!BG12/10</f>
        <v>289.10000000000002</v>
      </c>
      <c r="BH11" s="86">
        <f>'Raw Data'!BH12/10</f>
        <v>284.10000000000002</v>
      </c>
      <c r="BI11" s="86">
        <f>'Raw Data'!BI12/10</f>
        <v>279.7</v>
      </c>
      <c r="BJ11" s="86">
        <f>'Raw Data'!BJ12/10</f>
        <v>273.60000000000002</v>
      </c>
      <c r="BK11" s="86">
        <f>'Raw Data'!BK12/10</f>
        <v>265.39999999999998</v>
      </c>
      <c r="BL11" s="86">
        <f>'Raw Data'!BL12/10</f>
        <v>263.60000000000002</v>
      </c>
      <c r="BM11" s="86">
        <f>'Raw Data'!BM12/10</f>
        <v>263.2</v>
      </c>
      <c r="BN11" s="86">
        <f>'Raw Data'!BN12/10</f>
        <v>258.3</v>
      </c>
      <c r="BO11" s="86">
        <f>'Raw Data'!BO12/10</f>
        <v>250.1</v>
      </c>
      <c r="BP11" s="86">
        <f>'Raw Data'!BP12/10</f>
        <v>244.4</v>
      </c>
      <c r="BQ11" s="86">
        <f>'Raw Data'!BQ12/10</f>
        <v>248.9</v>
      </c>
      <c r="BR11" s="86">
        <f>'Raw Data'!BR12/10</f>
        <v>240.5</v>
      </c>
      <c r="BS11" s="86">
        <f>'Raw Data'!BS12/10</f>
        <v>244.7</v>
      </c>
      <c r="BT11" s="86">
        <f>'Raw Data'!BT12/10</f>
        <v>240.9</v>
      </c>
      <c r="BU11" s="86">
        <f>'Raw Data'!BU12/10</f>
        <v>231.3</v>
      </c>
      <c r="BV11" s="86">
        <f>'Raw Data'!BV12/10</f>
        <v>222</v>
      </c>
      <c r="BW11" s="86">
        <f>'Raw Data'!BW12/10</f>
        <v>227</v>
      </c>
      <c r="BX11" s="86">
        <f>'Raw Data'!BX12/10</f>
        <v>228.4</v>
      </c>
      <c r="BY11" s="86">
        <f>'Raw Data'!BY12/10</f>
        <v>217.6</v>
      </c>
      <c r="BZ11" s="86">
        <f>'Raw Data'!BZ12/10</f>
        <v>216</v>
      </c>
      <c r="CA11" s="86">
        <f>'Raw Data'!CA12/10</f>
        <v>213.7</v>
      </c>
      <c r="CB11" s="86">
        <f>'Raw Data'!CB12/10</f>
        <v>209.3</v>
      </c>
      <c r="CC11" s="86">
        <f>'Raw Data'!CC12/10</f>
        <v>208.2</v>
      </c>
      <c r="CD11" s="86">
        <f>'Raw Data'!CD12/10</f>
        <v>204.2</v>
      </c>
      <c r="CE11" s="86">
        <f>'Raw Data'!CE12/10</f>
        <v>197.1</v>
      </c>
      <c r="CF11" s="86">
        <f>'Raw Data'!CF12/10</f>
        <v>208.5</v>
      </c>
      <c r="CG11" s="86">
        <f>'Raw Data'!CG12/100</f>
        <v>189.53</v>
      </c>
      <c r="CH11" s="86">
        <f>'Raw Data'!CH12/100</f>
        <v>171.82</v>
      </c>
      <c r="CI11" s="86">
        <f>'Raw Data'!CI12/100</f>
        <v>160.59</v>
      </c>
      <c r="CJ11" s="86">
        <f>'Raw Data'!CJ12/100</f>
        <v>148.72999999999999</v>
      </c>
      <c r="CK11" s="86">
        <f>'Raw Data'!CK12/100</f>
        <v>141.47999999999999</v>
      </c>
      <c r="CL11" s="86">
        <f>'Raw Data'!CL12/100</f>
        <v>133.51</v>
      </c>
      <c r="CM11" s="86">
        <f>'Raw Data'!CM12/100</f>
        <v>126.44</v>
      </c>
      <c r="CN11" s="86">
        <f>'Raw Data'!CN12/100</f>
        <v>119.53</v>
      </c>
      <c r="CO11" s="86">
        <f>'Raw Data'!CO12/100</f>
        <v>116.47</v>
      </c>
      <c r="CP11" s="86">
        <f>'Raw Data'!CP12/100</f>
        <v>111.18</v>
      </c>
      <c r="CQ11" s="86">
        <f>'Raw Data'!CQ12/100</f>
        <v>108.64</v>
      </c>
      <c r="CR11" s="86">
        <f>'Raw Data'!CR12/100</f>
        <v>103.6</v>
      </c>
      <c r="CS11" s="86">
        <f>'Raw Data'!CS12/100</f>
        <v>100.48</v>
      </c>
      <c r="CT11" s="86">
        <f>'Raw Data'!CT12/100</f>
        <v>96.96</v>
      </c>
      <c r="CU11" s="382"/>
    </row>
    <row r="12" spans="4:99" s="86" customFormat="1" x14ac:dyDescent="0.2">
      <c r="D12" s="348"/>
      <c r="E12" s="164"/>
      <c r="F12" s="394"/>
      <c r="G12" s="86">
        <f>'Raw Data'!G13</f>
        <v>24</v>
      </c>
      <c r="H12" s="86">
        <f>'Raw Data'!H13</f>
        <v>20</v>
      </c>
      <c r="I12" s="86">
        <f>'Raw Data'!I13</f>
        <v>23</v>
      </c>
      <c r="J12" s="86">
        <f>'Raw Data'!J13</f>
        <v>27</v>
      </c>
      <c r="K12" s="86">
        <f>'Raw Data'!K13</f>
        <v>23</v>
      </c>
      <c r="L12" s="86">
        <f>'Raw Data'!L13</f>
        <v>21</v>
      </c>
      <c r="M12" s="86">
        <f>'Raw Data'!M13</f>
        <v>24</v>
      </c>
      <c r="N12" s="86">
        <f>'Raw Data'!N13</f>
        <v>14</v>
      </c>
      <c r="O12" s="86">
        <f>'Raw Data'!O13</f>
        <v>24</v>
      </c>
      <c r="P12" s="86">
        <f>'Raw Data'!P13</f>
        <v>22</v>
      </c>
      <c r="Q12" s="86">
        <f>'Raw Data'!Q13</f>
        <v>18</v>
      </c>
      <c r="R12" s="86">
        <f>'Raw Data'!R13</f>
        <v>27</v>
      </c>
      <c r="S12" s="86">
        <f>'Raw Data'!S13</f>
        <v>24</v>
      </c>
      <c r="T12" s="86">
        <f>'Raw Data'!T13</f>
        <v>20</v>
      </c>
      <c r="U12" s="86">
        <f>'Raw Data'!U13</f>
        <v>20</v>
      </c>
      <c r="V12" s="86">
        <f>'Raw Data'!V13</f>
        <v>25</v>
      </c>
      <c r="W12" s="86">
        <f>'Raw Data'!W13</f>
        <v>24</v>
      </c>
      <c r="X12" s="86">
        <f>'Raw Data'!X13</f>
        <v>22</v>
      </c>
      <c r="Y12" s="86">
        <f>'Raw Data'!Y13</f>
        <v>23</v>
      </c>
      <c r="Z12" s="86">
        <f>'Raw Data'!Z13</f>
        <v>23</v>
      </c>
      <c r="AA12" s="86">
        <f>'Raw Data'!AA13/10</f>
        <v>25.8</v>
      </c>
      <c r="AB12" s="86">
        <f>'Raw Data'!AB13/10</f>
        <v>25.8</v>
      </c>
      <c r="AC12" s="86">
        <f>'Raw Data'!AC13/10</f>
        <v>24.8</v>
      </c>
      <c r="AD12" s="86">
        <f>'Raw Data'!AD13/10</f>
        <v>29.6</v>
      </c>
      <c r="AE12" s="86">
        <f>'Raw Data'!AE13/10</f>
        <v>29.8</v>
      </c>
      <c r="AF12" s="86">
        <f>'Raw Data'!AF13/10</f>
        <v>29.6</v>
      </c>
      <c r="AG12" s="86">
        <f>'Raw Data'!AG13/10</f>
        <v>30.4</v>
      </c>
      <c r="AH12" s="86">
        <f>'Raw Data'!AH13/10</f>
        <v>28.1</v>
      </c>
      <c r="AI12" s="86">
        <f>'Raw Data'!AI13/10</f>
        <v>31.6</v>
      </c>
      <c r="AJ12" s="86">
        <f>'Raw Data'!AJ13/10</f>
        <v>32.4</v>
      </c>
      <c r="AK12" s="86">
        <f>'Raw Data'!AK13/10</f>
        <v>28.6</v>
      </c>
      <c r="AL12" s="86">
        <f>'Raw Data'!AL13/10</f>
        <v>31.3</v>
      </c>
      <c r="AM12" s="86">
        <f>'Raw Data'!AM13/10</f>
        <v>31</v>
      </c>
      <c r="AN12" s="86">
        <f>'Raw Data'!AN13/10</f>
        <v>30.5</v>
      </c>
      <c r="AO12" s="86">
        <f>'Raw Data'!AO13/10</f>
        <v>30.4</v>
      </c>
      <c r="AP12" s="86">
        <f>'Raw Data'!AP13/10</f>
        <v>29.9</v>
      </c>
      <c r="AQ12" s="86">
        <f>'Raw Data'!AQ13/10</f>
        <v>28.3</v>
      </c>
      <c r="AR12" s="86">
        <f>'Raw Data'!AR13/10</f>
        <v>30.7</v>
      </c>
      <c r="AS12" s="86">
        <f>'Raw Data'!AS13/10</f>
        <v>32.4</v>
      </c>
      <c r="AT12" s="86">
        <f>'Raw Data'!AT13/10</f>
        <v>31</v>
      </c>
      <c r="AU12" s="86">
        <f>'Raw Data'!AU13/10</f>
        <v>28.4</v>
      </c>
      <c r="AV12" s="86">
        <f>'Raw Data'!AV13/10</f>
        <v>30</v>
      </c>
      <c r="AW12" s="86">
        <f>'Raw Data'!AW13/10</f>
        <v>29.6</v>
      </c>
      <c r="AX12" s="86">
        <f>'Raw Data'!AX13/10</f>
        <v>31.1</v>
      </c>
      <c r="AY12" s="86">
        <f>'Raw Data'!AY13/10</f>
        <v>29.4</v>
      </c>
      <c r="AZ12" s="86">
        <f>'Raw Data'!AZ13/10</f>
        <v>30.8</v>
      </c>
      <c r="BA12" s="86">
        <f>'Raw Data'!BA13/10</f>
        <v>30.1</v>
      </c>
      <c r="BB12" s="86">
        <f>'Raw Data'!BB13/10</f>
        <v>28.5</v>
      </c>
      <c r="BC12" s="86">
        <f>'Raw Data'!BC13/10</f>
        <v>28.7</v>
      </c>
      <c r="BD12" s="86">
        <f>'Raw Data'!BD13/10</f>
        <v>28.2</v>
      </c>
      <c r="BE12" s="86">
        <f>'Raw Data'!BE13/10</f>
        <v>28.8</v>
      </c>
      <c r="BF12" s="86">
        <f>'Raw Data'!BF13/10</f>
        <v>26.9</v>
      </c>
      <c r="BG12" s="86">
        <f>'Raw Data'!BG13/10</f>
        <v>30.5</v>
      </c>
      <c r="BH12" s="86">
        <f>'Raw Data'!BH13/10</f>
        <v>27.6</v>
      </c>
      <c r="BI12" s="86">
        <f>'Raw Data'!BI13/10</f>
        <v>30.3</v>
      </c>
      <c r="BJ12" s="86">
        <f>'Raw Data'!BJ13/10</f>
        <v>30.4</v>
      </c>
      <c r="BK12" s="86">
        <f>'Raw Data'!BK13/10</f>
        <v>23.8</v>
      </c>
      <c r="BL12" s="86">
        <f>'Raw Data'!BL13/10</f>
        <v>30.4</v>
      </c>
      <c r="BM12" s="86">
        <f>'Raw Data'!BM13/10</f>
        <v>29.6</v>
      </c>
      <c r="BN12" s="86">
        <f>'Raw Data'!BN13/10</f>
        <v>27.1</v>
      </c>
      <c r="BO12" s="86">
        <f>'Raw Data'!BO13/10</f>
        <v>26.9</v>
      </c>
      <c r="BP12" s="86">
        <f>'Raw Data'!BP13/10</f>
        <v>29.3</v>
      </c>
      <c r="BQ12" s="86">
        <f>'Raw Data'!BQ13/10</f>
        <v>27.5</v>
      </c>
      <c r="BR12" s="86">
        <f>'Raw Data'!BR13/10</f>
        <v>28.6</v>
      </c>
      <c r="BS12" s="86">
        <f>'Raw Data'!BS13/10</f>
        <v>25.5</v>
      </c>
      <c r="BT12" s="86">
        <f>'Raw Data'!BT13/10</f>
        <v>29.8</v>
      </c>
      <c r="BU12" s="86">
        <f>'Raw Data'!BU13/10</f>
        <v>26.2</v>
      </c>
      <c r="BV12" s="86">
        <f>'Raw Data'!BV13/10</f>
        <v>28.4</v>
      </c>
      <c r="BW12" s="86">
        <f>'Raw Data'!BW13/10</f>
        <v>26.5</v>
      </c>
      <c r="BX12" s="86">
        <f>'Raw Data'!BX13/10</f>
        <v>27</v>
      </c>
      <c r="BY12" s="86">
        <f>'Raw Data'!BY13/10</f>
        <v>26.1</v>
      </c>
      <c r="BZ12" s="86">
        <f>'Raw Data'!BZ13/10</f>
        <v>28.2</v>
      </c>
      <c r="CA12" s="86">
        <f>'Raw Data'!CA13/10</f>
        <v>28.4</v>
      </c>
      <c r="CB12" s="86">
        <f>'Raw Data'!CB13/10</f>
        <v>27</v>
      </c>
      <c r="CC12" s="86">
        <f>'Raw Data'!CC13/10</f>
        <v>27.5</v>
      </c>
      <c r="CD12" s="86">
        <f>'Raw Data'!CD13/10</f>
        <v>25.6</v>
      </c>
      <c r="CE12" s="86">
        <f>'Raw Data'!CE13/10</f>
        <v>28.9</v>
      </c>
      <c r="CF12" s="86">
        <f>'Raw Data'!CF13/10</f>
        <v>25.1</v>
      </c>
      <c r="CG12" s="86">
        <f>'Raw Data'!CG13/100</f>
        <v>27.34</v>
      </c>
      <c r="CH12" s="86">
        <f>'Raw Data'!CH13/100</f>
        <v>26.26</v>
      </c>
      <c r="CI12" s="86">
        <f>'Raw Data'!CI13/100</f>
        <v>25.92</v>
      </c>
      <c r="CJ12" s="86">
        <f>'Raw Data'!CJ13/100</f>
        <v>25.98</v>
      </c>
      <c r="CK12" s="86">
        <f>'Raw Data'!CK13/100</f>
        <v>26.19</v>
      </c>
      <c r="CL12" s="86">
        <f>'Raw Data'!CL13/100</f>
        <v>24.7</v>
      </c>
      <c r="CM12" s="86">
        <f>'Raw Data'!CM13/100</f>
        <v>24.61</v>
      </c>
      <c r="CN12" s="86">
        <f>'Raw Data'!CN13/100</f>
        <v>24.9</v>
      </c>
      <c r="CO12" s="86">
        <f>'Raw Data'!CO13/100</f>
        <v>24.84</v>
      </c>
      <c r="CP12" s="86">
        <f>'Raw Data'!CP13/100</f>
        <v>24.56</v>
      </c>
      <c r="CQ12" s="86">
        <f>'Raw Data'!CQ13/100</f>
        <v>24.37</v>
      </c>
      <c r="CR12" s="86">
        <f>'Raw Data'!CR13/100</f>
        <v>24.5</v>
      </c>
      <c r="CS12" s="86">
        <f>'Raw Data'!CS13/100</f>
        <v>23.86</v>
      </c>
      <c r="CT12" s="86">
        <f>'Raw Data'!CT13/100</f>
        <v>23.78</v>
      </c>
      <c r="CU12" s="382"/>
    </row>
    <row r="13" spans="4:99" s="86" customFormat="1" x14ac:dyDescent="0.2">
      <c r="D13" s="348"/>
      <c r="E13" s="164"/>
      <c r="F13" s="394"/>
      <c r="G13" s="86">
        <f>'Raw Data'!G14</f>
        <v>614</v>
      </c>
      <c r="H13" s="86">
        <f>'Raw Data'!H14</f>
        <v>601</v>
      </c>
      <c r="I13" s="86">
        <f>'Raw Data'!I14</f>
        <v>580</v>
      </c>
      <c r="J13" s="86">
        <f>'Raw Data'!J14</f>
        <v>610</v>
      </c>
      <c r="K13" s="86">
        <f>'Raw Data'!K14</f>
        <v>592</v>
      </c>
      <c r="L13" s="86">
        <f>'Raw Data'!L14</f>
        <v>592</v>
      </c>
      <c r="M13" s="86">
        <f>'Raw Data'!M14</f>
        <v>590</v>
      </c>
      <c r="N13" s="86">
        <f>'Raw Data'!N14</f>
        <v>582</v>
      </c>
      <c r="O13" s="86">
        <f>'Raw Data'!O14</f>
        <v>582</v>
      </c>
      <c r="P13" s="86">
        <f>'Raw Data'!P14</f>
        <v>578</v>
      </c>
      <c r="Q13" s="86">
        <f>'Raw Data'!Q14</f>
        <v>598</v>
      </c>
      <c r="R13" s="86">
        <f>'Raw Data'!R14</f>
        <v>591</v>
      </c>
      <c r="S13" s="86">
        <f>'Raw Data'!S14</f>
        <v>614</v>
      </c>
      <c r="T13" s="86">
        <f>'Raw Data'!T14</f>
        <v>589</v>
      </c>
      <c r="U13" s="86">
        <f>'Raw Data'!U14</f>
        <v>592</v>
      </c>
      <c r="V13" s="86">
        <f>'Raw Data'!V14</f>
        <v>589</v>
      </c>
      <c r="W13" s="86">
        <f>'Raw Data'!W14</f>
        <v>597</v>
      </c>
      <c r="X13" s="86">
        <f>'Raw Data'!X14</f>
        <v>587</v>
      </c>
      <c r="Y13" s="86">
        <f>'Raw Data'!Y14</f>
        <v>570</v>
      </c>
      <c r="Z13" s="86">
        <f>'Raw Data'!Z14</f>
        <v>575</v>
      </c>
      <c r="AA13" s="86">
        <f>'Raw Data'!AA14/10</f>
        <v>573.70000000000005</v>
      </c>
      <c r="AB13" s="86">
        <f>'Raw Data'!AB14/10</f>
        <v>566.6</v>
      </c>
      <c r="AC13" s="86">
        <f>'Raw Data'!AC14/10</f>
        <v>537.6</v>
      </c>
      <c r="AD13" s="86">
        <f>'Raw Data'!AD14/10</f>
        <v>518.29999999999995</v>
      </c>
      <c r="AE13" s="86">
        <f>'Raw Data'!AE14/10</f>
        <v>502.1</v>
      </c>
      <c r="AF13" s="86">
        <f>'Raw Data'!AF14/10</f>
        <v>469.8</v>
      </c>
      <c r="AG13" s="86">
        <f>'Raw Data'!AG14/10</f>
        <v>462</v>
      </c>
      <c r="AH13" s="86">
        <f>'Raw Data'!AH14/10</f>
        <v>446</v>
      </c>
      <c r="AI13" s="86">
        <f>'Raw Data'!AI14/10</f>
        <v>424.8</v>
      </c>
      <c r="AJ13" s="86">
        <f>'Raw Data'!AJ14/10</f>
        <v>400.9</v>
      </c>
      <c r="AK13" s="86">
        <f>'Raw Data'!AK14/10</f>
        <v>398</v>
      </c>
      <c r="AL13" s="86">
        <f>'Raw Data'!AL14/10</f>
        <v>379.5</v>
      </c>
      <c r="AM13" s="86">
        <f>'Raw Data'!AM14/10</f>
        <v>367.3</v>
      </c>
      <c r="AN13" s="86">
        <f>'Raw Data'!AN14/10</f>
        <v>348.7</v>
      </c>
      <c r="AO13" s="86">
        <f>'Raw Data'!AO14/10</f>
        <v>339.8</v>
      </c>
      <c r="AP13" s="86">
        <f>'Raw Data'!AP14/10</f>
        <v>327</v>
      </c>
      <c r="AQ13" s="86">
        <f>'Raw Data'!AQ14/10</f>
        <v>313</v>
      </c>
      <c r="AR13" s="86">
        <f>'Raw Data'!AR14/10</f>
        <v>299.39999999999998</v>
      </c>
      <c r="AS13" s="86">
        <f>'Raw Data'!AS14/10</f>
        <v>301.8</v>
      </c>
      <c r="AT13" s="86">
        <f>'Raw Data'!AT14/10</f>
        <v>284.8</v>
      </c>
      <c r="AU13" s="86">
        <f>'Raw Data'!AU14/10</f>
        <v>275.89999999999998</v>
      </c>
      <c r="AV13" s="86">
        <f>'Raw Data'!AV14/10</f>
        <v>277.8</v>
      </c>
      <c r="AW13" s="86">
        <f>'Raw Data'!AW14/10</f>
        <v>258.5</v>
      </c>
      <c r="AX13" s="86">
        <f>'Raw Data'!AX14/10</f>
        <v>251.4</v>
      </c>
      <c r="AY13" s="86">
        <f>'Raw Data'!AY14/10</f>
        <v>254.7</v>
      </c>
      <c r="AZ13" s="86">
        <f>'Raw Data'!AZ14/10</f>
        <v>240.7</v>
      </c>
      <c r="BA13" s="86">
        <f>'Raw Data'!BA14/10</f>
        <v>237.2</v>
      </c>
      <c r="BB13" s="86">
        <f>'Raw Data'!BB14/10</f>
        <v>227.4</v>
      </c>
      <c r="BC13" s="86">
        <f>'Raw Data'!BC14/10</f>
        <v>217.7</v>
      </c>
      <c r="BD13" s="86">
        <f>'Raw Data'!BD14/10</f>
        <v>216.3</v>
      </c>
      <c r="BE13" s="86">
        <f>'Raw Data'!BE14/10</f>
        <v>205.9</v>
      </c>
      <c r="BF13" s="86">
        <f>'Raw Data'!BF14/10</f>
        <v>203.8</v>
      </c>
      <c r="BG13" s="86">
        <f>'Raw Data'!BG14/10</f>
        <v>204.2</v>
      </c>
      <c r="BH13" s="86">
        <f>'Raw Data'!BH14/10</f>
        <v>197.5</v>
      </c>
      <c r="BI13" s="86">
        <f>'Raw Data'!BI14/10</f>
        <v>195.3</v>
      </c>
      <c r="BJ13" s="86">
        <f>'Raw Data'!BJ14/10</f>
        <v>188.9</v>
      </c>
      <c r="BK13" s="86">
        <f>'Raw Data'!BK14/10</f>
        <v>183.1</v>
      </c>
      <c r="BL13" s="86">
        <f>'Raw Data'!BL14/10</f>
        <v>176.1</v>
      </c>
      <c r="BM13" s="86">
        <f>'Raw Data'!BM14/10</f>
        <v>171.6</v>
      </c>
      <c r="BN13" s="86">
        <f>'Raw Data'!BN14/10</f>
        <v>171.5</v>
      </c>
      <c r="BO13" s="86">
        <f>'Raw Data'!BO14/10</f>
        <v>170.7</v>
      </c>
      <c r="BP13" s="86">
        <f>'Raw Data'!BP14/10</f>
        <v>170.1</v>
      </c>
      <c r="BQ13" s="86">
        <f>'Raw Data'!BQ14/10</f>
        <v>156.1</v>
      </c>
      <c r="BR13" s="86">
        <f>'Raw Data'!BR14/10</f>
        <v>157.6</v>
      </c>
      <c r="BS13" s="86">
        <f>'Raw Data'!BS14/10</f>
        <v>156.9</v>
      </c>
      <c r="BT13" s="86">
        <f>'Raw Data'!BT14/10</f>
        <v>147.19999999999999</v>
      </c>
      <c r="BU13" s="86">
        <f>'Raw Data'!BU14/10</f>
        <v>148.9</v>
      </c>
      <c r="BV13" s="86">
        <f>'Raw Data'!BV14/10</f>
        <v>145.19999999999999</v>
      </c>
      <c r="BW13" s="86">
        <f>'Raw Data'!BW14/10</f>
        <v>144.69999999999999</v>
      </c>
      <c r="BX13" s="86">
        <f>'Raw Data'!BX14/10</f>
        <v>145</v>
      </c>
      <c r="BY13" s="86">
        <f>'Raw Data'!BY14/10</f>
        <v>139.80000000000001</v>
      </c>
      <c r="BZ13" s="86">
        <f>'Raw Data'!BZ14/10</f>
        <v>134.69999999999999</v>
      </c>
      <c r="CA13" s="86">
        <f>'Raw Data'!CA14/10</f>
        <v>139.9</v>
      </c>
      <c r="CB13" s="86">
        <f>'Raw Data'!CB14/10</f>
        <v>135</v>
      </c>
      <c r="CC13" s="86">
        <f>'Raw Data'!CC14/10</f>
        <v>127.6</v>
      </c>
      <c r="CD13" s="86">
        <f>'Raw Data'!CD14/10</f>
        <v>131.9</v>
      </c>
      <c r="CE13" s="86">
        <f>'Raw Data'!CE14/10</f>
        <v>127.6</v>
      </c>
      <c r="CF13" s="86">
        <f>'Raw Data'!CF14/10</f>
        <v>123.2</v>
      </c>
      <c r="CG13" s="86">
        <f>'Raw Data'!CG14/100</f>
        <v>118.46</v>
      </c>
      <c r="CH13" s="86">
        <f>'Raw Data'!CH14/100</f>
        <v>100.75</v>
      </c>
      <c r="CI13" s="86">
        <f>'Raw Data'!CI14/100</f>
        <v>90.58</v>
      </c>
      <c r="CJ13" s="86">
        <f>'Raw Data'!CJ14/100</f>
        <v>82.2</v>
      </c>
      <c r="CK13" s="86">
        <f>'Raw Data'!CK14/100</f>
        <v>76.89</v>
      </c>
      <c r="CL13" s="86">
        <f>'Raw Data'!CL14/100</f>
        <v>71.25</v>
      </c>
      <c r="CM13" s="86">
        <f>'Raw Data'!CM14/100</f>
        <v>66.52</v>
      </c>
      <c r="CN13" s="86">
        <f>'Raw Data'!CN14/100</f>
        <v>62.59</v>
      </c>
      <c r="CO13" s="86">
        <f>'Raw Data'!CO14/100</f>
        <v>59.92</v>
      </c>
      <c r="CP13" s="86">
        <f>'Raw Data'!CP14/100</f>
        <v>57.36</v>
      </c>
      <c r="CQ13" s="86">
        <f>'Raw Data'!CQ14/100</f>
        <v>54.67</v>
      </c>
      <c r="CR13" s="86">
        <f>'Raw Data'!CR14/100</f>
        <v>52.17</v>
      </c>
      <c r="CS13" s="86">
        <f>'Raw Data'!CS14/100</f>
        <v>50.96</v>
      </c>
      <c r="CT13" s="86">
        <f>'Raw Data'!CT14/100</f>
        <v>47.76</v>
      </c>
      <c r="CU13" s="382"/>
    </row>
    <row r="14" spans="4:99" s="86" customFormat="1" x14ac:dyDescent="0.2">
      <c r="D14" s="348"/>
      <c r="E14" s="164"/>
      <c r="F14" s="394"/>
      <c r="G14" s="86">
        <f>'Raw Data'!G15</f>
        <v>1302</v>
      </c>
      <c r="H14" s="86">
        <f>'Raw Data'!H15</f>
        <v>1325</v>
      </c>
      <c r="I14" s="86">
        <f>'Raw Data'!I15</f>
        <v>1327</v>
      </c>
      <c r="J14" s="86">
        <f>'Raw Data'!J15</f>
        <v>1352</v>
      </c>
      <c r="K14" s="86">
        <f>'Raw Data'!K15</f>
        <v>1335</v>
      </c>
      <c r="L14" s="86">
        <f>'Raw Data'!L15</f>
        <v>1319</v>
      </c>
      <c r="M14" s="86">
        <f>'Raw Data'!M15</f>
        <v>1283</v>
      </c>
      <c r="N14" s="86">
        <f>'Raw Data'!N15</f>
        <v>1322</v>
      </c>
      <c r="O14" s="86">
        <f>'Raw Data'!O15</f>
        <v>1338</v>
      </c>
      <c r="P14" s="86">
        <f>'Raw Data'!P15</f>
        <v>1319</v>
      </c>
      <c r="Q14" s="86">
        <f>'Raw Data'!Q15</f>
        <v>1325</v>
      </c>
      <c r="R14" s="86">
        <f>'Raw Data'!R15</f>
        <v>1324</v>
      </c>
      <c r="S14" s="86">
        <f>'Raw Data'!S15</f>
        <v>1296</v>
      </c>
      <c r="T14" s="86">
        <f>'Raw Data'!T15</f>
        <v>1302</v>
      </c>
      <c r="U14" s="86">
        <f>'Raw Data'!U15</f>
        <v>1333</v>
      </c>
      <c r="V14" s="86">
        <f>'Raw Data'!V15</f>
        <v>1295</v>
      </c>
      <c r="W14" s="86">
        <f>'Raw Data'!W15</f>
        <v>1317</v>
      </c>
      <c r="X14" s="86">
        <f>'Raw Data'!X15</f>
        <v>1324</v>
      </c>
      <c r="Y14" s="86">
        <f>'Raw Data'!Y15</f>
        <v>1276</v>
      </c>
      <c r="Z14" s="86">
        <f>'Raw Data'!Z15</f>
        <v>1253</v>
      </c>
      <c r="AA14" s="86">
        <f>'Raw Data'!AA15/10</f>
        <v>1280</v>
      </c>
      <c r="AB14" s="86">
        <f>'Raw Data'!AB15/10</f>
        <v>1222.0999999999999</v>
      </c>
      <c r="AC14" s="86">
        <f>'Raw Data'!AC15/10</f>
        <v>1188.5</v>
      </c>
      <c r="AD14" s="86">
        <f>'Raw Data'!AD15/10</f>
        <v>1138.3</v>
      </c>
      <c r="AE14" s="86">
        <f>'Raw Data'!AE15/10</f>
        <v>1099.9000000000001</v>
      </c>
      <c r="AF14" s="86">
        <f>'Raw Data'!AF15/10</f>
        <v>1053.5999999999999</v>
      </c>
      <c r="AG14" s="86">
        <f>'Raw Data'!AG15/10</f>
        <v>994.9</v>
      </c>
      <c r="AH14" s="86">
        <f>'Raw Data'!AH15/10</f>
        <v>963.2</v>
      </c>
      <c r="AI14" s="86">
        <f>'Raw Data'!AI15/10</f>
        <v>913.9</v>
      </c>
      <c r="AJ14" s="86">
        <f>'Raw Data'!AJ15/10</f>
        <v>886.8</v>
      </c>
      <c r="AK14" s="86">
        <f>'Raw Data'!AK15/10</f>
        <v>849.1</v>
      </c>
      <c r="AL14" s="86">
        <f>'Raw Data'!AL15/10</f>
        <v>824.7</v>
      </c>
      <c r="AM14" s="86">
        <f>'Raw Data'!AM15/10</f>
        <v>790.5</v>
      </c>
      <c r="AN14" s="86">
        <f>'Raw Data'!AN15/10</f>
        <v>758.6</v>
      </c>
      <c r="AO14" s="86">
        <f>'Raw Data'!AO15/10</f>
        <v>726</v>
      </c>
      <c r="AP14" s="86">
        <f>'Raw Data'!AP15/10</f>
        <v>702.1</v>
      </c>
      <c r="AQ14" s="86">
        <f>'Raw Data'!AQ15/10</f>
        <v>669.6</v>
      </c>
      <c r="AR14" s="86">
        <f>'Raw Data'!AR15/10</f>
        <v>656</v>
      </c>
      <c r="AS14" s="86">
        <f>'Raw Data'!AS15/10</f>
        <v>624.6</v>
      </c>
      <c r="AT14" s="86">
        <f>'Raw Data'!AT15/10</f>
        <v>612.4</v>
      </c>
      <c r="AU14" s="86">
        <f>'Raw Data'!AU15/10</f>
        <v>585.29999999999995</v>
      </c>
      <c r="AV14" s="86">
        <f>'Raw Data'!AV15/10</f>
        <v>568.70000000000005</v>
      </c>
      <c r="AW14" s="86">
        <f>'Raw Data'!AW15/10</f>
        <v>548.9</v>
      </c>
      <c r="AX14" s="86">
        <f>'Raw Data'!AX15/10</f>
        <v>545.9</v>
      </c>
      <c r="AY14" s="86">
        <f>'Raw Data'!AY15/10</f>
        <v>521</v>
      </c>
      <c r="AZ14" s="86">
        <f>'Raw Data'!AZ15/10</f>
        <v>505.5</v>
      </c>
      <c r="BA14" s="86">
        <f>'Raw Data'!BA15/10</f>
        <v>484.8</v>
      </c>
      <c r="BB14" s="86">
        <f>'Raw Data'!BB15/10</f>
        <v>473.7</v>
      </c>
      <c r="BC14" s="86">
        <f>'Raw Data'!BC15/10</f>
        <v>454.6</v>
      </c>
      <c r="BD14" s="86">
        <f>'Raw Data'!BD15/10</f>
        <v>444.4</v>
      </c>
      <c r="BE14" s="86">
        <f>'Raw Data'!BE15/10</f>
        <v>434.8</v>
      </c>
      <c r="BF14" s="86">
        <f>'Raw Data'!BF15/10</f>
        <v>421.1</v>
      </c>
      <c r="BG14" s="86">
        <f>'Raw Data'!BG15/10</f>
        <v>411.4</v>
      </c>
      <c r="BH14" s="86">
        <f>'Raw Data'!BH15/10</f>
        <v>398.6</v>
      </c>
      <c r="BI14" s="86">
        <f>'Raw Data'!BI15/10</f>
        <v>390.6</v>
      </c>
      <c r="BJ14" s="86">
        <f>'Raw Data'!BJ15/10</f>
        <v>382.3</v>
      </c>
      <c r="BK14" s="86">
        <f>'Raw Data'!BK15/10</f>
        <v>369.2</v>
      </c>
      <c r="BL14" s="86">
        <f>'Raw Data'!BL15/10</f>
        <v>360.4</v>
      </c>
      <c r="BM14" s="86">
        <f>'Raw Data'!BM15/10</f>
        <v>360.5</v>
      </c>
      <c r="BN14" s="86">
        <f>'Raw Data'!BN15/10</f>
        <v>340.3</v>
      </c>
      <c r="BO14" s="86">
        <f>'Raw Data'!BO15/10</f>
        <v>336.9</v>
      </c>
      <c r="BP14" s="86">
        <f>'Raw Data'!BP15/10</f>
        <v>336.3</v>
      </c>
      <c r="BQ14" s="86">
        <f>'Raw Data'!BQ15/10</f>
        <v>323.3</v>
      </c>
      <c r="BR14" s="86">
        <f>'Raw Data'!BR15/10</f>
        <v>319.89999999999998</v>
      </c>
      <c r="BS14" s="86">
        <f>'Raw Data'!BS15/10</f>
        <v>314.39999999999998</v>
      </c>
      <c r="BT14" s="86">
        <f>'Raw Data'!BT15/10</f>
        <v>308.8</v>
      </c>
      <c r="BU14" s="86">
        <f>'Raw Data'!BU15/10</f>
        <v>293.89999999999998</v>
      </c>
      <c r="BV14" s="86">
        <f>'Raw Data'!BV15/10</f>
        <v>292.3</v>
      </c>
      <c r="BW14" s="86">
        <f>'Raw Data'!BW15/10</f>
        <v>287.8</v>
      </c>
      <c r="BX14" s="86">
        <f>'Raw Data'!BX15/10</f>
        <v>285.10000000000002</v>
      </c>
      <c r="BY14" s="86">
        <f>'Raw Data'!BY15/10</f>
        <v>275.5</v>
      </c>
      <c r="BZ14" s="86">
        <f>'Raw Data'!BZ15/10</f>
        <v>264.8</v>
      </c>
      <c r="CA14" s="86">
        <f>'Raw Data'!CA15/10</f>
        <v>258.39999999999998</v>
      </c>
      <c r="CB14" s="86">
        <f>'Raw Data'!CB15/10</f>
        <v>260.7</v>
      </c>
      <c r="CC14" s="86">
        <f>'Raw Data'!CC15/10</f>
        <v>258.60000000000002</v>
      </c>
      <c r="CD14" s="86">
        <f>'Raw Data'!CD15/10</f>
        <v>242.6</v>
      </c>
      <c r="CE14" s="86">
        <f>'Raw Data'!CE15/10</f>
        <v>239</v>
      </c>
      <c r="CF14" s="86">
        <f>'Raw Data'!CF15/10</f>
        <v>241.3</v>
      </c>
      <c r="CG14" s="86">
        <f>'Raw Data'!CG15/100</f>
        <v>224.04</v>
      </c>
      <c r="CH14" s="86">
        <f>'Raw Data'!CH15/100</f>
        <v>192.28</v>
      </c>
      <c r="CI14" s="86">
        <f>'Raw Data'!CI15/100</f>
        <v>170.44</v>
      </c>
      <c r="CJ14" s="86">
        <f>'Raw Data'!CJ15/100</f>
        <v>152.57</v>
      </c>
      <c r="CK14" s="86">
        <f>'Raw Data'!CK15/100</f>
        <v>138.49</v>
      </c>
      <c r="CL14" s="86">
        <f>'Raw Data'!CL15/100</f>
        <v>124.04</v>
      </c>
      <c r="CM14" s="86">
        <f>'Raw Data'!CM15/100</f>
        <v>117.43</v>
      </c>
      <c r="CN14" s="86">
        <f>'Raw Data'!CN15/100</f>
        <v>109.41</v>
      </c>
      <c r="CO14" s="86">
        <f>'Raw Data'!CO15/100</f>
        <v>100.53</v>
      </c>
      <c r="CP14" s="86">
        <f>'Raw Data'!CP15/100</f>
        <v>96.54</v>
      </c>
      <c r="CQ14" s="86">
        <f>'Raw Data'!CQ15/100</f>
        <v>92.15</v>
      </c>
      <c r="CR14" s="86">
        <f>'Raw Data'!CR15/100</f>
        <v>86.94</v>
      </c>
      <c r="CS14" s="86">
        <f>'Raw Data'!CS15/100</f>
        <v>80.790000000000006</v>
      </c>
      <c r="CT14" s="86">
        <f>'Raw Data'!CT15/100</f>
        <v>79.069999999999993</v>
      </c>
      <c r="CU14" s="382"/>
    </row>
    <row r="15" spans="4:99" s="86" customFormat="1" x14ac:dyDescent="0.2">
      <c r="D15" s="350"/>
      <c r="E15" s="381"/>
      <c r="F15" s="395"/>
      <c r="G15" s="87">
        <f>'Raw Data'!G16</f>
        <v>633</v>
      </c>
      <c r="H15" s="87">
        <f>'Raw Data'!H16</f>
        <v>676</v>
      </c>
      <c r="I15" s="87">
        <f>'Raw Data'!I16</f>
        <v>647</v>
      </c>
      <c r="J15" s="87">
        <f>'Raw Data'!J16</f>
        <v>659</v>
      </c>
      <c r="K15" s="87">
        <f>'Raw Data'!K16</f>
        <v>670</v>
      </c>
      <c r="L15" s="87">
        <f>'Raw Data'!L16</f>
        <v>639</v>
      </c>
      <c r="M15" s="87">
        <f>'Raw Data'!M16</f>
        <v>665</v>
      </c>
      <c r="N15" s="87">
        <f>'Raw Data'!N16</f>
        <v>652</v>
      </c>
      <c r="O15" s="87">
        <f>'Raw Data'!O16</f>
        <v>635</v>
      </c>
      <c r="P15" s="87">
        <f>'Raw Data'!P16</f>
        <v>631</v>
      </c>
      <c r="Q15" s="87">
        <f>'Raw Data'!Q16</f>
        <v>652</v>
      </c>
      <c r="R15" s="87">
        <f>'Raw Data'!R16</f>
        <v>631</v>
      </c>
      <c r="S15" s="87">
        <f>'Raw Data'!S16</f>
        <v>647</v>
      </c>
      <c r="T15" s="87">
        <f>'Raw Data'!T16</f>
        <v>630</v>
      </c>
      <c r="U15" s="87">
        <f>'Raw Data'!U16</f>
        <v>628</v>
      </c>
      <c r="V15" s="87">
        <f>'Raw Data'!V16</f>
        <v>631</v>
      </c>
      <c r="W15" s="87">
        <f>'Raw Data'!W16</f>
        <v>637</v>
      </c>
      <c r="X15" s="87">
        <f>'Raw Data'!X16</f>
        <v>630</v>
      </c>
      <c r="Y15" s="87">
        <f>'Raw Data'!Y16</f>
        <v>662</v>
      </c>
      <c r="Z15" s="87">
        <f>'Raw Data'!Z16</f>
        <v>595</v>
      </c>
      <c r="AA15" s="87">
        <f>'Raw Data'!AA16/10</f>
        <v>633.70000000000005</v>
      </c>
      <c r="AB15" s="87">
        <f>'Raw Data'!AB16/10</f>
        <v>611.70000000000005</v>
      </c>
      <c r="AC15" s="87">
        <f>'Raw Data'!AC16/10</f>
        <v>591.1</v>
      </c>
      <c r="AD15" s="87">
        <f>'Raw Data'!AD16/10</f>
        <v>565.5</v>
      </c>
      <c r="AE15" s="87">
        <f>'Raw Data'!AE16/10</f>
        <v>543.29999999999995</v>
      </c>
      <c r="AF15" s="87">
        <f>'Raw Data'!AF16/10</f>
        <v>524</v>
      </c>
      <c r="AG15" s="87">
        <f>'Raw Data'!AG16/10</f>
        <v>502.6</v>
      </c>
      <c r="AH15" s="87">
        <f>'Raw Data'!AH16/10</f>
        <v>485.8</v>
      </c>
      <c r="AI15" s="87">
        <f>'Raw Data'!AI16/10</f>
        <v>476.6</v>
      </c>
      <c r="AJ15" s="87">
        <f>'Raw Data'!AJ16/10</f>
        <v>440</v>
      </c>
      <c r="AK15" s="87">
        <f>'Raw Data'!AK16/10</f>
        <v>427.9</v>
      </c>
      <c r="AL15" s="87">
        <f>'Raw Data'!AL16/10</f>
        <v>414.5</v>
      </c>
      <c r="AM15" s="87">
        <f>'Raw Data'!AM16/10</f>
        <v>399.1</v>
      </c>
      <c r="AN15" s="87">
        <f>'Raw Data'!AN16/10</f>
        <v>396.7</v>
      </c>
      <c r="AO15" s="87">
        <f>'Raw Data'!AO16/10</f>
        <v>377.8</v>
      </c>
      <c r="AP15" s="87">
        <f>'Raw Data'!AP16/10</f>
        <v>365.7</v>
      </c>
      <c r="AQ15" s="87">
        <f>'Raw Data'!AQ16/10</f>
        <v>357.3</v>
      </c>
      <c r="AR15" s="87">
        <f>'Raw Data'!AR16/10</f>
        <v>343.1</v>
      </c>
      <c r="AS15" s="87">
        <f>'Raw Data'!AS16/10</f>
        <v>338.7</v>
      </c>
      <c r="AT15" s="87">
        <f>'Raw Data'!AT16/10</f>
        <v>319.39999999999998</v>
      </c>
      <c r="AU15" s="87">
        <f>'Raw Data'!AU16/10</f>
        <v>316.89999999999998</v>
      </c>
      <c r="AV15" s="87">
        <f>'Raw Data'!AV16/10</f>
        <v>311</v>
      </c>
      <c r="AW15" s="87">
        <f>'Raw Data'!AW16/10</f>
        <v>301.10000000000002</v>
      </c>
      <c r="AX15" s="87">
        <f>'Raw Data'!AX16/10</f>
        <v>301.39999999999998</v>
      </c>
      <c r="AY15" s="87">
        <f>'Raw Data'!AY16/10</f>
        <v>281.2</v>
      </c>
      <c r="AZ15" s="87">
        <f>'Raw Data'!AZ16/10</f>
        <v>273.8</v>
      </c>
      <c r="BA15" s="87">
        <f>'Raw Data'!BA16/10</f>
        <v>269.8</v>
      </c>
      <c r="BB15" s="87">
        <f>'Raw Data'!BB16/10</f>
        <v>263.5</v>
      </c>
      <c r="BC15" s="87">
        <f>'Raw Data'!BC16/10</f>
        <v>253.2</v>
      </c>
      <c r="BD15" s="87">
        <f>'Raw Data'!BD16/10</f>
        <v>246.1</v>
      </c>
      <c r="BE15" s="87">
        <f>'Raw Data'!BE16/10</f>
        <v>247.2</v>
      </c>
      <c r="BF15" s="87">
        <f>'Raw Data'!BF16/10</f>
        <v>238.2</v>
      </c>
      <c r="BG15" s="87">
        <f>'Raw Data'!BG16/10</f>
        <v>237.7</v>
      </c>
      <c r="BH15" s="87">
        <f>'Raw Data'!BH16/10</f>
        <v>231.3</v>
      </c>
      <c r="BI15" s="87">
        <f>'Raw Data'!BI16/10</f>
        <v>222.5</v>
      </c>
      <c r="BJ15" s="87">
        <f>'Raw Data'!BJ16/10</f>
        <v>226.3</v>
      </c>
      <c r="BK15" s="87">
        <f>'Raw Data'!BK16/10</f>
        <v>213</v>
      </c>
      <c r="BL15" s="87">
        <f>'Raw Data'!BL16/10</f>
        <v>216.8</v>
      </c>
      <c r="BM15" s="87">
        <f>'Raw Data'!BM16/10</f>
        <v>209.7</v>
      </c>
      <c r="BN15" s="87">
        <f>'Raw Data'!BN16/10</f>
        <v>201.6</v>
      </c>
      <c r="BO15" s="87">
        <f>'Raw Data'!BO16/10</f>
        <v>203</v>
      </c>
      <c r="BP15" s="87">
        <f>'Raw Data'!BP16/10</f>
        <v>197.2</v>
      </c>
      <c r="BQ15" s="87">
        <f>'Raw Data'!BQ16/10</f>
        <v>192.9</v>
      </c>
      <c r="BR15" s="87">
        <f>'Raw Data'!BR16/10</f>
        <v>192</v>
      </c>
      <c r="BS15" s="87">
        <f>'Raw Data'!BS16/10</f>
        <v>185.1</v>
      </c>
      <c r="BT15" s="87">
        <f>'Raw Data'!BT16/10</f>
        <v>182.4</v>
      </c>
      <c r="BU15" s="87">
        <f>'Raw Data'!BU16/10</f>
        <v>174.7</v>
      </c>
      <c r="BV15" s="87">
        <f>'Raw Data'!BV16/10</f>
        <v>176.4</v>
      </c>
      <c r="BW15" s="87">
        <f>'Raw Data'!BW16/10</f>
        <v>171.5</v>
      </c>
      <c r="BX15" s="87">
        <f>'Raw Data'!BX16/10</f>
        <v>173.7</v>
      </c>
      <c r="BY15" s="87">
        <f>'Raw Data'!BY16/10</f>
        <v>168.3</v>
      </c>
      <c r="BZ15" s="87">
        <f>'Raw Data'!BZ16/10</f>
        <v>167.5</v>
      </c>
      <c r="CA15" s="87">
        <f>'Raw Data'!CA16/10</f>
        <v>166.1</v>
      </c>
      <c r="CB15" s="87">
        <f>'Raw Data'!CB16/10</f>
        <v>159</v>
      </c>
      <c r="CC15" s="87">
        <f>'Raw Data'!CC16/10</f>
        <v>161.4</v>
      </c>
      <c r="CD15" s="87">
        <f>'Raw Data'!CD16/10</f>
        <v>158.80000000000001</v>
      </c>
      <c r="CE15" s="87">
        <f>'Raw Data'!CE16/10</f>
        <v>158.19999999999999</v>
      </c>
      <c r="CF15" s="87">
        <f>'Raw Data'!CF16/10</f>
        <v>148.30000000000001</v>
      </c>
      <c r="CG15" s="87">
        <f>'Raw Data'!CG16/100</f>
        <v>143.69</v>
      </c>
      <c r="CH15" s="87">
        <f>'Raw Data'!CH16/100</f>
        <v>128.56</v>
      </c>
      <c r="CI15" s="87">
        <f>'Raw Data'!CI16/100</f>
        <v>119.96</v>
      </c>
      <c r="CJ15" s="87">
        <f>'Raw Data'!CJ16/100</f>
        <v>108.66</v>
      </c>
      <c r="CK15" s="87">
        <f>'Raw Data'!CK16/100</f>
        <v>100.79</v>
      </c>
      <c r="CL15" s="87">
        <f>'Raw Data'!CL16/100</f>
        <v>96.63</v>
      </c>
      <c r="CM15" s="87">
        <f>'Raw Data'!CM16/100</f>
        <v>90.03</v>
      </c>
      <c r="CN15" s="87">
        <f>'Raw Data'!CN16/100</f>
        <v>84.93</v>
      </c>
      <c r="CO15" s="87">
        <f>'Raw Data'!CO16/100</f>
        <v>81.36</v>
      </c>
      <c r="CP15" s="87">
        <f>'Raw Data'!CP16/100</f>
        <v>78.42</v>
      </c>
      <c r="CQ15" s="87">
        <f>'Raw Data'!CQ16/100</f>
        <v>74.790000000000006</v>
      </c>
      <c r="CR15" s="87">
        <f>'Raw Data'!CR16/100</f>
        <v>72.37</v>
      </c>
      <c r="CS15" s="87">
        <f>'Raw Data'!CS16/100</f>
        <v>69.08</v>
      </c>
      <c r="CT15" s="87">
        <f>'Raw Data'!CT16/100</f>
        <v>67.91</v>
      </c>
      <c r="CU15" s="382"/>
    </row>
    <row r="16" spans="4:99" s="86" customFormat="1" x14ac:dyDescent="0.2">
      <c r="D16" s="374"/>
      <c r="E16" s="164"/>
      <c r="F16" s="394"/>
      <c r="G16" s="83">
        <f>'Raw Data'!G17</f>
        <v>1595</v>
      </c>
      <c r="H16" s="83">
        <f>'Raw Data'!H17</f>
        <v>1565</v>
      </c>
      <c r="I16" s="83">
        <f>'Raw Data'!I17</f>
        <v>1496</v>
      </c>
      <c r="J16" s="83">
        <f>'Raw Data'!J17</f>
        <v>1532</v>
      </c>
      <c r="K16" s="83">
        <f>'Raw Data'!K17</f>
        <v>1505</v>
      </c>
      <c r="L16" s="83">
        <f>'Raw Data'!L17</f>
        <v>1470</v>
      </c>
      <c r="M16" s="83">
        <f>'Raw Data'!M17</f>
        <v>1488</v>
      </c>
      <c r="N16" s="83">
        <f>'Raw Data'!N17</f>
        <v>1470</v>
      </c>
      <c r="O16" s="83">
        <f>'Raw Data'!O17</f>
        <v>1495</v>
      </c>
      <c r="P16" s="83">
        <f>'Raw Data'!P17</f>
        <v>1498</v>
      </c>
      <c r="Q16" s="83">
        <f>'Raw Data'!Q17</f>
        <v>1464</v>
      </c>
      <c r="R16" s="83">
        <f>'Raw Data'!R17</f>
        <v>1480</v>
      </c>
      <c r="S16" s="83">
        <f>'Raw Data'!S17</f>
        <v>1432</v>
      </c>
      <c r="T16" s="83">
        <f>'Raw Data'!T17</f>
        <v>1477</v>
      </c>
      <c r="U16" s="83">
        <f>'Raw Data'!U17</f>
        <v>1405</v>
      </c>
      <c r="V16" s="83">
        <f>'Raw Data'!V17</f>
        <v>1442</v>
      </c>
      <c r="W16" s="83">
        <f>'Raw Data'!W17</f>
        <v>1418</v>
      </c>
      <c r="X16" s="83">
        <f>'Raw Data'!X17</f>
        <v>1422</v>
      </c>
      <c r="Y16" s="83">
        <f>'Raw Data'!Y17</f>
        <v>1402</v>
      </c>
      <c r="Z16" s="83">
        <f>'Raw Data'!Z17</f>
        <v>1387</v>
      </c>
      <c r="AA16" s="83">
        <f>'Raw Data'!AA17/10</f>
        <v>1366.3</v>
      </c>
      <c r="AB16" s="83">
        <f>'Raw Data'!AB17/10</f>
        <v>1294.7</v>
      </c>
      <c r="AC16" s="83">
        <f>'Raw Data'!AC17/10</f>
        <v>1227.9000000000001</v>
      </c>
      <c r="AD16" s="83">
        <f>'Raw Data'!AD17/10</f>
        <v>1141.4000000000001</v>
      </c>
      <c r="AE16" s="83">
        <f>'Raw Data'!AE17/10</f>
        <v>1098.5999999999999</v>
      </c>
      <c r="AF16" s="83">
        <f>'Raw Data'!AF17/10</f>
        <v>1059.5999999999999</v>
      </c>
      <c r="AG16" s="83">
        <f>'Raw Data'!AG17/10</f>
        <v>1016.3</v>
      </c>
      <c r="AH16" s="83">
        <f>'Raw Data'!AH17/10</f>
        <v>954.6</v>
      </c>
      <c r="AI16" s="83">
        <f>'Raw Data'!AI17/10</f>
        <v>927.2</v>
      </c>
      <c r="AJ16" s="83">
        <f>'Raw Data'!AJ17/10</f>
        <v>880.3</v>
      </c>
      <c r="AK16" s="83">
        <f>'Raw Data'!AK17/10</f>
        <v>849.8</v>
      </c>
      <c r="AL16" s="83">
        <f>'Raw Data'!AL17/10</f>
        <v>826.5</v>
      </c>
      <c r="AM16" s="83">
        <f>'Raw Data'!AM17/10</f>
        <v>788.2</v>
      </c>
      <c r="AN16" s="83">
        <f>'Raw Data'!AN17/10</f>
        <v>755</v>
      </c>
      <c r="AO16" s="83">
        <f>'Raw Data'!AO17/10</f>
        <v>718.9</v>
      </c>
      <c r="AP16" s="83">
        <f>'Raw Data'!AP17/10</f>
        <v>698.9</v>
      </c>
      <c r="AQ16" s="83">
        <f>'Raw Data'!AQ17/10</f>
        <v>680.2</v>
      </c>
      <c r="AR16" s="83">
        <f>'Raw Data'!AR17/10</f>
        <v>652.20000000000005</v>
      </c>
      <c r="AS16" s="83">
        <f>'Raw Data'!AS17/10</f>
        <v>640.29999999999995</v>
      </c>
      <c r="AT16" s="83">
        <f>'Raw Data'!AT17/10</f>
        <v>610.9</v>
      </c>
      <c r="AU16" s="83">
        <f>'Raw Data'!AU17/10</f>
        <v>600.79999999999995</v>
      </c>
      <c r="AV16" s="83">
        <f>'Raw Data'!AV17/10</f>
        <v>573.79999999999995</v>
      </c>
      <c r="AW16" s="83">
        <f>'Raw Data'!AW17/10</f>
        <v>563.6</v>
      </c>
      <c r="AX16" s="83">
        <f>'Raw Data'!AX17/10</f>
        <v>541.9</v>
      </c>
      <c r="AY16" s="83">
        <f>'Raw Data'!AY17/10</f>
        <v>528.20000000000005</v>
      </c>
      <c r="AZ16" s="83">
        <f>'Raw Data'!AZ17/10</f>
        <v>511.7</v>
      </c>
      <c r="BA16" s="83">
        <f>'Raw Data'!BA17/10</f>
        <v>492.9</v>
      </c>
      <c r="BB16" s="83">
        <f>'Raw Data'!BB17/10</f>
        <v>479.9</v>
      </c>
      <c r="BC16" s="83">
        <f>'Raw Data'!BC17/10</f>
        <v>468.7</v>
      </c>
      <c r="BD16" s="83">
        <f>'Raw Data'!BD17/10</f>
        <v>459.8</v>
      </c>
      <c r="BE16" s="83">
        <f>'Raw Data'!BE17/10</f>
        <v>440.6</v>
      </c>
      <c r="BF16" s="83">
        <f>'Raw Data'!BF17/10</f>
        <v>425.4</v>
      </c>
      <c r="BG16" s="83">
        <f>'Raw Data'!BG17/10</f>
        <v>426.5</v>
      </c>
      <c r="BH16" s="83">
        <f>'Raw Data'!BH17/10</f>
        <v>408.9</v>
      </c>
      <c r="BI16" s="83">
        <f>'Raw Data'!BI17/10</f>
        <v>398</v>
      </c>
      <c r="BJ16" s="83">
        <f>'Raw Data'!BJ17/10</f>
        <v>391</v>
      </c>
      <c r="BK16" s="83">
        <f>'Raw Data'!BK17/10</f>
        <v>387.9</v>
      </c>
      <c r="BL16" s="83">
        <f>'Raw Data'!BL17/10</f>
        <v>379.3</v>
      </c>
      <c r="BM16" s="83">
        <f>'Raw Data'!BM17/10</f>
        <v>361.8</v>
      </c>
      <c r="BN16" s="83">
        <f>'Raw Data'!BN17/10</f>
        <v>361.2</v>
      </c>
      <c r="BO16" s="83">
        <f>'Raw Data'!BO17/10</f>
        <v>353.6</v>
      </c>
      <c r="BP16" s="83">
        <f>'Raw Data'!BP17/10</f>
        <v>346.4</v>
      </c>
      <c r="BQ16" s="83">
        <f>'Raw Data'!BQ17/10</f>
        <v>334.8</v>
      </c>
      <c r="BR16" s="83">
        <f>'Raw Data'!BR17/10</f>
        <v>335.1</v>
      </c>
      <c r="BS16" s="83">
        <f>'Raw Data'!BS17/10</f>
        <v>323.5</v>
      </c>
      <c r="BT16" s="83">
        <f>'Raw Data'!BT17/10</f>
        <v>318.3</v>
      </c>
      <c r="BU16" s="83">
        <f>'Raw Data'!BU17/10</f>
        <v>320.5</v>
      </c>
      <c r="BV16" s="83">
        <f>'Raw Data'!BV17/10</f>
        <v>304.2</v>
      </c>
      <c r="BW16" s="83">
        <f>'Raw Data'!BW17/10</f>
        <v>302.8</v>
      </c>
      <c r="BX16" s="83">
        <f>'Raw Data'!BX17/10</f>
        <v>295.10000000000002</v>
      </c>
      <c r="BY16" s="83">
        <f>'Raw Data'!BY17/10</f>
        <v>294</v>
      </c>
      <c r="BZ16" s="83">
        <f>'Raw Data'!BZ17/10</f>
        <v>294.10000000000002</v>
      </c>
      <c r="CA16" s="83">
        <f>'Raw Data'!CA17/10</f>
        <v>283.39999999999998</v>
      </c>
      <c r="CB16" s="83">
        <f>'Raw Data'!CB17/10</f>
        <v>278.2</v>
      </c>
      <c r="CC16" s="83">
        <f>'Raw Data'!CC17/10</f>
        <v>279.39999999999998</v>
      </c>
      <c r="CD16" s="83">
        <f>'Raw Data'!CD17/10</f>
        <v>264.7</v>
      </c>
      <c r="CE16" s="83">
        <f>'Raw Data'!CE17/10</f>
        <v>263</v>
      </c>
      <c r="CF16" s="83">
        <f>'Raw Data'!CF17/10</f>
        <v>257.8</v>
      </c>
      <c r="CG16" s="83">
        <f>'Raw Data'!CG17/100</f>
        <v>242.24</v>
      </c>
      <c r="CH16" s="83">
        <f>'Raw Data'!CH17/100</f>
        <v>213.24</v>
      </c>
      <c r="CI16" s="83">
        <f>'Raw Data'!CI17/100</f>
        <v>189.54</v>
      </c>
      <c r="CJ16" s="83">
        <f>'Raw Data'!CJ17/100</f>
        <v>173.83</v>
      </c>
      <c r="CK16" s="83">
        <f>'Raw Data'!CK17/100</f>
        <v>159.44</v>
      </c>
      <c r="CL16" s="83">
        <f>'Raw Data'!CL17/100</f>
        <v>150.41999999999999</v>
      </c>
      <c r="CM16" s="83">
        <f>'Raw Data'!CM17/100</f>
        <v>142.94</v>
      </c>
      <c r="CN16" s="83">
        <f>'Raw Data'!CN17/100</f>
        <v>133.09</v>
      </c>
      <c r="CO16" s="83">
        <f>'Raw Data'!CO17/100</f>
        <v>129.19999999999999</v>
      </c>
      <c r="CP16" s="83">
        <f>'Raw Data'!CP17/100</f>
        <v>121.78</v>
      </c>
      <c r="CQ16" s="83">
        <f>'Raw Data'!CQ17/100</f>
        <v>115.14</v>
      </c>
      <c r="CR16" s="83">
        <f>'Raw Data'!CR17/100</f>
        <v>112.68</v>
      </c>
      <c r="CS16" s="83">
        <f>'Raw Data'!CS17/100</f>
        <v>108.52</v>
      </c>
      <c r="CT16" s="83">
        <f>'Raw Data'!CT17/100</f>
        <v>106.91</v>
      </c>
      <c r="CU16" s="382"/>
    </row>
    <row r="17" spans="4:99" s="86" customFormat="1" x14ac:dyDescent="0.2">
      <c r="D17" s="374"/>
      <c r="E17" s="164"/>
      <c r="F17" s="394"/>
      <c r="G17" s="83">
        <f>'Raw Data'!G18</f>
        <v>392</v>
      </c>
      <c r="H17" s="83">
        <f>'Raw Data'!H18</f>
        <v>348</v>
      </c>
      <c r="I17" s="83">
        <f>'Raw Data'!I18</f>
        <v>318</v>
      </c>
      <c r="J17" s="83">
        <f>'Raw Data'!J18</f>
        <v>343</v>
      </c>
      <c r="K17" s="83">
        <f>'Raw Data'!K18</f>
        <v>355</v>
      </c>
      <c r="L17" s="83">
        <f>'Raw Data'!L18</f>
        <v>356</v>
      </c>
      <c r="M17" s="83">
        <f>'Raw Data'!M18</f>
        <v>352</v>
      </c>
      <c r="N17" s="83">
        <f>'Raw Data'!N18</f>
        <v>322</v>
      </c>
      <c r="O17" s="83">
        <f>'Raw Data'!O18</f>
        <v>319</v>
      </c>
      <c r="P17" s="83">
        <f>'Raw Data'!P18</f>
        <v>342</v>
      </c>
      <c r="Q17" s="83">
        <f>'Raw Data'!Q18</f>
        <v>340</v>
      </c>
      <c r="R17" s="83">
        <f>'Raw Data'!R18</f>
        <v>334</v>
      </c>
      <c r="S17" s="83">
        <f>'Raw Data'!S18</f>
        <v>320</v>
      </c>
      <c r="T17" s="83">
        <f>'Raw Data'!T18</f>
        <v>346</v>
      </c>
      <c r="U17" s="83">
        <f>'Raw Data'!U18</f>
        <v>299</v>
      </c>
      <c r="V17" s="83">
        <f>'Raw Data'!V18</f>
        <v>311</v>
      </c>
      <c r="W17" s="83">
        <f>'Raw Data'!W18</f>
        <v>326</v>
      </c>
      <c r="X17" s="83">
        <f>'Raw Data'!X18</f>
        <v>313</v>
      </c>
      <c r="Y17" s="83">
        <f>'Raw Data'!Y18</f>
        <v>334</v>
      </c>
      <c r="Z17" s="83">
        <f>'Raw Data'!Z18</f>
        <v>283</v>
      </c>
      <c r="AA17" s="83">
        <f>'Raw Data'!AA18/10</f>
        <v>319</v>
      </c>
      <c r="AB17" s="83">
        <f>'Raw Data'!AB18/10</f>
        <v>303.39999999999998</v>
      </c>
      <c r="AC17" s="83">
        <f>'Raw Data'!AC18/10</f>
        <v>289</v>
      </c>
      <c r="AD17" s="83">
        <f>'Raw Data'!AD18/10</f>
        <v>274</v>
      </c>
      <c r="AE17" s="83">
        <f>'Raw Data'!AE18/10</f>
        <v>268</v>
      </c>
      <c r="AF17" s="83">
        <f>'Raw Data'!AF18/10</f>
        <v>258</v>
      </c>
      <c r="AG17" s="83">
        <f>'Raw Data'!AG18/10</f>
        <v>253.1</v>
      </c>
      <c r="AH17" s="83">
        <f>'Raw Data'!AH18/10</f>
        <v>242.6</v>
      </c>
      <c r="AI17" s="83">
        <f>'Raw Data'!AI18/10</f>
        <v>241.4</v>
      </c>
      <c r="AJ17" s="83">
        <f>'Raw Data'!AJ18/10</f>
        <v>228</v>
      </c>
      <c r="AK17" s="83">
        <f>'Raw Data'!AK18/10</f>
        <v>224.1</v>
      </c>
      <c r="AL17" s="83">
        <f>'Raw Data'!AL18/10</f>
        <v>215.6</v>
      </c>
      <c r="AM17" s="83">
        <f>'Raw Data'!AM18/10</f>
        <v>214.5</v>
      </c>
      <c r="AN17" s="83">
        <f>'Raw Data'!AN18/10</f>
        <v>214.2</v>
      </c>
      <c r="AO17" s="83">
        <f>'Raw Data'!AO18/10</f>
        <v>201.7</v>
      </c>
      <c r="AP17" s="83">
        <f>'Raw Data'!AP18/10</f>
        <v>198.9</v>
      </c>
      <c r="AQ17" s="83">
        <f>'Raw Data'!AQ18/10</f>
        <v>192.2</v>
      </c>
      <c r="AR17" s="83">
        <f>'Raw Data'!AR18/10</f>
        <v>188.6</v>
      </c>
      <c r="AS17" s="83">
        <f>'Raw Data'!AS18/10</f>
        <v>180.3</v>
      </c>
      <c r="AT17" s="83">
        <f>'Raw Data'!AT18/10</f>
        <v>179.8</v>
      </c>
      <c r="AU17" s="83">
        <f>'Raw Data'!AU18/10</f>
        <v>171.8</v>
      </c>
      <c r="AV17" s="83">
        <f>'Raw Data'!AV18/10</f>
        <v>176.1</v>
      </c>
      <c r="AW17" s="83">
        <f>'Raw Data'!AW18/10</f>
        <v>164.2</v>
      </c>
      <c r="AX17" s="83">
        <f>'Raw Data'!AX18/10</f>
        <v>162.5</v>
      </c>
      <c r="AY17" s="83">
        <f>'Raw Data'!AY18/10</f>
        <v>160.5</v>
      </c>
      <c r="AZ17" s="83">
        <f>'Raw Data'!AZ18/10</f>
        <v>158.30000000000001</v>
      </c>
      <c r="BA17" s="83">
        <f>'Raw Data'!BA18/10</f>
        <v>155.30000000000001</v>
      </c>
      <c r="BB17" s="83">
        <f>'Raw Data'!BB18/10</f>
        <v>154.9</v>
      </c>
      <c r="BC17" s="83">
        <f>'Raw Data'!BC18/10</f>
        <v>153.9</v>
      </c>
      <c r="BD17" s="83">
        <f>'Raw Data'!BD18/10</f>
        <v>145.69999999999999</v>
      </c>
      <c r="BE17" s="83">
        <f>'Raw Data'!BE18/10</f>
        <v>146.80000000000001</v>
      </c>
      <c r="BF17" s="83">
        <f>'Raw Data'!BF18/10</f>
        <v>147.30000000000001</v>
      </c>
      <c r="BG17" s="83">
        <f>'Raw Data'!BG18/10</f>
        <v>140</v>
      </c>
      <c r="BH17" s="83">
        <f>'Raw Data'!BH18/10</f>
        <v>144.5</v>
      </c>
      <c r="BI17" s="83">
        <f>'Raw Data'!BI18/10</f>
        <v>136.80000000000001</v>
      </c>
      <c r="BJ17" s="83">
        <f>'Raw Data'!BJ18/10</f>
        <v>136.6</v>
      </c>
      <c r="BK17" s="83">
        <f>'Raw Data'!BK18/10</f>
        <v>132.9</v>
      </c>
      <c r="BL17" s="83">
        <f>'Raw Data'!BL18/10</f>
        <v>130.9</v>
      </c>
      <c r="BM17" s="83">
        <f>'Raw Data'!BM18/10</f>
        <v>134.30000000000001</v>
      </c>
      <c r="BN17" s="83">
        <f>'Raw Data'!BN18/10</f>
        <v>128.1</v>
      </c>
      <c r="BO17" s="83">
        <f>'Raw Data'!BO18/10</f>
        <v>131.69999999999999</v>
      </c>
      <c r="BP17" s="83">
        <f>'Raw Data'!BP18/10</f>
        <v>127.6</v>
      </c>
      <c r="BQ17" s="83">
        <f>'Raw Data'!BQ18/10</f>
        <v>125.7</v>
      </c>
      <c r="BR17" s="83">
        <f>'Raw Data'!BR18/10</f>
        <v>123.1</v>
      </c>
      <c r="BS17" s="83">
        <f>'Raw Data'!BS18/10</f>
        <v>124.8</v>
      </c>
      <c r="BT17" s="83">
        <f>'Raw Data'!BT18/10</f>
        <v>121.2</v>
      </c>
      <c r="BU17" s="83">
        <f>'Raw Data'!BU18/10</f>
        <v>120.9</v>
      </c>
      <c r="BV17" s="83">
        <f>'Raw Data'!BV18/10</f>
        <v>123.9</v>
      </c>
      <c r="BW17" s="83">
        <f>'Raw Data'!BW18/10</f>
        <v>117.8</v>
      </c>
      <c r="BX17" s="83">
        <f>'Raw Data'!BX18/10</f>
        <v>118.5</v>
      </c>
      <c r="BY17" s="83">
        <f>'Raw Data'!BY18/10</f>
        <v>118.9</v>
      </c>
      <c r="BZ17" s="83">
        <f>'Raw Data'!BZ18/10</f>
        <v>116.4</v>
      </c>
      <c r="CA17" s="83">
        <f>'Raw Data'!CA18/10</f>
        <v>112.2</v>
      </c>
      <c r="CB17" s="83">
        <f>'Raw Data'!CB18/10</f>
        <v>114.4</v>
      </c>
      <c r="CC17" s="83">
        <f>'Raw Data'!CC18/10</f>
        <v>109.4</v>
      </c>
      <c r="CD17" s="83">
        <f>'Raw Data'!CD18/10</f>
        <v>112.7</v>
      </c>
      <c r="CE17" s="83">
        <f>'Raw Data'!CE18/10</f>
        <v>107.5</v>
      </c>
      <c r="CF17" s="83">
        <f>'Raw Data'!CF18/10</f>
        <v>109.1</v>
      </c>
      <c r="CG17" s="83">
        <f>'Raw Data'!CG18/100</f>
        <v>104.76</v>
      </c>
      <c r="CH17" s="83">
        <f>'Raw Data'!CH18/100</f>
        <v>98.46</v>
      </c>
      <c r="CI17" s="83">
        <f>'Raw Data'!CI18/100</f>
        <v>91.02</v>
      </c>
      <c r="CJ17" s="83">
        <f>'Raw Data'!CJ18/100</f>
        <v>88.04</v>
      </c>
      <c r="CK17" s="83">
        <f>'Raw Data'!CK18/100</f>
        <v>84.57</v>
      </c>
      <c r="CL17" s="83">
        <f>'Raw Data'!CL18/100</f>
        <v>81.91</v>
      </c>
      <c r="CM17" s="83">
        <f>'Raw Data'!CM18/100</f>
        <v>79.709999999999994</v>
      </c>
      <c r="CN17" s="83">
        <f>'Raw Data'!CN18/100</f>
        <v>76.67</v>
      </c>
      <c r="CO17" s="83">
        <f>'Raw Data'!CO18/100</f>
        <v>76.150000000000006</v>
      </c>
      <c r="CP17" s="83">
        <f>'Raw Data'!CP18/100</f>
        <v>72.67</v>
      </c>
      <c r="CQ17" s="83">
        <f>'Raw Data'!CQ18/100</f>
        <v>71.819999999999993</v>
      </c>
      <c r="CR17" s="83">
        <f>'Raw Data'!CR18/100</f>
        <v>71.56</v>
      </c>
      <c r="CS17" s="83">
        <f>'Raw Data'!CS18/100</f>
        <v>69.239999999999995</v>
      </c>
      <c r="CT17" s="83">
        <f>'Raw Data'!CT18/100</f>
        <v>67.489999999999995</v>
      </c>
      <c r="CU17" s="382"/>
    </row>
    <row r="18" spans="4:99" s="86" customFormat="1" x14ac:dyDescent="0.2">
      <c r="D18" s="374"/>
      <c r="E18" s="164"/>
      <c r="F18" s="394"/>
      <c r="G18" s="83">
        <f>'Raw Data'!G19</f>
        <v>987</v>
      </c>
      <c r="H18" s="83">
        <f>'Raw Data'!H19</f>
        <v>1037</v>
      </c>
      <c r="I18" s="83">
        <f>'Raw Data'!I19</f>
        <v>1062</v>
      </c>
      <c r="J18" s="83">
        <f>'Raw Data'!J19</f>
        <v>981</v>
      </c>
      <c r="K18" s="83">
        <f>'Raw Data'!K19</f>
        <v>992</v>
      </c>
      <c r="L18" s="83">
        <f>'Raw Data'!L19</f>
        <v>957</v>
      </c>
      <c r="M18" s="83">
        <f>'Raw Data'!M19</f>
        <v>952</v>
      </c>
      <c r="N18" s="83">
        <f>'Raw Data'!N19</f>
        <v>975</v>
      </c>
      <c r="O18" s="83">
        <f>'Raw Data'!O19</f>
        <v>951</v>
      </c>
      <c r="P18" s="83">
        <f>'Raw Data'!P19</f>
        <v>983</v>
      </c>
      <c r="Q18" s="83">
        <f>'Raw Data'!Q19</f>
        <v>913</v>
      </c>
      <c r="R18" s="83">
        <f>'Raw Data'!R19</f>
        <v>885</v>
      </c>
      <c r="S18" s="83">
        <f>'Raw Data'!S19</f>
        <v>933</v>
      </c>
      <c r="T18" s="83">
        <f>'Raw Data'!T19</f>
        <v>883</v>
      </c>
      <c r="U18" s="83">
        <f>'Raw Data'!U19</f>
        <v>897</v>
      </c>
      <c r="V18" s="83">
        <f>'Raw Data'!V19</f>
        <v>909</v>
      </c>
      <c r="W18" s="83">
        <f>'Raw Data'!W19</f>
        <v>898</v>
      </c>
      <c r="X18" s="83">
        <f>'Raw Data'!X19</f>
        <v>893</v>
      </c>
      <c r="Y18" s="83">
        <f>'Raw Data'!Y19</f>
        <v>860</v>
      </c>
      <c r="Z18" s="83">
        <f>'Raw Data'!Z19</f>
        <v>903</v>
      </c>
      <c r="AA18" s="83">
        <f>'Raw Data'!AA19/10</f>
        <v>842.6</v>
      </c>
      <c r="AB18" s="83">
        <f>'Raw Data'!AB19/10</f>
        <v>797</v>
      </c>
      <c r="AC18" s="83">
        <f>'Raw Data'!AC19/10</f>
        <v>763.5</v>
      </c>
      <c r="AD18" s="83">
        <f>'Raw Data'!AD19/10</f>
        <v>694.6</v>
      </c>
      <c r="AE18" s="83">
        <f>'Raw Data'!AE19/10</f>
        <v>680.6</v>
      </c>
      <c r="AF18" s="83">
        <f>'Raw Data'!AF19/10</f>
        <v>633.29999999999995</v>
      </c>
      <c r="AG18" s="83">
        <f>'Raw Data'!AG19/10</f>
        <v>622.5</v>
      </c>
      <c r="AH18" s="83">
        <f>'Raw Data'!AH19/10</f>
        <v>571.9</v>
      </c>
      <c r="AI18" s="83">
        <f>'Raw Data'!AI19/10</f>
        <v>555.70000000000005</v>
      </c>
      <c r="AJ18" s="83">
        <f>'Raw Data'!AJ19/10</f>
        <v>520.29999999999995</v>
      </c>
      <c r="AK18" s="83">
        <f>'Raw Data'!AK19/10</f>
        <v>498.9</v>
      </c>
      <c r="AL18" s="83">
        <f>'Raw Data'!AL19/10</f>
        <v>484.9</v>
      </c>
      <c r="AM18" s="83">
        <f>'Raw Data'!AM19/10</f>
        <v>463.4</v>
      </c>
      <c r="AN18" s="83">
        <f>'Raw Data'!AN19/10</f>
        <v>445.5</v>
      </c>
      <c r="AO18" s="83">
        <f>'Raw Data'!AO19/10</f>
        <v>426.7</v>
      </c>
      <c r="AP18" s="83">
        <f>'Raw Data'!AP19/10</f>
        <v>409.2</v>
      </c>
      <c r="AQ18" s="83">
        <f>'Raw Data'!AQ19/10</f>
        <v>391.7</v>
      </c>
      <c r="AR18" s="83">
        <f>'Raw Data'!AR19/10</f>
        <v>369.7</v>
      </c>
      <c r="AS18" s="83">
        <f>'Raw Data'!AS19/10</f>
        <v>365.3</v>
      </c>
      <c r="AT18" s="83">
        <f>'Raw Data'!AT19/10</f>
        <v>354.2</v>
      </c>
      <c r="AU18" s="83">
        <f>'Raw Data'!AU19/10</f>
        <v>345.6</v>
      </c>
      <c r="AV18" s="83">
        <f>'Raw Data'!AV19/10</f>
        <v>321.89999999999998</v>
      </c>
      <c r="AW18" s="83">
        <f>'Raw Data'!AW19/10</f>
        <v>315</v>
      </c>
      <c r="AX18" s="83">
        <f>'Raw Data'!AX19/10</f>
        <v>311.39999999999998</v>
      </c>
      <c r="AY18" s="83">
        <f>'Raw Data'!AY19/10</f>
        <v>297.2</v>
      </c>
      <c r="AZ18" s="83">
        <f>'Raw Data'!AZ19/10</f>
        <v>286.39999999999998</v>
      </c>
      <c r="BA18" s="83">
        <f>'Raw Data'!BA19/10</f>
        <v>289.5</v>
      </c>
      <c r="BB18" s="83">
        <f>'Raw Data'!BB19/10</f>
        <v>274.89999999999998</v>
      </c>
      <c r="BC18" s="83">
        <f>'Raw Data'!BC19/10</f>
        <v>265</v>
      </c>
      <c r="BD18" s="83">
        <f>'Raw Data'!BD19/10</f>
        <v>258.10000000000002</v>
      </c>
      <c r="BE18" s="83">
        <f>'Raw Data'!BE19/10</f>
        <v>254.5</v>
      </c>
      <c r="BF18" s="83">
        <f>'Raw Data'!BF19/10</f>
        <v>247.7</v>
      </c>
      <c r="BG18" s="83">
        <f>'Raw Data'!BG19/10</f>
        <v>246.8</v>
      </c>
      <c r="BH18" s="83">
        <f>'Raw Data'!BH19/10</f>
        <v>231.7</v>
      </c>
      <c r="BI18" s="83">
        <f>'Raw Data'!BI19/10</f>
        <v>229.4</v>
      </c>
      <c r="BJ18" s="83">
        <f>'Raw Data'!BJ19/10</f>
        <v>231</v>
      </c>
      <c r="BK18" s="83">
        <f>'Raw Data'!BK19/10</f>
        <v>223.1</v>
      </c>
      <c r="BL18" s="83">
        <f>'Raw Data'!BL19/10</f>
        <v>217.3</v>
      </c>
      <c r="BM18" s="83">
        <f>'Raw Data'!BM19/10</f>
        <v>211.1</v>
      </c>
      <c r="BN18" s="83">
        <f>'Raw Data'!BN19/10</f>
        <v>205.7</v>
      </c>
      <c r="BO18" s="83">
        <f>'Raw Data'!BO19/10</f>
        <v>197.9</v>
      </c>
      <c r="BP18" s="83">
        <f>'Raw Data'!BP19/10</f>
        <v>201.1</v>
      </c>
      <c r="BQ18" s="83">
        <f>'Raw Data'!BQ19/10</f>
        <v>191.6</v>
      </c>
      <c r="BR18" s="83">
        <f>'Raw Data'!BR19/10</f>
        <v>187.5</v>
      </c>
      <c r="BS18" s="83">
        <f>'Raw Data'!BS19/10</f>
        <v>185.7</v>
      </c>
      <c r="BT18" s="83">
        <f>'Raw Data'!BT19/10</f>
        <v>182.8</v>
      </c>
      <c r="BU18" s="83">
        <f>'Raw Data'!BU19/10</f>
        <v>178.5</v>
      </c>
      <c r="BV18" s="83">
        <f>'Raw Data'!BV19/10</f>
        <v>177.6</v>
      </c>
      <c r="BW18" s="83">
        <f>'Raw Data'!BW19/10</f>
        <v>175.1</v>
      </c>
      <c r="BX18" s="83">
        <f>'Raw Data'!BX19/10</f>
        <v>166.4</v>
      </c>
      <c r="BY18" s="83">
        <f>'Raw Data'!BY19/10</f>
        <v>166.3</v>
      </c>
      <c r="BZ18" s="83">
        <f>'Raw Data'!BZ19/10</f>
        <v>164.5</v>
      </c>
      <c r="CA18" s="83">
        <f>'Raw Data'!CA19/10</f>
        <v>157.9</v>
      </c>
      <c r="CB18" s="83">
        <f>'Raw Data'!CB19/10</f>
        <v>159.5</v>
      </c>
      <c r="CC18" s="83">
        <f>'Raw Data'!CC19/10</f>
        <v>157.5</v>
      </c>
      <c r="CD18" s="83">
        <f>'Raw Data'!CD19/10</f>
        <v>152</v>
      </c>
      <c r="CE18" s="83">
        <f>'Raw Data'!CE19/10</f>
        <v>148.4</v>
      </c>
      <c r="CF18" s="83">
        <f>'Raw Data'!CF19/10</f>
        <v>151.5</v>
      </c>
      <c r="CG18" s="83">
        <f>'Raw Data'!CG19/100</f>
        <v>139.22999999999999</v>
      </c>
      <c r="CH18" s="83">
        <f>'Raw Data'!CH19/100</f>
        <v>125.49</v>
      </c>
      <c r="CI18" s="83">
        <f>'Raw Data'!CI19/100</f>
        <v>110.66</v>
      </c>
      <c r="CJ18" s="83">
        <f>'Raw Data'!CJ19/100</f>
        <v>102.33</v>
      </c>
      <c r="CK18" s="83">
        <f>'Raw Data'!CK19/100</f>
        <v>94.96</v>
      </c>
      <c r="CL18" s="83">
        <f>'Raw Data'!CL19/100</f>
        <v>88.33</v>
      </c>
      <c r="CM18" s="83">
        <f>'Raw Data'!CM19/100</f>
        <v>83.26</v>
      </c>
      <c r="CN18" s="83">
        <f>'Raw Data'!CN19/100</f>
        <v>79.680000000000007</v>
      </c>
      <c r="CO18" s="83">
        <f>'Raw Data'!CO19/100</f>
        <v>75.64</v>
      </c>
      <c r="CP18" s="83">
        <f>'Raw Data'!CP19/100</f>
        <v>74.19</v>
      </c>
      <c r="CQ18" s="83">
        <f>'Raw Data'!CQ19/100</f>
        <v>71.03</v>
      </c>
      <c r="CR18" s="83">
        <f>'Raw Data'!CR19/100</f>
        <v>67.75</v>
      </c>
      <c r="CS18" s="83">
        <f>'Raw Data'!CS19/100</f>
        <v>65.17</v>
      </c>
      <c r="CT18" s="83">
        <f>'Raw Data'!CT19/100</f>
        <v>63.78</v>
      </c>
      <c r="CU18" s="382"/>
    </row>
    <row r="19" spans="4:99" s="86" customFormat="1" x14ac:dyDescent="0.2">
      <c r="D19" s="374"/>
      <c r="E19" s="164"/>
      <c r="F19" s="394"/>
      <c r="G19" s="83">
        <f>'Raw Data'!G20</f>
        <v>493</v>
      </c>
      <c r="H19" s="83">
        <f>'Raw Data'!H20</f>
        <v>508</v>
      </c>
      <c r="I19" s="83">
        <f>'Raw Data'!I20</f>
        <v>488</v>
      </c>
      <c r="J19" s="83">
        <f>'Raw Data'!J20</f>
        <v>478</v>
      </c>
      <c r="K19" s="83">
        <f>'Raw Data'!K20</f>
        <v>498</v>
      </c>
      <c r="L19" s="83">
        <f>'Raw Data'!L20</f>
        <v>456</v>
      </c>
      <c r="M19" s="83">
        <f>'Raw Data'!M20</f>
        <v>451</v>
      </c>
      <c r="N19" s="83">
        <f>'Raw Data'!N20</f>
        <v>478</v>
      </c>
      <c r="O19" s="83">
        <f>'Raw Data'!O20</f>
        <v>473</v>
      </c>
      <c r="P19" s="83">
        <f>'Raw Data'!P20</f>
        <v>449</v>
      </c>
      <c r="Q19" s="83">
        <f>'Raw Data'!Q20</f>
        <v>461</v>
      </c>
      <c r="R19" s="83">
        <f>'Raw Data'!R20</f>
        <v>473</v>
      </c>
      <c r="S19" s="83">
        <f>'Raw Data'!S20</f>
        <v>469</v>
      </c>
      <c r="T19" s="83">
        <f>'Raw Data'!T20</f>
        <v>460</v>
      </c>
      <c r="U19" s="83">
        <f>'Raw Data'!U20</f>
        <v>442</v>
      </c>
      <c r="V19" s="83">
        <f>'Raw Data'!V20</f>
        <v>422</v>
      </c>
      <c r="W19" s="83">
        <f>'Raw Data'!W20</f>
        <v>444</v>
      </c>
      <c r="X19" s="83">
        <f>'Raw Data'!X20</f>
        <v>412</v>
      </c>
      <c r="Y19" s="83">
        <f>'Raw Data'!Y20</f>
        <v>419</v>
      </c>
      <c r="Z19" s="83">
        <f>'Raw Data'!Z20</f>
        <v>446</v>
      </c>
      <c r="AA19" s="83">
        <f>'Raw Data'!AA20/10</f>
        <v>419.7</v>
      </c>
      <c r="AB19" s="83">
        <f>'Raw Data'!AB20/10</f>
        <v>417.5</v>
      </c>
      <c r="AC19" s="83">
        <f>'Raw Data'!AC20/10</f>
        <v>373.7</v>
      </c>
      <c r="AD19" s="83">
        <f>'Raw Data'!AD20/10</f>
        <v>357.1</v>
      </c>
      <c r="AE19" s="83">
        <f>'Raw Data'!AE20/10</f>
        <v>340.5</v>
      </c>
      <c r="AF19" s="83">
        <f>'Raw Data'!AF20/10</f>
        <v>321.60000000000002</v>
      </c>
      <c r="AG19" s="83">
        <f>'Raw Data'!AG20/10</f>
        <v>318</v>
      </c>
      <c r="AH19" s="83">
        <f>'Raw Data'!AH20/10</f>
        <v>298.89999999999998</v>
      </c>
      <c r="AI19" s="83">
        <f>'Raw Data'!AI20/10</f>
        <v>283.39999999999998</v>
      </c>
      <c r="AJ19" s="83">
        <f>'Raw Data'!AJ20/10</f>
        <v>272</v>
      </c>
      <c r="AK19" s="83">
        <f>'Raw Data'!AK20/10</f>
        <v>266.2</v>
      </c>
      <c r="AL19" s="83">
        <f>'Raw Data'!AL20/10</f>
        <v>253.9</v>
      </c>
      <c r="AM19" s="83">
        <f>'Raw Data'!AM20/10</f>
        <v>241</v>
      </c>
      <c r="AN19" s="83">
        <f>'Raw Data'!AN20/10</f>
        <v>234.8</v>
      </c>
      <c r="AO19" s="83">
        <f>'Raw Data'!AO20/10</f>
        <v>224.8</v>
      </c>
      <c r="AP19" s="83">
        <f>'Raw Data'!AP20/10</f>
        <v>220.8</v>
      </c>
      <c r="AQ19" s="83">
        <f>'Raw Data'!AQ20/10</f>
        <v>215.7</v>
      </c>
      <c r="AR19" s="83">
        <f>'Raw Data'!AR20/10</f>
        <v>207.9</v>
      </c>
      <c r="AS19" s="83">
        <f>'Raw Data'!AS20/10</f>
        <v>197.9</v>
      </c>
      <c r="AT19" s="83">
        <f>'Raw Data'!AT20/10</f>
        <v>195.4</v>
      </c>
      <c r="AU19" s="83">
        <f>'Raw Data'!AU20/10</f>
        <v>188.2</v>
      </c>
      <c r="AV19" s="83">
        <f>'Raw Data'!AV20/10</f>
        <v>183.1</v>
      </c>
      <c r="AW19" s="83">
        <f>'Raw Data'!AW20/10</f>
        <v>183.9</v>
      </c>
      <c r="AX19" s="83">
        <f>'Raw Data'!AX20/10</f>
        <v>178</v>
      </c>
      <c r="AY19" s="83">
        <f>'Raw Data'!AY20/10</f>
        <v>166.1</v>
      </c>
      <c r="AZ19" s="83">
        <f>'Raw Data'!AZ20/10</f>
        <v>165.4</v>
      </c>
      <c r="BA19" s="83">
        <f>'Raw Data'!BA20/10</f>
        <v>161.69999999999999</v>
      </c>
      <c r="BB19" s="83">
        <f>'Raw Data'!BB20/10</f>
        <v>161.69999999999999</v>
      </c>
      <c r="BC19" s="83">
        <f>'Raw Data'!BC20/10</f>
        <v>157.69999999999999</v>
      </c>
      <c r="BD19" s="83">
        <f>'Raw Data'!BD20/10</f>
        <v>150.9</v>
      </c>
      <c r="BE19" s="83">
        <f>'Raw Data'!BE20/10</f>
        <v>149</v>
      </c>
      <c r="BF19" s="83">
        <f>'Raw Data'!BF20/10</f>
        <v>147.5</v>
      </c>
      <c r="BG19" s="83">
        <f>'Raw Data'!BG20/10</f>
        <v>139.1</v>
      </c>
      <c r="BH19" s="83">
        <f>'Raw Data'!BH20/10</f>
        <v>139.80000000000001</v>
      </c>
      <c r="BI19" s="83">
        <f>'Raw Data'!BI20/10</f>
        <v>136.6</v>
      </c>
      <c r="BJ19" s="83">
        <f>'Raw Data'!BJ20/10</f>
        <v>131</v>
      </c>
      <c r="BK19" s="83">
        <f>'Raw Data'!BK20/10</f>
        <v>131.9</v>
      </c>
      <c r="BL19" s="83">
        <f>'Raw Data'!BL20/10</f>
        <v>132.69999999999999</v>
      </c>
      <c r="BM19" s="83">
        <f>'Raw Data'!BM20/10</f>
        <v>123.1</v>
      </c>
      <c r="BN19" s="83">
        <f>'Raw Data'!BN20/10</f>
        <v>124.7</v>
      </c>
      <c r="BO19" s="83">
        <f>'Raw Data'!BO20/10</f>
        <v>125.6</v>
      </c>
      <c r="BP19" s="83">
        <f>'Raw Data'!BP20/10</f>
        <v>120</v>
      </c>
      <c r="BQ19" s="83">
        <f>'Raw Data'!BQ20/10</f>
        <v>120.8</v>
      </c>
      <c r="BR19" s="83">
        <f>'Raw Data'!BR20/10</f>
        <v>119.7</v>
      </c>
      <c r="BS19" s="83">
        <f>'Raw Data'!BS20/10</f>
        <v>119.4</v>
      </c>
      <c r="BT19" s="83">
        <f>'Raw Data'!BT20/10</f>
        <v>115.1</v>
      </c>
      <c r="BU19" s="83">
        <f>'Raw Data'!BU20/10</f>
        <v>111.7</v>
      </c>
      <c r="BV19" s="83">
        <f>'Raw Data'!BV20/10</f>
        <v>112.4</v>
      </c>
      <c r="BW19" s="83">
        <f>'Raw Data'!BW20/10</f>
        <v>112.9</v>
      </c>
      <c r="BX19" s="83">
        <f>'Raw Data'!BX20/10</f>
        <v>107.1</v>
      </c>
      <c r="BY19" s="83">
        <f>'Raw Data'!BY20/10</f>
        <v>106.2</v>
      </c>
      <c r="BZ19" s="83">
        <f>'Raw Data'!BZ20/10</f>
        <v>103.4</v>
      </c>
      <c r="CA19" s="83">
        <f>'Raw Data'!CA20/10</f>
        <v>99.7</v>
      </c>
      <c r="CB19" s="83">
        <f>'Raw Data'!CB20/10</f>
        <v>104.8</v>
      </c>
      <c r="CC19" s="83">
        <f>'Raw Data'!CC20/10</f>
        <v>101.9</v>
      </c>
      <c r="CD19" s="83">
        <f>'Raw Data'!CD20/10</f>
        <v>98.8</v>
      </c>
      <c r="CE19" s="83">
        <f>'Raw Data'!CE20/10</f>
        <v>96.2</v>
      </c>
      <c r="CF19" s="83">
        <f>'Raw Data'!CF20/10</f>
        <v>99.3</v>
      </c>
      <c r="CG19" s="83">
        <f>'Raw Data'!CG20/100</f>
        <v>92.44</v>
      </c>
      <c r="CH19" s="83">
        <f>'Raw Data'!CH20/100</f>
        <v>85.02</v>
      </c>
      <c r="CI19" s="83">
        <f>'Raw Data'!CI20/100</f>
        <v>79.290000000000006</v>
      </c>
      <c r="CJ19" s="83">
        <f>'Raw Data'!CJ20/100</f>
        <v>73.88</v>
      </c>
      <c r="CK19" s="83">
        <f>'Raw Data'!CK20/100</f>
        <v>69.56</v>
      </c>
      <c r="CL19" s="83">
        <f>'Raw Data'!CL20/100</f>
        <v>66.3</v>
      </c>
      <c r="CM19" s="83">
        <f>'Raw Data'!CM20/100</f>
        <v>64.42</v>
      </c>
      <c r="CN19" s="83">
        <f>'Raw Data'!CN20/100</f>
        <v>62.06</v>
      </c>
      <c r="CO19" s="83">
        <f>'Raw Data'!CO20/100</f>
        <v>61.22</v>
      </c>
      <c r="CP19" s="83">
        <f>'Raw Data'!CP20/100</f>
        <v>57.81</v>
      </c>
      <c r="CQ19" s="83">
        <f>'Raw Data'!CQ20/100</f>
        <v>56.13</v>
      </c>
      <c r="CR19" s="83">
        <f>'Raw Data'!CR20/100</f>
        <v>57.82</v>
      </c>
      <c r="CS19" s="83">
        <f>'Raw Data'!CS20/100</f>
        <v>53.52</v>
      </c>
      <c r="CT19" s="83">
        <f>'Raw Data'!CT20/100</f>
        <v>52.33</v>
      </c>
      <c r="CU19" s="382"/>
    </row>
    <row r="20" spans="4:99" s="86" customFormat="1" x14ac:dyDescent="0.2">
      <c r="D20" s="374"/>
      <c r="E20" s="164"/>
      <c r="F20" s="394"/>
      <c r="G20" s="83">
        <f>'Raw Data'!G21</f>
        <v>1700</v>
      </c>
      <c r="H20" s="83">
        <f>'Raw Data'!H21</f>
        <v>1656</v>
      </c>
      <c r="I20" s="83">
        <f>'Raw Data'!I21</f>
        <v>1659</v>
      </c>
      <c r="J20" s="83">
        <f>'Raw Data'!J21</f>
        <v>1591</v>
      </c>
      <c r="K20" s="83">
        <f>'Raw Data'!K21</f>
        <v>1679</v>
      </c>
      <c r="L20" s="83">
        <f>'Raw Data'!L21</f>
        <v>1603</v>
      </c>
      <c r="M20" s="83">
        <f>'Raw Data'!M21</f>
        <v>1578</v>
      </c>
      <c r="N20" s="83">
        <f>'Raw Data'!N21</f>
        <v>1570</v>
      </c>
      <c r="O20" s="83">
        <f>'Raw Data'!O21</f>
        <v>1563</v>
      </c>
      <c r="P20" s="83">
        <f>'Raw Data'!P21</f>
        <v>1540</v>
      </c>
      <c r="Q20" s="83">
        <f>'Raw Data'!Q21</f>
        <v>1559</v>
      </c>
      <c r="R20" s="83">
        <f>'Raw Data'!R21</f>
        <v>1502</v>
      </c>
      <c r="S20" s="83">
        <f>'Raw Data'!S21</f>
        <v>1496</v>
      </c>
      <c r="T20" s="83">
        <f>'Raw Data'!T21</f>
        <v>1471</v>
      </c>
      <c r="U20" s="83">
        <f>'Raw Data'!U21</f>
        <v>1468</v>
      </c>
      <c r="V20" s="83">
        <f>'Raw Data'!V21</f>
        <v>1470</v>
      </c>
      <c r="W20" s="83">
        <f>'Raw Data'!W21</f>
        <v>1432</v>
      </c>
      <c r="X20" s="83">
        <f>'Raw Data'!X21</f>
        <v>1476</v>
      </c>
      <c r="Y20" s="83">
        <f>'Raw Data'!Y21</f>
        <v>1421</v>
      </c>
      <c r="Z20" s="83">
        <f>'Raw Data'!Z21</f>
        <v>1378</v>
      </c>
      <c r="AA20" s="83">
        <f>'Raw Data'!AA21/10</f>
        <v>1360.3</v>
      </c>
      <c r="AB20" s="83">
        <f>'Raw Data'!AB21/10</f>
        <v>1289.5999999999999</v>
      </c>
      <c r="AC20" s="83">
        <f>'Raw Data'!AC21/10</f>
        <v>1209.8</v>
      </c>
      <c r="AD20" s="83">
        <f>'Raw Data'!AD21/10</f>
        <v>1128.5</v>
      </c>
      <c r="AE20" s="83">
        <f>'Raw Data'!AE21/10</f>
        <v>1053.5999999999999</v>
      </c>
      <c r="AF20" s="83">
        <f>'Raw Data'!AF21/10</f>
        <v>1024.9000000000001</v>
      </c>
      <c r="AG20" s="83">
        <f>'Raw Data'!AG21/10</f>
        <v>960.2</v>
      </c>
      <c r="AH20" s="83">
        <f>'Raw Data'!AH21/10</f>
        <v>908.2</v>
      </c>
      <c r="AI20" s="83">
        <f>'Raw Data'!AI21/10</f>
        <v>860.2</v>
      </c>
      <c r="AJ20" s="83">
        <f>'Raw Data'!AJ21/10</f>
        <v>830.5</v>
      </c>
      <c r="AK20" s="83">
        <f>'Raw Data'!AK21/10</f>
        <v>786.9</v>
      </c>
      <c r="AL20" s="83">
        <f>'Raw Data'!AL21/10</f>
        <v>746.9</v>
      </c>
      <c r="AM20" s="83">
        <f>'Raw Data'!AM21/10</f>
        <v>725.6</v>
      </c>
      <c r="AN20" s="83">
        <f>'Raw Data'!AN21/10</f>
        <v>679.5</v>
      </c>
      <c r="AO20" s="83">
        <f>'Raw Data'!AO21/10</f>
        <v>655.7</v>
      </c>
      <c r="AP20" s="83">
        <f>'Raw Data'!AP21/10</f>
        <v>621.1</v>
      </c>
      <c r="AQ20" s="83">
        <f>'Raw Data'!AQ21/10</f>
        <v>608.4</v>
      </c>
      <c r="AR20" s="83">
        <f>'Raw Data'!AR21/10</f>
        <v>586.5</v>
      </c>
      <c r="AS20" s="83">
        <f>'Raw Data'!AS21/10</f>
        <v>562.29999999999995</v>
      </c>
      <c r="AT20" s="83">
        <f>'Raw Data'!AT21/10</f>
        <v>531.79999999999995</v>
      </c>
      <c r="AU20" s="83">
        <f>'Raw Data'!AU21/10</f>
        <v>521.1</v>
      </c>
      <c r="AV20" s="83">
        <f>'Raw Data'!AV21/10</f>
        <v>513.20000000000005</v>
      </c>
      <c r="AW20" s="83">
        <f>'Raw Data'!AW21/10</f>
        <v>477.6</v>
      </c>
      <c r="AX20" s="83">
        <f>'Raw Data'!AX21/10</f>
        <v>478.7</v>
      </c>
      <c r="AY20" s="83">
        <f>'Raw Data'!AY21/10</f>
        <v>451</v>
      </c>
      <c r="AZ20" s="83">
        <f>'Raw Data'!AZ21/10</f>
        <v>438.3</v>
      </c>
      <c r="BA20" s="83">
        <f>'Raw Data'!BA21/10</f>
        <v>421.9</v>
      </c>
      <c r="BB20" s="83">
        <f>'Raw Data'!BB21/10</f>
        <v>414.9</v>
      </c>
      <c r="BC20" s="83">
        <f>'Raw Data'!BC21/10</f>
        <v>403.2</v>
      </c>
      <c r="BD20" s="83">
        <f>'Raw Data'!BD21/10</f>
        <v>393.5</v>
      </c>
      <c r="BE20" s="83">
        <f>'Raw Data'!BE21/10</f>
        <v>376</v>
      </c>
      <c r="BF20" s="83">
        <f>'Raw Data'!BF21/10</f>
        <v>361.1</v>
      </c>
      <c r="BG20" s="83">
        <f>'Raw Data'!BG21/10</f>
        <v>359.5</v>
      </c>
      <c r="BH20" s="83">
        <f>'Raw Data'!BH21/10</f>
        <v>349.4</v>
      </c>
      <c r="BI20" s="83">
        <f>'Raw Data'!BI21/10</f>
        <v>334.9</v>
      </c>
      <c r="BJ20" s="83">
        <f>'Raw Data'!BJ21/10</f>
        <v>329.9</v>
      </c>
      <c r="BK20" s="83">
        <f>'Raw Data'!BK21/10</f>
        <v>321.10000000000002</v>
      </c>
      <c r="BL20" s="83">
        <f>'Raw Data'!BL21/10</f>
        <v>319.3</v>
      </c>
      <c r="BM20" s="83">
        <f>'Raw Data'!BM21/10</f>
        <v>308.3</v>
      </c>
      <c r="BN20" s="83">
        <f>'Raw Data'!BN21/10</f>
        <v>296.39999999999998</v>
      </c>
      <c r="BO20" s="83">
        <f>'Raw Data'!BO21/10</f>
        <v>297.7</v>
      </c>
      <c r="BP20" s="83">
        <f>'Raw Data'!BP21/10</f>
        <v>282.2</v>
      </c>
      <c r="BQ20" s="83">
        <f>'Raw Data'!BQ21/10</f>
        <v>276.7</v>
      </c>
      <c r="BR20" s="83">
        <f>'Raw Data'!BR21/10</f>
        <v>276.5</v>
      </c>
      <c r="BS20" s="83">
        <f>'Raw Data'!BS21/10</f>
        <v>271.10000000000002</v>
      </c>
      <c r="BT20" s="83">
        <f>'Raw Data'!BT21/10</f>
        <v>265.10000000000002</v>
      </c>
      <c r="BU20" s="83">
        <f>'Raw Data'!BU21/10</f>
        <v>259.2</v>
      </c>
      <c r="BV20" s="83">
        <f>'Raw Data'!BV21/10</f>
        <v>252.4</v>
      </c>
      <c r="BW20" s="83">
        <f>'Raw Data'!BW21/10</f>
        <v>239.2</v>
      </c>
      <c r="BX20" s="83">
        <f>'Raw Data'!BX21/10</f>
        <v>240.4</v>
      </c>
      <c r="BY20" s="83">
        <f>'Raw Data'!BY21/10</f>
        <v>233.1</v>
      </c>
      <c r="BZ20" s="83">
        <f>'Raw Data'!BZ21/10</f>
        <v>232.7</v>
      </c>
      <c r="CA20" s="83">
        <f>'Raw Data'!CA21/10</f>
        <v>231.3</v>
      </c>
      <c r="CB20" s="83">
        <f>'Raw Data'!CB21/10</f>
        <v>220.3</v>
      </c>
      <c r="CC20" s="83">
        <f>'Raw Data'!CC21/10</f>
        <v>219</v>
      </c>
      <c r="CD20" s="83">
        <f>'Raw Data'!CD21/10</f>
        <v>217.1</v>
      </c>
      <c r="CE20" s="83">
        <f>'Raw Data'!CE21/10</f>
        <v>206.3</v>
      </c>
      <c r="CF20" s="83">
        <f>'Raw Data'!CF21/10</f>
        <v>209.2</v>
      </c>
      <c r="CG20" s="83">
        <f>'Raw Data'!CG21/100</f>
        <v>189.51</v>
      </c>
      <c r="CH20" s="83">
        <f>'Raw Data'!CH21/100</f>
        <v>164.28</v>
      </c>
      <c r="CI20" s="83">
        <f>'Raw Data'!CI21/100</f>
        <v>144.85</v>
      </c>
      <c r="CJ20" s="83">
        <f>'Raw Data'!CJ21/100</f>
        <v>130.61000000000001</v>
      </c>
      <c r="CK20" s="83">
        <f>'Raw Data'!CK21/100</f>
        <v>120.21</v>
      </c>
      <c r="CL20" s="83">
        <f>'Raw Data'!CL21/100</f>
        <v>109.55</v>
      </c>
      <c r="CM20" s="83">
        <f>'Raw Data'!CM21/100</f>
        <v>102.14</v>
      </c>
      <c r="CN20" s="83">
        <f>'Raw Data'!CN21/100</f>
        <v>95.89</v>
      </c>
      <c r="CO20" s="83">
        <f>'Raw Data'!CO21/100</f>
        <v>90.41</v>
      </c>
      <c r="CP20" s="83">
        <f>'Raw Data'!CP21/100</f>
        <v>84.44</v>
      </c>
      <c r="CQ20" s="83">
        <f>'Raw Data'!CQ21/100</f>
        <v>81.44</v>
      </c>
      <c r="CR20" s="83">
        <f>'Raw Data'!CR21/100</f>
        <v>76.959999999999994</v>
      </c>
      <c r="CS20" s="83">
        <f>'Raw Data'!CS21/100</f>
        <v>74.430000000000007</v>
      </c>
      <c r="CT20" s="83">
        <f>'Raw Data'!CT21/100</f>
        <v>71.34</v>
      </c>
      <c r="CU20" s="382"/>
    </row>
    <row r="21" spans="4:99" s="86" customFormat="1" x14ac:dyDescent="0.2">
      <c r="D21" s="374"/>
      <c r="E21" s="164"/>
      <c r="F21" s="394"/>
      <c r="G21" s="83">
        <f>'Raw Data'!G22</f>
        <v>486</v>
      </c>
      <c r="H21" s="83">
        <f>'Raw Data'!H22</f>
        <v>492</v>
      </c>
      <c r="I21" s="83">
        <f>'Raw Data'!I22</f>
        <v>503</v>
      </c>
      <c r="J21" s="83">
        <f>'Raw Data'!J22</f>
        <v>458</v>
      </c>
      <c r="K21" s="83">
        <f>'Raw Data'!K22</f>
        <v>454</v>
      </c>
      <c r="L21" s="83">
        <f>'Raw Data'!L22</f>
        <v>454</v>
      </c>
      <c r="M21" s="83">
        <f>'Raw Data'!M22</f>
        <v>456</v>
      </c>
      <c r="N21" s="83">
        <f>'Raw Data'!N22</f>
        <v>440</v>
      </c>
      <c r="O21" s="83">
        <f>'Raw Data'!O22</f>
        <v>437</v>
      </c>
      <c r="P21" s="83">
        <f>'Raw Data'!P22</f>
        <v>457</v>
      </c>
      <c r="Q21" s="83">
        <f>'Raw Data'!Q22</f>
        <v>472</v>
      </c>
      <c r="R21" s="83">
        <f>'Raw Data'!R22</f>
        <v>423</v>
      </c>
      <c r="S21" s="83">
        <f>'Raw Data'!S22</f>
        <v>431</v>
      </c>
      <c r="T21" s="83">
        <f>'Raw Data'!T22</f>
        <v>442</v>
      </c>
      <c r="U21" s="83">
        <f>'Raw Data'!U22</f>
        <v>464</v>
      </c>
      <c r="V21" s="83">
        <f>'Raw Data'!V22</f>
        <v>423</v>
      </c>
      <c r="W21" s="83">
        <f>'Raw Data'!W22</f>
        <v>427</v>
      </c>
      <c r="X21" s="83">
        <f>'Raw Data'!X22</f>
        <v>440</v>
      </c>
      <c r="Y21" s="83">
        <f>'Raw Data'!Y22</f>
        <v>457</v>
      </c>
      <c r="Z21" s="83">
        <f>'Raw Data'!Z22</f>
        <v>416</v>
      </c>
      <c r="AA21" s="83">
        <f>'Raw Data'!AA22/10</f>
        <v>408</v>
      </c>
      <c r="AB21" s="83">
        <f>'Raw Data'!AB22/10</f>
        <v>384.3</v>
      </c>
      <c r="AC21" s="83">
        <f>'Raw Data'!AC22/10</f>
        <v>367.7</v>
      </c>
      <c r="AD21" s="83">
        <f>'Raw Data'!AD22/10</f>
        <v>351.4</v>
      </c>
      <c r="AE21" s="83">
        <f>'Raw Data'!AE22/10</f>
        <v>331.2</v>
      </c>
      <c r="AF21" s="83">
        <f>'Raw Data'!AF22/10</f>
        <v>320.5</v>
      </c>
      <c r="AG21" s="83">
        <f>'Raw Data'!AG22/10</f>
        <v>308.60000000000002</v>
      </c>
      <c r="AH21" s="83">
        <f>'Raw Data'!AH22/10</f>
        <v>286.7</v>
      </c>
      <c r="AI21" s="83">
        <f>'Raw Data'!AI22/10</f>
        <v>283.39999999999998</v>
      </c>
      <c r="AJ21" s="83">
        <f>'Raw Data'!AJ22/10</f>
        <v>265</v>
      </c>
      <c r="AK21" s="83">
        <f>'Raw Data'!AK22/10</f>
        <v>256.8</v>
      </c>
      <c r="AL21" s="83">
        <f>'Raw Data'!AL22/10</f>
        <v>244.4</v>
      </c>
      <c r="AM21" s="83">
        <f>'Raw Data'!AM22/10</f>
        <v>243.9</v>
      </c>
      <c r="AN21" s="83">
        <f>'Raw Data'!AN22/10</f>
        <v>228.6</v>
      </c>
      <c r="AO21" s="83">
        <f>'Raw Data'!AO22/10</f>
        <v>228.1</v>
      </c>
      <c r="AP21" s="83">
        <f>'Raw Data'!AP22/10</f>
        <v>213</v>
      </c>
      <c r="AQ21" s="83">
        <f>'Raw Data'!AQ22/10</f>
        <v>210.6</v>
      </c>
      <c r="AR21" s="83">
        <f>'Raw Data'!AR22/10</f>
        <v>200</v>
      </c>
      <c r="AS21" s="83">
        <f>'Raw Data'!AS22/10</f>
        <v>197.3</v>
      </c>
      <c r="AT21" s="83">
        <f>'Raw Data'!AT22/10</f>
        <v>195.6</v>
      </c>
      <c r="AU21" s="83">
        <f>'Raw Data'!AU22/10</f>
        <v>187.9</v>
      </c>
      <c r="AV21" s="83">
        <f>'Raw Data'!AV22/10</f>
        <v>188.3</v>
      </c>
      <c r="AW21" s="83">
        <f>'Raw Data'!AW22/10</f>
        <v>177.4</v>
      </c>
      <c r="AX21" s="83">
        <f>'Raw Data'!AX22/10</f>
        <v>173.6</v>
      </c>
      <c r="AY21" s="83">
        <f>'Raw Data'!AY22/10</f>
        <v>174</v>
      </c>
      <c r="AZ21" s="83">
        <f>'Raw Data'!AZ22/10</f>
        <v>165.4</v>
      </c>
      <c r="BA21" s="83">
        <f>'Raw Data'!BA22/10</f>
        <v>163.9</v>
      </c>
      <c r="BB21" s="83">
        <f>'Raw Data'!BB22/10</f>
        <v>158.6</v>
      </c>
      <c r="BC21" s="83">
        <f>'Raw Data'!BC22/10</f>
        <v>162.30000000000001</v>
      </c>
      <c r="BD21" s="83">
        <f>'Raw Data'!BD22/10</f>
        <v>156.69999999999999</v>
      </c>
      <c r="BE21" s="83">
        <f>'Raw Data'!BE22/10</f>
        <v>142.19999999999999</v>
      </c>
      <c r="BF21" s="83">
        <f>'Raw Data'!BF22/10</f>
        <v>144.80000000000001</v>
      </c>
      <c r="BG21" s="83">
        <f>'Raw Data'!BG22/10</f>
        <v>138.30000000000001</v>
      </c>
      <c r="BH21" s="83">
        <f>'Raw Data'!BH22/10</f>
        <v>138.6</v>
      </c>
      <c r="BI21" s="83">
        <f>'Raw Data'!BI22/10</f>
        <v>131.30000000000001</v>
      </c>
      <c r="BJ21" s="83">
        <f>'Raw Data'!BJ22/10</f>
        <v>133.9</v>
      </c>
      <c r="BK21" s="83">
        <f>'Raw Data'!BK22/10</f>
        <v>125.4</v>
      </c>
      <c r="BL21" s="83">
        <f>'Raw Data'!BL22/10</f>
        <v>130.5</v>
      </c>
      <c r="BM21" s="83">
        <f>'Raw Data'!BM22/10</f>
        <v>129.4</v>
      </c>
      <c r="BN21" s="83">
        <f>'Raw Data'!BN22/10</f>
        <v>127.3</v>
      </c>
      <c r="BO21" s="83">
        <f>'Raw Data'!BO22/10</f>
        <v>128.69999999999999</v>
      </c>
      <c r="BP21" s="83">
        <f>'Raw Data'!BP22/10</f>
        <v>117.7</v>
      </c>
      <c r="BQ21" s="83">
        <f>'Raw Data'!BQ22/10</f>
        <v>120</v>
      </c>
      <c r="BR21" s="83">
        <f>'Raw Data'!BR22/10</f>
        <v>116.8</v>
      </c>
      <c r="BS21" s="83">
        <f>'Raw Data'!BS22/10</f>
        <v>117.1</v>
      </c>
      <c r="BT21" s="83">
        <f>'Raw Data'!BT22/10</f>
        <v>108.7</v>
      </c>
      <c r="BU21" s="83">
        <f>'Raw Data'!BU22/10</f>
        <v>110.8</v>
      </c>
      <c r="BV21" s="83">
        <f>'Raw Data'!BV22/10</f>
        <v>111.4</v>
      </c>
      <c r="BW21" s="83">
        <f>'Raw Data'!BW22/10</f>
        <v>112.2</v>
      </c>
      <c r="BX21" s="83">
        <f>'Raw Data'!BX22/10</f>
        <v>106.6</v>
      </c>
      <c r="BY21" s="83">
        <f>'Raw Data'!BY22/10</f>
        <v>106.3</v>
      </c>
      <c r="BZ21" s="83">
        <f>'Raw Data'!BZ22/10</f>
        <v>107.5</v>
      </c>
      <c r="CA21" s="83">
        <f>'Raw Data'!CA22/10</f>
        <v>107.8</v>
      </c>
      <c r="CB21" s="83">
        <f>'Raw Data'!CB22/10</f>
        <v>102</v>
      </c>
      <c r="CC21" s="83">
        <f>'Raw Data'!CC22/10</f>
        <v>100.1</v>
      </c>
      <c r="CD21" s="83">
        <f>'Raw Data'!CD22/10</f>
        <v>99</v>
      </c>
      <c r="CE21" s="83">
        <f>'Raw Data'!CE22/10</f>
        <v>103.4</v>
      </c>
      <c r="CF21" s="83">
        <f>'Raw Data'!CF22/10</f>
        <v>99.5</v>
      </c>
      <c r="CG21" s="83">
        <f>'Raw Data'!CG22/100</f>
        <v>92.53</v>
      </c>
      <c r="CH21" s="83">
        <f>'Raw Data'!CH22/100</f>
        <v>84.42</v>
      </c>
      <c r="CI21" s="83">
        <f>'Raw Data'!CI22/100</f>
        <v>77.14</v>
      </c>
      <c r="CJ21" s="83">
        <f>'Raw Data'!CJ22/100</f>
        <v>74.17</v>
      </c>
      <c r="CK21" s="83">
        <f>'Raw Data'!CK22/100</f>
        <v>70.48</v>
      </c>
      <c r="CL21" s="83">
        <f>'Raw Data'!CL22/100</f>
        <v>66.62</v>
      </c>
      <c r="CM21" s="83">
        <f>'Raw Data'!CM22/100</f>
        <v>64.73</v>
      </c>
      <c r="CN21" s="83">
        <f>'Raw Data'!CN22/100</f>
        <v>61.14</v>
      </c>
      <c r="CO21" s="83">
        <f>'Raw Data'!CO22/100</f>
        <v>59.95</v>
      </c>
      <c r="CP21" s="83">
        <f>'Raw Data'!CP22/100</f>
        <v>57.46</v>
      </c>
      <c r="CQ21" s="83">
        <f>'Raw Data'!CQ22/100</f>
        <v>55.78</v>
      </c>
      <c r="CR21" s="83">
        <f>'Raw Data'!CR22/100</f>
        <v>54.84</v>
      </c>
      <c r="CS21" s="83">
        <f>'Raw Data'!CS22/100</f>
        <v>53.07</v>
      </c>
      <c r="CT21" s="83">
        <f>'Raw Data'!CT22/100</f>
        <v>51.93</v>
      </c>
      <c r="CU21" s="382"/>
    </row>
    <row r="22" spans="4:99" s="86" customFormat="1" x14ac:dyDescent="0.2">
      <c r="D22" s="374"/>
      <c r="E22" s="164"/>
      <c r="F22" s="394"/>
      <c r="G22" s="83">
        <f>'Raw Data'!G23</f>
        <v>2157</v>
      </c>
      <c r="H22" s="83">
        <f>'Raw Data'!H23</f>
        <v>2223</v>
      </c>
      <c r="I22" s="83">
        <f>'Raw Data'!I23</f>
        <v>2191</v>
      </c>
      <c r="J22" s="83">
        <f>'Raw Data'!J23</f>
        <v>2170</v>
      </c>
      <c r="K22" s="83">
        <f>'Raw Data'!K23</f>
        <v>2094</v>
      </c>
      <c r="L22" s="83">
        <f>'Raw Data'!L23</f>
        <v>2140</v>
      </c>
      <c r="M22" s="83">
        <f>'Raw Data'!M23</f>
        <v>2015</v>
      </c>
      <c r="N22" s="83">
        <f>'Raw Data'!N23</f>
        <v>2046</v>
      </c>
      <c r="O22" s="83">
        <f>'Raw Data'!O23</f>
        <v>2022</v>
      </c>
      <c r="P22" s="83">
        <f>'Raw Data'!P23</f>
        <v>2007</v>
      </c>
      <c r="Q22" s="83">
        <f>'Raw Data'!Q23</f>
        <v>1965</v>
      </c>
      <c r="R22" s="83">
        <f>'Raw Data'!R23</f>
        <v>1960</v>
      </c>
      <c r="S22" s="83">
        <f>'Raw Data'!S23</f>
        <v>1975</v>
      </c>
      <c r="T22" s="83">
        <f>'Raw Data'!T23</f>
        <v>1896</v>
      </c>
      <c r="U22" s="83">
        <f>'Raw Data'!U23</f>
        <v>1940</v>
      </c>
      <c r="V22" s="83">
        <f>'Raw Data'!V23</f>
        <v>1911</v>
      </c>
      <c r="W22" s="83">
        <f>'Raw Data'!W23</f>
        <v>1917</v>
      </c>
      <c r="X22" s="83">
        <f>'Raw Data'!X23</f>
        <v>1947</v>
      </c>
      <c r="Y22" s="83">
        <f>'Raw Data'!Y23</f>
        <v>1888</v>
      </c>
      <c r="Z22" s="83">
        <f>'Raw Data'!Z23</f>
        <v>1879</v>
      </c>
      <c r="AA22" s="83">
        <f>'Raw Data'!AA23/10</f>
        <v>1768.8</v>
      </c>
      <c r="AB22" s="83">
        <f>'Raw Data'!AB23/10</f>
        <v>1659.4</v>
      </c>
      <c r="AC22" s="83">
        <f>'Raw Data'!AC23/10</f>
        <v>1554.5</v>
      </c>
      <c r="AD22" s="83">
        <f>'Raw Data'!AD23/10</f>
        <v>1461</v>
      </c>
      <c r="AE22" s="83">
        <f>'Raw Data'!AE23/10</f>
        <v>1388</v>
      </c>
      <c r="AF22" s="83">
        <f>'Raw Data'!AF23/10</f>
        <v>1301.3</v>
      </c>
      <c r="AG22" s="83">
        <f>'Raw Data'!AG23/10</f>
        <v>1233</v>
      </c>
      <c r="AH22" s="83">
        <f>'Raw Data'!AH23/10</f>
        <v>1180.5999999999999</v>
      </c>
      <c r="AI22" s="83">
        <f>'Raw Data'!AI23/10</f>
        <v>1117.9000000000001</v>
      </c>
      <c r="AJ22" s="83">
        <f>'Raw Data'!AJ23/10</f>
        <v>1066.5</v>
      </c>
      <c r="AK22" s="83">
        <f>'Raw Data'!AK23/10</f>
        <v>1005.2</v>
      </c>
      <c r="AL22" s="83">
        <f>'Raw Data'!AL23/10</f>
        <v>974.2</v>
      </c>
      <c r="AM22" s="83">
        <f>'Raw Data'!AM23/10</f>
        <v>909.7</v>
      </c>
      <c r="AN22" s="83">
        <f>'Raw Data'!AN23/10</f>
        <v>878.3</v>
      </c>
      <c r="AO22" s="83">
        <f>'Raw Data'!AO23/10</f>
        <v>843.9</v>
      </c>
      <c r="AP22" s="83">
        <f>'Raw Data'!AP23/10</f>
        <v>814.6</v>
      </c>
      <c r="AQ22" s="83">
        <f>'Raw Data'!AQ23/10</f>
        <v>782.7</v>
      </c>
      <c r="AR22" s="83">
        <f>'Raw Data'!AR23/10</f>
        <v>751.6</v>
      </c>
      <c r="AS22" s="83">
        <f>'Raw Data'!AS23/10</f>
        <v>712.5</v>
      </c>
      <c r="AT22" s="83">
        <f>'Raw Data'!AT23/10</f>
        <v>673.5</v>
      </c>
      <c r="AU22" s="83">
        <f>'Raw Data'!AU23/10</f>
        <v>661.8</v>
      </c>
      <c r="AV22" s="83">
        <f>'Raw Data'!AV23/10</f>
        <v>635.4</v>
      </c>
      <c r="AW22" s="83">
        <f>'Raw Data'!AW23/10</f>
        <v>621.1</v>
      </c>
      <c r="AX22" s="83">
        <f>'Raw Data'!AX23/10</f>
        <v>602.29999999999995</v>
      </c>
      <c r="AY22" s="83">
        <f>'Raw Data'!AY23/10</f>
        <v>567</v>
      </c>
      <c r="AZ22" s="83">
        <f>'Raw Data'!AZ23/10</f>
        <v>561.6</v>
      </c>
      <c r="BA22" s="83">
        <f>'Raw Data'!BA23/10</f>
        <v>536</v>
      </c>
      <c r="BB22" s="83">
        <f>'Raw Data'!BB23/10</f>
        <v>522</v>
      </c>
      <c r="BC22" s="83">
        <f>'Raw Data'!BC23/10</f>
        <v>500.1</v>
      </c>
      <c r="BD22" s="83">
        <f>'Raw Data'!BD23/10</f>
        <v>461.1</v>
      </c>
      <c r="BE22" s="83">
        <f>'Raw Data'!BE23/10</f>
        <v>474.4</v>
      </c>
      <c r="BF22" s="83">
        <f>'Raw Data'!BF23/10</f>
        <v>472.6</v>
      </c>
      <c r="BG22" s="83">
        <f>'Raw Data'!BG23/10</f>
        <v>446.1</v>
      </c>
      <c r="BH22" s="83">
        <f>'Raw Data'!BH23/10</f>
        <v>435</v>
      </c>
      <c r="BI22" s="83">
        <f>'Raw Data'!BI23/10</f>
        <v>423.1</v>
      </c>
      <c r="BJ22" s="83">
        <f>'Raw Data'!BJ23/10</f>
        <v>415.9</v>
      </c>
      <c r="BK22" s="83">
        <f>'Raw Data'!BK23/10</f>
        <v>399.3</v>
      </c>
      <c r="BL22" s="83">
        <f>'Raw Data'!BL23/10</f>
        <v>397.6</v>
      </c>
      <c r="BM22" s="83">
        <f>'Raw Data'!BM23/10</f>
        <v>381.9</v>
      </c>
      <c r="BN22" s="83">
        <f>'Raw Data'!BN23/10</f>
        <v>368.4</v>
      </c>
      <c r="BO22" s="83">
        <f>'Raw Data'!BO23/10</f>
        <v>361.7</v>
      </c>
      <c r="BP22" s="83">
        <f>'Raw Data'!BP23/10</f>
        <v>363.5</v>
      </c>
      <c r="BQ22" s="83">
        <f>'Raw Data'!BQ23/10</f>
        <v>347.8</v>
      </c>
      <c r="BR22" s="83">
        <f>'Raw Data'!BR23/10</f>
        <v>344.4</v>
      </c>
      <c r="BS22" s="83">
        <f>'Raw Data'!BS23/10</f>
        <v>331.7</v>
      </c>
      <c r="BT22" s="83">
        <f>'Raw Data'!BT23/10</f>
        <v>328.4</v>
      </c>
      <c r="BU22" s="83">
        <f>'Raw Data'!BU23/10</f>
        <v>317.5</v>
      </c>
      <c r="BV22" s="83">
        <f>'Raw Data'!BV23/10</f>
        <v>313.89999999999998</v>
      </c>
      <c r="BW22" s="83">
        <f>'Raw Data'!BW23/10</f>
        <v>309.7</v>
      </c>
      <c r="BX22" s="83">
        <f>'Raw Data'!BX23/10</f>
        <v>297.3</v>
      </c>
      <c r="BY22" s="83">
        <f>'Raw Data'!BY23/10</f>
        <v>293.39999999999998</v>
      </c>
      <c r="BZ22" s="83">
        <f>'Raw Data'!BZ23/10</f>
        <v>273.5</v>
      </c>
      <c r="CA22" s="83">
        <f>'Raw Data'!CA23/10</f>
        <v>280.10000000000002</v>
      </c>
      <c r="CB22" s="83">
        <f>'Raw Data'!CB23/10</f>
        <v>268.8</v>
      </c>
      <c r="CC22" s="83">
        <f>'Raw Data'!CC23/10</f>
        <v>272.7</v>
      </c>
      <c r="CD22" s="83">
        <f>'Raw Data'!CD23/10</f>
        <v>259.5</v>
      </c>
      <c r="CE22" s="83">
        <f>'Raw Data'!CE23/10</f>
        <v>262.8</v>
      </c>
      <c r="CF22" s="83">
        <f>'Raw Data'!CF23/10</f>
        <v>256.8</v>
      </c>
      <c r="CG22" s="83">
        <f>'Raw Data'!CG23/100</f>
        <v>232.59</v>
      </c>
      <c r="CH22" s="83">
        <f>'Raw Data'!CH23/100</f>
        <v>199.42</v>
      </c>
      <c r="CI22" s="83">
        <f>'Raw Data'!CI23/100</f>
        <v>176.83</v>
      </c>
      <c r="CJ22" s="83">
        <f>'Raw Data'!CJ23/100</f>
        <v>155.75</v>
      </c>
      <c r="CK22" s="83">
        <f>'Raw Data'!CK23/100</f>
        <v>141.49</v>
      </c>
      <c r="CL22" s="83">
        <f>'Raw Data'!CL23/100</f>
        <v>129.72</v>
      </c>
      <c r="CM22" s="83">
        <f>'Raw Data'!CM23/100</f>
        <v>118.74</v>
      </c>
      <c r="CN22" s="83">
        <f>'Raw Data'!CN23/100</f>
        <v>112.71</v>
      </c>
      <c r="CO22" s="83">
        <f>'Raw Data'!CO23/100</f>
        <v>105.56</v>
      </c>
      <c r="CP22" s="83">
        <f>'Raw Data'!CP23/100</f>
        <v>97.67</v>
      </c>
      <c r="CQ22" s="83">
        <f>'Raw Data'!CQ23/100</f>
        <v>93.43</v>
      </c>
      <c r="CR22" s="83">
        <f>'Raw Data'!CR23/100</f>
        <v>88.63</v>
      </c>
      <c r="CS22" s="83">
        <f>'Raw Data'!CS23/100</f>
        <v>83.81</v>
      </c>
      <c r="CT22" s="83">
        <f>'Raw Data'!CT23/100</f>
        <v>81.5</v>
      </c>
      <c r="CU22" s="382"/>
    </row>
    <row r="23" spans="4:99" s="86" customFormat="1" x14ac:dyDescent="0.2">
      <c r="D23" s="374"/>
      <c r="E23" s="164"/>
      <c r="F23" s="394"/>
      <c r="G23" s="83">
        <f>'Raw Data'!G24</f>
        <v>489</v>
      </c>
      <c r="H23" s="83">
        <f>'Raw Data'!H24</f>
        <v>514</v>
      </c>
      <c r="I23" s="83">
        <f>'Raw Data'!I24</f>
        <v>505</v>
      </c>
      <c r="J23" s="83">
        <f>'Raw Data'!J24</f>
        <v>475</v>
      </c>
      <c r="K23" s="83">
        <f>'Raw Data'!K24</f>
        <v>508</v>
      </c>
      <c r="L23" s="83">
        <f>'Raw Data'!L24</f>
        <v>488</v>
      </c>
      <c r="M23" s="83">
        <f>'Raw Data'!M24</f>
        <v>481</v>
      </c>
      <c r="N23" s="83">
        <f>'Raw Data'!N24</f>
        <v>460</v>
      </c>
      <c r="O23" s="83">
        <f>'Raw Data'!O24</f>
        <v>467</v>
      </c>
      <c r="P23" s="83">
        <f>'Raw Data'!P24</f>
        <v>444</v>
      </c>
      <c r="Q23" s="83">
        <f>'Raw Data'!Q24</f>
        <v>483</v>
      </c>
      <c r="R23" s="83">
        <f>'Raw Data'!R24</f>
        <v>460</v>
      </c>
      <c r="S23" s="83">
        <f>'Raw Data'!S24</f>
        <v>441</v>
      </c>
      <c r="T23" s="83">
        <f>'Raw Data'!T24</f>
        <v>442</v>
      </c>
      <c r="U23" s="83">
        <f>'Raw Data'!U24</f>
        <v>434</v>
      </c>
      <c r="V23" s="83">
        <f>'Raw Data'!V24</f>
        <v>457</v>
      </c>
      <c r="W23" s="83">
        <f>'Raw Data'!W24</f>
        <v>432</v>
      </c>
      <c r="X23" s="83">
        <f>'Raw Data'!X24</f>
        <v>421</v>
      </c>
      <c r="Y23" s="83">
        <f>'Raw Data'!Y24</f>
        <v>436</v>
      </c>
      <c r="Z23" s="83">
        <f>'Raw Data'!Z24</f>
        <v>427</v>
      </c>
      <c r="AA23" s="83">
        <f>'Raw Data'!AA24/10</f>
        <v>421.4</v>
      </c>
      <c r="AB23" s="83">
        <f>'Raw Data'!AB24/10</f>
        <v>406</v>
      </c>
      <c r="AC23" s="83">
        <f>'Raw Data'!AC24/10</f>
        <v>381.9</v>
      </c>
      <c r="AD23" s="83">
        <f>'Raw Data'!AD24/10</f>
        <v>356.1</v>
      </c>
      <c r="AE23" s="83">
        <f>'Raw Data'!AE24/10</f>
        <v>340.1</v>
      </c>
      <c r="AF23" s="83">
        <f>'Raw Data'!AF24/10</f>
        <v>326.3</v>
      </c>
      <c r="AG23" s="83">
        <f>'Raw Data'!AG24/10</f>
        <v>315.8</v>
      </c>
      <c r="AH23" s="83">
        <f>'Raw Data'!AH24/10</f>
        <v>304.39999999999998</v>
      </c>
      <c r="AI23" s="83">
        <f>'Raw Data'!AI24/10</f>
        <v>289.39999999999998</v>
      </c>
      <c r="AJ23" s="83">
        <f>'Raw Data'!AJ24/10</f>
        <v>280.89999999999998</v>
      </c>
      <c r="AK23" s="83">
        <f>'Raw Data'!AK24/10</f>
        <v>268.89999999999998</v>
      </c>
      <c r="AL23" s="83">
        <f>'Raw Data'!AL24/10</f>
        <v>255.1</v>
      </c>
      <c r="AM23" s="83">
        <f>'Raw Data'!AM24/10</f>
        <v>247.5</v>
      </c>
      <c r="AN23" s="83">
        <f>'Raw Data'!AN24/10</f>
        <v>240.6</v>
      </c>
      <c r="AO23" s="83">
        <f>'Raw Data'!AO24/10</f>
        <v>232.4</v>
      </c>
      <c r="AP23" s="83">
        <f>'Raw Data'!AP24/10</f>
        <v>229.5</v>
      </c>
      <c r="AQ23" s="83">
        <f>'Raw Data'!AQ24/10</f>
        <v>225</v>
      </c>
      <c r="AR23" s="83">
        <f>'Raw Data'!AR24/10</f>
        <v>212.2</v>
      </c>
      <c r="AS23" s="83">
        <f>'Raw Data'!AS24/10</f>
        <v>203.7</v>
      </c>
      <c r="AT23" s="83">
        <f>'Raw Data'!AT24/10</f>
        <v>193</v>
      </c>
      <c r="AU23" s="83">
        <f>'Raw Data'!AU24/10</f>
        <v>197.3</v>
      </c>
      <c r="AV23" s="83">
        <f>'Raw Data'!AV24/10</f>
        <v>189.3</v>
      </c>
      <c r="AW23" s="83">
        <f>'Raw Data'!AW24/10</f>
        <v>182.2</v>
      </c>
      <c r="AX23" s="83">
        <f>'Raw Data'!AX24/10</f>
        <v>178</v>
      </c>
      <c r="AY23" s="83">
        <f>'Raw Data'!AY24/10</f>
        <v>175.2</v>
      </c>
      <c r="AZ23" s="83">
        <f>'Raw Data'!AZ24/10</f>
        <v>170.9</v>
      </c>
      <c r="BA23" s="83">
        <f>'Raw Data'!BA24/10</f>
        <v>165.6</v>
      </c>
      <c r="BB23" s="83">
        <f>'Raw Data'!BB24/10</f>
        <v>165.5</v>
      </c>
      <c r="BC23" s="83">
        <f>'Raw Data'!BC24/10</f>
        <v>162.19999999999999</v>
      </c>
      <c r="BD23" s="83">
        <f>'Raw Data'!BD24/10</f>
        <v>158.19999999999999</v>
      </c>
      <c r="BE23" s="83">
        <f>'Raw Data'!BE24/10</f>
        <v>157.69999999999999</v>
      </c>
      <c r="BF23" s="83">
        <f>'Raw Data'!BF24/10</f>
        <v>149</v>
      </c>
      <c r="BG23" s="83">
        <f>'Raw Data'!BG24/10</f>
        <v>146.1</v>
      </c>
      <c r="BH23" s="83">
        <f>'Raw Data'!BH24/10</f>
        <v>146.1</v>
      </c>
      <c r="BI23" s="83">
        <f>'Raw Data'!BI24/10</f>
        <v>146.6</v>
      </c>
      <c r="BJ23" s="83">
        <f>'Raw Data'!BJ24/10</f>
        <v>144.80000000000001</v>
      </c>
      <c r="BK23" s="83">
        <f>'Raw Data'!BK24/10</f>
        <v>140.1</v>
      </c>
      <c r="BL23" s="83">
        <f>'Raw Data'!BL24/10</f>
        <v>134.9</v>
      </c>
      <c r="BM23" s="83">
        <f>'Raw Data'!BM24/10</f>
        <v>137</v>
      </c>
      <c r="BN23" s="83">
        <f>'Raw Data'!BN24/10</f>
        <v>125.9</v>
      </c>
      <c r="BO23" s="83">
        <f>'Raw Data'!BO24/10</f>
        <v>127.7</v>
      </c>
      <c r="BP23" s="83">
        <f>'Raw Data'!BP24/10</f>
        <v>125.3</v>
      </c>
      <c r="BQ23" s="83">
        <f>'Raw Data'!BQ24/10</f>
        <v>127.2</v>
      </c>
      <c r="BR23" s="83">
        <f>'Raw Data'!BR24/10</f>
        <v>120.4</v>
      </c>
      <c r="BS23" s="83">
        <f>'Raw Data'!BS24/10</f>
        <v>117.4</v>
      </c>
      <c r="BT23" s="83">
        <f>'Raw Data'!BT24/10</f>
        <v>122.6</v>
      </c>
      <c r="BU23" s="83">
        <f>'Raw Data'!BU24/10</f>
        <v>118.9</v>
      </c>
      <c r="BV23" s="83">
        <f>'Raw Data'!BV24/10</f>
        <v>118.6</v>
      </c>
      <c r="BW23" s="83">
        <f>'Raw Data'!BW24/10</f>
        <v>112.4</v>
      </c>
      <c r="BX23" s="83">
        <f>'Raw Data'!BX24/10</f>
        <v>115.4</v>
      </c>
      <c r="BY23" s="83">
        <f>'Raw Data'!BY24/10</f>
        <v>109.3</v>
      </c>
      <c r="BZ23" s="83">
        <f>'Raw Data'!BZ24/10</f>
        <v>111.5</v>
      </c>
      <c r="CA23" s="83">
        <f>'Raw Data'!CA24/10</f>
        <v>108.3</v>
      </c>
      <c r="CB23" s="83">
        <f>'Raw Data'!CB24/10</f>
        <v>109.9</v>
      </c>
      <c r="CC23" s="83">
        <f>'Raw Data'!CC24/10</f>
        <v>111.4</v>
      </c>
      <c r="CD23" s="83">
        <f>'Raw Data'!CD24/10</f>
        <v>104.2</v>
      </c>
      <c r="CE23" s="83">
        <f>'Raw Data'!CE24/10</f>
        <v>106</v>
      </c>
      <c r="CF23" s="83">
        <f>'Raw Data'!CF24/10</f>
        <v>100</v>
      </c>
      <c r="CG23" s="83">
        <f>'Raw Data'!CG24/100</f>
        <v>96.73</v>
      </c>
      <c r="CH23" s="83">
        <f>'Raw Data'!CH24/100</f>
        <v>88.93</v>
      </c>
      <c r="CI23" s="83">
        <f>'Raw Data'!CI24/100</f>
        <v>83.55</v>
      </c>
      <c r="CJ23" s="83">
        <f>'Raw Data'!CJ24/100</f>
        <v>78.66</v>
      </c>
      <c r="CK23" s="83">
        <f>'Raw Data'!CK24/100</f>
        <v>73.7</v>
      </c>
      <c r="CL23" s="83">
        <f>'Raw Data'!CL24/100</f>
        <v>71.14</v>
      </c>
      <c r="CM23" s="83">
        <f>'Raw Data'!CM24/100</f>
        <v>66.08</v>
      </c>
      <c r="CN23" s="83">
        <f>'Raw Data'!CN24/100</f>
        <v>64.900000000000006</v>
      </c>
      <c r="CO23" s="83">
        <f>'Raw Data'!CO24/100</f>
        <v>61.94</v>
      </c>
      <c r="CP23" s="83">
        <f>'Raw Data'!CP24/100</f>
        <v>60.94</v>
      </c>
      <c r="CQ23" s="83">
        <f>'Raw Data'!CQ24/100</f>
        <v>58.76</v>
      </c>
      <c r="CR23" s="83">
        <f>'Raw Data'!CR24/100</f>
        <v>57</v>
      </c>
      <c r="CS23" s="83">
        <f>'Raw Data'!CS24/100</f>
        <v>54.81</v>
      </c>
      <c r="CT23" s="83">
        <f>'Raw Data'!CT24/100</f>
        <v>54.5</v>
      </c>
      <c r="CU23" s="382"/>
    </row>
    <row r="24" spans="4:99" s="86" customFormat="1" x14ac:dyDescent="0.2">
      <c r="D24" s="374"/>
      <c r="E24" s="164"/>
      <c r="F24" s="394"/>
      <c r="G24" s="83">
        <f>'Raw Data'!G25</f>
        <v>31</v>
      </c>
      <c r="H24" s="83">
        <f>'Raw Data'!H25</f>
        <v>23</v>
      </c>
      <c r="I24" s="83">
        <f>'Raw Data'!I25</f>
        <v>33</v>
      </c>
      <c r="J24" s="83">
        <f>'Raw Data'!J25</f>
        <v>26</v>
      </c>
      <c r="K24" s="83">
        <f>'Raw Data'!K25</f>
        <v>29</v>
      </c>
      <c r="L24" s="83">
        <f>'Raw Data'!L25</f>
        <v>20</v>
      </c>
      <c r="M24" s="83">
        <f>'Raw Data'!M25</f>
        <v>41</v>
      </c>
      <c r="N24" s="83">
        <f>'Raw Data'!N25</f>
        <v>31</v>
      </c>
      <c r="O24" s="83">
        <f>'Raw Data'!O25</f>
        <v>25</v>
      </c>
      <c r="P24" s="83">
        <f>'Raw Data'!P25</f>
        <v>20</v>
      </c>
      <c r="Q24" s="83">
        <f>'Raw Data'!Q25</f>
        <v>32</v>
      </c>
      <c r="R24" s="83">
        <f>'Raw Data'!R25</f>
        <v>30</v>
      </c>
      <c r="S24" s="83">
        <f>'Raw Data'!S25</f>
        <v>34</v>
      </c>
      <c r="T24" s="83">
        <f>'Raw Data'!T25</f>
        <v>34</v>
      </c>
      <c r="U24" s="83">
        <f>'Raw Data'!U25</f>
        <v>36</v>
      </c>
      <c r="V24" s="83">
        <f>'Raw Data'!V25</f>
        <v>27</v>
      </c>
      <c r="W24" s="83">
        <f>'Raw Data'!W25</f>
        <v>34</v>
      </c>
      <c r="X24" s="83">
        <f>'Raw Data'!X25</f>
        <v>31</v>
      </c>
      <c r="Y24" s="83">
        <f>'Raw Data'!Y25</f>
        <v>33</v>
      </c>
      <c r="Z24" s="83">
        <f>'Raw Data'!Z25</f>
        <v>26</v>
      </c>
      <c r="AA24" s="83">
        <f>'Raw Data'!AA25/10</f>
        <v>31.4</v>
      </c>
      <c r="AB24" s="83">
        <f>'Raw Data'!AB25/10</f>
        <v>31.2</v>
      </c>
      <c r="AC24" s="83">
        <f>'Raw Data'!AC25/10</f>
        <v>28.6</v>
      </c>
      <c r="AD24" s="83">
        <f>'Raw Data'!AD25/10</f>
        <v>28.8</v>
      </c>
      <c r="AE24" s="83">
        <f>'Raw Data'!AE25/10</f>
        <v>29.1</v>
      </c>
      <c r="AF24" s="83">
        <f>'Raw Data'!AF25/10</f>
        <v>30</v>
      </c>
      <c r="AG24" s="83">
        <f>'Raw Data'!AG25/10</f>
        <v>29.8</v>
      </c>
      <c r="AH24" s="83">
        <f>'Raw Data'!AH25/10</f>
        <v>32.4</v>
      </c>
      <c r="AI24" s="83">
        <f>'Raw Data'!AI25/10</f>
        <v>27.1</v>
      </c>
      <c r="AJ24" s="83">
        <f>'Raw Data'!AJ25/10</f>
        <v>29.8</v>
      </c>
      <c r="AK24" s="83">
        <f>'Raw Data'!AK25/10</f>
        <v>28.9</v>
      </c>
      <c r="AL24" s="83">
        <f>'Raw Data'!AL25/10</f>
        <v>29</v>
      </c>
      <c r="AM24" s="83">
        <f>'Raw Data'!AM25/10</f>
        <v>29.6</v>
      </c>
      <c r="AN24" s="83">
        <f>'Raw Data'!AN25/10</f>
        <v>27.7</v>
      </c>
      <c r="AO24" s="83">
        <f>'Raw Data'!AO25/10</f>
        <v>28</v>
      </c>
      <c r="AP24" s="83">
        <f>'Raw Data'!AP25/10</f>
        <v>29.4</v>
      </c>
      <c r="AQ24" s="83">
        <f>'Raw Data'!AQ25/10</f>
        <v>28.5</v>
      </c>
      <c r="AR24" s="83">
        <f>'Raw Data'!AR25/10</f>
        <v>27.4</v>
      </c>
      <c r="AS24" s="83">
        <f>'Raw Data'!AS25/10</f>
        <v>28.2</v>
      </c>
      <c r="AT24" s="83">
        <f>'Raw Data'!AT25/10</f>
        <v>29.4</v>
      </c>
      <c r="AU24" s="83">
        <f>'Raw Data'!AU25/10</f>
        <v>27.4</v>
      </c>
      <c r="AV24" s="83">
        <f>'Raw Data'!AV25/10</f>
        <v>26.5</v>
      </c>
      <c r="AW24" s="83">
        <f>'Raw Data'!AW25/10</f>
        <v>24.6</v>
      </c>
      <c r="AX24" s="83">
        <f>'Raw Data'!AX25/10</f>
        <v>26.3</v>
      </c>
      <c r="AY24" s="83">
        <f>'Raw Data'!AY25/10</f>
        <v>28.4</v>
      </c>
      <c r="AZ24" s="83">
        <f>'Raw Data'!AZ25/10</f>
        <v>25.5</v>
      </c>
      <c r="BA24" s="83">
        <f>'Raw Data'!BA25/10</f>
        <v>28</v>
      </c>
      <c r="BB24" s="83">
        <f>'Raw Data'!BB25/10</f>
        <v>25.5</v>
      </c>
      <c r="BC24" s="83">
        <f>'Raw Data'!BC25/10</f>
        <v>26.1</v>
      </c>
      <c r="BD24" s="83">
        <f>'Raw Data'!BD25/10</f>
        <v>25.9</v>
      </c>
      <c r="BE24" s="83">
        <f>'Raw Data'!BE25/10</f>
        <v>24.1</v>
      </c>
      <c r="BF24" s="83">
        <f>'Raw Data'!BF25/10</f>
        <v>26.2</v>
      </c>
      <c r="BG24" s="83">
        <f>'Raw Data'!BG25/10</f>
        <v>26.9</v>
      </c>
      <c r="BH24" s="83">
        <f>'Raw Data'!BH25/10</f>
        <v>26.1</v>
      </c>
      <c r="BI24" s="83">
        <f>'Raw Data'!BI25/10</f>
        <v>24.6</v>
      </c>
      <c r="BJ24" s="83">
        <f>'Raw Data'!BJ25/10</f>
        <v>25.3</v>
      </c>
      <c r="BK24" s="83">
        <f>'Raw Data'!BK25/10</f>
        <v>27</v>
      </c>
      <c r="BL24" s="83">
        <f>'Raw Data'!BL25/10</f>
        <v>24.2</v>
      </c>
      <c r="BM24" s="83">
        <f>'Raw Data'!BM25/10</f>
        <v>23.6</v>
      </c>
      <c r="BN24" s="83">
        <f>'Raw Data'!BN25/10</f>
        <v>24.7</v>
      </c>
      <c r="BO24" s="83">
        <f>'Raw Data'!BO25/10</f>
        <v>25</v>
      </c>
      <c r="BP24" s="83">
        <f>'Raw Data'!BP25/10</f>
        <v>24.7</v>
      </c>
      <c r="BQ24" s="83">
        <f>'Raw Data'!BQ25/10</f>
        <v>24.1</v>
      </c>
      <c r="BR24" s="83">
        <f>'Raw Data'!BR25/10</f>
        <v>25.5</v>
      </c>
      <c r="BS24" s="83">
        <f>'Raw Data'!BS25/10</f>
        <v>25.6</v>
      </c>
      <c r="BT24" s="83">
        <f>'Raw Data'!BT25/10</f>
        <v>24</v>
      </c>
      <c r="BU24" s="83">
        <f>'Raw Data'!BU25/10</f>
        <v>25.8</v>
      </c>
      <c r="BV24" s="83">
        <f>'Raw Data'!BV25/10</f>
        <v>25.1</v>
      </c>
      <c r="BW24" s="83">
        <f>'Raw Data'!BW25/10</f>
        <v>24.9</v>
      </c>
      <c r="BX24" s="83">
        <f>'Raw Data'!BX25/10</f>
        <v>23.9</v>
      </c>
      <c r="BY24" s="83">
        <f>'Raw Data'!BY25/10</f>
        <v>22.7</v>
      </c>
      <c r="BZ24" s="83">
        <f>'Raw Data'!BZ25/10</f>
        <v>21.9</v>
      </c>
      <c r="CA24" s="83">
        <f>'Raw Data'!CA25/10</f>
        <v>21.5</v>
      </c>
      <c r="CB24" s="83">
        <f>'Raw Data'!CB25/10</f>
        <v>21.5</v>
      </c>
      <c r="CC24" s="83">
        <f>'Raw Data'!CC25/10</f>
        <v>25.3</v>
      </c>
      <c r="CD24" s="83">
        <f>'Raw Data'!CD25/10</f>
        <v>22.4</v>
      </c>
      <c r="CE24" s="83">
        <f>'Raw Data'!CE25/10</f>
        <v>22.8</v>
      </c>
      <c r="CF24" s="83">
        <f>'Raw Data'!CF25/10</f>
        <v>23.1</v>
      </c>
      <c r="CG24" s="83">
        <f>'Raw Data'!CG25/100</f>
        <v>23.29</v>
      </c>
      <c r="CH24" s="83">
        <f>'Raw Data'!CH25/100</f>
        <v>23.48</v>
      </c>
      <c r="CI24" s="83">
        <f>'Raw Data'!CI25/100</f>
        <v>22.56</v>
      </c>
      <c r="CJ24" s="83">
        <f>'Raw Data'!CJ25/100</f>
        <v>22.45</v>
      </c>
      <c r="CK24" s="83">
        <f>'Raw Data'!CK25/100</f>
        <v>22.03</v>
      </c>
      <c r="CL24" s="83">
        <f>'Raw Data'!CL25/100</f>
        <v>22.14</v>
      </c>
      <c r="CM24" s="83">
        <f>'Raw Data'!CM25/100</f>
        <v>22.61</v>
      </c>
      <c r="CN24" s="83">
        <f>'Raw Data'!CN25/100</f>
        <v>21.99</v>
      </c>
      <c r="CO24" s="83">
        <f>'Raw Data'!CO25/100</f>
        <v>21.88</v>
      </c>
      <c r="CP24" s="83">
        <f>'Raw Data'!CP25/100</f>
        <v>21.05</v>
      </c>
      <c r="CQ24" s="83">
        <f>'Raw Data'!CQ25/100</f>
        <v>21.47</v>
      </c>
      <c r="CR24" s="83">
        <f>'Raw Data'!CR25/100</f>
        <v>21.13</v>
      </c>
      <c r="CS24" s="83">
        <f>'Raw Data'!CS25/100</f>
        <v>21.3</v>
      </c>
      <c r="CT24" s="83">
        <f>'Raw Data'!CT25/100</f>
        <v>21.14</v>
      </c>
      <c r="CU24" s="382"/>
    </row>
    <row r="25" spans="4:99" s="86" customFormat="1" x14ac:dyDescent="0.2">
      <c r="D25" s="374"/>
      <c r="E25" s="164"/>
      <c r="F25" s="394"/>
      <c r="G25" s="83">
        <f>'Raw Data'!G26</f>
        <v>446</v>
      </c>
      <c r="H25" s="83">
        <f>'Raw Data'!H26</f>
        <v>426</v>
      </c>
      <c r="I25" s="83">
        <f>'Raw Data'!I26</f>
        <v>464</v>
      </c>
      <c r="J25" s="83">
        <f>'Raw Data'!J26</f>
        <v>426</v>
      </c>
      <c r="K25" s="83">
        <f>'Raw Data'!K26</f>
        <v>425</v>
      </c>
      <c r="L25" s="83">
        <f>'Raw Data'!L26</f>
        <v>392</v>
      </c>
      <c r="M25" s="83">
        <f>'Raw Data'!M26</f>
        <v>415</v>
      </c>
      <c r="N25" s="83">
        <f>'Raw Data'!N26</f>
        <v>413</v>
      </c>
      <c r="O25" s="83">
        <f>'Raw Data'!O26</f>
        <v>386</v>
      </c>
      <c r="P25" s="83">
        <f>'Raw Data'!P26</f>
        <v>384</v>
      </c>
      <c r="Q25" s="83">
        <f>'Raw Data'!Q26</f>
        <v>399</v>
      </c>
      <c r="R25" s="83">
        <f>'Raw Data'!R26</f>
        <v>389</v>
      </c>
      <c r="S25" s="83">
        <f>'Raw Data'!S26</f>
        <v>396</v>
      </c>
      <c r="T25" s="83">
        <f>'Raw Data'!T26</f>
        <v>385</v>
      </c>
      <c r="U25" s="83">
        <f>'Raw Data'!U26</f>
        <v>396</v>
      </c>
      <c r="V25" s="83">
        <f>'Raw Data'!V26</f>
        <v>366</v>
      </c>
      <c r="W25" s="83">
        <f>'Raw Data'!W26</f>
        <v>393</v>
      </c>
      <c r="X25" s="83">
        <f>'Raw Data'!X26</f>
        <v>358</v>
      </c>
      <c r="Y25" s="83">
        <f>'Raw Data'!Y26</f>
        <v>364</v>
      </c>
      <c r="Z25" s="83">
        <f>'Raw Data'!Z26</f>
        <v>359</v>
      </c>
      <c r="AA25" s="83">
        <f>'Raw Data'!AA26/10</f>
        <v>359.6</v>
      </c>
      <c r="AB25" s="83">
        <f>'Raw Data'!AB26/10</f>
        <v>332.4</v>
      </c>
      <c r="AC25" s="83">
        <f>'Raw Data'!AC26/10</f>
        <v>317.5</v>
      </c>
      <c r="AD25" s="83">
        <f>'Raw Data'!AD26/10</f>
        <v>304.7</v>
      </c>
      <c r="AE25" s="83">
        <f>'Raw Data'!AE26/10</f>
        <v>289.5</v>
      </c>
      <c r="AF25" s="83">
        <f>'Raw Data'!AF26/10</f>
        <v>266</v>
      </c>
      <c r="AG25" s="83">
        <f>'Raw Data'!AG26/10</f>
        <v>258</v>
      </c>
      <c r="AH25" s="83">
        <f>'Raw Data'!AH26/10</f>
        <v>247.3</v>
      </c>
      <c r="AI25" s="83">
        <f>'Raw Data'!AI26/10</f>
        <v>235</v>
      </c>
      <c r="AJ25" s="83">
        <f>'Raw Data'!AJ26/10</f>
        <v>227.1</v>
      </c>
      <c r="AK25" s="83">
        <f>'Raw Data'!AK26/10</f>
        <v>207.9</v>
      </c>
      <c r="AL25" s="83">
        <f>'Raw Data'!AL26/10</f>
        <v>202.6</v>
      </c>
      <c r="AM25" s="83">
        <f>'Raw Data'!AM26/10</f>
        <v>199.7</v>
      </c>
      <c r="AN25" s="83">
        <f>'Raw Data'!AN26/10</f>
        <v>191.3</v>
      </c>
      <c r="AO25" s="83">
        <f>'Raw Data'!AO26/10</f>
        <v>181.2</v>
      </c>
      <c r="AP25" s="83">
        <f>'Raw Data'!AP26/10</f>
        <v>175.1</v>
      </c>
      <c r="AQ25" s="83">
        <f>'Raw Data'!AQ26/10</f>
        <v>164.2</v>
      </c>
      <c r="AR25" s="83">
        <f>'Raw Data'!AR26/10</f>
        <v>161</v>
      </c>
      <c r="AS25" s="83">
        <f>'Raw Data'!AS26/10</f>
        <v>156</v>
      </c>
      <c r="AT25" s="83">
        <f>'Raw Data'!AT26/10</f>
        <v>153</v>
      </c>
      <c r="AU25" s="83">
        <f>'Raw Data'!AU26/10</f>
        <v>150.69999999999999</v>
      </c>
      <c r="AV25" s="83">
        <f>'Raw Data'!AV26/10</f>
        <v>142.1</v>
      </c>
      <c r="AW25" s="83">
        <f>'Raw Data'!AW26/10</f>
        <v>140</v>
      </c>
      <c r="AX25" s="83">
        <f>'Raw Data'!AX26/10</f>
        <v>139.30000000000001</v>
      </c>
      <c r="AY25" s="83">
        <f>'Raw Data'!AY26/10</f>
        <v>132</v>
      </c>
      <c r="AZ25" s="83">
        <f>'Raw Data'!AZ26/10</f>
        <v>128.4</v>
      </c>
      <c r="BA25" s="83">
        <f>'Raw Data'!BA26/10</f>
        <v>123.8</v>
      </c>
      <c r="BB25" s="83">
        <f>'Raw Data'!BB26/10</f>
        <v>119.4</v>
      </c>
      <c r="BC25" s="83">
        <f>'Raw Data'!BC26/10</f>
        <v>118.9</v>
      </c>
      <c r="BD25" s="83">
        <f>'Raw Data'!BD26/10</f>
        <v>116.7</v>
      </c>
      <c r="BE25" s="83">
        <f>'Raw Data'!BE26/10</f>
        <v>112.5</v>
      </c>
      <c r="BF25" s="83">
        <f>'Raw Data'!BF26/10</f>
        <v>109.9</v>
      </c>
      <c r="BG25" s="83">
        <f>'Raw Data'!BG26/10</f>
        <v>108.2</v>
      </c>
      <c r="BH25" s="83">
        <f>'Raw Data'!BH26/10</f>
        <v>101.8</v>
      </c>
      <c r="BI25" s="83">
        <f>'Raw Data'!BI26/10</f>
        <v>102.2</v>
      </c>
      <c r="BJ25" s="83">
        <f>'Raw Data'!BJ26/10</f>
        <v>99</v>
      </c>
      <c r="BK25" s="83">
        <f>'Raw Data'!BK26/10</f>
        <v>98.3</v>
      </c>
      <c r="BL25" s="83">
        <f>'Raw Data'!BL26/10</f>
        <v>94.3</v>
      </c>
      <c r="BM25" s="83">
        <f>'Raw Data'!BM26/10</f>
        <v>95.8</v>
      </c>
      <c r="BN25" s="83">
        <f>'Raw Data'!BN26/10</f>
        <v>87.7</v>
      </c>
      <c r="BO25" s="83">
        <f>'Raw Data'!BO26/10</f>
        <v>91.5</v>
      </c>
      <c r="BP25" s="83">
        <f>'Raw Data'!BP26/10</f>
        <v>88.1</v>
      </c>
      <c r="BQ25" s="83">
        <f>'Raw Data'!BQ26/10</f>
        <v>88</v>
      </c>
      <c r="BR25" s="83">
        <f>'Raw Data'!BR26/10</f>
        <v>84.4</v>
      </c>
      <c r="BS25" s="83">
        <f>'Raw Data'!BS26/10</f>
        <v>82.4</v>
      </c>
      <c r="BT25" s="83">
        <f>'Raw Data'!BT26/10</f>
        <v>79.099999999999994</v>
      </c>
      <c r="BU25" s="83">
        <f>'Raw Data'!BU26/10</f>
        <v>80.099999999999994</v>
      </c>
      <c r="BV25" s="83">
        <f>'Raw Data'!BV26/10</f>
        <v>77.8</v>
      </c>
      <c r="BW25" s="83">
        <f>'Raw Data'!BW26/10</f>
        <v>78.599999999999994</v>
      </c>
      <c r="BX25" s="83">
        <f>'Raw Data'!BX26/10</f>
        <v>74.5</v>
      </c>
      <c r="BY25" s="83">
        <f>'Raw Data'!BY26/10</f>
        <v>72.400000000000006</v>
      </c>
      <c r="BZ25" s="83">
        <f>'Raw Data'!BZ26/10</f>
        <v>72.3</v>
      </c>
      <c r="CA25" s="83">
        <f>'Raw Data'!CA26/10</f>
        <v>75.5</v>
      </c>
      <c r="CB25" s="83">
        <f>'Raw Data'!CB26/10</f>
        <v>72.099999999999994</v>
      </c>
      <c r="CC25" s="83">
        <f>'Raw Data'!CC26/10</f>
        <v>70.099999999999994</v>
      </c>
      <c r="CD25" s="83">
        <f>'Raw Data'!CD26/10</f>
        <v>71</v>
      </c>
      <c r="CE25" s="83">
        <f>'Raw Data'!CE26/10</f>
        <v>67.900000000000006</v>
      </c>
      <c r="CF25" s="83">
        <f>'Raw Data'!CF26/10</f>
        <v>64.900000000000006</v>
      </c>
      <c r="CG25" s="83">
        <f>'Raw Data'!CG26/100</f>
        <v>62.97</v>
      </c>
      <c r="CH25" s="83">
        <f>'Raw Data'!CH26/100</f>
        <v>56.75</v>
      </c>
      <c r="CI25" s="83">
        <f>'Raw Data'!CI26/100</f>
        <v>51.78</v>
      </c>
      <c r="CJ25" s="83">
        <f>'Raw Data'!CJ26/100</f>
        <v>47.33</v>
      </c>
      <c r="CK25" s="83">
        <f>'Raw Data'!CK26/100</f>
        <v>45.16</v>
      </c>
      <c r="CL25" s="83">
        <f>'Raw Data'!CL26/100</f>
        <v>42.14</v>
      </c>
      <c r="CM25" s="83">
        <f>'Raw Data'!CM26/100</f>
        <v>40.700000000000003</v>
      </c>
      <c r="CN25" s="83">
        <f>'Raw Data'!CN26/100</f>
        <v>38.119999999999997</v>
      </c>
      <c r="CO25" s="83">
        <f>'Raw Data'!CO26/100</f>
        <v>36.130000000000003</v>
      </c>
      <c r="CP25" s="83">
        <f>'Raw Data'!CP26/100</f>
        <v>35.5</v>
      </c>
      <c r="CQ25" s="83">
        <f>'Raw Data'!CQ26/100</f>
        <v>34.380000000000003</v>
      </c>
      <c r="CR25" s="83">
        <f>'Raw Data'!CR26/100</f>
        <v>33.770000000000003</v>
      </c>
      <c r="CS25" s="83">
        <f>'Raw Data'!CS26/100</f>
        <v>32.56</v>
      </c>
      <c r="CT25" s="83">
        <f>'Raw Data'!CT26/100</f>
        <v>31.48</v>
      </c>
      <c r="CU25" s="382"/>
    </row>
    <row r="26" spans="4:99" s="86" customFormat="1" x14ac:dyDescent="0.2">
      <c r="D26" s="374"/>
      <c r="E26" s="164"/>
      <c r="F26" s="394"/>
      <c r="G26" s="83">
        <f>'Raw Data'!G27</f>
        <v>848</v>
      </c>
      <c r="H26" s="83">
        <f>'Raw Data'!H27</f>
        <v>921</v>
      </c>
      <c r="I26" s="83">
        <f>'Raw Data'!I27</f>
        <v>918</v>
      </c>
      <c r="J26" s="83">
        <f>'Raw Data'!J27</f>
        <v>863</v>
      </c>
      <c r="K26" s="83">
        <f>'Raw Data'!K27</f>
        <v>897</v>
      </c>
      <c r="L26" s="83">
        <f>'Raw Data'!L27</f>
        <v>872</v>
      </c>
      <c r="M26" s="83">
        <f>'Raw Data'!M27</f>
        <v>876</v>
      </c>
      <c r="N26" s="83">
        <f>'Raw Data'!N27</f>
        <v>865</v>
      </c>
      <c r="O26" s="83">
        <f>'Raw Data'!O27</f>
        <v>853</v>
      </c>
      <c r="P26" s="83">
        <f>'Raw Data'!P27</f>
        <v>693</v>
      </c>
      <c r="Q26" s="83">
        <f>'Raw Data'!Q27</f>
        <v>853</v>
      </c>
      <c r="R26" s="83">
        <f>'Raw Data'!R27</f>
        <v>815</v>
      </c>
      <c r="S26" s="83">
        <f>'Raw Data'!S27</f>
        <v>834</v>
      </c>
      <c r="T26" s="83">
        <f>'Raw Data'!T27</f>
        <v>801</v>
      </c>
      <c r="U26" s="83">
        <f>'Raw Data'!U27</f>
        <v>827</v>
      </c>
      <c r="V26" s="83">
        <f>'Raw Data'!V27</f>
        <v>825</v>
      </c>
      <c r="W26" s="83">
        <f>'Raw Data'!W27</f>
        <v>838</v>
      </c>
      <c r="X26" s="83">
        <f>'Raw Data'!X27</f>
        <v>789</v>
      </c>
      <c r="Y26" s="83">
        <f>'Raw Data'!Y27</f>
        <v>802</v>
      </c>
      <c r="Z26" s="83">
        <f>'Raw Data'!Z27</f>
        <v>771</v>
      </c>
      <c r="AA26" s="83">
        <f>'Raw Data'!AA27/10</f>
        <v>760.4</v>
      </c>
      <c r="AB26" s="83">
        <f>'Raw Data'!AB27/10</f>
        <v>695.2</v>
      </c>
      <c r="AC26" s="83">
        <f>'Raw Data'!AC27/10</f>
        <v>654.9</v>
      </c>
      <c r="AD26" s="83">
        <f>'Raw Data'!AD27/10</f>
        <v>620</v>
      </c>
      <c r="AE26" s="83">
        <f>'Raw Data'!AE27/10</f>
        <v>579.4</v>
      </c>
      <c r="AF26" s="83">
        <f>'Raw Data'!AF27/10</f>
        <v>550.5</v>
      </c>
      <c r="AG26" s="83">
        <f>'Raw Data'!AG27/10</f>
        <v>533.29999999999995</v>
      </c>
      <c r="AH26" s="83">
        <f>'Raw Data'!AH27/10</f>
        <v>499.5</v>
      </c>
      <c r="AI26" s="83">
        <f>'Raw Data'!AI27/10</f>
        <v>481.7</v>
      </c>
      <c r="AJ26" s="83">
        <f>'Raw Data'!AJ27/10</f>
        <v>452.4</v>
      </c>
      <c r="AK26" s="83">
        <f>'Raw Data'!AK27/10</f>
        <v>433.7</v>
      </c>
      <c r="AL26" s="83">
        <f>'Raw Data'!AL27/10</f>
        <v>418.7</v>
      </c>
      <c r="AM26" s="83">
        <f>'Raw Data'!AM27/10</f>
        <v>398.4</v>
      </c>
      <c r="AN26" s="83">
        <f>'Raw Data'!AN27/10</f>
        <v>379.2</v>
      </c>
      <c r="AO26" s="83">
        <f>'Raw Data'!AO27/10</f>
        <v>362.3</v>
      </c>
      <c r="AP26" s="83">
        <f>'Raw Data'!AP27/10</f>
        <v>352.3</v>
      </c>
      <c r="AQ26" s="83">
        <f>'Raw Data'!AQ27/10</f>
        <v>328.4</v>
      </c>
      <c r="AR26" s="83">
        <f>'Raw Data'!AR27/10</f>
        <v>320.5</v>
      </c>
      <c r="AS26" s="83">
        <f>'Raw Data'!AS27/10</f>
        <v>339.1</v>
      </c>
      <c r="AT26" s="83">
        <f>'Raw Data'!AT27/10</f>
        <v>304</v>
      </c>
      <c r="AU26" s="83">
        <f>'Raw Data'!AU27/10</f>
        <v>290.7</v>
      </c>
      <c r="AV26" s="83">
        <f>'Raw Data'!AV27/10</f>
        <v>287.39999999999998</v>
      </c>
      <c r="AW26" s="83">
        <f>'Raw Data'!AW27/10</f>
        <v>275</v>
      </c>
      <c r="AX26" s="83">
        <f>'Raw Data'!AX27/10</f>
        <v>261.8</v>
      </c>
      <c r="AY26" s="83">
        <f>'Raw Data'!AY27/10</f>
        <v>257.39999999999998</v>
      </c>
      <c r="AZ26" s="83">
        <f>'Raw Data'!AZ27/10</f>
        <v>241.8</v>
      </c>
      <c r="BA26" s="83">
        <f>'Raw Data'!BA27/10</f>
        <v>240.5</v>
      </c>
      <c r="BB26" s="83">
        <f>'Raw Data'!BB27/10</f>
        <v>228.9</v>
      </c>
      <c r="BC26" s="83">
        <f>'Raw Data'!BC27/10</f>
        <v>222</v>
      </c>
      <c r="BD26" s="83">
        <f>'Raw Data'!BD27/10</f>
        <v>220.1</v>
      </c>
      <c r="BE26" s="83">
        <f>'Raw Data'!BE27/10</f>
        <v>210.1</v>
      </c>
      <c r="BF26" s="83">
        <f>'Raw Data'!BF27/10</f>
        <v>206.1</v>
      </c>
      <c r="BG26" s="83">
        <f>'Raw Data'!BG27/10</f>
        <v>203</v>
      </c>
      <c r="BH26" s="83">
        <f>'Raw Data'!BH27/10</f>
        <v>191.5</v>
      </c>
      <c r="BI26" s="83">
        <f>'Raw Data'!BI27/10</f>
        <v>192.6</v>
      </c>
      <c r="BJ26" s="83">
        <f>'Raw Data'!BJ27/10</f>
        <v>184.7</v>
      </c>
      <c r="BK26" s="83">
        <f>'Raw Data'!BK27/10</f>
        <v>152.80000000000001</v>
      </c>
      <c r="BL26" s="83">
        <f>'Raw Data'!BL27/10</f>
        <v>180.4</v>
      </c>
      <c r="BM26" s="83">
        <f>'Raw Data'!BM27/10</f>
        <v>170.4</v>
      </c>
      <c r="BN26" s="83">
        <f>'Raw Data'!BN27/10</f>
        <v>164.8</v>
      </c>
      <c r="BO26" s="83">
        <f>'Raw Data'!BO27/10</f>
        <v>167.9</v>
      </c>
      <c r="BP26" s="83">
        <f>'Raw Data'!BP27/10</f>
        <v>159.6</v>
      </c>
      <c r="BQ26" s="83">
        <f>'Raw Data'!BQ27/10</f>
        <v>157.4</v>
      </c>
      <c r="BR26" s="83">
        <f>'Raw Data'!BR27/10</f>
        <v>152.6</v>
      </c>
      <c r="BS26" s="83">
        <f>'Raw Data'!BS27/10</f>
        <v>150.4</v>
      </c>
      <c r="BT26" s="83">
        <f>'Raw Data'!BT27/10</f>
        <v>144.5</v>
      </c>
      <c r="BU26" s="83">
        <f>'Raw Data'!BU27/10</f>
        <v>142.19999999999999</v>
      </c>
      <c r="BV26" s="83">
        <f>'Raw Data'!BV27/10</f>
        <v>144.4</v>
      </c>
      <c r="BW26" s="83">
        <f>'Raw Data'!BW27/10</f>
        <v>142.9</v>
      </c>
      <c r="BX26" s="83">
        <f>'Raw Data'!BX27/10</f>
        <v>135</v>
      </c>
      <c r="BY26" s="83">
        <f>'Raw Data'!BY27/10</f>
        <v>134.30000000000001</v>
      </c>
      <c r="BZ26" s="83">
        <f>'Raw Data'!BZ27/10</f>
        <v>127</v>
      </c>
      <c r="CA26" s="83">
        <f>'Raw Data'!CA27/10</f>
        <v>134.9</v>
      </c>
      <c r="CB26" s="83">
        <f>'Raw Data'!CB27/10</f>
        <v>128.6</v>
      </c>
      <c r="CC26" s="83">
        <f>'Raw Data'!CC27/10</f>
        <v>126.8</v>
      </c>
      <c r="CD26" s="83">
        <f>'Raw Data'!CD27/10</f>
        <v>121.4</v>
      </c>
      <c r="CE26" s="83">
        <f>'Raw Data'!CE27/10</f>
        <v>118.5</v>
      </c>
      <c r="CF26" s="83">
        <f>'Raw Data'!CF27/10</f>
        <v>118.1</v>
      </c>
      <c r="CG26" s="83">
        <f>'Raw Data'!CG27/100</f>
        <v>108.71</v>
      </c>
      <c r="CH26" s="83">
        <f>'Raw Data'!CH27/100</f>
        <v>94.3</v>
      </c>
      <c r="CI26" s="83">
        <f>'Raw Data'!CI27/100</f>
        <v>83.42</v>
      </c>
      <c r="CJ26" s="83">
        <f>'Raw Data'!CJ27/100</f>
        <v>76.84</v>
      </c>
      <c r="CK26" s="83">
        <f>'Raw Data'!CK27/100</f>
        <v>69.239999999999995</v>
      </c>
      <c r="CL26" s="83">
        <f>'Raw Data'!CL27/100</f>
        <v>65.290000000000006</v>
      </c>
      <c r="CM26" s="83">
        <f>'Raw Data'!CM27/100</f>
        <v>60.02</v>
      </c>
      <c r="CN26" s="83">
        <f>'Raw Data'!CN27/100</f>
        <v>56.23</v>
      </c>
      <c r="CO26" s="83">
        <f>'Raw Data'!CO27/100</f>
        <v>53.3</v>
      </c>
      <c r="CP26" s="83">
        <f>'Raw Data'!CP27/100</f>
        <v>50.82</v>
      </c>
      <c r="CQ26" s="83">
        <f>'Raw Data'!CQ27/100</f>
        <v>47.63</v>
      </c>
      <c r="CR26" s="83">
        <f>'Raw Data'!CR27/100</f>
        <v>46.49</v>
      </c>
      <c r="CS26" s="83">
        <f>'Raw Data'!CS27/100</f>
        <v>45.46</v>
      </c>
      <c r="CT26" s="83">
        <f>'Raw Data'!CT27/100</f>
        <v>43.51</v>
      </c>
      <c r="CU26" s="382"/>
    </row>
    <row r="27" spans="4:99" s="86" customFormat="1" x14ac:dyDescent="0.2">
      <c r="D27" s="374"/>
      <c r="E27" s="381"/>
      <c r="F27" s="395"/>
      <c r="G27" s="83">
        <f>'Raw Data'!G28</f>
        <v>453</v>
      </c>
      <c r="H27" s="83">
        <f>'Raw Data'!H28</f>
        <v>433</v>
      </c>
      <c r="I27" s="83">
        <f>'Raw Data'!I28</f>
        <v>426</v>
      </c>
      <c r="J27" s="83">
        <f>'Raw Data'!J28</f>
        <v>427</v>
      </c>
      <c r="K27" s="83">
        <f>'Raw Data'!K28</f>
        <v>432</v>
      </c>
      <c r="L27" s="83">
        <f>'Raw Data'!L28</f>
        <v>452</v>
      </c>
      <c r="M27" s="83">
        <f>'Raw Data'!M28</f>
        <v>438</v>
      </c>
      <c r="N27" s="83">
        <f>'Raw Data'!N28</f>
        <v>428</v>
      </c>
      <c r="O27" s="83">
        <f>'Raw Data'!O28</f>
        <v>436</v>
      </c>
      <c r="P27" s="83">
        <f>'Raw Data'!P28</f>
        <v>403</v>
      </c>
      <c r="Q27" s="83">
        <f>'Raw Data'!Q28</f>
        <v>424</v>
      </c>
      <c r="R27" s="83">
        <f>'Raw Data'!R28</f>
        <v>398</v>
      </c>
      <c r="S27" s="83">
        <f>'Raw Data'!S28</f>
        <v>398</v>
      </c>
      <c r="T27" s="83">
        <f>'Raw Data'!T28</f>
        <v>385</v>
      </c>
      <c r="U27" s="83">
        <f>'Raw Data'!U28</f>
        <v>381</v>
      </c>
      <c r="V27" s="83">
        <f>'Raw Data'!V28</f>
        <v>402</v>
      </c>
      <c r="W27" s="83">
        <f>'Raw Data'!W28</f>
        <v>390</v>
      </c>
      <c r="X27" s="83">
        <f>'Raw Data'!X28</f>
        <v>374</v>
      </c>
      <c r="Y27" s="83">
        <f>'Raw Data'!Y28</f>
        <v>373</v>
      </c>
      <c r="Z27" s="83">
        <f>'Raw Data'!Z28</f>
        <v>379</v>
      </c>
      <c r="AA27" s="83">
        <f>'Raw Data'!AA28/10</f>
        <v>370.5</v>
      </c>
      <c r="AB27" s="83">
        <f>'Raw Data'!AB28/10</f>
        <v>345.6</v>
      </c>
      <c r="AC27" s="83">
        <f>'Raw Data'!AC28/10</f>
        <v>334.3</v>
      </c>
      <c r="AD27" s="83">
        <f>'Raw Data'!AD28/10</f>
        <v>306.89999999999998</v>
      </c>
      <c r="AE27" s="83">
        <f>'Raw Data'!AE28/10</f>
        <v>291.5</v>
      </c>
      <c r="AF27" s="83">
        <f>'Raw Data'!AF28/10</f>
        <v>281.10000000000002</v>
      </c>
      <c r="AG27" s="83">
        <f>'Raw Data'!AG28/10</f>
        <v>267.89999999999998</v>
      </c>
      <c r="AH27" s="83">
        <f>'Raw Data'!AH28/10</f>
        <v>255.6</v>
      </c>
      <c r="AI27" s="83">
        <f>'Raw Data'!AI28/10</f>
        <v>248.5</v>
      </c>
      <c r="AJ27" s="83">
        <f>'Raw Data'!AJ28/10</f>
        <v>236.4</v>
      </c>
      <c r="AK27" s="83">
        <f>'Raw Data'!AK28/10</f>
        <v>221.1</v>
      </c>
      <c r="AL27" s="83">
        <f>'Raw Data'!AL28/10</f>
        <v>214.6</v>
      </c>
      <c r="AM27" s="83">
        <f>'Raw Data'!AM28/10</f>
        <v>211.8</v>
      </c>
      <c r="AN27" s="83">
        <f>'Raw Data'!AN28/10</f>
        <v>204.8</v>
      </c>
      <c r="AO27" s="83">
        <f>'Raw Data'!AO28/10</f>
        <v>189.4</v>
      </c>
      <c r="AP27" s="83">
        <f>'Raw Data'!AP28/10</f>
        <v>189.4</v>
      </c>
      <c r="AQ27" s="83">
        <f>'Raw Data'!AQ28/10</f>
        <v>176.3</v>
      </c>
      <c r="AR27" s="83">
        <f>'Raw Data'!AR28/10</f>
        <v>177.8</v>
      </c>
      <c r="AS27" s="83">
        <f>'Raw Data'!AS28/10</f>
        <v>167.6</v>
      </c>
      <c r="AT27" s="83">
        <f>'Raw Data'!AT28/10</f>
        <v>160.19999999999999</v>
      </c>
      <c r="AU27" s="83">
        <f>'Raw Data'!AU28/10</f>
        <v>160.30000000000001</v>
      </c>
      <c r="AV27" s="83">
        <f>'Raw Data'!AV28/10</f>
        <v>155.69999999999999</v>
      </c>
      <c r="AW27" s="83">
        <f>'Raw Data'!AW28/10</f>
        <v>150.6</v>
      </c>
      <c r="AX27" s="83">
        <f>'Raw Data'!AX28/10</f>
        <v>143.69999999999999</v>
      </c>
      <c r="AY27" s="83">
        <f>'Raw Data'!AY28/10</f>
        <v>142.9</v>
      </c>
      <c r="AZ27" s="83">
        <f>'Raw Data'!AZ28/10</f>
        <v>137.69999999999999</v>
      </c>
      <c r="BA27" s="83">
        <f>'Raw Data'!BA28/10</f>
        <v>130.80000000000001</v>
      </c>
      <c r="BB27" s="83">
        <f>'Raw Data'!BB28/10</f>
        <v>132.9</v>
      </c>
      <c r="BC27" s="83">
        <f>'Raw Data'!BC28/10</f>
        <v>126.7</v>
      </c>
      <c r="BD27" s="83">
        <f>'Raw Data'!BD28/10</f>
        <v>126.3</v>
      </c>
      <c r="BE27" s="83">
        <f>'Raw Data'!BE28/10</f>
        <v>125.4</v>
      </c>
      <c r="BF27" s="83">
        <f>'Raw Data'!BF28/10</f>
        <v>122.1</v>
      </c>
      <c r="BG27" s="83">
        <f>'Raw Data'!BG28/10</f>
        <v>112.2</v>
      </c>
      <c r="BH27" s="83">
        <f>'Raw Data'!BH28/10</f>
        <v>118.2</v>
      </c>
      <c r="BI27" s="83">
        <f>'Raw Data'!BI28/10</f>
        <v>107.7</v>
      </c>
      <c r="BJ27" s="83">
        <f>'Raw Data'!BJ28/10</f>
        <v>108.8</v>
      </c>
      <c r="BK27" s="83">
        <f>'Raw Data'!BK28/10</f>
        <v>107</v>
      </c>
      <c r="BL27" s="83">
        <f>'Raw Data'!BL28/10</f>
        <v>108.1</v>
      </c>
      <c r="BM27" s="83">
        <f>'Raw Data'!BM28/10</f>
        <v>103.2</v>
      </c>
      <c r="BN27" s="83">
        <f>'Raw Data'!BN28/10</f>
        <v>99.8</v>
      </c>
      <c r="BO27" s="83">
        <f>'Raw Data'!BO28/10</f>
        <v>98.3</v>
      </c>
      <c r="BP27" s="83">
        <f>'Raw Data'!BP28/10</f>
        <v>98</v>
      </c>
      <c r="BQ27" s="83">
        <f>'Raw Data'!BQ28/10</f>
        <v>100</v>
      </c>
      <c r="BR27" s="83">
        <f>'Raw Data'!BR28/10</f>
        <v>97.1</v>
      </c>
      <c r="BS27" s="83">
        <f>'Raw Data'!BS28/10</f>
        <v>93.2</v>
      </c>
      <c r="BT27" s="83">
        <f>'Raw Data'!BT28/10</f>
        <v>88.2</v>
      </c>
      <c r="BU27" s="83">
        <f>'Raw Data'!BU28/10</f>
        <v>90.9</v>
      </c>
      <c r="BV27" s="83">
        <f>'Raw Data'!BV28/10</f>
        <v>91.2</v>
      </c>
      <c r="BW27" s="83">
        <f>'Raw Data'!BW28/10</f>
        <v>84.5</v>
      </c>
      <c r="BX27" s="83">
        <f>'Raw Data'!BX28/10</f>
        <v>86.1</v>
      </c>
      <c r="BY27" s="83">
        <f>'Raw Data'!BY28/10</f>
        <v>85</v>
      </c>
      <c r="BZ27" s="83">
        <f>'Raw Data'!BZ28/10</f>
        <v>83.8</v>
      </c>
      <c r="CA27" s="83">
        <f>'Raw Data'!CA28/10</f>
        <v>80.8</v>
      </c>
      <c r="CB27" s="83">
        <f>'Raw Data'!CB28/10</f>
        <v>80.900000000000006</v>
      </c>
      <c r="CC27" s="83">
        <f>'Raw Data'!CC28/10</f>
        <v>81.5</v>
      </c>
      <c r="CD27" s="83">
        <f>'Raw Data'!CD28/10</f>
        <v>79.7</v>
      </c>
      <c r="CE27" s="83">
        <f>'Raw Data'!CE28/10</f>
        <v>80</v>
      </c>
      <c r="CF27" s="83">
        <f>'Raw Data'!CF28/10</f>
        <v>78.400000000000006</v>
      </c>
      <c r="CG27" s="83">
        <f>'Raw Data'!CG28/100</f>
        <v>73.17</v>
      </c>
      <c r="CH27" s="83">
        <f>'Raw Data'!CH28/100</f>
        <v>65.650000000000006</v>
      </c>
      <c r="CI27" s="83">
        <f>'Raw Data'!CI28/100</f>
        <v>59.87</v>
      </c>
      <c r="CJ27" s="83">
        <f>'Raw Data'!CJ28/100</f>
        <v>55.83</v>
      </c>
      <c r="CK27" s="83">
        <f>'Raw Data'!CK28/100</f>
        <v>53.48</v>
      </c>
      <c r="CL27" s="83">
        <f>'Raw Data'!CL28/100</f>
        <v>50.17</v>
      </c>
      <c r="CM27" s="83">
        <f>'Raw Data'!CM28/100</f>
        <v>47.2</v>
      </c>
      <c r="CN27" s="83">
        <f>'Raw Data'!CN28/100</f>
        <v>45.95</v>
      </c>
      <c r="CO27" s="83">
        <f>'Raw Data'!CO28/100</f>
        <v>44.13</v>
      </c>
      <c r="CP27" s="83">
        <f>'Raw Data'!CP28/100</f>
        <v>42.19</v>
      </c>
      <c r="CQ27" s="83">
        <f>'Raw Data'!CQ28/100</f>
        <v>41.04</v>
      </c>
      <c r="CR27" s="83">
        <f>'Raw Data'!CR28/100</f>
        <v>40.19</v>
      </c>
      <c r="CS27" s="83">
        <f>'Raw Data'!CS28/100</f>
        <v>38.700000000000003</v>
      </c>
      <c r="CT27" s="83">
        <f>'Raw Data'!CT28/100</f>
        <v>38.17</v>
      </c>
      <c r="CU27" s="382"/>
    </row>
    <row r="28" spans="4:99" s="86" customFormat="1" x14ac:dyDescent="0.2">
      <c r="D28" s="346"/>
      <c r="E28" s="164"/>
      <c r="F28" s="394"/>
      <c r="G28" s="85">
        <f>'Raw Data'!G29</f>
        <v>57</v>
      </c>
      <c r="H28" s="85">
        <f>'Raw Data'!H29</f>
        <v>50</v>
      </c>
      <c r="I28" s="85">
        <f>'Raw Data'!I29</f>
        <v>55</v>
      </c>
      <c r="J28" s="85">
        <f>'Raw Data'!J29</f>
        <v>46</v>
      </c>
      <c r="K28" s="85">
        <f>'Raw Data'!K29</f>
        <v>52</v>
      </c>
      <c r="L28" s="85">
        <f>'Raw Data'!L29</f>
        <v>55</v>
      </c>
      <c r="M28" s="85">
        <f>'Raw Data'!M29</f>
        <v>52</v>
      </c>
      <c r="N28" s="85">
        <f>'Raw Data'!N29</f>
        <v>61</v>
      </c>
      <c r="O28" s="85">
        <f>'Raw Data'!O29</f>
        <v>53</v>
      </c>
      <c r="P28" s="85">
        <f>'Raw Data'!P29</f>
        <v>43</v>
      </c>
      <c r="Q28" s="85">
        <f>'Raw Data'!Q29</f>
        <v>57</v>
      </c>
      <c r="R28" s="85">
        <f>'Raw Data'!R29</f>
        <v>55</v>
      </c>
      <c r="S28" s="85">
        <f>'Raw Data'!S29</f>
        <v>53</v>
      </c>
      <c r="T28" s="85">
        <f>'Raw Data'!T29</f>
        <v>60</v>
      </c>
      <c r="U28" s="85">
        <f>'Raw Data'!U29</f>
        <v>57</v>
      </c>
      <c r="V28" s="85">
        <f>'Raw Data'!V29</f>
        <v>52</v>
      </c>
      <c r="W28" s="85">
        <f>'Raw Data'!W29</f>
        <v>50</v>
      </c>
      <c r="X28" s="85">
        <f>'Raw Data'!X29</f>
        <v>64</v>
      </c>
      <c r="Y28" s="85">
        <f>'Raw Data'!Y29</f>
        <v>57</v>
      </c>
      <c r="Z28" s="85">
        <f>'Raw Data'!Z29</f>
        <v>58</v>
      </c>
      <c r="AA28" s="85">
        <f>'Raw Data'!AA29/10</f>
        <v>54.7</v>
      </c>
      <c r="AB28" s="85">
        <f>'Raw Data'!AB29/10</f>
        <v>55.6</v>
      </c>
      <c r="AC28" s="85">
        <f>'Raw Data'!AC29/10</f>
        <v>55.4</v>
      </c>
      <c r="AD28" s="85">
        <f>'Raw Data'!AD29/10</f>
        <v>57.1</v>
      </c>
      <c r="AE28" s="85">
        <f>'Raw Data'!AE29/10</f>
        <v>55.4</v>
      </c>
      <c r="AF28" s="85">
        <f>'Raw Data'!AF29/10</f>
        <v>52.7</v>
      </c>
      <c r="AG28" s="85">
        <f>'Raw Data'!AG29/10</f>
        <v>55.5</v>
      </c>
      <c r="AH28" s="85">
        <f>'Raw Data'!AH29/10</f>
        <v>54.5</v>
      </c>
      <c r="AI28" s="85">
        <f>'Raw Data'!AI29/10</f>
        <v>55.6</v>
      </c>
      <c r="AJ28" s="85">
        <f>'Raw Data'!AJ29/10</f>
        <v>55.1</v>
      </c>
      <c r="AK28" s="85">
        <f>'Raw Data'!AK29/10</f>
        <v>51.9</v>
      </c>
      <c r="AL28" s="85">
        <f>'Raw Data'!AL29/10</f>
        <v>54.6</v>
      </c>
      <c r="AM28" s="85">
        <f>'Raw Data'!AM29/10</f>
        <v>54</v>
      </c>
      <c r="AN28" s="85">
        <f>'Raw Data'!AN29/10</f>
        <v>50.9</v>
      </c>
      <c r="AO28" s="85">
        <f>'Raw Data'!AO29/10</f>
        <v>51.5</v>
      </c>
      <c r="AP28" s="85">
        <f>'Raw Data'!AP29/10</f>
        <v>52.5</v>
      </c>
      <c r="AQ28" s="85">
        <f>'Raw Data'!AQ29/10</f>
        <v>51.5</v>
      </c>
      <c r="AR28" s="85">
        <f>'Raw Data'!AR29/10</f>
        <v>50.8</v>
      </c>
      <c r="AS28" s="85">
        <f>'Raw Data'!AS29/10</f>
        <v>49</v>
      </c>
      <c r="AT28" s="85">
        <f>'Raw Data'!AT29/10</f>
        <v>52.3</v>
      </c>
      <c r="AU28" s="85">
        <f>'Raw Data'!AU29/10</f>
        <v>50.4</v>
      </c>
      <c r="AV28" s="85">
        <f>'Raw Data'!AV29/10</f>
        <v>49.7</v>
      </c>
      <c r="AW28" s="85">
        <f>'Raw Data'!AW29/10</f>
        <v>49.4</v>
      </c>
      <c r="AX28" s="85">
        <f>'Raw Data'!AX29/10</f>
        <v>48.6</v>
      </c>
      <c r="AY28" s="85">
        <f>'Raw Data'!AY29/10</f>
        <v>41.3</v>
      </c>
      <c r="AZ28" s="85">
        <f>'Raw Data'!AZ29/10</f>
        <v>50.5</v>
      </c>
      <c r="BA28" s="85">
        <f>'Raw Data'!BA29/10</f>
        <v>49.1</v>
      </c>
      <c r="BB28" s="85">
        <f>'Raw Data'!BB29/10</f>
        <v>47.4</v>
      </c>
      <c r="BC28" s="85">
        <f>'Raw Data'!BC29/10</f>
        <v>46.6</v>
      </c>
      <c r="BD28" s="85">
        <f>'Raw Data'!BD29/10</f>
        <v>48.5</v>
      </c>
      <c r="BE28" s="85">
        <f>'Raw Data'!BE29/10</f>
        <v>44.5</v>
      </c>
      <c r="BF28" s="85">
        <f>'Raw Data'!BF29/10</f>
        <v>44</v>
      </c>
      <c r="BG28" s="85">
        <f>'Raw Data'!BG29/10</f>
        <v>44.6</v>
      </c>
      <c r="BH28" s="85">
        <f>'Raw Data'!BH29/10</f>
        <v>45</v>
      </c>
      <c r="BI28" s="85">
        <f>'Raw Data'!BI29/10</f>
        <v>47.5</v>
      </c>
      <c r="BJ28" s="85">
        <f>'Raw Data'!BJ29/10</f>
        <v>46.8</v>
      </c>
      <c r="BK28" s="85">
        <f>'Raw Data'!BK29/10</f>
        <v>44.8</v>
      </c>
      <c r="BL28" s="85">
        <f>'Raw Data'!BL29/10</f>
        <v>45.7</v>
      </c>
      <c r="BM28" s="85">
        <f>'Raw Data'!BM29/10</f>
        <v>44.2</v>
      </c>
      <c r="BN28" s="85">
        <f>'Raw Data'!BN29/10</f>
        <v>44.1</v>
      </c>
      <c r="BO28" s="85">
        <f>'Raw Data'!BO29/10</f>
        <v>43.8</v>
      </c>
      <c r="BP28" s="85">
        <f>'Raw Data'!BP29/10</f>
        <v>42.1</v>
      </c>
      <c r="BQ28" s="85">
        <f>'Raw Data'!BQ29/10</f>
        <v>44.2</v>
      </c>
      <c r="BR28" s="85">
        <f>'Raw Data'!BR29/10</f>
        <v>44</v>
      </c>
      <c r="BS28" s="85">
        <f>'Raw Data'!BS29/10</f>
        <v>42.5</v>
      </c>
      <c r="BT28" s="85">
        <f>'Raw Data'!BT29/10</f>
        <v>42.9</v>
      </c>
      <c r="BU28" s="85">
        <f>'Raw Data'!BU29/10</f>
        <v>45</v>
      </c>
      <c r="BV28" s="85">
        <f>'Raw Data'!BV29/10</f>
        <v>43.3</v>
      </c>
      <c r="BW28" s="85">
        <f>'Raw Data'!BW29/10</f>
        <v>44.8</v>
      </c>
      <c r="BX28" s="85">
        <f>'Raw Data'!BX29/10</f>
        <v>43.8</v>
      </c>
      <c r="BY28" s="85">
        <f>'Raw Data'!BY29/10</f>
        <v>45.2</v>
      </c>
      <c r="BZ28" s="85">
        <f>'Raw Data'!BZ29/10</f>
        <v>43.1</v>
      </c>
      <c r="CA28" s="85">
        <f>'Raw Data'!CA29/10</f>
        <v>44.5</v>
      </c>
      <c r="CB28" s="85">
        <f>'Raw Data'!CB29/10</f>
        <v>43.2</v>
      </c>
      <c r="CC28" s="85">
        <f>'Raw Data'!CC29/10</f>
        <v>43.9</v>
      </c>
      <c r="CD28" s="85">
        <f>'Raw Data'!CD29/10</f>
        <v>44.9</v>
      </c>
      <c r="CE28" s="85">
        <f>'Raw Data'!CE29/10</f>
        <v>43.1</v>
      </c>
      <c r="CF28" s="85">
        <f>'Raw Data'!CF29/10</f>
        <v>41.1</v>
      </c>
      <c r="CG28" s="85">
        <f>'Raw Data'!CG29/100</f>
        <v>41.72</v>
      </c>
      <c r="CH28" s="85">
        <f>'Raw Data'!CH29/100</f>
        <v>41.87</v>
      </c>
      <c r="CI28" s="85">
        <f>'Raw Data'!CI29/100</f>
        <v>40.47</v>
      </c>
      <c r="CJ28" s="85">
        <f>'Raw Data'!CJ29/100</f>
        <v>40.1</v>
      </c>
      <c r="CK28" s="85">
        <f>'Raw Data'!CK29/100</f>
        <v>39.03</v>
      </c>
      <c r="CL28" s="85">
        <f>'Raw Data'!CL29/100</f>
        <v>39.67</v>
      </c>
      <c r="CM28" s="85">
        <f>'Raw Data'!CM29/100</f>
        <v>38.51</v>
      </c>
      <c r="CN28" s="85">
        <f>'Raw Data'!CN29/100</f>
        <v>38.090000000000003</v>
      </c>
      <c r="CO28" s="85">
        <f>'Raw Data'!CO29/100</f>
        <v>38.93</v>
      </c>
      <c r="CP28" s="85">
        <f>'Raw Data'!CP29/100</f>
        <v>37.729999999999997</v>
      </c>
      <c r="CQ28" s="85">
        <f>'Raw Data'!CQ29/100</f>
        <v>37.15</v>
      </c>
      <c r="CR28" s="85">
        <f>'Raw Data'!CR29/100</f>
        <v>37.35</v>
      </c>
      <c r="CS28" s="85">
        <f>'Raw Data'!CS29/100</f>
        <v>37.19</v>
      </c>
      <c r="CT28" s="85">
        <f>'Raw Data'!CT29/100</f>
        <v>36.61</v>
      </c>
      <c r="CU28" s="382"/>
    </row>
    <row r="29" spans="4:99" s="86" customFormat="1" x14ac:dyDescent="0.2">
      <c r="D29" s="348"/>
      <c r="E29" s="164"/>
      <c r="F29" s="394"/>
      <c r="G29" s="86">
        <f>'Raw Data'!G30</f>
        <v>38</v>
      </c>
      <c r="H29" s="86">
        <f>'Raw Data'!H30</f>
        <v>31</v>
      </c>
      <c r="I29" s="86">
        <f>'Raw Data'!I30</f>
        <v>31</v>
      </c>
      <c r="J29" s="86">
        <f>'Raw Data'!J30</f>
        <v>35</v>
      </c>
      <c r="K29" s="86">
        <f>'Raw Data'!K30</f>
        <v>35</v>
      </c>
      <c r="L29" s="86">
        <f>'Raw Data'!L30</f>
        <v>34</v>
      </c>
      <c r="M29" s="86">
        <f>'Raw Data'!M30</f>
        <v>42</v>
      </c>
      <c r="N29" s="86">
        <f>'Raw Data'!N30</f>
        <v>41</v>
      </c>
      <c r="O29" s="86">
        <f>'Raw Data'!O30</f>
        <v>39</v>
      </c>
      <c r="P29" s="86">
        <f>'Raw Data'!P30</f>
        <v>30</v>
      </c>
      <c r="Q29" s="86">
        <f>'Raw Data'!Q30</f>
        <v>39</v>
      </c>
      <c r="R29" s="86">
        <f>'Raw Data'!R30</f>
        <v>38</v>
      </c>
      <c r="S29" s="86">
        <f>'Raw Data'!S30</f>
        <v>44</v>
      </c>
      <c r="T29" s="86">
        <f>'Raw Data'!T30</f>
        <v>39</v>
      </c>
      <c r="U29" s="86">
        <f>'Raw Data'!U30</f>
        <v>39</v>
      </c>
      <c r="V29" s="86">
        <f>'Raw Data'!V30</f>
        <v>43</v>
      </c>
      <c r="W29" s="86">
        <f>'Raw Data'!W30</f>
        <v>43</v>
      </c>
      <c r="X29" s="86">
        <f>'Raw Data'!X30</f>
        <v>32</v>
      </c>
      <c r="Y29" s="86">
        <f>'Raw Data'!Y30</f>
        <v>38</v>
      </c>
      <c r="Z29" s="86">
        <f>'Raw Data'!Z30</f>
        <v>31</v>
      </c>
      <c r="AA29" s="86">
        <f>'Raw Data'!AA30/10</f>
        <v>38.5</v>
      </c>
      <c r="AB29" s="86">
        <f>'Raw Data'!AB30/10</f>
        <v>38.700000000000003</v>
      </c>
      <c r="AC29" s="86">
        <f>'Raw Data'!AC30/10</f>
        <v>39.700000000000003</v>
      </c>
      <c r="AD29" s="86">
        <f>'Raw Data'!AD30/10</f>
        <v>39.200000000000003</v>
      </c>
      <c r="AE29" s="86">
        <f>'Raw Data'!AE30/10</f>
        <v>41.5</v>
      </c>
      <c r="AF29" s="86">
        <f>'Raw Data'!AF30/10</f>
        <v>40.700000000000003</v>
      </c>
      <c r="AG29" s="86">
        <f>'Raw Data'!AG30/10</f>
        <v>38.5</v>
      </c>
      <c r="AH29" s="86">
        <f>'Raw Data'!AH30/10</f>
        <v>36.9</v>
      </c>
      <c r="AI29" s="86">
        <f>'Raw Data'!AI30/10</f>
        <v>36.299999999999997</v>
      </c>
      <c r="AJ29" s="86">
        <f>'Raw Data'!AJ30/10</f>
        <v>38.1</v>
      </c>
      <c r="AK29" s="86">
        <f>'Raw Data'!AK30/10</f>
        <v>41.7</v>
      </c>
      <c r="AL29" s="86">
        <f>'Raw Data'!AL30/10</f>
        <v>31.7</v>
      </c>
      <c r="AM29" s="86">
        <f>'Raw Data'!AM30/10</f>
        <v>35.5</v>
      </c>
      <c r="AN29" s="86">
        <f>'Raw Data'!AN30/10</f>
        <v>37.1</v>
      </c>
      <c r="AO29" s="86">
        <f>'Raw Data'!AO30/10</f>
        <v>37.299999999999997</v>
      </c>
      <c r="AP29" s="86">
        <f>'Raw Data'!AP30/10</f>
        <v>36.4</v>
      </c>
      <c r="AQ29" s="86">
        <f>'Raw Data'!AQ30/10</f>
        <v>38.5</v>
      </c>
      <c r="AR29" s="86">
        <f>'Raw Data'!AR30/10</f>
        <v>37.200000000000003</v>
      </c>
      <c r="AS29" s="86">
        <f>'Raw Data'!AS30/10</f>
        <v>38.200000000000003</v>
      </c>
      <c r="AT29" s="86">
        <f>'Raw Data'!AT30/10</f>
        <v>34.9</v>
      </c>
      <c r="AU29" s="86">
        <f>'Raw Data'!AU30/10</f>
        <v>33.799999999999997</v>
      </c>
      <c r="AV29" s="86">
        <f>'Raw Data'!AV30/10</f>
        <v>35.1</v>
      </c>
      <c r="AW29" s="86">
        <f>'Raw Data'!AW30/10</f>
        <v>37.299999999999997</v>
      </c>
      <c r="AX29" s="86">
        <f>'Raw Data'!AX30/10</f>
        <v>36.799999999999997</v>
      </c>
      <c r="AY29" s="86">
        <f>'Raw Data'!AY30/10</f>
        <v>33.1</v>
      </c>
      <c r="AZ29" s="86">
        <f>'Raw Data'!AZ30/10</f>
        <v>34.299999999999997</v>
      </c>
      <c r="BA29" s="86">
        <f>'Raw Data'!BA30/10</f>
        <v>34.299999999999997</v>
      </c>
      <c r="BB29" s="86">
        <f>'Raw Data'!BB30/10</f>
        <v>32.700000000000003</v>
      </c>
      <c r="BC29" s="86">
        <f>'Raw Data'!BC30/10</f>
        <v>34.200000000000003</v>
      </c>
      <c r="BD29" s="86">
        <f>'Raw Data'!BD30/10</f>
        <v>33.6</v>
      </c>
      <c r="BE29" s="86">
        <f>'Raw Data'!BE30/10</f>
        <v>34.9</v>
      </c>
      <c r="BF29" s="86">
        <f>'Raw Data'!BF30/10</f>
        <v>31.6</v>
      </c>
      <c r="BG29" s="86">
        <f>'Raw Data'!BG30/10</f>
        <v>32.9</v>
      </c>
      <c r="BH29" s="86">
        <f>'Raw Data'!BH30/10</f>
        <v>33.6</v>
      </c>
      <c r="BI29" s="86">
        <f>'Raw Data'!BI30/10</f>
        <v>31.3</v>
      </c>
      <c r="BJ29" s="86">
        <f>'Raw Data'!BJ30/10</f>
        <v>33.4</v>
      </c>
      <c r="BK29" s="86">
        <f>'Raw Data'!BK30/10</f>
        <v>33</v>
      </c>
      <c r="BL29" s="86">
        <f>'Raw Data'!BL30/10</f>
        <v>32.9</v>
      </c>
      <c r="BM29" s="86">
        <f>'Raw Data'!BM30/10</f>
        <v>31.5</v>
      </c>
      <c r="BN29" s="86">
        <f>'Raw Data'!BN30/10</f>
        <v>32.700000000000003</v>
      </c>
      <c r="BO29" s="86">
        <f>'Raw Data'!BO30/10</f>
        <v>31.1</v>
      </c>
      <c r="BP29" s="86">
        <f>'Raw Data'!BP30/10</f>
        <v>31.4</v>
      </c>
      <c r="BQ29" s="86">
        <f>'Raw Data'!BQ30/10</f>
        <v>33.200000000000003</v>
      </c>
      <c r="BR29" s="86">
        <f>'Raw Data'!BR30/10</f>
        <v>31.6</v>
      </c>
      <c r="BS29" s="86">
        <f>'Raw Data'!BS30/10</f>
        <v>32.9</v>
      </c>
      <c r="BT29" s="86">
        <f>'Raw Data'!BT30/10</f>
        <v>32</v>
      </c>
      <c r="BU29" s="86">
        <f>'Raw Data'!BU30/10</f>
        <v>31.4</v>
      </c>
      <c r="BV29" s="86">
        <f>'Raw Data'!BV30/10</f>
        <v>28.5</v>
      </c>
      <c r="BW29" s="86">
        <f>'Raw Data'!BW30/10</f>
        <v>30.8</v>
      </c>
      <c r="BX29" s="86">
        <f>'Raw Data'!BX30/10</f>
        <v>30</v>
      </c>
      <c r="BY29" s="86">
        <f>'Raw Data'!BY30/10</f>
        <v>29.8</v>
      </c>
      <c r="BZ29" s="86">
        <f>'Raw Data'!BZ30/10</f>
        <v>32.299999999999997</v>
      </c>
      <c r="CA29" s="86">
        <f>'Raw Data'!CA30/10</f>
        <v>29.4</v>
      </c>
      <c r="CB29" s="86">
        <f>'Raw Data'!CB30/10</f>
        <v>32.6</v>
      </c>
      <c r="CC29" s="86">
        <f>'Raw Data'!CC30/10</f>
        <v>31.4</v>
      </c>
      <c r="CD29" s="86">
        <f>'Raw Data'!CD30/10</f>
        <v>34.299999999999997</v>
      </c>
      <c r="CE29" s="86">
        <f>'Raw Data'!CE30/10</f>
        <v>31.9</v>
      </c>
      <c r="CF29" s="86">
        <f>'Raw Data'!CF30/10</f>
        <v>30.4</v>
      </c>
      <c r="CG29" s="86">
        <f>'Raw Data'!CG30/100</f>
        <v>31.61</v>
      </c>
      <c r="CH29" s="86">
        <f>'Raw Data'!CH30/100</f>
        <v>30.35</v>
      </c>
      <c r="CI29" s="86">
        <f>'Raw Data'!CI30/100</f>
        <v>30.69</v>
      </c>
      <c r="CJ29" s="86">
        <f>'Raw Data'!CJ30/100</f>
        <v>29.39</v>
      </c>
      <c r="CK29" s="86">
        <f>'Raw Data'!CK30/100</f>
        <v>29.54</v>
      </c>
      <c r="CL29" s="86">
        <f>'Raw Data'!CL30/100</f>
        <v>29.29</v>
      </c>
      <c r="CM29" s="86">
        <f>'Raw Data'!CM30/100</f>
        <v>29.42</v>
      </c>
      <c r="CN29" s="86">
        <f>'Raw Data'!CN30/100</f>
        <v>29.66</v>
      </c>
      <c r="CO29" s="86">
        <f>'Raw Data'!CO30/100</f>
        <v>28.22</v>
      </c>
      <c r="CP29" s="86">
        <f>'Raw Data'!CP30/100</f>
        <v>28.32</v>
      </c>
      <c r="CQ29" s="86">
        <f>'Raw Data'!CQ30/100</f>
        <v>28.31</v>
      </c>
      <c r="CR29" s="86">
        <f>'Raw Data'!CR30/100</f>
        <v>27.82</v>
      </c>
      <c r="CS29" s="86">
        <f>'Raw Data'!CS30/100</f>
        <v>28.39</v>
      </c>
      <c r="CT29" s="86">
        <f>'Raw Data'!CT30/100</f>
        <v>27.83</v>
      </c>
      <c r="CU29" s="382"/>
    </row>
    <row r="30" spans="4:99" s="86" customFormat="1" x14ac:dyDescent="0.2">
      <c r="D30" s="348"/>
      <c r="E30" s="164"/>
      <c r="F30" s="394"/>
      <c r="G30" s="86">
        <f>'Raw Data'!G31</f>
        <v>27</v>
      </c>
      <c r="H30" s="86">
        <f>'Raw Data'!H31</f>
        <v>33</v>
      </c>
      <c r="I30" s="86">
        <f>'Raw Data'!I31</f>
        <v>32</v>
      </c>
      <c r="J30" s="86">
        <f>'Raw Data'!J31</f>
        <v>30</v>
      </c>
      <c r="K30" s="86">
        <f>'Raw Data'!K31</f>
        <v>27</v>
      </c>
      <c r="L30" s="86">
        <f>'Raw Data'!L31</f>
        <v>25</v>
      </c>
      <c r="M30" s="86">
        <f>'Raw Data'!M31</f>
        <v>31</v>
      </c>
      <c r="N30" s="86">
        <f>'Raw Data'!N31</f>
        <v>28</v>
      </c>
      <c r="O30" s="86">
        <f>'Raw Data'!O31</f>
        <v>32</v>
      </c>
      <c r="P30" s="86">
        <f>'Raw Data'!P31</f>
        <v>33</v>
      </c>
      <c r="Q30" s="86">
        <f>'Raw Data'!Q31</f>
        <v>31</v>
      </c>
      <c r="R30" s="86">
        <f>'Raw Data'!R31</f>
        <v>24</v>
      </c>
      <c r="S30" s="86">
        <f>'Raw Data'!S31</f>
        <v>27</v>
      </c>
      <c r="T30" s="86">
        <f>'Raw Data'!T31</f>
        <v>25</v>
      </c>
      <c r="U30" s="86">
        <f>'Raw Data'!U31</f>
        <v>37</v>
      </c>
      <c r="V30" s="86">
        <f>'Raw Data'!V31</f>
        <v>38</v>
      </c>
      <c r="W30" s="86">
        <f>'Raw Data'!W31</f>
        <v>33</v>
      </c>
      <c r="X30" s="86">
        <f>'Raw Data'!X31</f>
        <v>26</v>
      </c>
      <c r="Y30" s="86">
        <f>'Raw Data'!Y31</f>
        <v>30</v>
      </c>
      <c r="Z30" s="86">
        <f>'Raw Data'!Z31</f>
        <v>33</v>
      </c>
      <c r="AA30" s="86">
        <f>'Raw Data'!AA31/10</f>
        <v>30.4</v>
      </c>
      <c r="AB30" s="86">
        <f>'Raw Data'!AB31/10</f>
        <v>31.6</v>
      </c>
      <c r="AC30" s="86">
        <f>'Raw Data'!AC31/10</f>
        <v>33.1</v>
      </c>
      <c r="AD30" s="86">
        <f>'Raw Data'!AD31/10</f>
        <v>33.4</v>
      </c>
      <c r="AE30" s="86">
        <f>'Raw Data'!AE31/10</f>
        <v>33.700000000000003</v>
      </c>
      <c r="AF30" s="86">
        <f>'Raw Data'!AF31/10</f>
        <v>32.700000000000003</v>
      </c>
      <c r="AG30" s="86">
        <f>'Raw Data'!AG31/10</f>
        <v>33.200000000000003</v>
      </c>
      <c r="AH30" s="86">
        <f>'Raw Data'!AH31/10</f>
        <v>32.200000000000003</v>
      </c>
      <c r="AI30" s="86">
        <f>'Raw Data'!AI31/10</f>
        <v>30.8</v>
      </c>
      <c r="AJ30" s="86">
        <f>'Raw Data'!AJ31/10</f>
        <v>29.4</v>
      </c>
      <c r="AK30" s="86">
        <f>'Raw Data'!AK31/10</f>
        <v>30.7</v>
      </c>
      <c r="AL30" s="86">
        <f>'Raw Data'!AL31/10</f>
        <v>29.8</v>
      </c>
      <c r="AM30" s="86">
        <f>'Raw Data'!AM31/10</f>
        <v>29</v>
      </c>
      <c r="AN30" s="86">
        <f>'Raw Data'!AN31/10</f>
        <v>30.6</v>
      </c>
      <c r="AO30" s="86">
        <f>'Raw Data'!AO31/10</f>
        <v>27.7</v>
      </c>
      <c r="AP30" s="86">
        <f>'Raw Data'!AP31/10</f>
        <v>27.1</v>
      </c>
      <c r="AQ30" s="86">
        <f>'Raw Data'!AQ31/10</f>
        <v>29.2</v>
      </c>
      <c r="AR30" s="86">
        <f>'Raw Data'!AR31/10</f>
        <v>30.3</v>
      </c>
      <c r="AS30" s="86">
        <f>'Raw Data'!AS31/10</f>
        <v>31.2</v>
      </c>
      <c r="AT30" s="86">
        <f>'Raw Data'!AT31/10</f>
        <v>30.3</v>
      </c>
      <c r="AU30" s="86">
        <f>'Raw Data'!AU31/10</f>
        <v>27.1</v>
      </c>
      <c r="AV30" s="86">
        <f>'Raw Data'!AV31/10</f>
        <v>27.2</v>
      </c>
      <c r="AW30" s="86">
        <f>'Raw Data'!AW31/10</f>
        <v>26.7</v>
      </c>
      <c r="AX30" s="86">
        <f>'Raw Data'!AX31/10</f>
        <v>26.6</v>
      </c>
      <c r="AY30" s="86">
        <f>'Raw Data'!AY31/10</f>
        <v>27</v>
      </c>
      <c r="AZ30" s="86">
        <f>'Raw Data'!AZ31/10</f>
        <v>29.3</v>
      </c>
      <c r="BA30" s="86">
        <f>'Raw Data'!BA31/10</f>
        <v>28.3</v>
      </c>
      <c r="BB30" s="86">
        <f>'Raw Data'!BB31/10</f>
        <v>25.9</v>
      </c>
      <c r="BC30" s="86">
        <f>'Raw Data'!BC31/10</f>
        <v>27.4</v>
      </c>
      <c r="BD30" s="86">
        <f>'Raw Data'!BD31/10</f>
        <v>26.1</v>
      </c>
      <c r="BE30" s="86">
        <f>'Raw Data'!BE31/10</f>
        <v>27</v>
      </c>
      <c r="BF30" s="86">
        <f>'Raw Data'!BF31/10</f>
        <v>27.7</v>
      </c>
      <c r="BG30" s="86">
        <f>'Raw Data'!BG31/10</f>
        <v>24.8</v>
      </c>
      <c r="BH30" s="86">
        <f>'Raw Data'!BH31/10</f>
        <v>27.5</v>
      </c>
      <c r="BI30" s="86">
        <f>'Raw Data'!BI31/10</f>
        <v>27.7</v>
      </c>
      <c r="BJ30" s="86">
        <f>'Raw Data'!BJ31/10</f>
        <v>26.2</v>
      </c>
      <c r="BK30" s="86">
        <f>'Raw Data'!BK31/10</f>
        <v>26.2</v>
      </c>
      <c r="BL30" s="86">
        <f>'Raw Data'!BL31/10</f>
        <v>28.1</v>
      </c>
      <c r="BM30" s="86">
        <f>'Raw Data'!BM31/10</f>
        <v>26</v>
      </c>
      <c r="BN30" s="86">
        <f>'Raw Data'!BN31/10</f>
        <v>25.2</v>
      </c>
      <c r="BO30" s="86">
        <f>'Raw Data'!BO31/10</f>
        <v>25.9</v>
      </c>
      <c r="BP30" s="86">
        <f>'Raw Data'!BP31/10</f>
        <v>25.4</v>
      </c>
      <c r="BQ30" s="86">
        <f>'Raw Data'!BQ31/10</f>
        <v>25.4</v>
      </c>
      <c r="BR30" s="86">
        <f>'Raw Data'!BR31/10</f>
        <v>27</v>
      </c>
      <c r="BS30" s="86">
        <f>'Raw Data'!BS31/10</f>
        <v>25</v>
      </c>
      <c r="BT30" s="86">
        <f>'Raw Data'!BT31/10</f>
        <v>25.2</v>
      </c>
      <c r="BU30" s="86">
        <f>'Raw Data'!BU31/10</f>
        <v>25.7</v>
      </c>
      <c r="BV30" s="86">
        <f>'Raw Data'!BV31/10</f>
        <v>24.7</v>
      </c>
      <c r="BW30" s="86">
        <f>'Raw Data'!BW31/10</f>
        <v>25.9</v>
      </c>
      <c r="BX30" s="86">
        <f>'Raw Data'!BX31/10</f>
        <v>27.3</v>
      </c>
      <c r="BY30" s="86">
        <f>'Raw Data'!BY31/10</f>
        <v>23.8</v>
      </c>
      <c r="BZ30" s="86">
        <f>'Raw Data'!BZ31/10</f>
        <v>25.6</v>
      </c>
      <c r="CA30" s="86">
        <f>'Raw Data'!CA31/10</f>
        <v>22.2</v>
      </c>
      <c r="CB30" s="86">
        <f>'Raw Data'!CB31/10</f>
        <v>25</v>
      </c>
      <c r="CC30" s="86">
        <f>'Raw Data'!CC31/10</f>
        <v>25.2</v>
      </c>
      <c r="CD30" s="86">
        <f>'Raw Data'!CD31/10</f>
        <v>25.9</v>
      </c>
      <c r="CE30" s="86">
        <f>'Raw Data'!CE31/10</f>
        <v>21.7</v>
      </c>
      <c r="CF30" s="86">
        <f>'Raw Data'!CF31/10</f>
        <v>23.2</v>
      </c>
      <c r="CG30" s="86">
        <f>'Raw Data'!CG31/100</f>
        <v>24.57</v>
      </c>
      <c r="CH30" s="86">
        <f>'Raw Data'!CH31/100</f>
        <v>23.38</v>
      </c>
      <c r="CI30" s="86">
        <f>'Raw Data'!CI31/100</f>
        <v>24.28</v>
      </c>
      <c r="CJ30" s="86">
        <f>'Raw Data'!CJ31/100</f>
        <v>22.97</v>
      </c>
      <c r="CK30" s="86">
        <f>'Raw Data'!CK31/100</f>
        <v>22.48</v>
      </c>
      <c r="CL30" s="86">
        <f>'Raw Data'!CL31/100</f>
        <v>22.33</v>
      </c>
      <c r="CM30" s="86">
        <f>'Raw Data'!CM31/100</f>
        <v>22.6</v>
      </c>
      <c r="CN30" s="86">
        <f>'Raw Data'!CN31/100</f>
        <v>22.22</v>
      </c>
      <c r="CO30" s="86">
        <f>'Raw Data'!CO31/100</f>
        <v>22.28</v>
      </c>
      <c r="CP30" s="86">
        <f>'Raw Data'!CP31/100</f>
        <v>22.24</v>
      </c>
      <c r="CQ30" s="86">
        <f>'Raw Data'!CQ31/100</f>
        <v>21.76</v>
      </c>
      <c r="CR30" s="86">
        <f>'Raw Data'!CR31/100</f>
        <v>21.61</v>
      </c>
      <c r="CS30" s="86">
        <f>'Raw Data'!CS31/100</f>
        <v>20.95</v>
      </c>
      <c r="CT30" s="86">
        <f>'Raw Data'!CT31/100</f>
        <v>21.44</v>
      </c>
      <c r="CU30" s="382"/>
    </row>
    <row r="31" spans="4:99" s="86" customFormat="1" x14ac:dyDescent="0.2">
      <c r="D31" s="348"/>
      <c r="E31" s="164"/>
      <c r="F31" s="394"/>
      <c r="G31" s="86">
        <f>'Raw Data'!G32</f>
        <v>23</v>
      </c>
      <c r="H31" s="86">
        <f>'Raw Data'!H32</f>
        <v>28</v>
      </c>
      <c r="I31" s="86">
        <f>'Raw Data'!I32</f>
        <v>27</v>
      </c>
      <c r="J31" s="86">
        <f>'Raw Data'!J32</f>
        <v>27</v>
      </c>
      <c r="K31" s="86">
        <f>'Raw Data'!K32</f>
        <v>27</v>
      </c>
      <c r="L31" s="86">
        <f>'Raw Data'!L32</f>
        <v>25</v>
      </c>
      <c r="M31" s="86">
        <f>'Raw Data'!M32</f>
        <v>28</v>
      </c>
      <c r="N31" s="86">
        <f>'Raw Data'!N32</f>
        <v>24</v>
      </c>
      <c r="O31" s="86">
        <f>'Raw Data'!O32</f>
        <v>26</v>
      </c>
      <c r="P31" s="86">
        <f>'Raw Data'!P32</f>
        <v>28</v>
      </c>
      <c r="Q31" s="86">
        <f>'Raw Data'!Q32</f>
        <v>31</v>
      </c>
      <c r="R31" s="86">
        <f>'Raw Data'!R32</f>
        <v>33</v>
      </c>
      <c r="S31" s="86">
        <f>'Raw Data'!S32</f>
        <v>34</v>
      </c>
      <c r="T31" s="86">
        <f>'Raw Data'!T32</f>
        <v>27</v>
      </c>
      <c r="U31" s="86">
        <f>'Raw Data'!U32</f>
        <v>26</v>
      </c>
      <c r="V31" s="86">
        <f>'Raw Data'!V32</f>
        <v>27</v>
      </c>
      <c r="W31" s="86">
        <f>'Raw Data'!W32</f>
        <v>27</v>
      </c>
      <c r="X31" s="86">
        <f>'Raw Data'!X32</f>
        <v>28</v>
      </c>
      <c r="Y31" s="86">
        <f>'Raw Data'!Y32</f>
        <v>24</v>
      </c>
      <c r="Z31" s="86">
        <f>'Raw Data'!Z32</f>
        <v>27</v>
      </c>
      <c r="AA31" s="86">
        <f>'Raw Data'!AA32/10</f>
        <v>28.3</v>
      </c>
      <c r="AB31" s="86">
        <f>'Raw Data'!AB32/10</f>
        <v>29.5</v>
      </c>
      <c r="AC31" s="86">
        <f>'Raw Data'!AC32/10</f>
        <v>28</v>
      </c>
      <c r="AD31" s="86">
        <f>'Raw Data'!AD32/10</f>
        <v>28.6</v>
      </c>
      <c r="AE31" s="86">
        <f>'Raw Data'!AE32/10</f>
        <v>28.3</v>
      </c>
      <c r="AF31" s="86">
        <f>'Raw Data'!AF32/10</f>
        <v>28.6</v>
      </c>
      <c r="AG31" s="86">
        <f>'Raw Data'!AG32/10</f>
        <v>27.2</v>
      </c>
      <c r="AH31" s="86">
        <f>'Raw Data'!AH32/10</f>
        <v>25.9</v>
      </c>
      <c r="AI31" s="86">
        <f>'Raw Data'!AI32/10</f>
        <v>27</v>
      </c>
      <c r="AJ31" s="86">
        <f>'Raw Data'!AJ32/10</f>
        <v>27.5</v>
      </c>
      <c r="AK31" s="86">
        <f>'Raw Data'!AK32/10</f>
        <v>25.6</v>
      </c>
      <c r="AL31" s="86">
        <f>'Raw Data'!AL32/10</f>
        <v>24.9</v>
      </c>
      <c r="AM31" s="86">
        <f>'Raw Data'!AM32/10</f>
        <v>28.7</v>
      </c>
      <c r="AN31" s="86">
        <f>'Raw Data'!AN32/10</f>
        <v>25.8</v>
      </c>
      <c r="AO31" s="86">
        <f>'Raw Data'!AO32/10</f>
        <v>27.2</v>
      </c>
      <c r="AP31" s="86">
        <f>'Raw Data'!AP32/10</f>
        <v>24.6</v>
      </c>
      <c r="AQ31" s="86">
        <f>'Raw Data'!AQ32/10</f>
        <v>24.9</v>
      </c>
      <c r="AR31" s="86">
        <f>'Raw Data'!AR32/10</f>
        <v>24.9</v>
      </c>
      <c r="AS31" s="86">
        <f>'Raw Data'!AS32/10</f>
        <v>25.1</v>
      </c>
      <c r="AT31" s="86">
        <f>'Raw Data'!AT32/10</f>
        <v>25.4</v>
      </c>
      <c r="AU31" s="86">
        <f>'Raw Data'!AU32/10</f>
        <v>23.7</v>
      </c>
      <c r="AV31" s="86">
        <f>'Raw Data'!AV32/10</f>
        <v>22.9</v>
      </c>
      <c r="AW31" s="86">
        <f>'Raw Data'!AW32/10</f>
        <v>22.7</v>
      </c>
      <c r="AX31" s="86">
        <f>'Raw Data'!AX32/10</f>
        <v>24.2</v>
      </c>
      <c r="AY31" s="86">
        <f>'Raw Data'!AY32/10</f>
        <v>23.3</v>
      </c>
      <c r="AZ31" s="86">
        <f>'Raw Data'!AZ32/10</f>
        <v>25.4</v>
      </c>
      <c r="BA31" s="86">
        <f>'Raw Data'!BA32/10</f>
        <v>24.3</v>
      </c>
      <c r="BB31" s="86">
        <f>'Raw Data'!BB32/10</f>
        <v>23.7</v>
      </c>
      <c r="BC31" s="86">
        <f>'Raw Data'!BC32/10</f>
        <v>23.9</v>
      </c>
      <c r="BD31" s="86">
        <f>'Raw Data'!BD32/10</f>
        <v>22.8</v>
      </c>
      <c r="BE31" s="86">
        <f>'Raw Data'!BE32/10</f>
        <v>23.5</v>
      </c>
      <c r="BF31" s="86">
        <f>'Raw Data'!BF32/10</f>
        <v>21.5</v>
      </c>
      <c r="BG31" s="86">
        <f>'Raw Data'!BG32/10</f>
        <v>21.7</v>
      </c>
      <c r="BH31" s="86">
        <f>'Raw Data'!BH32/10</f>
        <v>22.2</v>
      </c>
      <c r="BI31" s="86">
        <f>'Raw Data'!BI32/10</f>
        <v>22.1</v>
      </c>
      <c r="BJ31" s="86">
        <f>'Raw Data'!BJ32/10</f>
        <v>21.9</v>
      </c>
      <c r="BK31" s="86">
        <f>'Raw Data'!BK32/10</f>
        <v>21.9</v>
      </c>
      <c r="BL31" s="86">
        <f>'Raw Data'!BL32/10</f>
        <v>21.9</v>
      </c>
      <c r="BM31" s="86">
        <f>'Raw Data'!BM32/10</f>
        <v>21.2</v>
      </c>
      <c r="BN31" s="86">
        <f>'Raw Data'!BN32/10</f>
        <v>21.5</v>
      </c>
      <c r="BO31" s="86">
        <f>'Raw Data'!BO32/10</f>
        <v>23.3</v>
      </c>
      <c r="BP31" s="86">
        <f>'Raw Data'!BP32/10</f>
        <v>24.4</v>
      </c>
      <c r="BQ31" s="86">
        <f>'Raw Data'!BQ32/10</f>
        <v>21.9</v>
      </c>
      <c r="BR31" s="86">
        <f>'Raw Data'!BR32/10</f>
        <v>22.3</v>
      </c>
      <c r="BS31" s="86">
        <f>'Raw Data'!BS32/10</f>
        <v>20.6</v>
      </c>
      <c r="BT31" s="86">
        <f>'Raw Data'!BT32/10</f>
        <v>21.1</v>
      </c>
      <c r="BU31" s="86">
        <f>'Raw Data'!BU32/10</f>
        <v>22.6</v>
      </c>
      <c r="BV31" s="86">
        <f>'Raw Data'!BV32/10</f>
        <v>22.7</v>
      </c>
      <c r="BW31" s="86">
        <f>'Raw Data'!BW32/10</f>
        <v>23</v>
      </c>
      <c r="BX31" s="86">
        <f>'Raw Data'!BX32/10</f>
        <v>21.1</v>
      </c>
      <c r="BY31" s="86">
        <f>'Raw Data'!BY32/10</f>
        <v>21.1</v>
      </c>
      <c r="BZ31" s="86">
        <f>'Raw Data'!BZ32/10</f>
        <v>22</v>
      </c>
      <c r="CA31" s="86">
        <f>'Raw Data'!CA32/10</f>
        <v>22.1</v>
      </c>
      <c r="CB31" s="86">
        <f>'Raw Data'!CB32/10</f>
        <v>21.2</v>
      </c>
      <c r="CC31" s="86">
        <f>'Raw Data'!CC32/10</f>
        <v>23.5</v>
      </c>
      <c r="CD31" s="86">
        <f>'Raw Data'!CD32/10</f>
        <v>20.5</v>
      </c>
      <c r="CE31" s="86">
        <f>'Raw Data'!CE32/10</f>
        <v>21.8</v>
      </c>
      <c r="CF31" s="86">
        <f>'Raw Data'!CF32/10</f>
        <v>21.9</v>
      </c>
      <c r="CG31" s="86">
        <f>'Raw Data'!CG32/100</f>
        <v>21.06</v>
      </c>
      <c r="CH31" s="86">
        <f>'Raw Data'!CH32/100</f>
        <v>20.97</v>
      </c>
      <c r="CI31" s="86">
        <f>'Raw Data'!CI32/100</f>
        <v>20.98</v>
      </c>
      <c r="CJ31" s="86">
        <f>'Raw Data'!CJ32/100</f>
        <v>20.91</v>
      </c>
      <c r="CK31" s="86">
        <f>'Raw Data'!CK32/100</f>
        <v>20.23</v>
      </c>
      <c r="CL31" s="86">
        <f>'Raw Data'!CL32/100</f>
        <v>19.79</v>
      </c>
      <c r="CM31" s="86">
        <f>'Raw Data'!CM32/100</f>
        <v>20.079999999999998</v>
      </c>
      <c r="CN31" s="86">
        <f>'Raw Data'!CN32/100</f>
        <v>19.43</v>
      </c>
      <c r="CO31" s="86">
        <f>'Raw Data'!CO32/100</f>
        <v>19.45</v>
      </c>
      <c r="CP31" s="86">
        <f>'Raw Data'!CP32/100</f>
        <v>19.05</v>
      </c>
      <c r="CQ31" s="86">
        <f>'Raw Data'!CQ32/100</f>
        <v>19.05</v>
      </c>
      <c r="CR31" s="86">
        <f>'Raw Data'!CR32/100</f>
        <v>19.32</v>
      </c>
      <c r="CS31" s="86">
        <f>'Raw Data'!CS32/100</f>
        <v>19.45</v>
      </c>
      <c r="CT31" s="86">
        <f>'Raw Data'!CT32/100</f>
        <v>19.53</v>
      </c>
      <c r="CU31" s="382"/>
    </row>
    <row r="32" spans="4:99" s="86" customFormat="1" x14ac:dyDescent="0.2">
      <c r="D32" s="348"/>
      <c r="E32" s="164"/>
      <c r="F32" s="394"/>
      <c r="G32" s="86">
        <f>'Raw Data'!G33</f>
        <v>27</v>
      </c>
      <c r="H32" s="86">
        <f>'Raw Data'!H33</f>
        <v>23</v>
      </c>
      <c r="I32" s="86">
        <f>'Raw Data'!I33</f>
        <v>25</v>
      </c>
      <c r="J32" s="86">
        <f>'Raw Data'!J33</f>
        <v>25</v>
      </c>
      <c r="K32" s="86">
        <f>'Raw Data'!K33</f>
        <v>23</v>
      </c>
      <c r="L32" s="86">
        <f>'Raw Data'!L33</f>
        <v>20</v>
      </c>
      <c r="M32" s="86">
        <f>'Raw Data'!M33</f>
        <v>29</v>
      </c>
      <c r="N32" s="86">
        <f>'Raw Data'!N33</f>
        <v>25</v>
      </c>
      <c r="O32" s="86">
        <f>'Raw Data'!O33</f>
        <v>17</v>
      </c>
      <c r="P32" s="86">
        <f>'Raw Data'!P33</f>
        <v>31</v>
      </c>
      <c r="Q32" s="86">
        <f>'Raw Data'!Q33</f>
        <v>16</v>
      </c>
      <c r="R32" s="86">
        <f>'Raw Data'!R33</f>
        <v>24</v>
      </c>
      <c r="S32" s="86">
        <f>'Raw Data'!S33</f>
        <v>30</v>
      </c>
      <c r="T32" s="86">
        <f>'Raw Data'!T33</f>
        <v>34</v>
      </c>
      <c r="U32" s="86">
        <f>'Raw Data'!U33</f>
        <v>29</v>
      </c>
      <c r="V32" s="86">
        <f>'Raw Data'!V33</f>
        <v>26</v>
      </c>
      <c r="W32" s="86">
        <f>'Raw Data'!W33</f>
        <v>23</v>
      </c>
      <c r="X32" s="86">
        <f>'Raw Data'!X33</f>
        <v>28</v>
      </c>
      <c r="Y32" s="86">
        <f>'Raw Data'!Y33</f>
        <v>21</v>
      </c>
      <c r="Z32" s="86">
        <f>'Raw Data'!Z33</f>
        <v>31</v>
      </c>
      <c r="AA32" s="86">
        <f>'Raw Data'!AA33/10</f>
        <v>26.8</v>
      </c>
      <c r="AB32" s="86">
        <f>'Raw Data'!AB33/10</f>
        <v>28.1</v>
      </c>
      <c r="AC32" s="86">
        <f>'Raw Data'!AC33/10</f>
        <v>28.5</v>
      </c>
      <c r="AD32" s="86">
        <f>'Raw Data'!AD33/10</f>
        <v>25.7</v>
      </c>
      <c r="AE32" s="86">
        <f>'Raw Data'!AE33/10</f>
        <v>25.7</v>
      </c>
      <c r="AF32" s="86">
        <f>'Raw Data'!AF33/10</f>
        <v>24.5</v>
      </c>
      <c r="AG32" s="86">
        <f>'Raw Data'!AG33/10</f>
        <v>25.7</v>
      </c>
      <c r="AH32" s="86">
        <f>'Raw Data'!AH33/10</f>
        <v>24.7</v>
      </c>
      <c r="AI32" s="86">
        <f>'Raw Data'!AI33/10</f>
        <v>25.4</v>
      </c>
      <c r="AJ32" s="86">
        <f>'Raw Data'!AJ33/10</f>
        <v>24.4</v>
      </c>
      <c r="AK32" s="86">
        <f>'Raw Data'!AK33/10</f>
        <v>25.6</v>
      </c>
      <c r="AL32" s="86">
        <f>'Raw Data'!AL33/10</f>
        <v>23.4</v>
      </c>
      <c r="AM32" s="86">
        <f>'Raw Data'!AM33/10</f>
        <v>24.2</v>
      </c>
      <c r="AN32" s="86">
        <f>'Raw Data'!AN33/10</f>
        <v>25.6</v>
      </c>
      <c r="AO32" s="86">
        <f>'Raw Data'!AO33/10</f>
        <v>22.6</v>
      </c>
      <c r="AP32" s="86">
        <f>'Raw Data'!AP33/10</f>
        <v>23.1</v>
      </c>
      <c r="AQ32" s="86">
        <f>'Raw Data'!AQ33/10</f>
        <v>23.5</v>
      </c>
      <c r="AR32" s="86">
        <f>'Raw Data'!AR33/10</f>
        <v>23.8</v>
      </c>
      <c r="AS32" s="86">
        <f>'Raw Data'!AS33/10</f>
        <v>23.1</v>
      </c>
      <c r="AT32" s="86">
        <f>'Raw Data'!AT33/10</f>
        <v>21.6</v>
      </c>
      <c r="AU32" s="86">
        <f>'Raw Data'!AU33/10</f>
        <v>21.9</v>
      </c>
      <c r="AV32" s="86">
        <f>'Raw Data'!AV33/10</f>
        <v>21</v>
      </c>
      <c r="AW32" s="86">
        <f>'Raw Data'!AW33/10</f>
        <v>23</v>
      </c>
      <c r="AX32" s="86">
        <f>'Raw Data'!AX33/10</f>
        <v>22.4</v>
      </c>
      <c r="AY32" s="86">
        <f>'Raw Data'!AY33/10</f>
        <v>19.600000000000001</v>
      </c>
      <c r="AZ32" s="86">
        <f>'Raw Data'!AZ33/10</f>
        <v>22.6</v>
      </c>
      <c r="BA32" s="86">
        <f>'Raw Data'!BA33/10</f>
        <v>21</v>
      </c>
      <c r="BB32" s="86">
        <f>'Raw Data'!BB33/10</f>
        <v>21.9</v>
      </c>
      <c r="BC32" s="86">
        <f>'Raw Data'!BC33/10</f>
        <v>23.3</v>
      </c>
      <c r="BD32" s="86">
        <f>'Raw Data'!BD33/10</f>
        <v>21.8</v>
      </c>
      <c r="BE32" s="86">
        <f>'Raw Data'!BE33/10</f>
        <v>20.100000000000001</v>
      </c>
      <c r="BF32" s="86">
        <f>'Raw Data'!BF33/10</f>
        <v>22.2</v>
      </c>
      <c r="BG32" s="86">
        <f>'Raw Data'!BG33/10</f>
        <v>20</v>
      </c>
      <c r="BH32" s="86">
        <f>'Raw Data'!BH33/10</f>
        <v>21.5</v>
      </c>
      <c r="BI32" s="86">
        <f>'Raw Data'!BI33/10</f>
        <v>20.100000000000001</v>
      </c>
      <c r="BJ32" s="86">
        <f>'Raw Data'!BJ33/10</f>
        <v>21.3</v>
      </c>
      <c r="BK32" s="86">
        <f>'Raw Data'!BK33/10</f>
        <v>21.8</v>
      </c>
      <c r="BL32" s="86">
        <f>'Raw Data'!BL33/10</f>
        <v>21.3</v>
      </c>
      <c r="BM32" s="86">
        <f>'Raw Data'!BM33/10</f>
        <v>22.7</v>
      </c>
      <c r="BN32" s="86">
        <f>'Raw Data'!BN33/10</f>
        <v>22</v>
      </c>
      <c r="BO32" s="86">
        <f>'Raw Data'!BO33/10</f>
        <v>18.899999999999999</v>
      </c>
      <c r="BP32" s="86">
        <f>'Raw Data'!BP33/10</f>
        <v>20.9</v>
      </c>
      <c r="BQ32" s="86">
        <f>'Raw Data'!BQ33/10</f>
        <v>21.7</v>
      </c>
      <c r="BR32" s="86">
        <f>'Raw Data'!BR33/10</f>
        <v>20.5</v>
      </c>
      <c r="BS32" s="86">
        <f>'Raw Data'!BS33/10</f>
        <v>19.7</v>
      </c>
      <c r="BT32" s="86">
        <f>'Raw Data'!BT33/10</f>
        <v>19.100000000000001</v>
      </c>
      <c r="BU32" s="86">
        <f>'Raw Data'!BU33/10</f>
        <v>17.7</v>
      </c>
      <c r="BV32" s="86">
        <f>'Raw Data'!BV33/10</f>
        <v>19.899999999999999</v>
      </c>
      <c r="BW32" s="86">
        <f>'Raw Data'!BW33/10</f>
        <v>20.9</v>
      </c>
      <c r="BX32" s="86">
        <f>'Raw Data'!BX33/10</f>
        <v>20</v>
      </c>
      <c r="BY32" s="86">
        <f>'Raw Data'!BY33/10</f>
        <v>21.8</v>
      </c>
      <c r="BZ32" s="86">
        <f>'Raw Data'!BZ33/10</f>
        <v>18.2</v>
      </c>
      <c r="CA32" s="86">
        <f>'Raw Data'!CA33/10</f>
        <v>19.2</v>
      </c>
      <c r="CB32" s="86">
        <f>'Raw Data'!CB33/10</f>
        <v>20.7</v>
      </c>
      <c r="CC32" s="86">
        <f>'Raw Data'!CC33/10</f>
        <v>18.5</v>
      </c>
      <c r="CD32" s="86">
        <f>'Raw Data'!CD33/10</f>
        <v>17.899999999999999</v>
      </c>
      <c r="CE32" s="86">
        <f>'Raw Data'!CE33/10</f>
        <v>19.3</v>
      </c>
      <c r="CF32" s="86">
        <f>'Raw Data'!CF33/10</f>
        <v>19.399999999999999</v>
      </c>
      <c r="CG32" s="86">
        <f>'Raw Data'!CG33/100</f>
        <v>18.27</v>
      </c>
      <c r="CH32" s="86">
        <f>'Raw Data'!CH33/100</f>
        <v>17.96</v>
      </c>
      <c r="CI32" s="86">
        <f>'Raw Data'!CI33/100</f>
        <v>18.670000000000002</v>
      </c>
      <c r="CJ32" s="86">
        <f>'Raw Data'!CJ33/100</f>
        <v>18.38</v>
      </c>
      <c r="CK32" s="86">
        <f>'Raw Data'!CK33/100</f>
        <v>18.079999999999998</v>
      </c>
      <c r="CL32" s="86">
        <f>'Raw Data'!CL33/100</f>
        <v>17.45</v>
      </c>
      <c r="CM32" s="86">
        <f>'Raw Data'!CM33/100</f>
        <v>18.16</v>
      </c>
      <c r="CN32" s="86">
        <f>'Raw Data'!CN33/100</f>
        <v>17.079999999999998</v>
      </c>
      <c r="CO32" s="86">
        <f>'Raw Data'!CO33/100</f>
        <v>17.37</v>
      </c>
      <c r="CP32" s="86">
        <f>'Raw Data'!CP33/100</f>
        <v>17.420000000000002</v>
      </c>
      <c r="CQ32" s="86">
        <f>'Raw Data'!CQ33/100</f>
        <v>17.45</v>
      </c>
      <c r="CR32" s="86">
        <f>'Raw Data'!CR33/100</f>
        <v>17.420000000000002</v>
      </c>
      <c r="CS32" s="86">
        <f>'Raw Data'!CS33/100</f>
        <v>16.77</v>
      </c>
      <c r="CT32" s="86">
        <f>'Raw Data'!CT33/100</f>
        <v>16.62</v>
      </c>
      <c r="CU32" s="382"/>
    </row>
    <row r="33" spans="4:99" s="86" customFormat="1" x14ac:dyDescent="0.2">
      <c r="D33" s="348"/>
      <c r="E33" s="164"/>
      <c r="F33" s="394"/>
      <c r="G33" s="86">
        <f>'Raw Data'!G34</f>
        <v>17</v>
      </c>
      <c r="H33" s="86">
        <f>'Raw Data'!H34</f>
        <v>17</v>
      </c>
      <c r="I33" s="86">
        <f>'Raw Data'!I34</f>
        <v>24</v>
      </c>
      <c r="J33" s="86">
        <f>'Raw Data'!J34</f>
        <v>19</v>
      </c>
      <c r="K33" s="86">
        <f>'Raw Data'!K34</f>
        <v>24</v>
      </c>
      <c r="L33" s="86">
        <f>'Raw Data'!L34</f>
        <v>27</v>
      </c>
      <c r="M33" s="86">
        <f>'Raw Data'!M34</f>
        <v>21</v>
      </c>
      <c r="N33" s="86">
        <f>'Raw Data'!N34</f>
        <v>20</v>
      </c>
      <c r="O33" s="86">
        <f>'Raw Data'!O34</f>
        <v>25</v>
      </c>
      <c r="P33" s="86">
        <f>'Raw Data'!P34</f>
        <v>25</v>
      </c>
      <c r="Q33" s="86">
        <f>'Raw Data'!Q34</f>
        <v>22</v>
      </c>
      <c r="R33" s="86">
        <f>'Raw Data'!R34</f>
        <v>19</v>
      </c>
      <c r="S33" s="86">
        <f>'Raw Data'!S34</f>
        <v>20</v>
      </c>
      <c r="T33" s="86">
        <f>'Raw Data'!T34</f>
        <v>24</v>
      </c>
      <c r="U33" s="86">
        <f>'Raw Data'!U34</f>
        <v>25</v>
      </c>
      <c r="V33" s="86">
        <f>'Raw Data'!V34</f>
        <v>24</v>
      </c>
      <c r="W33" s="86">
        <f>'Raw Data'!W34</f>
        <v>18</v>
      </c>
      <c r="X33" s="86">
        <f>'Raw Data'!X34</f>
        <v>21</v>
      </c>
      <c r="Y33" s="86">
        <f>'Raw Data'!Y34</f>
        <v>21</v>
      </c>
      <c r="Z33" s="86">
        <f>'Raw Data'!Z34</f>
        <v>24</v>
      </c>
      <c r="AA33" s="86">
        <f>'Raw Data'!AA34/10</f>
        <v>22.8</v>
      </c>
      <c r="AB33" s="86">
        <f>'Raw Data'!AB34/10</f>
        <v>25</v>
      </c>
      <c r="AC33" s="86">
        <f>'Raw Data'!AC34/10</f>
        <v>23.3</v>
      </c>
      <c r="AD33" s="86">
        <f>'Raw Data'!AD34/10</f>
        <v>25.1</v>
      </c>
      <c r="AE33" s="86">
        <f>'Raw Data'!AE34/10</f>
        <v>25</v>
      </c>
      <c r="AF33" s="86">
        <f>'Raw Data'!AF34/10</f>
        <v>23.9</v>
      </c>
      <c r="AG33" s="86">
        <f>'Raw Data'!AG34/10</f>
        <v>22</v>
      </c>
      <c r="AH33" s="86">
        <f>'Raw Data'!AH34/10</f>
        <v>20.7</v>
      </c>
      <c r="AI33" s="86">
        <f>'Raw Data'!AI34/10</f>
        <v>21.5</v>
      </c>
      <c r="AJ33" s="86">
        <f>'Raw Data'!AJ34/10</f>
        <v>21.1</v>
      </c>
      <c r="AK33" s="86">
        <f>'Raw Data'!AK34/10</f>
        <v>24</v>
      </c>
      <c r="AL33" s="86">
        <f>'Raw Data'!AL34/10</f>
        <v>21.4</v>
      </c>
      <c r="AM33" s="86">
        <f>'Raw Data'!AM34/10</f>
        <v>21.8</v>
      </c>
      <c r="AN33" s="86">
        <f>'Raw Data'!AN34/10</f>
        <v>22.7</v>
      </c>
      <c r="AO33" s="86">
        <f>'Raw Data'!AO34/10</f>
        <v>24.4</v>
      </c>
      <c r="AP33" s="86">
        <f>'Raw Data'!AP34/10</f>
        <v>21.2</v>
      </c>
      <c r="AQ33" s="86">
        <f>'Raw Data'!AQ34/10</f>
        <v>20.399999999999999</v>
      </c>
      <c r="AR33" s="86">
        <f>'Raw Data'!AR34/10</f>
        <v>21.4</v>
      </c>
      <c r="AS33" s="86">
        <f>'Raw Data'!AS34/10</f>
        <v>21.1</v>
      </c>
      <c r="AT33" s="86">
        <f>'Raw Data'!AT34/10</f>
        <v>21.4</v>
      </c>
      <c r="AU33" s="86">
        <f>'Raw Data'!AU34/10</f>
        <v>19.3</v>
      </c>
      <c r="AV33" s="86">
        <f>'Raw Data'!AV34/10</f>
        <v>21.8</v>
      </c>
      <c r="AW33" s="86">
        <f>'Raw Data'!AW34/10</f>
        <v>20.8</v>
      </c>
      <c r="AX33" s="86">
        <f>'Raw Data'!AX34/10</f>
        <v>21</v>
      </c>
      <c r="AY33" s="86">
        <f>'Raw Data'!AY34/10</f>
        <v>20.5</v>
      </c>
      <c r="AZ33" s="86">
        <f>'Raw Data'!AZ34/10</f>
        <v>21.7</v>
      </c>
      <c r="BA33" s="86">
        <f>'Raw Data'!BA34/10</f>
        <v>20.9</v>
      </c>
      <c r="BB33" s="86">
        <f>'Raw Data'!BB34/10</f>
        <v>19.8</v>
      </c>
      <c r="BC33" s="86">
        <f>'Raw Data'!BC34/10</f>
        <v>16.600000000000001</v>
      </c>
      <c r="BD33" s="86">
        <f>'Raw Data'!BD34/10</f>
        <v>19.100000000000001</v>
      </c>
      <c r="BE33" s="86">
        <f>'Raw Data'!BE34/10</f>
        <v>19.3</v>
      </c>
      <c r="BF33" s="86">
        <f>'Raw Data'!BF34/10</f>
        <v>18.7</v>
      </c>
      <c r="BG33" s="86">
        <f>'Raw Data'!BG34/10</f>
        <v>19.899999999999999</v>
      </c>
      <c r="BH33" s="86">
        <f>'Raw Data'!BH34/10</f>
        <v>19.399999999999999</v>
      </c>
      <c r="BI33" s="86">
        <f>'Raw Data'!BI34/10</f>
        <v>19.600000000000001</v>
      </c>
      <c r="BJ33" s="86">
        <f>'Raw Data'!BJ34/10</f>
        <v>18.2</v>
      </c>
      <c r="BK33" s="86">
        <f>'Raw Data'!BK34/10</f>
        <v>21</v>
      </c>
      <c r="BL33" s="86">
        <f>'Raw Data'!BL34/10</f>
        <v>18.100000000000001</v>
      </c>
      <c r="BM33" s="86">
        <f>'Raw Data'!BM34/10</f>
        <v>16.7</v>
      </c>
      <c r="BN33" s="86">
        <f>'Raw Data'!BN34/10</f>
        <v>19.899999999999999</v>
      </c>
      <c r="BO33" s="86">
        <f>'Raw Data'!BO34/10</f>
        <v>18.3</v>
      </c>
      <c r="BP33" s="86">
        <f>'Raw Data'!BP34/10</f>
        <v>19.100000000000001</v>
      </c>
      <c r="BQ33" s="86">
        <f>'Raw Data'!BQ34/10</f>
        <v>19.7</v>
      </c>
      <c r="BR33" s="86">
        <f>'Raw Data'!BR34/10</f>
        <v>17.7</v>
      </c>
      <c r="BS33" s="86">
        <f>'Raw Data'!BS34/10</f>
        <v>19</v>
      </c>
      <c r="BT33" s="86">
        <f>'Raw Data'!BT34/10</f>
        <v>18.7</v>
      </c>
      <c r="BU33" s="86">
        <f>'Raw Data'!BU34/10</f>
        <v>19.399999999999999</v>
      </c>
      <c r="BV33" s="86">
        <f>'Raw Data'!BV34/10</f>
        <v>18.100000000000001</v>
      </c>
      <c r="BW33" s="86">
        <f>'Raw Data'!BW34/10</f>
        <v>16.899999999999999</v>
      </c>
      <c r="BX33" s="86">
        <f>'Raw Data'!BX34/10</f>
        <v>17.3</v>
      </c>
      <c r="BY33" s="86">
        <f>'Raw Data'!BY34/10</f>
        <v>18.100000000000001</v>
      </c>
      <c r="BZ33" s="86">
        <f>'Raw Data'!BZ34/10</f>
        <v>18.8</v>
      </c>
      <c r="CA33" s="86">
        <f>'Raw Data'!CA34/10</f>
        <v>19.600000000000001</v>
      </c>
      <c r="CB33" s="86">
        <f>'Raw Data'!CB34/10</f>
        <v>17.3</v>
      </c>
      <c r="CC33" s="86">
        <f>'Raw Data'!CC34/10</f>
        <v>18.7</v>
      </c>
      <c r="CD33" s="86">
        <f>'Raw Data'!CD34/10</f>
        <v>16.899999999999999</v>
      </c>
      <c r="CE33" s="86">
        <f>'Raw Data'!CE34/10</f>
        <v>17.7</v>
      </c>
      <c r="CF33" s="86">
        <f>'Raw Data'!CF34/10</f>
        <v>19.600000000000001</v>
      </c>
      <c r="CG33" s="86">
        <f>'Raw Data'!CG34/100</f>
        <v>17.84</v>
      </c>
      <c r="CH33" s="86">
        <f>'Raw Data'!CH34/100</f>
        <v>17.149999999999999</v>
      </c>
      <c r="CI33" s="86">
        <f>'Raw Data'!CI34/100</f>
        <v>16.96</v>
      </c>
      <c r="CJ33" s="86">
        <f>'Raw Data'!CJ34/100</f>
        <v>16.600000000000001</v>
      </c>
      <c r="CK33" s="86">
        <f>'Raw Data'!CK34/100</f>
        <v>16.579999999999998</v>
      </c>
      <c r="CL33" s="86">
        <f>'Raw Data'!CL34/100</f>
        <v>16.940000000000001</v>
      </c>
      <c r="CM33" s="86">
        <f>'Raw Data'!CM34/100</f>
        <v>16.989999999999998</v>
      </c>
      <c r="CN33" s="86">
        <f>'Raw Data'!CN34/100</f>
        <v>16.11</v>
      </c>
      <c r="CO33" s="86">
        <f>'Raw Data'!CO34/100</f>
        <v>16.82</v>
      </c>
      <c r="CP33" s="86">
        <f>'Raw Data'!CP34/100</f>
        <v>16.18</v>
      </c>
      <c r="CQ33" s="86">
        <f>'Raw Data'!CQ34/100</f>
        <v>16.309999999999999</v>
      </c>
      <c r="CR33" s="86">
        <f>'Raw Data'!CR34/100</f>
        <v>15.98</v>
      </c>
      <c r="CS33" s="86">
        <f>'Raw Data'!CS34/100</f>
        <v>15.9</v>
      </c>
      <c r="CT33" s="86">
        <f>'Raw Data'!CT34/100</f>
        <v>16.43</v>
      </c>
      <c r="CU33" s="382"/>
    </row>
    <row r="34" spans="4:99" s="86" customFormat="1" x14ac:dyDescent="0.2">
      <c r="D34" s="348"/>
      <c r="E34" s="164"/>
      <c r="F34" s="394"/>
      <c r="G34" s="86">
        <f>'Raw Data'!G35</f>
        <v>30</v>
      </c>
      <c r="H34" s="86">
        <f>'Raw Data'!H35</f>
        <v>26</v>
      </c>
      <c r="I34" s="86">
        <f>'Raw Data'!I35</f>
        <v>25</v>
      </c>
      <c r="J34" s="86">
        <f>'Raw Data'!J35</f>
        <v>26</v>
      </c>
      <c r="K34" s="86">
        <f>'Raw Data'!K35</f>
        <v>26</v>
      </c>
      <c r="L34" s="86">
        <f>'Raw Data'!L35</f>
        <v>31</v>
      </c>
      <c r="M34" s="86">
        <f>'Raw Data'!M35</f>
        <v>28</v>
      </c>
      <c r="N34" s="86">
        <f>'Raw Data'!N35</f>
        <v>28</v>
      </c>
      <c r="O34" s="86">
        <f>'Raw Data'!O35</f>
        <v>24</v>
      </c>
      <c r="P34" s="86">
        <f>'Raw Data'!P35</f>
        <v>28</v>
      </c>
      <c r="Q34" s="86">
        <f>'Raw Data'!Q35</f>
        <v>24</v>
      </c>
      <c r="R34" s="86">
        <f>'Raw Data'!R35</f>
        <v>30</v>
      </c>
      <c r="S34" s="86">
        <f>'Raw Data'!S35</f>
        <v>27</v>
      </c>
      <c r="T34" s="86">
        <f>'Raw Data'!T35</f>
        <v>17</v>
      </c>
      <c r="U34" s="86">
        <f>'Raw Data'!U35</f>
        <v>21</v>
      </c>
      <c r="V34" s="86">
        <f>'Raw Data'!V35</f>
        <v>25</v>
      </c>
      <c r="W34" s="86">
        <f>'Raw Data'!W35</f>
        <v>30</v>
      </c>
      <c r="X34" s="86">
        <f>'Raw Data'!X35</f>
        <v>27</v>
      </c>
      <c r="Y34" s="86">
        <f>'Raw Data'!Y35</f>
        <v>25</v>
      </c>
      <c r="Z34" s="86">
        <f>'Raw Data'!Z35</f>
        <v>25</v>
      </c>
      <c r="AA34" s="86">
        <f>'Raw Data'!AA35/10</f>
        <v>25.1</v>
      </c>
      <c r="AB34" s="86">
        <f>'Raw Data'!AB35/10</f>
        <v>24.2</v>
      </c>
      <c r="AC34" s="86">
        <f>'Raw Data'!AC35/10</f>
        <v>25.5</v>
      </c>
      <c r="AD34" s="86">
        <f>'Raw Data'!AD35/10</f>
        <v>25.1</v>
      </c>
      <c r="AE34" s="86">
        <f>'Raw Data'!AE35/10</f>
        <v>23.4</v>
      </c>
      <c r="AF34" s="86">
        <f>'Raw Data'!AF35/10</f>
        <v>25.1</v>
      </c>
      <c r="AG34" s="86">
        <f>'Raw Data'!AG35/10</f>
        <v>27.3</v>
      </c>
      <c r="AH34" s="86">
        <f>'Raw Data'!AH35/10</f>
        <v>25.5</v>
      </c>
      <c r="AI34" s="86">
        <f>'Raw Data'!AI35/10</f>
        <v>24.3</v>
      </c>
      <c r="AJ34" s="86">
        <f>'Raw Data'!AJ35/10</f>
        <v>25.4</v>
      </c>
      <c r="AK34" s="86">
        <f>'Raw Data'!AK35/10</f>
        <v>25.1</v>
      </c>
      <c r="AL34" s="86">
        <f>'Raw Data'!AL35/10</f>
        <v>22.1</v>
      </c>
      <c r="AM34" s="86">
        <f>'Raw Data'!AM35/10</f>
        <v>22.5</v>
      </c>
      <c r="AN34" s="86">
        <f>'Raw Data'!AN35/10</f>
        <v>23.8</v>
      </c>
      <c r="AO34" s="86">
        <f>'Raw Data'!AO35/10</f>
        <v>23.7</v>
      </c>
      <c r="AP34" s="86">
        <f>'Raw Data'!AP35/10</f>
        <v>22.9</v>
      </c>
      <c r="AQ34" s="86">
        <f>'Raw Data'!AQ35/10</f>
        <v>22.7</v>
      </c>
      <c r="AR34" s="86">
        <f>'Raw Data'!AR35/10</f>
        <v>23.9</v>
      </c>
      <c r="AS34" s="86">
        <f>'Raw Data'!AS35/10</f>
        <v>22.7</v>
      </c>
      <c r="AT34" s="86">
        <f>'Raw Data'!AT35/10</f>
        <v>21.9</v>
      </c>
      <c r="AU34" s="86">
        <f>'Raw Data'!AU35/10</f>
        <v>21.5</v>
      </c>
      <c r="AV34" s="86">
        <f>'Raw Data'!AV35/10</f>
        <v>21.2</v>
      </c>
      <c r="AW34" s="86">
        <f>'Raw Data'!AW35/10</f>
        <v>21.8</v>
      </c>
      <c r="AX34" s="86">
        <f>'Raw Data'!AX35/10</f>
        <v>20.100000000000001</v>
      </c>
      <c r="AY34" s="86">
        <f>'Raw Data'!AY35/10</f>
        <v>21.4</v>
      </c>
      <c r="AZ34" s="86">
        <f>'Raw Data'!AZ35/10</f>
        <v>20.6</v>
      </c>
      <c r="BA34" s="86">
        <f>'Raw Data'!BA35/10</f>
        <v>18.600000000000001</v>
      </c>
      <c r="BB34" s="86">
        <f>'Raw Data'!BB35/10</f>
        <v>19.7</v>
      </c>
      <c r="BC34" s="86">
        <f>'Raw Data'!BC35/10</f>
        <v>20.399999999999999</v>
      </c>
      <c r="BD34" s="86">
        <f>'Raw Data'!BD35/10</f>
        <v>19.899999999999999</v>
      </c>
      <c r="BE34" s="86">
        <f>'Raw Data'!BE35/10</f>
        <v>21.1</v>
      </c>
      <c r="BF34" s="86">
        <f>'Raw Data'!BF35/10</f>
        <v>20.399999999999999</v>
      </c>
      <c r="BG34" s="86">
        <f>'Raw Data'!BG35/10</f>
        <v>20.5</v>
      </c>
      <c r="BH34" s="86">
        <f>'Raw Data'!BH35/10</f>
        <v>19.600000000000001</v>
      </c>
      <c r="BI34" s="86">
        <f>'Raw Data'!BI35/10</f>
        <v>21.3</v>
      </c>
      <c r="BJ34" s="86">
        <f>'Raw Data'!BJ35/10</f>
        <v>19.5</v>
      </c>
      <c r="BK34" s="86">
        <f>'Raw Data'!BK35/10</f>
        <v>19.100000000000001</v>
      </c>
      <c r="BL34" s="86">
        <f>'Raw Data'!BL35/10</f>
        <v>19</v>
      </c>
      <c r="BM34" s="86">
        <f>'Raw Data'!BM35/10</f>
        <v>22.5</v>
      </c>
      <c r="BN34" s="86">
        <f>'Raw Data'!BN35/10</f>
        <v>20.6</v>
      </c>
      <c r="BO34" s="86">
        <f>'Raw Data'!BO35/10</f>
        <v>18.3</v>
      </c>
      <c r="BP34" s="86">
        <f>'Raw Data'!BP35/10</f>
        <v>20.7</v>
      </c>
      <c r="BQ34" s="86">
        <f>'Raw Data'!BQ35/10</f>
        <v>18.5</v>
      </c>
      <c r="BR34" s="86">
        <f>'Raw Data'!BR35/10</f>
        <v>17.600000000000001</v>
      </c>
      <c r="BS34" s="86">
        <f>'Raw Data'!BS35/10</f>
        <v>20.399999999999999</v>
      </c>
      <c r="BT34" s="86">
        <f>'Raw Data'!BT35/10</f>
        <v>17.600000000000001</v>
      </c>
      <c r="BU34" s="86">
        <f>'Raw Data'!BU35/10</f>
        <v>19.399999999999999</v>
      </c>
      <c r="BV34" s="86">
        <f>'Raw Data'!BV35/10</f>
        <v>19.3</v>
      </c>
      <c r="BW34" s="86">
        <f>'Raw Data'!BW35/10</f>
        <v>18.399999999999999</v>
      </c>
      <c r="BX34" s="86">
        <f>'Raw Data'!BX35/10</f>
        <v>17.899999999999999</v>
      </c>
      <c r="BY34" s="86">
        <f>'Raw Data'!BY35/10</f>
        <v>18.8</v>
      </c>
      <c r="BZ34" s="86">
        <f>'Raw Data'!BZ35/10</f>
        <v>17.5</v>
      </c>
      <c r="CA34" s="86">
        <f>'Raw Data'!CA35/10</f>
        <v>18</v>
      </c>
      <c r="CB34" s="86">
        <f>'Raw Data'!CB35/10</f>
        <v>17.399999999999999</v>
      </c>
      <c r="CC34" s="86">
        <f>'Raw Data'!CC35/10</f>
        <v>17.3</v>
      </c>
      <c r="CD34" s="86">
        <f>'Raw Data'!CD35/10</f>
        <v>16.8</v>
      </c>
      <c r="CE34" s="86">
        <f>'Raw Data'!CE35/10</f>
        <v>17.399999999999999</v>
      </c>
      <c r="CF34" s="86">
        <f>'Raw Data'!CF35/10</f>
        <v>18.399999999999999</v>
      </c>
      <c r="CG34" s="86">
        <f>'Raw Data'!CG35/100</f>
        <v>17.73</v>
      </c>
      <c r="CH34" s="86">
        <f>'Raw Data'!CH35/100</f>
        <v>17.649999999999999</v>
      </c>
      <c r="CI34" s="86">
        <f>'Raw Data'!CI35/100</f>
        <v>17.440000000000001</v>
      </c>
      <c r="CJ34" s="86">
        <f>'Raw Data'!CJ35/100</f>
        <v>16.54</v>
      </c>
      <c r="CK34" s="86">
        <f>'Raw Data'!CK35/100</f>
        <v>17.079999999999998</v>
      </c>
      <c r="CL34" s="86">
        <f>'Raw Data'!CL35/100</f>
        <v>16.61</v>
      </c>
      <c r="CM34" s="86">
        <f>'Raw Data'!CM35/100</f>
        <v>16.09</v>
      </c>
      <c r="CN34" s="86">
        <f>'Raw Data'!CN35/100</f>
        <v>16.55</v>
      </c>
      <c r="CO34" s="86">
        <f>'Raw Data'!CO35/100</f>
        <v>16.37</v>
      </c>
      <c r="CP34" s="86">
        <f>'Raw Data'!CP35/100</f>
        <v>15.57</v>
      </c>
      <c r="CQ34" s="86">
        <f>'Raw Data'!CQ35/100</f>
        <v>16.23</v>
      </c>
      <c r="CR34" s="86">
        <f>'Raw Data'!CR35/100</f>
        <v>15.89</v>
      </c>
      <c r="CS34" s="86">
        <f>'Raw Data'!CS35/100</f>
        <v>15.94</v>
      </c>
      <c r="CT34" s="86">
        <f>'Raw Data'!CT35/100</f>
        <v>15.13</v>
      </c>
      <c r="CU34" s="382"/>
    </row>
    <row r="35" spans="4:99" s="86" customFormat="1" x14ac:dyDescent="0.2">
      <c r="D35" s="348"/>
      <c r="E35" s="164"/>
      <c r="F35" s="394"/>
      <c r="G35" s="86">
        <f>'Raw Data'!G36</f>
        <v>26</v>
      </c>
      <c r="H35" s="86">
        <f>'Raw Data'!H36</f>
        <v>19</v>
      </c>
      <c r="I35" s="86">
        <f>'Raw Data'!I36</f>
        <v>22</v>
      </c>
      <c r="J35" s="86">
        <f>'Raw Data'!J36</f>
        <v>20</v>
      </c>
      <c r="K35" s="86">
        <f>'Raw Data'!K36</f>
        <v>23</v>
      </c>
      <c r="L35" s="86">
        <f>'Raw Data'!L36</f>
        <v>24</v>
      </c>
      <c r="M35" s="86">
        <f>'Raw Data'!M36</f>
        <v>19</v>
      </c>
      <c r="N35" s="86">
        <f>'Raw Data'!N36</f>
        <v>21</v>
      </c>
      <c r="O35" s="86">
        <f>'Raw Data'!O36</f>
        <v>22</v>
      </c>
      <c r="P35" s="86">
        <f>'Raw Data'!P36</f>
        <v>17</v>
      </c>
      <c r="Q35" s="86">
        <f>'Raw Data'!Q36</f>
        <v>19</v>
      </c>
      <c r="R35" s="86">
        <f>'Raw Data'!R36</f>
        <v>18</v>
      </c>
      <c r="S35" s="86">
        <f>'Raw Data'!S36</f>
        <v>22</v>
      </c>
      <c r="T35" s="86">
        <f>'Raw Data'!T36</f>
        <v>18</v>
      </c>
      <c r="U35" s="86">
        <f>'Raw Data'!U36</f>
        <v>14</v>
      </c>
      <c r="V35" s="86">
        <f>'Raw Data'!V36</f>
        <v>18</v>
      </c>
      <c r="W35" s="86">
        <f>'Raw Data'!W36</f>
        <v>24</v>
      </c>
      <c r="X35" s="86">
        <f>'Raw Data'!X36</f>
        <v>21</v>
      </c>
      <c r="Y35" s="86">
        <f>'Raw Data'!Y36</f>
        <v>22</v>
      </c>
      <c r="Z35" s="86">
        <f>'Raw Data'!Z36</f>
        <v>26</v>
      </c>
      <c r="AA35" s="86">
        <f>'Raw Data'!AA36/10</f>
        <v>21.6</v>
      </c>
      <c r="AB35" s="86">
        <f>'Raw Data'!AB36/10</f>
        <v>22.5</v>
      </c>
      <c r="AC35" s="86">
        <f>'Raw Data'!AC36/10</f>
        <v>21.5</v>
      </c>
      <c r="AD35" s="86">
        <f>'Raw Data'!AD36/10</f>
        <v>19.7</v>
      </c>
      <c r="AE35" s="86">
        <f>'Raw Data'!AE36/10</f>
        <v>23.4</v>
      </c>
      <c r="AF35" s="86">
        <f>'Raw Data'!AF36/10</f>
        <v>20</v>
      </c>
      <c r="AG35" s="86">
        <f>'Raw Data'!AG36/10</f>
        <v>20.8</v>
      </c>
      <c r="AH35" s="86">
        <f>'Raw Data'!AH36/10</f>
        <v>22</v>
      </c>
      <c r="AI35" s="86">
        <f>'Raw Data'!AI36/10</f>
        <v>20.2</v>
      </c>
      <c r="AJ35" s="86">
        <f>'Raw Data'!AJ36/10</f>
        <v>20.6</v>
      </c>
      <c r="AK35" s="86">
        <f>'Raw Data'!AK36/10</f>
        <v>19.100000000000001</v>
      </c>
      <c r="AL35" s="86">
        <f>'Raw Data'!AL36/10</f>
        <v>18.600000000000001</v>
      </c>
      <c r="AM35" s="86">
        <f>'Raw Data'!AM36/10</f>
        <v>21.4</v>
      </c>
      <c r="AN35" s="86">
        <f>'Raw Data'!AN36/10</f>
        <v>19</v>
      </c>
      <c r="AO35" s="86">
        <f>'Raw Data'!AO36/10</f>
        <v>19.899999999999999</v>
      </c>
      <c r="AP35" s="86">
        <f>'Raw Data'!AP36/10</f>
        <v>18.600000000000001</v>
      </c>
      <c r="AQ35" s="86">
        <f>'Raw Data'!AQ36/10</f>
        <v>16.100000000000001</v>
      </c>
      <c r="AR35" s="86">
        <f>'Raw Data'!AR36/10</f>
        <v>17.600000000000001</v>
      </c>
      <c r="AS35" s="86">
        <f>'Raw Data'!AS36/10</f>
        <v>19.7</v>
      </c>
      <c r="AT35" s="86">
        <f>'Raw Data'!AT36/10</f>
        <v>18.100000000000001</v>
      </c>
      <c r="AU35" s="86">
        <f>'Raw Data'!AU36/10</f>
        <v>17.600000000000001</v>
      </c>
      <c r="AV35" s="86">
        <f>'Raw Data'!AV36/10</f>
        <v>19.600000000000001</v>
      </c>
      <c r="AW35" s="86">
        <f>'Raw Data'!AW36/10</f>
        <v>18.399999999999999</v>
      </c>
      <c r="AX35" s="86">
        <f>'Raw Data'!AX36/10</f>
        <v>19.600000000000001</v>
      </c>
      <c r="AY35" s="86">
        <f>'Raw Data'!AY36/10</f>
        <v>17.7</v>
      </c>
      <c r="AZ35" s="86">
        <f>'Raw Data'!AZ36/10</f>
        <v>17.2</v>
      </c>
      <c r="BA35" s="86">
        <f>'Raw Data'!BA36/10</f>
        <v>17.899999999999999</v>
      </c>
      <c r="BB35" s="86">
        <f>'Raw Data'!BB36/10</f>
        <v>18.2</v>
      </c>
      <c r="BC35" s="86">
        <f>'Raw Data'!BC36/10</f>
        <v>19.5</v>
      </c>
      <c r="BD35" s="86">
        <f>'Raw Data'!BD36/10</f>
        <v>17.7</v>
      </c>
      <c r="BE35" s="86">
        <f>'Raw Data'!BE36/10</f>
        <v>16.600000000000001</v>
      </c>
      <c r="BF35" s="86">
        <f>'Raw Data'!BF36/10</f>
        <v>18.2</v>
      </c>
      <c r="BG35" s="86">
        <f>'Raw Data'!BG36/10</f>
        <v>16.2</v>
      </c>
      <c r="BH35" s="86">
        <f>'Raw Data'!BH36/10</f>
        <v>19.2</v>
      </c>
      <c r="BI35" s="86">
        <f>'Raw Data'!BI36/10</f>
        <v>19</v>
      </c>
      <c r="BJ35" s="86">
        <f>'Raw Data'!BJ36/10</f>
        <v>18.399999999999999</v>
      </c>
      <c r="BK35" s="86">
        <f>'Raw Data'!BK36/10</f>
        <v>16.5</v>
      </c>
      <c r="BL35" s="86">
        <f>'Raw Data'!BL36/10</f>
        <v>16.2</v>
      </c>
      <c r="BM35" s="86">
        <f>'Raw Data'!BM36/10</f>
        <v>16.5</v>
      </c>
      <c r="BN35" s="86">
        <f>'Raw Data'!BN36/10</f>
        <v>17.600000000000001</v>
      </c>
      <c r="BO35" s="86">
        <f>'Raw Data'!BO36/10</f>
        <v>16.5</v>
      </c>
      <c r="BP35" s="86">
        <f>'Raw Data'!BP36/10</f>
        <v>17.399999999999999</v>
      </c>
      <c r="BQ35" s="86">
        <f>'Raw Data'!BQ36/10</f>
        <v>16.899999999999999</v>
      </c>
      <c r="BR35" s="86">
        <f>'Raw Data'!BR36/10</f>
        <v>17.8</v>
      </c>
      <c r="BS35" s="86">
        <f>'Raw Data'!BS36/10</f>
        <v>16.899999999999999</v>
      </c>
      <c r="BT35" s="86">
        <f>'Raw Data'!BT36/10</f>
        <v>17.100000000000001</v>
      </c>
      <c r="BU35" s="86">
        <f>'Raw Data'!BU36/10</f>
        <v>17.899999999999999</v>
      </c>
      <c r="BV35" s="86">
        <f>'Raw Data'!BV36/10</f>
        <v>15.9</v>
      </c>
      <c r="BW35" s="86">
        <f>'Raw Data'!BW36/10</f>
        <v>17</v>
      </c>
      <c r="BX35" s="86">
        <f>'Raw Data'!BX36/10</f>
        <v>16.5</v>
      </c>
      <c r="BY35" s="86">
        <f>'Raw Data'!BY36/10</f>
        <v>17.100000000000001</v>
      </c>
      <c r="BZ35" s="86">
        <f>'Raw Data'!BZ36/10</f>
        <v>16</v>
      </c>
      <c r="CA35" s="86">
        <f>'Raw Data'!CA36/10</f>
        <v>16.8</v>
      </c>
      <c r="CB35" s="86">
        <f>'Raw Data'!CB36/10</f>
        <v>17</v>
      </c>
      <c r="CC35" s="86">
        <f>'Raw Data'!CC36/10</f>
        <v>16</v>
      </c>
      <c r="CD35" s="86">
        <f>'Raw Data'!CD36/10</f>
        <v>14.8</v>
      </c>
      <c r="CE35" s="86">
        <f>'Raw Data'!CE36/10</f>
        <v>14.8</v>
      </c>
      <c r="CF35" s="86">
        <f>'Raw Data'!CF36/10</f>
        <v>15.7</v>
      </c>
      <c r="CG35" s="86">
        <f>'Raw Data'!CG36/100</f>
        <v>15.77</v>
      </c>
      <c r="CH35" s="86">
        <f>'Raw Data'!CH36/100</f>
        <v>15.68</v>
      </c>
      <c r="CI35" s="86">
        <f>'Raw Data'!CI36/100</f>
        <v>15.24</v>
      </c>
      <c r="CJ35" s="86">
        <f>'Raw Data'!CJ36/100</f>
        <v>14.69</v>
      </c>
      <c r="CK35" s="86">
        <f>'Raw Data'!CK36/100</f>
        <v>14.84</v>
      </c>
      <c r="CL35" s="86">
        <f>'Raw Data'!CL36/100</f>
        <v>15.22</v>
      </c>
      <c r="CM35" s="86">
        <f>'Raw Data'!CM36/100</f>
        <v>14.52</v>
      </c>
      <c r="CN35" s="86">
        <f>'Raw Data'!CN36/100</f>
        <v>14.16</v>
      </c>
      <c r="CO35" s="86">
        <f>'Raw Data'!CO36/100</f>
        <v>14.48</v>
      </c>
      <c r="CP35" s="86">
        <f>'Raw Data'!CP36/100</f>
        <v>14.28</v>
      </c>
      <c r="CQ35" s="86">
        <f>'Raw Data'!CQ36/100</f>
        <v>14.34</v>
      </c>
      <c r="CR35" s="86">
        <f>'Raw Data'!CR36/100</f>
        <v>14.09</v>
      </c>
      <c r="CS35" s="86">
        <f>'Raw Data'!CS36/100</f>
        <v>14.27</v>
      </c>
      <c r="CT35" s="86">
        <f>'Raw Data'!CT36/100</f>
        <v>14.57</v>
      </c>
      <c r="CU35" s="382"/>
    </row>
    <row r="36" spans="4:99" s="86" customFormat="1" x14ac:dyDescent="0.2">
      <c r="D36" s="348"/>
      <c r="E36" s="164"/>
      <c r="F36" s="394"/>
      <c r="G36" s="86">
        <f>'Raw Data'!G37</f>
        <v>16</v>
      </c>
      <c r="H36" s="86">
        <f>'Raw Data'!H37</f>
        <v>15</v>
      </c>
      <c r="I36" s="86">
        <f>'Raw Data'!I37</f>
        <v>15</v>
      </c>
      <c r="J36" s="86">
        <f>'Raw Data'!J37</f>
        <v>16</v>
      </c>
      <c r="K36" s="86">
        <f>'Raw Data'!K37</f>
        <v>20</v>
      </c>
      <c r="L36" s="86">
        <f>'Raw Data'!L37</f>
        <v>17</v>
      </c>
      <c r="M36" s="86">
        <f>'Raw Data'!M37</f>
        <v>14</v>
      </c>
      <c r="N36" s="86">
        <f>'Raw Data'!N37</f>
        <v>18</v>
      </c>
      <c r="O36" s="86">
        <f>'Raw Data'!O37</f>
        <v>16</v>
      </c>
      <c r="P36" s="86">
        <f>'Raw Data'!P37</f>
        <v>26</v>
      </c>
      <c r="Q36" s="86">
        <f>'Raw Data'!Q37</f>
        <v>19</v>
      </c>
      <c r="R36" s="86">
        <f>'Raw Data'!R37</f>
        <v>16</v>
      </c>
      <c r="S36" s="86">
        <f>'Raw Data'!S37</f>
        <v>12</v>
      </c>
      <c r="T36" s="86">
        <f>'Raw Data'!T37</f>
        <v>11</v>
      </c>
      <c r="U36" s="86">
        <f>'Raw Data'!U37</f>
        <v>11</v>
      </c>
      <c r="V36" s="86">
        <f>'Raw Data'!V37</f>
        <v>15</v>
      </c>
      <c r="W36" s="86">
        <f>'Raw Data'!W37</f>
        <v>18</v>
      </c>
      <c r="X36" s="86">
        <f>'Raw Data'!X37</f>
        <v>21</v>
      </c>
      <c r="Y36" s="86">
        <f>'Raw Data'!Y37</f>
        <v>16</v>
      </c>
      <c r="Z36" s="86">
        <f>'Raw Data'!Z37</f>
        <v>17</v>
      </c>
      <c r="AA36" s="86">
        <f>'Raw Data'!AA37/10</f>
        <v>17.100000000000001</v>
      </c>
      <c r="AB36" s="86">
        <f>'Raw Data'!AB37/10</f>
        <v>15.8</v>
      </c>
      <c r="AC36" s="86">
        <f>'Raw Data'!AC37/10</f>
        <v>16.2</v>
      </c>
      <c r="AD36" s="86">
        <f>'Raw Data'!AD37/10</f>
        <v>18.7</v>
      </c>
      <c r="AE36" s="86">
        <f>'Raw Data'!AE37/10</f>
        <v>16.5</v>
      </c>
      <c r="AF36" s="86">
        <f>'Raw Data'!AF37/10</f>
        <v>16.3</v>
      </c>
      <c r="AG36" s="86">
        <f>'Raw Data'!AG37/10</f>
        <v>15.7</v>
      </c>
      <c r="AH36" s="86">
        <f>'Raw Data'!AH37/10</f>
        <v>14.3</v>
      </c>
      <c r="AI36" s="86">
        <f>'Raw Data'!AI37/10</f>
        <v>16.7</v>
      </c>
      <c r="AJ36" s="86">
        <f>'Raw Data'!AJ37/10</f>
        <v>15</v>
      </c>
      <c r="AK36" s="86">
        <f>'Raw Data'!AK37/10</f>
        <v>14.7</v>
      </c>
      <c r="AL36" s="86">
        <f>'Raw Data'!AL37/10</f>
        <v>15.1</v>
      </c>
      <c r="AM36" s="86">
        <f>'Raw Data'!AM37/10</f>
        <v>14.2</v>
      </c>
      <c r="AN36" s="86">
        <f>'Raw Data'!AN37/10</f>
        <v>15.2</v>
      </c>
      <c r="AO36" s="86">
        <f>'Raw Data'!AO37/10</f>
        <v>15.9</v>
      </c>
      <c r="AP36" s="86">
        <f>'Raw Data'!AP37/10</f>
        <v>15.1</v>
      </c>
      <c r="AQ36" s="86">
        <f>'Raw Data'!AQ37/10</f>
        <v>15.8</v>
      </c>
      <c r="AR36" s="86">
        <f>'Raw Data'!AR37/10</f>
        <v>14</v>
      </c>
      <c r="AS36" s="86">
        <f>'Raw Data'!AS37/10</f>
        <v>15</v>
      </c>
      <c r="AT36" s="86">
        <f>'Raw Data'!AT37/10</f>
        <v>14.5</v>
      </c>
      <c r="AU36" s="86">
        <f>'Raw Data'!AU37/10</f>
        <v>16.2</v>
      </c>
      <c r="AV36" s="86">
        <f>'Raw Data'!AV37/10</f>
        <v>15.5</v>
      </c>
      <c r="AW36" s="86">
        <f>'Raw Data'!AW37/10</f>
        <v>14</v>
      </c>
      <c r="AX36" s="86">
        <f>'Raw Data'!AX37/10</f>
        <v>15.5</v>
      </c>
      <c r="AY36" s="86">
        <f>'Raw Data'!AY37/10</f>
        <v>13.4</v>
      </c>
      <c r="AZ36" s="86">
        <f>'Raw Data'!AZ37/10</f>
        <v>13.6</v>
      </c>
      <c r="BA36" s="86">
        <f>'Raw Data'!BA37/10</f>
        <v>14.4</v>
      </c>
      <c r="BB36" s="86">
        <f>'Raw Data'!BB37/10</f>
        <v>15.1</v>
      </c>
      <c r="BC36" s="86">
        <f>'Raw Data'!BC37/10</f>
        <v>14.3</v>
      </c>
      <c r="BD36" s="86">
        <f>'Raw Data'!BD37/10</f>
        <v>12.8</v>
      </c>
      <c r="BE36" s="86">
        <f>'Raw Data'!BE37/10</f>
        <v>14.5</v>
      </c>
      <c r="BF36" s="86">
        <f>'Raw Data'!BF37/10</f>
        <v>14.7</v>
      </c>
      <c r="BG36" s="86">
        <f>'Raw Data'!BG37/10</f>
        <v>13</v>
      </c>
      <c r="BH36" s="86">
        <f>'Raw Data'!BH37/10</f>
        <v>14.3</v>
      </c>
      <c r="BI36" s="86">
        <f>'Raw Data'!BI37/10</f>
        <v>14</v>
      </c>
      <c r="BJ36" s="86">
        <f>'Raw Data'!BJ37/10</f>
        <v>15.3</v>
      </c>
      <c r="BK36" s="86">
        <f>'Raw Data'!BK37/10</f>
        <v>15</v>
      </c>
      <c r="BL36" s="86">
        <f>'Raw Data'!BL37/10</f>
        <v>14</v>
      </c>
      <c r="BM36" s="86">
        <f>'Raw Data'!BM37/10</f>
        <v>12.1</v>
      </c>
      <c r="BN36" s="86">
        <f>'Raw Data'!BN37/10</f>
        <v>14</v>
      </c>
      <c r="BO36" s="86">
        <f>'Raw Data'!BO37/10</f>
        <v>13.8</v>
      </c>
      <c r="BP36" s="86">
        <f>'Raw Data'!BP37/10</f>
        <v>12.8</v>
      </c>
      <c r="BQ36" s="86">
        <f>'Raw Data'!BQ37/10</f>
        <v>13.7</v>
      </c>
      <c r="BR36" s="86">
        <f>'Raw Data'!BR37/10</f>
        <v>13.7</v>
      </c>
      <c r="BS36" s="86">
        <f>'Raw Data'!BS37/10</f>
        <v>12.7</v>
      </c>
      <c r="BT36" s="86">
        <f>'Raw Data'!BT37/10</f>
        <v>14.2</v>
      </c>
      <c r="BU36" s="86">
        <f>'Raw Data'!BU37/10</f>
        <v>13.8</v>
      </c>
      <c r="BV36" s="86">
        <f>'Raw Data'!BV37/10</f>
        <v>13.5</v>
      </c>
      <c r="BW36" s="86">
        <f>'Raw Data'!BW37/10</f>
        <v>13.1</v>
      </c>
      <c r="BX36" s="86">
        <f>'Raw Data'!BX37/10</f>
        <v>12.5</v>
      </c>
      <c r="BY36" s="86">
        <f>'Raw Data'!BY37/10</f>
        <v>15</v>
      </c>
      <c r="BZ36" s="86">
        <f>'Raw Data'!BZ37/10</f>
        <v>13.8</v>
      </c>
      <c r="CA36" s="86">
        <f>'Raw Data'!CA37/10</f>
        <v>13.5</v>
      </c>
      <c r="CB36" s="86">
        <f>'Raw Data'!CB37/10</f>
        <v>11.6</v>
      </c>
      <c r="CC36" s="86">
        <f>'Raw Data'!CC37/10</f>
        <v>13.4</v>
      </c>
      <c r="CD36" s="86">
        <f>'Raw Data'!CD37/10</f>
        <v>13.1</v>
      </c>
      <c r="CE36" s="86">
        <f>'Raw Data'!CE37/10</f>
        <v>12.8</v>
      </c>
      <c r="CF36" s="86">
        <f>'Raw Data'!CF37/10</f>
        <v>12.9</v>
      </c>
      <c r="CG36" s="86">
        <f>'Raw Data'!CG37/100</f>
        <v>13.06</v>
      </c>
      <c r="CH36" s="86">
        <f>'Raw Data'!CH37/100</f>
        <v>12.71</v>
      </c>
      <c r="CI36" s="86">
        <f>'Raw Data'!CI37/100</f>
        <v>12.93</v>
      </c>
      <c r="CJ36" s="86">
        <f>'Raw Data'!CJ37/100</f>
        <v>12.28</v>
      </c>
      <c r="CK36" s="86">
        <f>'Raw Data'!CK37/100</f>
        <v>12.15</v>
      </c>
      <c r="CL36" s="86">
        <f>'Raw Data'!CL37/100</f>
        <v>12.58</v>
      </c>
      <c r="CM36" s="86">
        <f>'Raw Data'!CM37/100</f>
        <v>12.68</v>
      </c>
      <c r="CN36" s="86">
        <f>'Raw Data'!CN37/100</f>
        <v>12.14</v>
      </c>
      <c r="CO36" s="86">
        <f>'Raw Data'!CO37/100</f>
        <v>11.99</v>
      </c>
      <c r="CP36" s="86">
        <f>'Raw Data'!CP37/100</f>
        <v>12.45</v>
      </c>
      <c r="CQ36" s="86">
        <f>'Raw Data'!CQ37/100</f>
        <v>12.07</v>
      </c>
      <c r="CR36" s="86">
        <f>'Raw Data'!CR37/100</f>
        <v>12.13</v>
      </c>
      <c r="CS36" s="86">
        <f>'Raw Data'!CS37/100</f>
        <v>12.2</v>
      </c>
      <c r="CT36" s="86">
        <f>'Raw Data'!CT37/100</f>
        <v>12.32</v>
      </c>
      <c r="CU36" s="382"/>
    </row>
    <row r="37" spans="4:99" s="86" customFormat="1" x14ac:dyDescent="0.2">
      <c r="D37" s="348"/>
      <c r="E37" s="164"/>
      <c r="F37" s="394"/>
      <c r="G37" s="86">
        <f>'Raw Data'!G38</f>
        <v>17</v>
      </c>
      <c r="H37" s="86">
        <f>'Raw Data'!H38</f>
        <v>18</v>
      </c>
      <c r="I37" s="86">
        <f>'Raw Data'!I38</f>
        <v>9</v>
      </c>
      <c r="J37" s="86">
        <f>'Raw Data'!J38</f>
        <v>13</v>
      </c>
      <c r="K37" s="86">
        <f>'Raw Data'!K38</f>
        <v>13</v>
      </c>
      <c r="L37" s="86">
        <f>'Raw Data'!L38</f>
        <v>22</v>
      </c>
      <c r="M37" s="86">
        <f>'Raw Data'!M38</f>
        <v>20</v>
      </c>
      <c r="N37" s="86">
        <f>'Raw Data'!N38</f>
        <v>18</v>
      </c>
      <c r="O37" s="86">
        <f>'Raw Data'!O38</f>
        <v>21</v>
      </c>
      <c r="P37" s="86">
        <f>'Raw Data'!P38</f>
        <v>22</v>
      </c>
      <c r="Q37" s="86">
        <f>'Raw Data'!Q38</f>
        <v>14</v>
      </c>
      <c r="R37" s="86">
        <f>'Raw Data'!R38</f>
        <v>19</v>
      </c>
      <c r="S37" s="86">
        <f>'Raw Data'!S38</f>
        <v>18</v>
      </c>
      <c r="T37" s="86">
        <f>'Raw Data'!T38</f>
        <v>16</v>
      </c>
      <c r="U37" s="86">
        <f>'Raw Data'!U38</f>
        <v>24</v>
      </c>
      <c r="V37" s="86">
        <f>'Raw Data'!V38</f>
        <v>21</v>
      </c>
      <c r="W37" s="86">
        <f>'Raw Data'!W38</f>
        <v>13</v>
      </c>
      <c r="X37" s="86">
        <f>'Raw Data'!X38</f>
        <v>16</v>
      </c>
      <c r="Y37" s="86">
        <f>'Raw Data'!Y38</f>
        <v>17</v>
      </c>
      <c r="Z37" s="86">
        <f>'Raw Data'!Z38</f>
        <v>16</v>
      </c>
      <c r="AA37" s="86">
        <f>'Raw Data'!AA38/10</f>
        <v>20.6</v>
      </c>
      <c r="AB37" s="86">
        <f>'Raw Data'!AB38/10</f>
        <v>17.399999999999999</v>
      </c>
      <c r="AC37" s="86">
        <f>'Raw Data'!AC38/10</f>
        <v>17.8</v>
      </c>
      <c r="AD37" s="86">
        <f>'Raw Data'!AD38/10</f>
        <v>18.600000000000001</v>
      </c>
      <c r="AE37" s="86">
        <f>'Raw Data'!AE38/10</f>
        <v>18.600000000000001</v>
      </c>
      <c r="AF37" s="86">
        <f>'Raw Data'!AF38/10</f>
        <v>17.2</v>
      </c>
      <c r="AG37" s="86">
        <f>'Raw Data'!AG38/10</f>
        <v>18</v>
      </c>
      <c r="AH37" s="86">
        <f>'Raw Data'!AH38/10</f>
        <v>18.5</v>
      </c>
      <c r="AI37" s="86">
        <f>'Raw Data'!AI38/10</f>
        <v>14.7</v>
      </c>
      <c r="AJ37" s="86">
        <f>'Raw Data'!AJ38/10</f>
        <v>18.5</v>
      </c>
      <c r="AK37" s="86">
        <f>'Raw Data'!AK38/10</f>
        <v>17.100000000000001</v>
      </c>
      <c r="AL37" s="86">
        <f>'Raw Data'!AL38/10</f>
        <v>17.5</v>
      </c>
      <c r="AM37" s="86">
        <f>'Raw Data'!AM38/10</f>
        <v>16.899999999999999</v>
      </c>
      <c r="AN37" s="86">
        <f>'Raw Data'!AN38/10</f>
        <v>16.3</v>
      </c>
      <c r="AO37" s="86">
        <f>'Raw Data'!AO38/10</f>
        <v>16.899999999999999</v>
      </c>
      <c r="AP37" s="86">
        <f>'Raw Data'!AP38/10</f>
        <v>16.399999999999999</v>
      </c>
      <c r="AQ37" s="86">
        <f>'Raw Data'!AQ38/10</f>
        <v>16.3</v>
      </c>
      <c r="AR37" s="86">
        <f>'Raw Data'!AR38/10</f>
        <v>18.2</v>
      </c>
      <c r="AS37" s="86">
        <f>'Raw Data'!AS38/10</f>
        <v>15.2</v>
      </c>
      <c r="AT37" s="86">
        <f>'Raw Data'!AT38/10</f>
        <v>15.2</v>
      </c>
      <c r="AU37" s="86">
        <f>'Raw Data'!AU38/10</f>
        <v>16</v>
      </c>
      <c r="AV37" s="86">
        <f>'Raw Data'!AV38/10</f>
        <v>15.7</v>
      </c>
      <c r="AW37" s="86">
        <f>'Raw Data'!AW38/10</f>
        <v>15.3</v>
      </c>
      <c r="AX37" s="86">
        <f>'Raw Data'!AX38/10</f>
        <v>15.7</v>
      </c>
      <c r="AY37" s="86">
        <f>'Raw Data'!AY38/10</f>
        <v>15.4</v>
      </c>
      <c r="AZ37" s="86">
        <f>'Raw Data'!AZ38/10</f>
        <v>15</v>
      </c>
      <c r="BA37" s="86">
        <f>'Raw Data'!BA38/10</f>
        <v>15.5</v>
      </c>
      <c r="BB37" s="86">
        <f>'Raw Data'!BB38/10</f>
        <v>13.7</v>
      </c>
      <c r="BC37" s="86">
        <f>'Raw Data'!BC38/10</f>
        <v>16.100000000000001</v>
      </c>
      <c r="BD37" s="86">
        <f>'Raw Data'!BD38/10</f>
        <v>15.3</v>
      </c>
      <c r="BE37" s="86">
        <f>'Raw Data'!BE38/10</f>
        <v>14.6</v>
      </c>
      <c r="BF37" s="86">
        <f>'Raw Data'!BF38/10</f>
        <v>15</v>
      </c>
      <c r="BG37" s="86">
        <f>'Raw Data'!BG38/10</f>
        <v>16.3</v>
      </c>
      <c r="BH37" s="86">
        <f>'Raw Data'!BH38/10</f>
        <v>15</v>
      </c>
      <c r="BI37" s="86">
        <f>'Raw Data'!BI38/10</f>
        <v>13.7</v>
      </c>
      <c r="BJ37" s="86">
        <f>'Raw Data'!BJ38/10</f>
        <v>16.100000000000001</v>
      </c>
      <c r="BK37" s="86">
        <f>'Raw Data'!BK38/10</f>
        <v>15.7</v>
      </c>
      <c r="BL37" s="86">
        <f>'Raw Data'!BL38/10</f>
        <v>15</v>
      </c>
      <c r="BM37" s="86">
        <f>'Raw Data'!BM38/10</f>
        <v>14.2</v>
      </c>
      <c r="BN37" s="86">
        <f>'Raw Data'!BN38/10</f>
        <v>15.2</v>
      </c>
      <c r="BO37" s="86">
        <f>'Raw Data'!BO38/10</f>
        <v>13.8</v>
      </c>
      <c r="BP37" s="86">
        <f>'Raw Data'!BP38/10</f>
        <v>14.3</v>
      </c>
      <c r="BQ37" s="86">
        <f>'Raw Data'!BQ38/10</f>
        <v>14.8</v>
      </c>
      <c r="BR37" s="86">
        <f>'Raw Data'!BR38/10</f>
        <v>14.4</v>
      </c>
      <c r="BS37" s="86">
        <f>'Raw Data'!BS38/10</f>
        <v>14</v>
      </c>
      <c r="BT37" s="86">
        <f>'Raw Data'!BT38/10</f>
        <v>15</v>
      </c>
      <c r="BU37" s="86">
        <f>'Raw Data'!BU38/10</f>
        <v>14.3</v>
      </c>
      <c r="BV37" s="86">
        <f>'Raw Data'!BV38/10</f>
        <v>14.4</v>
      </c>
      <c r="BW37" s="86">
        <f>'Raw Data'!BW38/10</f>
        <v>13.4</v>
      </c>
      <c r="BX37" s="86">
        <f>'Raw Data'!BX38/10</f>
        <v>12.7</v>
      </c>
      <c r="BY37" s="86">
        <f>'Raw Data'!BY38/10</f>
        <v>15</v>
      </c>
      <c r="BZ37" s="86">
        <f>'Raw Data'!BZ38/10</f>
        <v>15.7</v>
      </c>
      <c r="CA37" s="86">
        <f>'Raw Data'!CA38/10</f>
        <v>12.7</v>
      </c>
      <c r="CB37" s="86">
        <f>'Raw Data'!CB38/10</f>
        <v>13.4</v>
      </c>
      <c r="CC37" s="86">
        <f>'Raw Data'!CC38/10</f>
        <v>15.1</v>
      </c>
      <c r="CD37" s="86">
        <f>'Raw Data'!CD38/10</f>
        <v>15.2</v>
      </c>
      <c r="CE37" s="86">
        <f>'Raw Data'!CE38/10</f>
        <v>15.2</v>
      </c>
      <c r="CF37" s="86">
        <f>'Raw Data'!CF38/10</f>
        <v>13.5</v>
      </c>
      <c r="CG37" s="86">
        <f>'Raw Data'!CG38/100</f>
        <v>13.67</v>
      </c>
      <c r="CH37" s="86">
        <f>'Raw Data'!CH38/100</f>
        <v>13.06</v>
      </c>
      <c r="CI37" s="86">
        <f>'Raw Data'!CI38/100</f>
        <v>12.94</v>
      </c>
      <c r="CJ37" s="86">
        <f>'Raw Data'!CJ38/100</f>
        <v>13.09</v>
      </c>
      <c r="CK37" s="86">
        <f>'Raw Data'!CK38/100</f>
        <v>12.67</v>
      </c>
      <c r="CL37" s="86">
        <f>'Raw Data'!CL38/100</f>
        <v>12.74</v>
      </c>
      <c r="CM37" s="86">
        <f>'Raw Data'!CM38/100</f>
        <v>13.25</v>
      </c>
      <c r="CN37" s="86">
        <f>'Raw Data'!CN38/100</f>
        <v>12.88</v>
      </c>
      <c r="CO37" s="86">
        <f>'Raw Data'!CO38/100</f>
        <v>12.42</v>
      </c>
      <c r="CP37" s="86">
        <f>'Raw Data'!CP38/100</f>
        <v>12.55</v>
      </c>
      <c r="CQ37" s="86">
        <f>'Raw Data'!CQ38/100</f>
        <v>12.45</v>
      </c>
      <c r="CR37" s="86">
        <f>'Raw Data'!CR38/100</f>
        <v>12.91</v>
      </c>
      <c r="CS37" s="86">
        <f>'Raw Data'!CS38/100</f>
        <v>12.64</v>
      </c>
      <c r="CT37" s="86">
        <f>'Raw Data'!CT38/100</f>
        <v>12.55</v>
      </c>
      <c r="CU37" s="382"/>
    </row>
    <row r="38" spans="4:99" s="86" customFormat="1" x14ac:dyDescent="0.2">
      <c r="D38" s="348"/>
      <c r="E38" s="164"/>
      <c r="F38" s="394"/>
      <c r="G38" s="86">
        <f>'Raw Data'!G39</f>
        <v>13</v>
      </c>
      <c r="H38" s="86">
        <f>'Raw Data'!H39</f>
        <v>20</v>
      </c>
      <c r="I38" s="86">
        <f>'Raw Data'!I39</f>
        <v>12</v>
      </c>
      <c r="J38" s="86">
        <f>'Raw Data'!J39</f>
        <v>19</v>
      </c>
      <c r="K38" s="86">
        <f>'Raw Data'!K39</f>
        <v>16</v>
      </c>
      <c r="L38" s="86">
        <f>'Raw Data'!L39</f>
        <v>17</v>
      </c>
      <c r="M38" s="86">
        <f>'Raw Data'!M39</f>
        <v>16</v>
      </c>
      <c r="N38" s="86">
        <f>'Raw Data'!N39</f>
        <v>17</v>
      </c>
      <c r="O38" s="86">
        <f>'Raw Data'!O39</f>
        <v>15</v>
      </c>
      <c r="P38" s="86">
        <f>'Raw Data'!P39</f>
        <v>15</v>
      </c>
      <c r="Q38" s="86">
        <f>'Raw Data'!Q39</f>
        <v>18</v>
      </c>
      <c r="R38" s="86">
        <f>'Raw Data'!R39</f>
        <v>19</v>
      </c>
      <c r="S38" s="86">
        <f>'Raw Data'!S39</f>
        <v>18</v>
      </c>
      <c r="T38" s="86">
        <f>'Raw Data'!T39</f>
        <v>21</v>
      </c>
      <c r="U38" s="86">
        <f>'Raw Data'!U39</f>
        <v>12</v>
      </c>
      <c r="V38" s="86">
        <f>'Raw Data'!V39</f>
        <v>27</v>
      </c>
      <c r="W38" s="86">
        <f>'Raw Data'!W39</f>
        <v>15</v>
      </c>
      <c r="X38" s="86">
        <f>'Raw Data'!X39</f>
        <v>18</v>
      </c>
      <c r="Y38" s="86">
        <f>'Raw Data'!Y39</f>
        <v>14</v>
      </c>
      <c r="Z38" s="86">
        <f>'Raw Data'!Z39</f>
        <v>20</v>
      </c>
      <c r="AA38" s="86">
        <f>'Raw Data'!AA39/10</f>
        <v>17.399999999999999</v>
      </c>
      <c r="AB38" s="86">
        <f>'Raw Data'!AB39/10</f>
        <v>18.100000000000001</v>
      </c>
      <c r="AC38" s="86">
        <f>'Raw Data'!AC39/10</f>
        <v>16.5</v>
      </c>
      <c r="AD38" s="86">
        <f>'Raw Data'!AD39/10</f>
        <v>17.8</v>
      </c>
      <c r="AE38" s="86">
        <f>'Raw Data'!AE39/10</f>
        <v>19</v>
      </c>
      <c r="AF38" s="86">
        <f>'Raw Data'!AF39/10</f>
        <v>15.8</v>
      </c>
      <c r="AG38" s="86">
        <f>'Raw Data'!AG39/10</f>
        <v>17.3</v>
      </c>
      <c r="AH38" s="86">
        <f>'Raw Data'!AH39/10</f>
        <v>15.5</v>
      </c>
      <c r="AI38" s="86">
        <f>'Raw Data'!AI39/10</f>
        <v>17.7</v>
      </c>
      <c r="AJ38" s="86">
        <f>'Raw Data'!AJ39/10</f>
        <v>17.100000000000001</v>
      </c>
      <c r="AK38" s="86">
        <f>'Raw Data'!AK39/10</f>
        <v>17.7</v>
      </c>
      <c r="AL38" s="86">
        <f>'Raw Data'!AL39/10</f>
        <v>15.6</v>
      </c>
      <c r="AM38" s="86">
        <f>'Raw Data'!AM39/10</f>
        <v>13.7</v>
      </c>
      <c r="AN38" s="86">
        <f>'Raw Data'!AN39/10</f>
        <v>17.100000000000001</v>
      </c>
      <c r="AO38" s="86">
        <f>'Raw Data'!AO39/10</f>
        <v>15.3</v>
      </c>
      <c r="AP38" s="86">
        <f>'Raw Data'!AP39/10</f>
        <v>15</v>
      </c>
      <c r="AQ38" s="86">
        <f>'Raw Data'!AQ39/10</f>
        <v>16</v>
      </c>
      <c r="AR38" s="86">
        <f>'Raw Data'!AR39/10</f>
        <v>15.4</v>
      </c>
      <c r="AS38" s="86">
        <f>'Raw Data'!AS39/10</f>
        <v>15.4</v>
      </c>
      <c r="AT38" s="86">
        <f>'Raw Data'!AT39/10</f>
        <v>15.4</v>
      </c>
      <c r="AU38" s="86">
        <f>'Raw Data'!AU39/10</f>
        <v>13.7</v>
      </c>
      <c r="AV38" s="86">
        <f>'Raw Data'!AV39/10</f>
        <v>15.6</v>
      </c>
      <c r="AW38" s="86">
        <f>'Raw Data'!AW39/10</f>
        <v>15.9</v>
      </c>
      <c r="AX38" s="86">
        <f>'Raw Data'!AX39/10</f>
        <v>15.1</v>
      </c>
      <c r="AY38" s="86">
        <f>'Raw Data'!AY39/10</f>
        <v>15.8</v>
      </c>
      <c r="AZ38" s="86">
        <f>'Raw Data'!AZ39/10</f>
        <v>13.5</v>
      </c>
      <c r="BA38" s="86">
        <f>'Raw Data'!BA39/10</f>
        <v>13.6</v>
      </c>
      <c r="BB38" s="86">
        <f>'Raw Data'!BB39/10</f>
        <v>14.6</v>
      </c>
      <c r="BC38" s="86">
        <f>'Raw Data'!BC39/10</f>
        <v>13.9</v>
      </c>
      <c r="BD38" s="86">
        <f>'Raw Data'!BD39/10</f>
        <v>15.7</v>
      </c>
      <c r="BE38" s="86">
        <f>'Raw Data'!BE39/10</f>
        <v>14.7</v>
      </c>
      <c r="BF38" s="86">
        <f>'Raw Data'!BF39/10</f>
        <v>13.1</v>
      </c>
      <c r="BG38" s="86">
        <f>'Raw Data'!BG39/10</f>
        <v>14.7</v>
      </c>
      <c r="BH38" s="86">
        <f>'Raw Data'!BH39/10</f>
        <v>13.8</v>
      </c>
      <c r="BI38" s="86">
        <f>'Raw Data'!BI39/10</f>
        <v>12.4</v>
      </c>
      <c r="BJ38" s="86">
        <f>'Raw Data'!BJ39/10</f>
        <v>13.2</v>
      </c>
      <c r="BK38" s="86">
        <f>'Raw Data'!BK39/10</f>
        <v>12.4</v>
      </c>
      <c r="BL38" s="86">
        <f>'Raw Data'!BL39/10</f>
        <v>14.3</v>
      </c>
      <c r="BM38" s="86">
        <f>'Raw Data'!BM39/10</f>
        <v>13.9</v>
      </c>
      <c r="BN38" s="86">
        <f>'Raw Data'!BN39/10</f>
        <v>14.5</v>
      </c>
      <c r="BO38" s="86">
        <f>'Raw Data'!BO39/10</f>
        <v>14.3</v>
      </c>
      <c r="BP38" s="86">
        <f>'Raw Data'!BP39/10</f>
        <v>13.5</v>
      </c>
      <c r="BQ38" s="86">
        <f>'Raw Data'!BQ39/10</f>
        <v>14.6</v>
      </c>
      <c r="BR38" s="86">
        <f>'Raw Data'!BR39/10</f>
        <v>13.1</v>
      </c>
      <c r="BS38" s="86">
        <f>'Raw Data'!BS39/10</f>
        <v>12.8</v>
      </c>
      <c r="BT38" s="86">
        <f>'Raw Data'!BT39/10</f>
        <v>12.1</v>
      </c>
      <c r="BU38" s="86">
        <f>'Raw Data'!BU39/10</f>
        <v>14</v>
      </c>
      <c r="BV38" s="86">
        <f>'Raw Data'!BV39/10</f>
        <v>14.5</v>
      </c>
      <c r="BW38" s="86">
        <f>'Raw Data'!BW39/10</f>
        <v>13.2</v>
      </c>
      <c r="BX38" s="86">
        <f>'Raw Data'!BX39/10</f>
        <v>15.1</v>
      </c>
      <c r="BY38" s="86">
        <f>'Raw Data'!BY39/10</f>
        <v>12.6</v>
      </c>
      <c r="BZ38" s="86">
        <f>'Raw Data'!BZ39/10</f>
        <v>14.4</v>
      </c>
      <c r="CA38" s="86">
        <f>'Raw Data'!CA39/10</f>
        <v>14</v>
      </c>
      <c r="CB38" s="86">
        <f>'Raw Data'!CB39/10</f>
        <v>13.8</v>
      </c>
      <c r="CC38" s="86">
        <f>'Raw Data'!CC39/10</f>
        <v>13.3</v>
      </c>
      <c r="CD38" s="86">
        <f>'Raw Data'!CD39/10</f>
        <v>12.7</v>
      </c>
      <c r="CE38" s="86">
        <f>'Raw Data'!CE39/10</f>
        <v>12.9</v>
      </c>
      <c r="CF38" s="86">
        <f>'Raw Data'!CF39/10</f>
        <v>12.3</v>
      </c>
      <c r="CG38" s="86">
        <f>'Raw Data'!CG39/100</f>
        <v>12.37</v>
      </c>
      <c r="CH38" s="86">
        <f>'Raw Data'!CH39/100</f>
        <v>12.34</v>
      </c>
      <c r="CI38" s="86">
        <f>'Raw Data'!CI39/100</f>
        <v>12.67</v>
      </c>
      <c r="CJ38" s="86">
        <f>'Raw Data'!CJ39/100</f>
        <v>12.54</v>
      </c>
      <c r="CK38" s="86">
        <f>'Raw Data'!CK39/100</f>
        <v>12.08</v>
      </c>
      <c r="CL38" s="86">
        <f>'Raw Data'!CL39/100</f>
        <v>12.27</v>
      </c>
      <c r="CM38" s="86">
        <f>'Raw Data'!CM39/100</f>
        <v>12.33</v>
      </c>
      <c r="CN38" s="86">
        <f>'Raw Data'!CN39/100</f>
        <v>11.65</v>
      </c>
      <c r="CO38" s="86">
        <f>'Raw Data'!CO39/100</f>
        <v>11.93</v>
      </c>
      <c r="CP38" s="86">
        <f>'Raw Data'!CP39/100</f>
        <v>11.74</v>
      </c>
      <c r="CQ38" s="86">
        <f>'Raw Data'!CQ39/100</f>
        <v>12</v>
      </c>
      <c r="CR38" s="86">
        <f>'Raw Data'!CR39/100</f>
        <v>11.43</v>
      </c>
      <c r="CS38" s="86">
        <f>'Raw Data'!CS39/100</f>
        <v>11.58</v>
      </c>
      <c r="CT38" s="86">
        <f>'Raw Data'!CT39/100</f>
        <v>11.5</v>
      </c>
      <c r="CU38" s="382"/>
    </row>
    <row r="39" spans="4:99" s="86" customFormat="1" x14ac:dyDescent="0.2">
      <c r="D39" s="350"/>
      <c r="E39" s="381"/>
      <c r="F39" s="395"/>
      <c r="G39" s="87">
        <f>'Raw Data'!G40</f>
        <v>13</v>
      </c>
      <c r="H39" s="87">
        <f>'Raw Data'!H40</f>
        <v>20</v>
      </c>
      <c r="I39" s="87">
        <f>'Raw Data'!I40</f>
        <v>16</v>
      </c>
      <c r="J39" s="87">
        <f>'Raw Data'!J40</f>
        <v>15</v>
      </c>
      <c r="K39" s="87">
        <f>'Raw Data'!K40</f>
        <v>13</v>
      </c>
      <c r="L39" s="87">
        <f>'Raw Data'!L40</f>
        <v>17</v>
      </c>
      <c r="M39" s="87">
        <f>'Raw Data'!M40</f>
        <v>22</v>
      </c>
      <c r="N39" s="87">
        <f>'Raw Data'!N40</f>
        <v>14</v>
      </c>
      <c r="O39" s="87">
        <f>'Raw Data'!O40</f>
        <v>17</v>
      </c>
      <c r="P39" s="87">
        <f>'Raw Data'!P40</f>
        <v>19</v>
      </c>
      <c r="Q39" s="87">
        <f>'Raw Data'!Q40</f>
        <v>12</v>
      </c>
      <c r="R39" s="87">
        <f>'Raw Data'!R40</f>
        <v>15</v>
      </c>
      <c r="S39" s="87">
        <f>'Raw Data'!S40</f>
        <v>17</v>
      </c>
      <c r="T39" s="87">
        <f>'Raw Data'!T40</f>
        <v>16</v>
      </c>
      <c r="U39" s="87">
        <f>'Raw Data'!U40</f>
        <v>15</v>
      </c>
      <c r="V39" s="87">
        <f>'Raw Data'!V40</f>
        <v>21</v>
      </c>
      <c r="W39" s="87">
        <f>'Raw Data'!W40</f>
        <v>13</v>
      </c>
      <c r="X39" s="87">
        <f>'Raw Data'!X40</f>
        <v>17</v>
      </c>
      <c r="Y39" s="87">
        <f>'Raw Data'!Y40</f>
        <v>20</v>
      </c>
      <c r="Z39" s="87">
        <f>'Raw Data'!Z40</f>
        <v>16</v>
      </c>
      <c r="AA39" s="87">
        <f>'Raw Data'!AA40/10</f>
        <v>17.3</v>
      </c>
      <c r="AB39" s="87">
        <f>'Raw Data'!AB40/10</f>
        <v>18.5</v>
      </c>
      <c r="AC39" s="87">
        <f>'Raw Data'!AC40/10</f>
        <v>16.899999999999999</v>
      </c>
      <c r="AD39" s="87">
        <f>'Raw Data'!AD40/10</f>
        <v>16.899999999999999</v>
      </c>
      <c r="AE39" s="87">
        <f>'Raw Data'!AE40/10</f>
        <v>17.399999999999999</v>
      </c>
      <c r="AF39" s="87">
        <f>'Raw Data'!AF40/10</f>
        <v>18.899999999999999</v>
      </c>
      <c r="AG39" s="87">
        <f>'Raw Data'!AG40/10</f>
        <v>18.399999999999999</v>
      </c>
      <c r="AH39" s="87">
        <f>'Raw Data'!AH40/10</f>
        <v>16.5</v>
      </c>
      <c r="AI39" s="87">
        <f>'Raw Data'!AI40/10</f>
        <v>16</v>
      </c>
      <c r="AJ39" s="87">
        <f>'Raw Data'!AJ40/10</f>
        <v>17.399999999999999</v>
      </c>
      <c r="AK39" s="87">
        <f>'Raw Data'!AK40/10</f>
        <v>14.7</v>
      </c>
      <c r="AL39" s="87">
        <f>'Raw Data'!AL40/10</f>
        <v>18.100000000000001</v>
      </c>
      <c r="AM39" s="87">
        <f>'Raw Data'!AM40/10</f>
        <v>14.3</v>
      </c>
      <c r="AN39" s="87">
        <f>'Raw Data'!AN40/10</f>
        <v>17.600000000000001</v>
      </c>
      <c r="AO39" s="87">
        <f>'Raw Data'!AO40/10</f>
        <v>16.8</v>
      </c>
      <c r="AP39" s="87">
        <f>'Raw Data'!AP40/10</f>
        <v>15.3</v>
      </c>
      <c r="AQ39" s="87">
        <f>'Raw Data'!AQ40/10</f>
        <v>16.600000000000001</v>
      </c>
      <c r="AR39" s="87">
        <f>'Raw Data'!AR40/10</f>
        <v>15.4</v>
      </c>
      <c r="AS39" s="87">
        <f>'Raw Data'!AS40/10</f>
        <v>14.3</v>
      </c>
      <c r="AT39" s="87">
        <f>'Raw Data'!AT40/10</f>
        <v>15</v>
      </c>
      <c r="AU39" s="87">
        <f>'Raw Data'!AU40/10</f>
        <v>15</v>
      </c>
      <c r="AV39" s="87">
        <f>'Raw Data'!AV40/10</f>
        <v>14.3</v>
      </c>
      <c r="AW39" s="87">
        <f>'Raw Data'!AW40/10</f>
        <v>15.6</v>
      </c>
      <c r="AX39" s="87">
        <f>'Raw Data'!AX40/10</f>
        <v>13.3</v>
      </c>
      <c r="AY39" s="87">
        <f>'Raw Data'!AY40/10</f>
        <v>15.1</v>
      </c>
      <c r="AZ39" s="87">
        <f>'Raw Data'!AZ40/10</f>
        <v>14.7</v>
      </c>
      <c r="BA39" s="87">
        <f>'Raw Data'!BA40/10</f>
        <v>15.6</v>
      </c>
      <c r="BB39" s="87">
        <f>'Raw Data'!BB40/10</f>
        <v>13.7</v>
      </c>
      <c r="BC39" s="87">
        <f>'Raw Data'!BC40/10</f>
        <v>14</v>
      </c>
      <c r="BD39" s="87">
        <f>'Raw Data'!BD40/10</f>
        <v>14.6</v>
      </c>
      <c r="BE39" s="87">
        <f>'Raw Data'!BE40/10</f>
        <v>13.3</v>
      </c>
      <c r="BF39" s="87">
        <f>'Raw Data'!BF40/10</f>
        <v>15.6</v>
      </c>
      <c r="BG39" s="87">
        <f>'Raw Data'!BG40/10</f>
        <v>13.2</v>
      </c>
      <c r="BH39" s="87">
        <f>'Raw Data'!BH40/10</f>
        <v>15</v>
      </c>
      <c r="BI39" s="87">
        <f>'Raw Data'!BI40/10</f>
        <v>13.6</v>
      </c>
      <c r="BJ39" s="87">
        <f>'Raw Data'!BJ40/10</f>
        <v>14.4</v>
      </c>
      <c r="BK39" s="87">
        <f>'Raw Data'!BK40/10</f>
        <v>14</v>
      </c>
      <c r="BL39" s="87">
        <f>'Raw Data'!BL40/10</f>
        <v>12.8</v>
      </c>
      <c r="BM39" s="87">
        <f>'Raw Data'!BM40/10</f>
        <v>14.6</v>
      </c>
      <c r="BN39" s="87">
        <f>'Raw Data'!BN40/10</f>
        <v>12.4</v>
      </c>
      <c r="BO39" s="87">
        <f>'Raw Data'!BO40/10</f>
        <v>14</v>
      </c>
      <c r="BP39" s="87">
        <f>'Raw Data'!BP40/10</f>
        <v>13.3</v>
      </c>
      <c r="BQ39" s="87">
        <f>'Raw Data'!BQ40/10</f>
        <v>13.6</v>
      </c>
      <c r="BR39" s="87">
        <f>'Raw Data'!BR40/10</f>
        <v>13.4</v>
      </c>
      <c r="BS39" s="87">
        <f>'Raw Data'!BS40/10</f>
        <v>13.5</v>
      </c>
      <c r="BT39" s="87">
        <f>'Raw Data'!BT40/10</f>
        <v>13.7</v>
      </c>
      <c r="BU39" s="87">
        <f>'Raw Data'!BU40/10</f>
        <v>12.4</v>
      </c>
      <c r="BV39" s="87">
        <f>'Raw Data'!BV40/10</f>
        <v>15.2</v>
      </c>
      <c r="BW39" s="87">
        <f>'Raw Data'!BW40/10</f>
        <v>12.3</v>
      </c>
      <c r="BX39" s="87">
        <f>'Raw Data'!BX40/10</f>
        <v>13.8</v>
      </c>
      <c r="BY39" s="87">
        <f>'Raw Data'!BY40/10</f>
        <v>12.8</v>
      </c>
      <c r="BZ39" s="87">
        <f>'Raw Data'!BZ40/10</f>
        <v>14</v>
      </c>
      <c r="CA39" s="87">
        <f>'Raw Data'!CA40/10</f>
        <v>12.5</v>
      </c>
      <c r="CB39" s="87">
        <f>'Raw Data'!CB40/10</f>
        <v>11.4</v>
      </c>
      <c r="CC39" s="87">
        <f>'Raw Data'!CC40/10</f>
        <v>11.3</v>
      </c>
      <c r="CD39" s="87">
        <f>'Raw Data'!CD40/10</f>
        <v>12.4</v>
      </c>
      <c r="CE39" s="87">
        <f>'Raw Data'!CE40/10</f>
        <v>11.4</v>
      </c>
      <c r="CF39" s="87">
        <f>'Raw Data'!CF40/10</f>
        <v>12</v>
      </c>
      <c r="CG39" s="87">
        <f>'Raw Data'!CG40/100</f>
        <v>12.64</v>
      </c>
      <c r="CH39" s="87">
        <f>'Raw Data'!CH40/100</f>
        <v>12.77</v>
      </c>
      <c r="CI39" s="87">
        <f>'Raw Data'!CI40/100</f>
        <v>12.69</v>
      </c>
      <c r="CJ39" s="87">
        <f>'Raw Data'!CJ40/100</f>
        <v>12.41</v>
      </c>
      <c r="CK39" s="87">
        <f>'Raw Data'!CK40/100</f>
        <v>12.2</v>
      </c>
      <c r="CL39" s="87">
        <f>'Raw Data'!CL40/100</f>
        <v>12.06</v>
      </c>
      <c r="CM39" s="87">
        <f>'Raw Data'!CM40/100</f>
        <v>11.61</v>
      </c>
      <c r="CN39" s="87">
        <f>'Raw Data'!CN40/100</f>
        <v>12.1</v>
      </c>
      <c r="CO39" s="87">
        <f>'Raw Data'!CO40/100</f>
        <v>12</v>
      </c>
      <c r="CP39" s="87">
        <f>'Raw Data'!CP40/100</f>
        <v>12.46</v>
      </c>
      <c r="CQ39" s="87">
        <f>'Raw Data'!CQ40/100</f>
        <v>11.57</v>
      </c>
      <c r="CR39" s="87">
        <f>'Raw Data'!CR40/100</f>
        <v>11.03</v>
      </c>
      <c r="CS39" s="87">
        <f>'Raw Data'!CS40/100</f>
        <v>11.31</v>
      </c>
      <c r="CT39" s="87">
        <f>'Raw Data'!CT40/100</f>
        <v>11.22</v>
      </c>
      <c r="CU39" s="382"/>
    </row>
    <row r="40" spans="4:99" s="86" customFormat="1" x14ac:dyDescent="0.2">
      <c r="D40" s="374"/>
      <c r="E40" s="164"/>
      <c r="F40" s="394"/>
      <c r="G40" s="83">
        <f>'Raw Data'!G41</f>
        <v>6447</v>
      </c>
      <c r="H40" s="83">
        <f>'Raw Data'!H41</f>
        <v>6421</v>
      </c>
      <c r="I40" s="83">
        <f>'Raw Data'!I41</f>
        <v>6457</v>
      </c>
      <c r="J40" s="83">
        <f>'Raw Data'!J41</f>
        <v>6368</v>
      </c>
      <c r="K40" s="83">
        <f>'Raw Data'!K41</f>
        <v>6455</v>
      </c>
      <c r="L40" s="83">
        <f>'Raw Data'!L41</f>
        <v>6381</v>
      </c>
      <c r="M40" s="83">
        <f>'Raw Data'!M41</f>
        <v>6419</v>
      </c>
      <c r="N40" s="83">
        <f>'Raw Data'!N41</f>
        <v>6322</v>
      </c>
      <c r="O40" s="83">
        <f>'Raw Data'!O41</f>
        <v>6457</v>
      </c>
      <c r="P40" s="83">
        <f>'Raw Data'!P41</f>
        <v>6210</v>
      </c>
      <c r="Q40" s="83">
        <f>'Raw Data'!Q41</f>
        <v>6308</v>
      </c>
      <c r="R40" s="83">
        <f>'Raw Data'!R41</f>
        <v>6226</v>
      </c>
      <c r="S40" s="83">
        <f>'Raw Data'!S41</f>
        <v>6207</v>
      </c>
      <c r="T40" s="83">
        <f>'Raw Data'!T41</f>
        <v>6399</v>
      </c>
      <c r="U40" s="83">
        <f>'Raw Data'!U41</f>
        <v>6153</v>
      </c>
      <c r="V40" s="83">
        <f>'Raw Data'!V41</f>
        <v>6163</v>
      </c>
      <c r="W40" s="83">
        <f>'Raw Data'!W41</f>
        <v>6085</v>
      </c>
      <c r="X40" s="83">
        <f>'Raw Data'!X41</f>
        <v>6089</v>
      </c>
      <c r="Y40" s="83">
        <f>'Raw Data'!Y41</f>
        <v>6087</v>
      </c>
      <c r="Z40" s="83">
        <f>'Raw Data'!Z41</f>
        <v>6046</v>
      </c>
      <c r="AA40" s="83">
        <f>'Raw Data'!AA41/10</f>
        <v>5904.1</v>
      </c>
      <c r="AB40" s="83">
        <f>'Raw Data'!AB41/10</f>
        <v>5593.1</v>
      </c>
      <c r="AC40" s="83">
        <f>'Raw Data'!AC41/10</f>
        <v>5305.3</v>
      </c>
      <c r="AD40" s="83">
        <f>'Raw Data'!AD41/10</f>
        <v>5020.3999999999996</v>
      </c>
      <c r="AE40" s="83">
        <f>'Raw Data'!AE41/10</f>
        <v>4737.1000000000004</v>
      </c>
      <c r="AF40" s="83">
        <f>'Raw Data'!AF41/10</f>
        <v>4543</v>
      </c>
      <c r="AG40" s="83">
        <f>'Raw Data'!AG41/10</f>
        <v>4293.6000000000004</v>
      </c>
      <c r="AH40" s="83">
        <f>'Raw Data'!AH41/10</f>
        <v>4054.8</v>
      </c>
      <c r="AI40" s="83">
        <f>'Raw Data'!AI41/10</f>
        <v>3874.2</v>
      </c>
      <c r="AJ40" s="83">
        <f>'Raw Data'!AJ41/10</f>
        <v>3689.5</v>
      </c>
      <c r="AK40" s="83">
        <f>'Raw Data'!AK41/10</f>
        <v>3513.1</v>
      </c>
      <c r="AL40" s="83">
        <f>'Raw Data'!AL41/10</f>
        <v>3390.2</v>
      </c>
      <c r="AM40" s="83">
        <f>'Raw Data'!AM41/10</f>
        <v>3248.1</v>
      </c>
      <c r="AN40" s="83">
        <f>'Raw Data'!AN41/10</f>
        <v>3053.9</v>
      </c>
      <c r="AO40" s="83">
        <f>'Raw Data'!AO41/10</f>
        <v>2960.6</v>
      </c>
      <c r="AP40" s="83">
        <f>'Raw Data'!AP41/10</f>
        <v>2827.4</v>
      </c>
      <c r="AQ40" s="83">
        <f>'Raw Data'!AQ41/10</f>
        <v>2741.7</v>
      </c>
      <c r="AR40" s="83">
        <f>'Raw Data'!AR41/10</f>
        <v>2643.3</v>
      </c>
      <c r="AS40" s="83">
        <f>'Raw Data'!AS41/10</f>
        <v>2539.6</v>
      </c>
      <c r="AT40" s="83">
        <f>'Raw Data'!AT41/10</f>
        <v>2456.5</v>
      </c>
      <c r="AU40" s="83">
        <f>'Raw Data'!AU41/10</f>
        <v>2341.6999999999998</v>
      </c>
      <c r="AV40" s="83">
        <f>'Raw Data'!AV41/10</f>
        <v>2273.4</v>
      </c>
      <c r="AW40" s="83">
        <f>'Raw Data'!AW41/10</f>
        <v>2199</v>
      </c>
      <c r="AX40" s="83">
        <f>'Raw Data'!AX41/10</f>
        <v>2119.4</v>
      </c>
      <c r="AY40" s="83">
        <f>'Raw Data'!AY41/10</f>
        <v>2045.5</v>
      </c>
      <c r="AZ40" s="83">
        <f>'Raw Data'!AZ41/10</f>
        <v>1993.2</v>
      </c>
      <c r="BA40" s="83">
        <f>'Raw Data'!BA41/10</f>
        <v>1927.9</v>
      </c>
      <c r="BB40" s="83">
        <f>'Raw Data'!BB41/10</f>
        <v>1861.5</v>
      </c>
      <c r="BC40" s="83">
        <f>'Raw Data'!BC41/10</f>
        <v>1796.7</v>
      </c>
      <c r="BD40" s="83">
        <f>'Raw Data'!BD41/10</f>
        <v>1794.2</v>
      </c>
      <c r="BE40" s="83">
        <f>'Raw Data'!BE41/10</f>
        <v>1712.6</v>
      </c>
      <c r="BF40" s="83">
        <f>'Raw Data'!BF41/10</f>
        <v>1661.1</v>
      </c>
      <c r="BG40" s="83">
        <f>'Raw Data'!BG41/10</f>
        <v>1619.5</v>
      </c>
      <c r="BH40" s="83">
        <f>'Raw Data'!BH41/10</f>
        <v>1560.9</v>
      </c>
      <c r="BI40" s="83">
        <f>'Raw Data'!BI41/10</f>
        <v>1539.8</v>
      </c>
      <c r="BJ40" s="83">
        <f>'Raw Data'!BJ41/10</f>
        <v>1488.9</v>
      </c>
      <c r="BK40" s="83">
        <f>'Raw Data'!BK41/10</f>
        <v>1456.8</v>
      </c>
      <c r="BL40" s="83">
        <f>'Raw Data'!BL41/10</f>
        <v>1419</v>
      </c>
      <c r="BM40" s="83">
        <f>'Raw Data'!BM41/10</f>
        <v>1376</v>
      </c>
      <c r="BN40" s="83">
        <f>'Raw Data'!BN41/10</f>
        <v>1351.4</v>
      </c>
      <c r="BO40" s="83">
        <f>'Raw Data'!BO41/10</f>
        <v>1326</v>
      </c>
      <c r="BP40" s="83">
        <f>'Raw Data'!BP41/10</f>
        <v>1288.5999999999999</v>
      </c>
      <c r="BQ40" s="83">
        <f>'Raw Data'!BQ41/10</f>
        <v>1253.5</v>
      </c>
      <c r="BR40" s="83">
        <f>'Raw Data'!BR41/10</f>
        <v>1248.8</v>
      </c>
      <c r="BS40" s="83">
        <f>'Raw Data'!BS41/10</f>
        <v>1217.7</v>
      </c>
      <c r="BT40" s="83">
        <f>'Raw Data'!BT41/10</f>
        <v>1178.2</v>
      </c>
      <c r="BU40" s="83">
        <f>'Raw Data'!BU41/10</f>
        <v>1135.5</v>
      </c>
      <c r="BV40" s="83">
        <f>'Raw Data'!BV41/10</f>
        <v>1124.9000000000001</v>
      </c>
      <c r="BW40" s="83">
        <f>'Raw Data'!BW41/10</f>
        <v>1110</v>
      </c>
      <c r="BX40" s="83">
        <f>'Raw Data'!BX41/10</f>
        <v>1070.5</v>
      </c>
      <c r="BY40" s="83">
        <f>'Raw Data'!BY41/10</f>
        <v>1060.4000000000001</v>
      </c>
      <c r="BZ40" s="83">
        <f>'Raw Data'!BZ41/10</f>
        <v>1033.5</v>
      </c>
      <c r="CA40" s="83">
        <f>'Raw Data'!CA41/10</f>
        <v>1019.7</v>
      </c>
      <c r="CB40" s="83">
        <f>'Raw Data'!CB41/10</f>
        <v>1004.8</v>
      </c>
      <c r="CC40" s="83">
        <f>'Raw Data'!CC41/10</f>
        <v>982.1</v>
      </c>
      <c r="CD40" s="83">
        <f>'Raw Data'!CD41/10</f>
        <v>957.2</v>
      </c>
      <c r="CE40" s="83">
        <f>'Raw Data'!CE41/10</f>
        <v>946.5</v>
      </c>
      <c r="CF40" s="83">
        <f>'Raw Data'!CF41/10</f>
        <v>932.9</v>
      </c>
      <c r="CG40" s="83">
        <f>'Raw Data'!CG41/100</f>
        <v>847.75</v>
      </c>
      <c r="CH40" s="83">
        <f>'Raw Data'!CH41/100</f>
        <v>723.44</v>
      </c>
      <c r="CI40" s="83">
        <f>'Raw Data'!CI41/100</f>
        <v>631.15</v>
      </c>
      <c r="CJ40" s="83">
        <f>'Raw Data'!CJ41/100</f>
        <v>561.64</v>
      </c>
      <c r="CK40" s="83">
        <f>'Raw Data'!CK41/100</f>
        <v>499.54</v>
      </c>
      <c r="CL40" s="83">
        <f>'Raw Data'!CL41/100</f>
        <v>453.92</v>
      </c>
      <c r="CM40" s="83">
        <f>'Raw Data'!CM41/100</f>
        <v>414.19</v>
      </c>
      <c r="CN40" s="83">
        <f>'Raw Data'!CN41/100</f>
        <v>383.22</v>
      </c>
      <c r="CO40" s="83">
        <f>'Raw Data'!CO41/100</f>
        <v>355.7</v>
      </c>
      <c r="CP40" s="83">
        <f>'Raw Data'!CP41/100</f>
        <v>329.2</v>
      </c>
      <c r="CQ40" s="83">
        <f>'Raw Data'!CQ41/100</f>
        <v>308.54000000000002</v>
      </c>
      <c r="CR40" s="83">
        <f>'Raw Data'!CR41/100</f>
        <v>289.64</v>
      </c>
      <c r="CS40" s="83">
        <f>'Raw Data'!CS41/100</f>
        <v>274.77999999999997</v>
      </c>
      <c r="CT40" s="83">
        <f>'Raw Data'!CT41/100</f>
        <v>260.87</v>
      </c>
      <c r="CU40" s="382"/>
    </row>
    <row r="41" spans="4:99" s="86" customFormat="1" x14ac:dyDescent="0.2">
      <c r="D41" s="374"/>
      <c r="E41" s="164"/>
      <c r="F41" s="394"/>
      <c r="G41" s="83">
        <f>'Raw Data'!G42</f>
        <v>1931</v>
      </c>
      <c r="H41" s="83">
        <f>'Raw Data'!H42</f>
        <v>1989</v>
      </c>
      <c r="I41" s="83">
        <f>'Raw Data'!I42</f>
        <v>1958</v>
      </c>
      <c r="J41" s="83">
        <f>'Raw Data'!J42</f>
        <v>1922</v>
      </c>
      <c r="K41" s="83">
        <f>'Raw Data'!K42</f>
        <v>1935</v>
      </c>
      <c r="L41" s="83">
        <f>'Raw Data'!L42</f>
        <v>1906</v>
      </c>
      <c r="M41" s="83">
        <f>'Raw Data'!M42</f>
        <v>2014</v>
      </c>
      <c r="N41" s="83">
        <f>'Raw Data'!N42</f>
        <v>1958</v>
      </c>
      <c r="O41" s="83">
        <f>'Raw Data'!O42</f>
        <v>1926</v>
      </c>
      <c r="P41" s="83">
        <f>'Raw Data'!P42</f>
        <v>1876</v>
      </c>
      <c r="Q41" s="83">
        <f>'Raw Data'!Q42</f>
        <v>1895</v>
      </c>
      <c r="R41" s="83">
        <f>'Raw Data'!R42</f>
        <v>1892</v>
      </c>
      <c r="S41" s="83">
        <f>'Raw Data'!S42</f>
        <v>1937</v>
      </c>
      <c r="T41" s="83">
        <f>'Raw Data'!T42</f>
        <v>1891</v>
      </c>
      <c r="U41" s="83">
        <f>'Raw Data'!U42</f>
        <v>1914</v>
      </c>
      <c r="V41" s="83">
        <f>'Raw Data'!V42</f>
        <v>1954</v>
      </c>
      <c r="W41" s="83">
        <f>'Raw Data'!W42</f>
        <v>1902</v>
      </c>
      <c r="X41" s="83">
        <f>'Raw Data'!X42</f>
        <v>1866</v>
      </c>
      <c r="Y41" s="83">
        <f>'Raw Data'!Y42</f>
        <v>1861</v>
      </c>
      <c r="Z41" s="83">
        <f>'Raw Data'!Z42</f>
        <v>1856</v>
      </c>
      <c r="AA41" s="83">
        <f>'Raw Data'!AA42/10</f>
        <v>1820</v>
      </c>
      <c r="AB41" s="83">
        <f>'Raw Data'!AB42/10</f>
        <v>1760.2</v>
      </c>
      <c r="AC41" s="83">
        <f>'Raw Data'!AC42/10</f>
        <v>1684.5</v>
      </c>
      <c r="AD41" s="83">
        <f>'Raw Data'!AD42/10</f>
        <v>1589.7</v>
      </c>
      <c r="AE41" s="83">
        <f>'Raw Data'!AE42/10</f>
        <v>1519.2</v>
      </c>
      <c r="AF41" s="83">
        <f>'Raw Data'!AF42/10</f>
        <v>1454.3</v>
      </c>
      <c r="AG41" s="83">
        <f>'Raw Data'!AG42/10</f>
        <v>1400.8</v>
      </c>
      <c r="AH41" s="83">
        <f>'Raw Data'!AH42/10</f>
        <v>1325.9</v>
      </c>
      <c r="AI41" s="83">
        <f>'Raw Data'!AI42/10</f>
        <v>1285.9000000000001</v>
      </c>
      <c r="AJ41" s="83">
        <f>'Raw Data'!AJ42/10</f>
        <v>1232.9000000000001</v>
      </c>
      <c r="AK41" s="83">
        <f>'Raw Data'!AK42/10</f>
        <v>1177.5999999999999</v>
      </c>
      <c r="AL41" s="83">
        <f>'Raw Data'!AL42/10</f>
        <v>1127.5</v>
      </c>
      <c r="AM41" s="83">
        <f>'Raw Data'!AM42/10</f>
        <v>1098.4000000000001</v>
      </c>
      <c r="AN41" s="83">
        <f>'Raw Data'!AN42/10</f>
        <v>1059.5999999999999</v>
      </c>
      <c r="AO41" s="83">
        <f>'Raw Data'!AO42/10</f>
        <v>1009.8</v>
      </c>
      <c r="AP41" s="83">
        <f>'Raw Data'!AP42/10</f>
        <v>973.9</v>
      </c>
      <c r="AQ41" s="83">
        <f>'Raw Data'!AQ42/10</f>
        <v>943.6</v>
      </c>
      <c r="AR41" s="83">
        <f>'Raw Data'!AR42/10</f>
        <v>918.4</v>
      </c>
      <c r="AS41" s="83">
        <f>'Raw Data'!AS42/10</f>
        <v>891.9</v>
      </c>
      <c r="AT41" s="83">
        <f>'Raw Data'!AT42/10</f>
        <v>862.9</v>
      </c>
      <c r="AU41" s="83">
        <f>'Raw Data'!AU42/10</f>
        <v>832.3</v>
      </c>
      <c r="AV41" s="83">
        <f>'Raw Data'!AV42/10</f>
        <v>797.2</v>
      </c>
      <c r="AW41" s="83">
        <f>'Raw Data'!AW42/10</f>
        <v>790</v>
      </c>
      <c r="AX41" s="83">
        <f>'Raw Data'!AX42/10</f>
        <v>759.3</v>
      </c>
      <c r="AY41" s="83">
        <f>'Raw Data'!AY42/10</f>
        <v>739.6</v>
      </c>
      <c r="AZ41" s="83">
        <f>'Raw Data'!AZ42/10</f>
        <v>727.8</v>
      </c>
      <c r="BA41" s="83">
        <f>'Raw Data'!BA42/10</f>
        <v>700.5</v>
      </c>
      <c r="BB41" s="83">
        <f>'Raw Data'!BB42/10</f>
        <v>682.4</v>
      </c>
      <c r="BC41" s="83">
        <f>'Raw Data'!BC42/10</f>
        <v>664.5</v>
      </c>
      <c r="BD41" s="83">
        <f>'Raw Data'!BD42/10</f>
        <v>664.6</v>
      </c>
      <c r="BE41" s="83">
        <f>'Raw Data'!BE42/10</f>
        <v>640.6</v>
      </c>
      <c r="BF41" s="83">
        <f>'Raw Data'!BF42/10</f>
        <v>628.4</v>
      </c>
      <c r="BG41" s="83">
        <f>'Raw Data'!BG42/10</f>
        <v>608.79999999999995</v>
      </c>
      <c r="BH41" s="83">
        <f>'Raw Data'!BH42/10</f>
        <v>585.5</v>
      </c>
      <c r="BI41" s="83">
        <f>'Raw Data'!BI42/10</f>
        <v>586.79999999999995</v>
      </c>
      <c r="BJ41" s="83">
        <f>'Raw Data'!BJ42/10</f>
        <v>549.4</v>
      </c>
      <c r="BK41" s="83">
        <f>'Raw Data'!BK42/10</f>
        <v>566</v>
      </c>
      <c r="BL41" s="83">
        <f>'Raw Data'!BL42/10</f>
        <v>544.6</v>
      </c>
      <c r="BM41" s="83">
        <f>'Raw Data'!BM42/10</f>
        <v>540.6</v>
      </c>
      <c r="BN41" s="83">
        <f>'Raw Data'!BN42/10</f>
        <v>518.9</v>
      </c>
      <c r="BO41" s="83">
        <f>'Raw Data'!BO42/10</f>
        <v>508.8</v>
      </c>
      <c r="BP41" s="83">
        <f>'Raw Data'!BP42/10</f>
        <v>513.70000000000005</v>
      </c>
      <c r="BQ41" s="83">
        <f>'Raw Data'!BQ42/10</f>
        <v>493.6</v>
      </c>
      <c r="BR41" s="83">
        <f>'Raw Data'!BR42/10</f>
        <v>500.3</v>
      </c>
      <c r="BS41" s="83">
        <f>'Raw Data'!BS42/10</f>
        <v>470.6</v>
      </c>
      <c r="BT41" s="83">
        <f>'Raw Data'!BT42/10</f>
        <v>474.7</v>
      </c>
      <c r="BU41" s="83">
        <f>'Raw Data'!BU42/10</f>
        <v>463.1</v>
      </c>
      <c r="BV41" s="83">
        <f>'Raw Data'!BV42/10</f>
        <v>441.8</v>
      </c>
      <c r="BW41" s="83">
        <f>'Raw Data'!BW42/10</f>
        <v>450.1</v>
      </c>
      <c r="BX41" s="83">
        <f>'Raw Data'!BX42/10</f>
        <v>435.9</v>
      </c>
      <c r="BY41" s="83">
        <f>'Raw Data'!BY42/10</f>
        <v>427.2</v>
      </c>
      <c r="BZ41" s="83">
        <f>'Raw Data'!BZ42/10</f>
        <v>426.6</v>
      </c>
      <c r="CA41" s="83">
        <f>'Raw Data'!CA42/10</f>
        <v>422.5</v>
      </c>
      <c r="CB41" s="83">
        <f>'Raw Data'!CB42/10</f>
        <v>408.8</v>
      </c>
      <c r="CC41" s="83">
        <f>'Raw Data'!CC42/10</f>
        <v>410.6</v>
      </c>
      <c r="CD41" s="83">
        <f>'Raw Data'!CD42/10</f>
        <v>397.5</v>
      </c>
      <c r="CE41" s="83">
        <f>'Raw Data'!CE42/10</f>
        <v>388.2</v>
      </c>
      <c r="CF41" s="83">
        <f>'Raw Data'!CF42/10</f>
        <v>390.6</v>
      </c>
      <c r="CG41" s="83">
        <f>'Raw Data'!CG42/100</f>
        <v>364.24</v>
      </c>
      <c r="CH41" s="83">
        <f>'Raw Data'!CH42/100</f>
        <v>321.08</v>
      </c>
      <c r="CI41" s="83">
        <f>'Raw Data'!CI42/100</f>
        <v>290.2</v>
      </c>
      <c r="CJ41" s="83">
        <f>'Raw Data'!CJ42/100</f>
        <v>266.94</v>
      </c>
      <c r="CK41" s="83">
        <f>'Raw Data'!CK42/100</f>
        <v>244.91</v>
      </c>
      <c r="CL41" s="83">
        <f>'Raw Data'!CL42/100</f>
        <v>226.36</v>
      </c>
      <c r="CM41" s="83">
        <f>'Raw Data'!CM42/100</f>
        <v>213.95</v>
      </c>
      <c r="CN41" s="83">
        <f>'Raw Data'!CN42/100</f>
        <v>202.01</v>
      </c>
      <c r="CO41" s="83">
        <f>'Raw Data'!CO42/100</f>
        <v>189.17</v>
      </c>
      <c r="CP41" s="83">
        <f>'Raw Data'!CP42/100</f>
        <v>181.15</v>
      </c>
      <c r="CQ41" s="83">
        <f>'Raw Data'!CQ42/100</f>
        <v>172.83</v>
      </c>
      <c r="CR41" s="83">
        <f>'Raw Data'!CR42/100</f>
        <v>166.24</v>
      </c>
      <c r="CS41" s="83">
        <f>'Raw Data'!CS42/100</f>
        <v>159.08000000000001</v>
      </c>
      <c r="CT41" s="83">
        <f>'Raw Data'!CT42/100</f>
        <v>152.72999999999999</v>
      </c>
      <c r="CU41" s="382"/>
    </row>
    <row r="42" spans="4:99" s="86" customFormat="1" x14ac:dyDescent="0.2">
      <c r="D42" s="374"/>
      <c r="E42" s="164"/>
      <c r="F42" s="394"/>
      <c r="G42" s="83">
        <f>'Raw Data'!G43</f>
        <v>3243</v>
      </c>
      <c r="H42" s="83">
        <f>'Raw Data'!H43</f>
        <v>3247</v>
      </c>
      <c r="I42" s="83">
        <f>'Raw Data'!I43</f>
        <v>3282</v>
      </c>
      <c r="J42" s="83">
        <f>'Raw Data'!J43</f>
        <v>3270</v>
      </c>
      <c r="K42" s="83">
        <f>'Raw Data'!K43</f>
        <v>3145</v>
      </c>
      <c r="L42" s="83">
        <f>'Raw Data'!L43</f>
        <v>3213</v>
      </c>
      <c r="M42" s="83">
        <f>'Raw Data'!M43</f>
        <v>3201</v>
      </c>
      <c r="N42" s="83">
        <f>'Raw Data'!N43</f>
        <v>3188</v>
      </c>
      <c r="O42" s="83">
        <f>'Raw Data'!O43</f>
        <v>3163</v>
      </c>
      <c r="P42" s="83">
        <f>'Raw Data'!P43</f>
        <v>3136</v>
      </c>
      <c r="Q42" s="83">
        <f>'Raw Data'!Q43</f>
        <v>3163</v>
      </c>
      <c r="R42" s="83">
        <f>'Raw Data'!R43</f>
        <v>3198</v>
      </c>
      <c r="S42" s="83">
        <f>'Raw Data'!S43</f>
        <v>3133</v>
      </c>
      <c r="T42" s="83">
        <f>'Raw Data'!T43</f>
        <v>3149</v>
      </c>
      <c r="U42" s="83">
        <f>'Raw Data'!U43</f>
        <v>3165</v>
      </c>
      <c r="V42" s="83">
        <f>'Raw Data'!V43</f>
        <v>3090</v>
      </c>
      <c r="W42" s="83">
        <f>'Raw Data'!W43</f>
        <v>3091</v>
      </c>
      <c r="X42" s="83">
        <f>'Raw Data'!X43</f>
        <v>3131</v>
      </c>
      <c r="Y42" s="83">
        <f>'Raw Data'!Y43</f>
        <v>2971</v>
      </c>
      <c r="Z42" s="83">
        <f>'Raw Data'!Z43</f>
        <v>3044</v>
      </c>
      <c r="AA42" s="83">
        <f>'Raw Data'!AA43/10</f>
        <v>2971.6</v>
      </c>
      <c r="AB42" s="83">
        <f>'Raw Data'!AB43/10</f>
        <v>2817.3</v>
      </c>
      <c r="AC42" s="83">
        <f>'Raw Data'!AC43/10</f>
        <v>2701.7</v>
      </c>
      <c r="AD42" s="83">
        <f>'Raw Data'!AD43/10</f>
        <v>2546.5</v>
      </c>
      <c r="AE42" s="83">
        <f>'Raw Data'!AE43/10</f>
        <v>2405.5</v>
      </c>
      <c r="AF42" s="83">
        <f>'Raw Data'!AF43/10</f>
        <v>2313.3000000000002</v>
      </c>
      <c r="AG42" s="83">
        <f>'Raw Data'!AG43/10</f>
        <v>2206.5</v>
      </c>
      <c r="AH42" s="83">
        <f>'Raw Data'!AH43/10</f>
        <v>2093.6</v>
      </c>
      <c r="AI42" s="83">
        <f>'Raw Data'!AI43/10</f>
        <v>1979.8</v>
      </c>
      <c r="AJ42" s="83">
        <f>'Raw Data'!AJ43/10</f>
        <v>1867.3</v>
      </c>
      <c r="AK42" s="83">
        <f>'Raw Data'!AK43/10</f>
        <v>1786.1</v>
      </c>
      <c r="AL42" s="83">
        <f>'Raw Data'!AL43/10</f>
        <v>1707.8</v>
      </c>
      <c r="AM42" s="83">
        <f>'Raw Data'!AM43/10</f>
        <v>1648.4</v>
      </c>
      <c r="AN42" s="83">
        <f>'Raw Data'!AN43/10</f>
        <v>1573.5</v>
      </c>
      <c r="AO42" s="83">
        <f>'Raw Data'!AO43/10</f>
        <v>1531.5</v>
      </c>
      <c r="AP42" s="83">
        <f>'Raw Data'!AP43/10</f>
        <v>1480.3</v>
      </c>
      <c r="AQ42" s="83">
        <f>'Raw Data'!AQ43/10</f>
        <v>1395.3</v>
      </c>
      <c r="AR42" s="83">
        <f>'Raw Data'!AR43/10</f>
        <v>1361.6</v>
      </c>
      <c r="AS42" s="83">
        <f>'Raw Data'!AS43/10</f>
        <v>1289.0999999999999</v>
      </c>
      <c r="AT42" s="83">
        <f>'Raw Data'!AT43/10</f>
        <v>1256.5999999999999</v>
      </c>
      <c r="AU42" s="83">
        <f>'Raw Data'!AU43/10</f>
        <v>1194.7</v>
      </c>
      <c r="AV42" s="83">
        <f>'Raw Data'!AV43/10</f>
        <v>1172.8</v>
      </c>
      <c r="AW42" s="83">
        <f>'Raw Data'!AW43/10</f>
        <v>1128.9000000000001</v>
      </c>
      <c r="AX42" s="83">
        <f>'Raw Data'!AX43/10</f>
        <v>1073.3</v>
      </c>
      <c r="AY42" s="83">
        <f>'Raw Data'!AY43/10</f>
        <v>1048.8</v>
      </c>
      <c r="AZ42" s="83">
        <f>'Raw Data'!AZ43/10</f>
        <v>1032.7</v>
      </c>
      <c r="BA42" s="83">
        <f>'Raw Data'!BA43/10</f>
        <v>982.9</v>
      </c>
      <c r="BB42" s="83">
        <f>'Raw Data'!BB43/10</f>
        <v>947.6</v>
      </c>
      <c r="BC42" s="83">
        <f>'Raw Data'!BC43/10</f>
        <v>926.5</v>
      </c>
      <c r="BD42" s="83">
        <f>'Raw Data'!BD43/10</f>
        <v>893</v>
      </c>
      <c r="BE42" s="83">
        <f>'Raw Data'!BE43/10</f>
        <v>875.3</v>
      </c>
      <c r="BF42" s="83">
        <f>'Raw Data'!BF43/10</f>
        <v>853.3</v>
      </c>
      <c r="BG42" s="83">
        <f>'Raw Data'!BG43/10</f>
        <v>830.4</v>
      </c>
      <c r="BH42" s="83">
        <f>'Raw Data'!BH43/10</f>
        <v>802</v>
      </c>
      <c r="BI42" s="83">
        <f>'Raw Data'!BI43/10</f>
        <v>780.8</v>
      </c>
      <c r="BJ42" s="83">
        <f>'Raw Data'!BJ43/10</f>
        <v>772.6</v>
      </c>
      <c r="BK42" s="83">
        <f>'Raw Data'!BK43/10</f>
        <v>736.9</v>
      </c>
      <c r="BL42" s="83">
        <f>'Raw Data'!BL43/10</f>
        <v>725.8</v>
      </c>
      <c r="BM42" s="83">
        <f>'Raw Data'!BM43/10</f>
        <v>702</v>
      </c>
      <c r="BN42" s="83">
        <f>'Raw Data'!BN43/10</f>
        <v>683.6</v>
      </c>
      <c r="BO42" s="83">
        <f>'Raw Data'!BO43/10</f>
        <v>678.2</v>
      </c>
      <c r="BP42" s="83">
        <f>'Raw Data'!BP43/10</f>
        <v>650.6</v>
      </c>
      <c r="BQ42" s="83">
        <f>'Raw Data'!BQ43/10</f>
        <v>642.9</v>
      </c>
      <c r="BR42" s="83">
        <f>'Raw Data'!BR43/10</f>
        <v>630.9</v>
      </c>
      <c r="BS42" s="83">
        <f>'Raw Data'!BS43/10</f>
        <v>602</v>
      </c>
      <c r="BT42" s="83">
        <f>'Raw Data'!BT43/10</f>
        <v>595.20000000000005</v>
      </c>
      <c r="BU42" s="83">
        <f>'Raw Data'!BU43/10</f>
        <v>592.4</v>
      </c>
      <c r="BV42" s="83">
        <f>'Raw Data'!BV43/10</f>
        <v>560.5</v>
      </c>
      <c r="BW42" s="83">
        <f>'Raw Data'!BW43/10</f>
        <v>571.29999999999995</v>
      </c>
      <c r="BX42" s="83">
        <f>'Raw Data'!BX43/10</f>
        <v>549.20000000000005</v>
      </c>
      <c r="BY42" s="83">
        <f>'Raw Data'!BY43/10</f>
        <v>547.79999999999995</v>
      </c>
      <c r="BZ42" s="83">
        <f>'Raw Data'!BZ43/10</f>
        <v>541.1</v>
      </c>
      <c r="CA42" s="83">
        <f>'Raw Data'!CA43/10</f>
        <v>519</v>
      </c>
      <c r="CB42" s="83">
        <f>'Raw Data'!CB43/10</f>
        <v>509.5</v>
      </c>
      <c r="CC42" s="83">
        <f>'Raw Data'!CC43/10</f>
        <v>496.4</v>
      </c>
      <c r="CD42" s="83">
        <f>'Raw Data'!CD43/10</f>
        <v>488.7</v>
      </c>
      <c r="CE42" s="83">
        <f>'Raw Data'!CE43/10</f>
        <v>475.9</v>
      </c>
      <c r="CF42" s="83">
        <f>'Raw Data'!CF43/10</f>
        <v>471.6</v>
      </c>
      <c r="CG42" s="83">
        <f>'Raw Data'!CG43/100</f>
        <v>425.77</v>
      </c>
      <c r="CH42" s="83">
        <f>'Raw Data'!CH43/100</f>
        <v>364.25</v>
      </c>
      <c r="CI42" s="83">
        <f>'Raw Data'!CI43/100</f>
        <v>314.83999999999997</v>
      </c>
      <c r="CJ42" s="83">
        <f>'Raw Data'!CJ43/100</f>
        <v>279.16000000000003</v>
      </c>
      <c r="CK42" s="83">
        <f>'Raw Data'!CK43/100</f>
        <v>248.52</v>
      </c>
      <c r="CL42" s="83">
        <f>'Raw Data'!CL43/100</f>
        <v>225.14</v>
      </c>
      <c r="CM42" s="83">
        <f>'Raw Data'!CM43/100</f>
        <v>205.29</v>
      </c>
      <c r="CN42" s="83">
        <f>'Raw Data'!CN43/100</f>
        <v>189.34</v>
      </c>
      <c r="CO42" s="83">
        <f>'Raw Data'!CO43/100</f>
        <v>174.76</v>
      </c>
      <c r="CP42" s="83">
        <f>'Raw Data'!CP43/100</f>
        <v>162.96</v>
      </c>
      <c r="CQ42" s="83">
        <f>'Raw Data'!CQ43/100</f>
        <v>152.26</v>
      </c>
      <c r="CR42" s="83">
        <f>'Raw Data'!CR43/100</f>
        <v>144.19999999999999</v>
      </c>
      <c r="CS42" s="83">
        <f>'Raw Data'!CS43/100</f>
        <v>136.69999999999999</v>
      </c>
      <c r="CT42" s="83">
        <f>'Raw Data'!CT43/100</f>
        <v>128.53</v>
      </c>
      <c r="CU42" s="382"/>
    </row>
    <row r="43" spans="4:99" s="86" customFormat="1" x14ac:dyDescent="0.2">
      <c r="D43" s="374"/>
      <c r="E43" s="164"/>
      <c r="F43" s="394"/>
      <c r="G43" s="83">
        <f>'Raw Data'!G44</f>
        <v>1721</v>
      </c>
      <c r="H43" s="83">
        <f>'Raw Data'!H44</f>
        <v>1679</v>
      </c>
      <c r="I43" s="83">
        <f>'Raw Data'!I44</f>
        <v>1691</v>
      </c>
      <c r="J43" s="83">
        <f>'Raw Data'!J44</f>
        <v>1711</v>
      </c>
      <c r="K43" s="83">
        <f>'Raw Data'!K44</f>
        <v>1685</v>
      </c>
      <c r="L43" s="83">
        <f>'Raw Data'!L44</f>
        <v>1671</v>
      </c>
      <c r="M43" s="83">
        <f>'Raw Data'!M44</f>
        <v>1655</v>
      </c>
      <c r="N43" s="83">
        <f>'Raw Data'!N44</f>
        <v>1678</v>
      </c>
      <c r="O43" s="83">
        <f>'Raw Data'!O44</f>
        <v>1731</v>
      </c>
      <c r="P43" s="83">
        <f>'Raw Data'!P44</f>
        <v>1610</v>
      </c>
      <c r="Q43" s="83">
        <f>'Raw Data'!Q44</f>
        <v>1633</v>
      </c>
      <c r="R43" s="83">
        <f>'Raw Data'!R44</f>
        <v>1609</v>
      </c>
      <c r="S43" s="83">
        <f>'Raw Data'!S44</f>
        <v>1561</v>
      </c>
      <c r="T43" s="83">
        <f>'Raw Data'!T44</f>
        <v>1650</v>
      </c>
      <c r="U43" s="83">
        <f>'Raw Data'!U44</f>
        <v>1627</v>
      </c>
      <c r="V43" s="83">
        <f>'Raw Data'!V44</f>
        <v>1595</v>
      </c>
      <c r="W43" s="83">
        <f>'Raw Data'!W44</f>
        <v>1576</v>
      </c>
      <c r="X43" s="83">
        <f>'Raw Data'!X44</f>
        <v>1576</v>
      </c>
      <c r="Y43" s="83">
        <f>'Raw Data'!Y44</f>
        <v>1571</v>
      </c>
      <c r="Z43" s="83">
        <f>'Raw Data'!Z44</f>
        <v>1622</v>
      </c>
      <c r="AA43" s="83">
        <f>'Raw Data'!AA44/10</f>
        <v>1558</v>
      </c>
      <c r="AB43" s="83">
        <f>'Raw Data'!AB44/10</f>
        <v>1477.4</v>
      </c>
      <c r="AC43" s="83">
        <f>'Raw Data'!AC44/10</f>
        <v>1432.2</v>
      </c>
      <c r="AD43" s="83">
        <f>'Raw Data'!AD44/10</f>
        <v>1354.3</v>
      </c>
      <c r="AE43" s="83">
        <f>'Raw Data'!AE44/10</f>
        <v>1308.2</v>
      </c>
      <c r="AF43" s="83">
        <f>'Raw Data'!AF44/10</f>
        <v>1240.3</v>
      </c>
      <c r="AG43" s="83">
        <f>'Raw Data'!AG44/10</f>
        <v>1165.2</v>
      </c>
      <c r="AH43" s="83">
        <f>'Raw Data'!AH44/10</f>
        <v>1120.0999999999999</v>
      </c>
      <c r="AI43" s="83">
        <f>'Raw Data'!AI44/10</f>
        <v>1077</v>
      </c>
      <c r="AJ43" s="83">
        <f>'Raw Data'!AJ44/10</f>
        <v>1026.2</v>
      </c>
      <c r="AK43" s="83">
        <f>'Raw Data'!AK44/10</f>
        <v>990.4</v>
      </c>
      <c r="AL43" s="83">
        <f>'Raw Data'!AL44/10</f>
        <v>955</v>
      </c>
      <c r="AM43" s="83">
        <f>'Raw Data'!AM44/10</f>
        <v>910.4</v>
      </c>
      <c r="AN43" s="83">
        <f>'Raw Data'!AN44/10</f>
        <v>881.3</v>
      </c>
      <c r="AO43" s="83">
        <f>'Raw Data'!AO44/10</f>
        <v>835.6</v>
      </c>
      <c r="AP43" s="83">
        <f>'Raw Data'!AP44/10</f>
        <v>816.6</v>
      </c>
      <c r="AQ43" s="83">
        <f>'Raw Data'!AQ44/10</f>
        <v>787.5</v>
      </c>
      <c r="AR43" s="83">
        <f>'Raw Data'!AR44/10</f>
        <v>765.7</v>
      </c>
      <c r="AS43" s="83">
        <f>'Raw Data'!AS44/10</f>
        <v>744.8</v>
      </c>
      <c r="AT43" s="83">
        <f>'Raw Data'!AT44/10</f>
        <v>718.7</v>
      </c>
      <c r="AU43" s="83">
        <f>'Raw Data'!AU44/10</f>
        <v>691</v>
      </c>
      <c r="AV43" s="83">
        <f>'Raw Data'!AV44/10</f>
        <v>672.8</v>
      </c>
      <c r="AW43" s="83">
        <f>'Raw Data'!AW44/10</f>
        <v>652.5</v>
      </c>
      <c r="AX43" s="83">
        <f>'Raw Data'!AX44/10</f>
        <v>620.4</v>
      </c>
      <c r="AY43" s="83">
        <f>'Raw Data'!AY44/10</f>
        <v>605.29999999999995</v>
      </c>
      <c r="AZ43" s="83">
        <f>'Raw Data'!AZ44/10</f>
        <v>593.29999999999995</v>
      </c>
      <c r="BA43" s="83">
        <f>'Raw Data'!BA44/10</f>
        <v>570.9</v>
      </c>
      <c r="BB43" s="83">
        <f>'Raw Data'!BB44/10</f>
        <v>562.79999999999995</v>
      </c>
      <c r="BC43" s="83">
        <f>'Raw Data'!BC44/10</f>
        <v>536</v>
      </c>
      <c r="BD43" s="83">
        <f>'Raw Data'!BD44/10</f>
        <v>517.4</v>
      </c>
      <c r="BE43" s="83">
        <f>'Raw Data'!BE44/10</f>
        <v>513.5</v>
      </c>
      <c r="BF43" s="83">
        <f>'Raw Data'!BF44/10</f>
        <v>489.9</v>
      </c>
      <c r="BG43" s="83">
        <f>'Raw Data'!BG44/10</f>
        <v>493.4</v>
      </c>
      <c r="BH43" s="83">
        <f>'Raw Data'!BH44/10</f>
        <v>481.2</v>
      </c>
      <c r="BI43" s="83">
        <f>'Raw Data'!BI44/10</f>
        <v>470.1</v>
      </c>
      <c r="BJ43" s="83">
        <f>'Raw Data'!BJ44/10</f>
        <v>455.5</v>
      </c>
      <c r="BK43" s="83">
        <f>'Raw Data'!BK44/10</f>
        <v>433.2</v>
      </c>
      <c r="BL43" s="83">
        <f>'Raw Data'!BL44/10</f>
        <v>432.7</v>
      </c>
      <c r="BM43" s="83">
        <f>'Raw Data'!BM44/10</f>
        <v>422.9</v>
      </c>
      <c r="BN43" s="83">
        <f>'Raw Data'!BN44/10</f>
        <v>417.9</v>
      </c>
      <c r="BO43" s="83">
        <f>'Raw Data'!BO44/10</f>
        <v>409.8</v>
      </c>
      <c r="BP43" s="83">
        <f>'Raw Data'!BP44/10</f>
        <v>397.7</v>
      </c>
      <c r="BQ43" s="83">
        <f>'Raw Data'!BQ44/10</f>
        <v>389.8</v>
      </c>
      <c r="BR43" s="83">
        <f>'Raw Data'!BR44/10</f>
        <v>385.3</v>
      </c>
      <c r="BS43" s="83">
        <f>'Raw Data'!BS44/10</f>
        <v>371</v>
      </c>
      <c r="BT43" s="83">
        <f>'Raw Data'!BT44/10</f>
        <v>379.5</v>
      </c>
      <c r="BU43" s="83">
        <f>'Raw Data'!BU44/10</f>
        <v>361.2</v>
      </c>
      <c r="BV43" s="83">
        <f>'Raw Data'!BV44/10</f>
        <v>348.8</v>
      </c>
      <c r="BW43" s="83">
        <f>'Raw Data'!BW44/10</f>
        <v>344.6</v>
      </c>
      <c r="BX43" s="83">
        <f>'Raw Data'!BX44/10</f>
        <v>348.6</v>
      </c>
      <c r="BY43" s="83">
        <f>'Raw Data'!BY44/10</f>
        <v>339.1</v>
      </c>
      <c r="BZ43" s="83">
        <f>'Raw Data'!BZ44/10</f>
        <v>329.3</v>
      </c>
      <c r="CA43" s="83">
        <f>'Raw Data'!CA44/10</f>
        <v>318.89999999999998</v>
      </c>
      <c r="CB43" s="83">
        <f>'Raw Data'!CB44/10</f>
        <v>321.3</v>
      </c>
      <c r="CC43" s="83">
        <f>'Raw Data'!CC44/10</f>
        <v>312.7</v>
      </c>
      <c r="CD43" s="83">
        <f>'Raw Data'!CD44/10</f>
        <v>311.7</v>
      </c>
      <c r="CE43" s="83">
        <f>'Raw Data'!CE44/10</f>
        <v>298.2</v>
      </c>
      <c r="CF43" s="83">
        <f>'Raw Data'!CF44/10</f>
        <v>293.7</v>
      </c>
      <c r="CG43" s="83">
        <f>'Raw Data'!CG44/100</f>
        <v>278.08999999999997</v>
      </c>
      <c r="CH43" s="83">
        <f>'Raw Data'!CH44/100</f>
        <v>241.62</v>
      </c>
      <c r="CI43" s="83">
        <f>'Raw Data'!CI44/100</f>
        <v>214.65</v>
      </c>
      <c r="CJ43" s="83">
        <f>'Raw Data'!CJ44/100</f>
        <v>192.98</v>
      </c>
      <c r="CK43" s="83">
        <f>'Raw Data'!CK44/100</f>
        <v>176.95</v>
      </c>
      <c r="CL43" s="83">
        <f>'Raw Data'!CL44/100</f>
        <v>162.19</v>
      </c>
      <c r="CM43" s="83">
        <f>'Raw Data'!CM44/100</f>
        <v>150.69999999999999</v>
      </c>
      <c r="CN43" s="83">
        <f>'Raw Data'!CN44/100</f>
        <v>142.11000000000001</v>
      </c>
      <c r="CO43" s="83">
        <f>'Raw Data'!CO44/100</f>
        <v>135.62</v>
      </c>
      <c r="CP43" s="83">
        <f>'Raw Data'!CP44/100</f>
        <v>125.66</v>
      </c>
      <c r="CQ43" s="83">
        <f>'Raw Data'!CQ44/100</f>
        <v>120.67</v>
      </c>
      <c r="CR43" s="83">
        <f>'Raw Data'!CR44/100</f>
        <v>114.03</v>
      </c>
      <c r="CS43" s="83">
        <f>'Raw Data'!CS44/100</f>
        <v>108.35</v>
      </c>
      <c r="CT43" s="83">
        <f>'Raw Data'!CT44/100</f>
        <v>106.07</v>
      </c>
      <c r="CU43" s="382"/>
    </row>
    <row r="44" spans="4:99" s="86" customFormat="1" x14ac:dyDescent="0.2">
      <c r="D44" s="374"/>
      <c r="E44" s="164"/>
      <c r="F44" s="394"/>
      <c r="G44" s="83">
        <f>'Raw Data'!G45</f>
        <v>4641</v>
      </c>
      <c r="H44" s="83">
        <f>'Raw Data'!H45</f>
        <v>4623</v>
      </c>
      <c r="I44" s="83">
        <f>'Raw Data'!I45</f>
        <v>4653</v>
      </c>
      <c r="J44" s="83">
        <f>'Raw Data'!J45</f>
        <v>4654</v>
      </c>
      <c r="K44" s="83">
        <f>'Raw Data'!K45</f>
        <v>4681</v>
      </c>
      <c r="L44" s="83">
        <f>'Raw Data'!L45</f>
        <v>4557</v>
      </c>
      <c r="M44" s="83">
        <f>'Raw Data'!M45</f>
        <v>4539</v>
      </c>
      <c r="N44" s="83">
        <f>'Raw Data'!N45</f>
        <v>4594</v>
      </c>
      <c r="O44" s="83">
        <f>'Raw Data'!O45</f>
        <v>4471</v>
      </c>
      <c r="P44" s="83">
        <f>'Raw Data'!P45</f>
        <v>4571</v>
      </c>
      <c r="Q44" s="83">
        <f>'Raw Data'!Q45</f>
        <v>4437</v>
      </c>
      <c r="R44" s="83">
        <f>'Raw Data'!R45</f>
        <v>4425</v>
      </c>
      <c r="S44" s="83">
        <f>'Raw Data'!S45</f>
        <v>4399</v>
      </c>
      <c r="T44" s="83">
        <f>'Raw Data'!T45</f>
        <v>4129</v>
      </c>
      <c r="U44" s="83">
        <f>'Raw Data'!U45</f>
        <v>4407</v>
      </c>
      <c r="V44" s="83">
        <f>'Raw Data'!V45</f>
        <v>4415</v>
      </c>
      <c r="W44" s="83">
        <f>'Raw Data'!W45</f>
        <v>4363</v>
      </c>
      <c r="X44" s="83">
        <f>'Raw Data'!X45</f>
        <v>4239</v>
      </c>
      <c r="Y44" s="83">
        <f>'Raw Data'!Y45</f>
        <v>4246</v>
      </c>
      <c r="Z44" s="83">
        <f>'Raw Data'!Z45</f>
        <v>4261</v>
      </c>
      <c r="AA44" s="83">
        <f>'Raw Data'!AA45/10</f>
        <v>4219.1000000000004</v>
      </c>
      <c r="AB44" s="83">
        <f>'Raw Data'!AB45/10</f>
        <v>3995.9</v>
      </c>
      <c r="AC44" s="83">
        <f>'Raw Data'!AC45/10</f>
        <v>3780.5</v>
      </c>
      <c r="AD44" s="83">
        <f>'Raw Data'!AD45/10</f>
        <v>3560.4</v>
      </c>
      <c r="AE44" s="83">
        <f>'Raw Data'!AE45/10</f>
        <v>3395.1</v>
      </c>
      <c r="AF44" s="83">
        <f>'Raw Data'!AF45/10</f>
        <v>3211.8</v>
      </c>
      <c r="AG44" s="83">
        <f>'Raw Data'!AG45/10</f>
        <v>3039.2</v>
      </c>
      <c r="AH44" s="83">
        <f>'Raw Data'!AH45/10</f>
        <v>2921.2</v>
      </c>
      <c r="AI44" s="83">
        <f>'Raw Data'!AI45/10</f>
        <v>2760.5</v>
      </c>
      <c r="AJ44" s="83">
        <f>'Raw Data'!AJ45/10</f>
        <v>2621</v>
      </c>
      <c r="AK44" s="83">
        <f>'Raw Data'!AK45/10</f>
        <v>2491.1</v>
      </c>
      <c r="AL44" s="83">
        <f>'Raw Data'!AL45/10</f>
        <v>2401.1999999999998</v>
      </c>
      <c r="AM44" s="83">
        <f>'Raw Data'!AM45/10</f>
        <v>2337.5</v>
      </c>
      <c r="AN44" s="83">
        <f>'Raw Data'!AN45/10</f>
        <v>2192.5</v>
      </c>
      <c r="AO44" s="83">
        <f>'Raw Data'!AO45/10</f>
        <v>2125</v>
      </c>
      <c r="AP44" s="83">
        <f>'Raw Data'!AP45/10</f>
        <v>2029.5</v>
      </c>
      <c r="AQ44" s="83">
        <f>'Raw Data'!AQ45/10</f>
        <v>1948.9</v>
      </c>
      <c r="AR44" s="83">
        <f>'Raw Data'!AR45/10</f>
        <v>1864.6</v>
      </c>
      <c r="AS44" s="83">
        <f>'Raw Data'!AS45/10</f>
        <v>1799.7</v>
      </c>
      <c r="AT44" s="83">
        <f>'Raw Data'!AT45/10</f>
        <v>1737.5</v>
      </c>
      <c r="AU44" s="83">
        <f>'Raw Data'!AU45/10</f>
        <v>1662.7</v>
      </c>
      <c r="AV44" s="83">
        <f>'Raw Data'!AV45/10</f>
        <v>1622.1</v>
      </c>
      <c r="AW44" s="83">
        <f>'Raw Data'!AW45/10</f>
        <v>1561</v>
      </c>
      <c r="AX44" s="83">
        <f>'Raw Data'!AX45/10</f>
        <v>1519.3</v>
      </c>
      <c r="AY44" s="83">
        <f>'Raw Data'!AY45/10</f>
        <v>1444.2</v>
      </c>
      <c r="AZ44" s="83">
        <f>'Raw Data'!AZ45/10</f>
        <v>1393.7</v>
      </c>
      <c r="BA44" s="83">
        <f>'Raw Data'!BA45/10</f>
        <v>1371.2</v>
      </c>
      <c r="BB44" s="83">
        <f>'Raw Data'!BB45/10</f>
        <v>1313.5</v>
      </c>
      <c r="BC44" s="83">
        <f>'Raw Data'!BC45/10</f>
        <v>1277.4000000000001</v>
      </c>
      <c r="BD44" s="83">
        <f>'Raw Data'!BD45/10</f>
        <v>1240.7</v>
      </c>
      <c r="BE44" s="83">
        <f>'Raw Data'!BE45/10</f>
        <v>1201.3</v>
      </c>
      <c r="BF44" s="83">
        <f>'Raw Data'!BF45/10</f>
        <v>1154.4000000000001</v>
      </c>
      <c r="BG44" s="83">
        <f>'Raw Data'!BG45/10</f>
        <v>1126.7</v>
      </c>
      <c r="BH44" s="83">
        <f>'Raw Data'!BH45/10</f>
        <v>1090.5</v>
      </c>
      <c r="BI44" s="83">
        <f>'Raw Data'!BI45/10</f>
        <v>1067.5999999999999</v>
      </c>
      <c r="BJ44" s="83">
        <f>'Raw Data'!BJ45/10</f>
        <v>1044.9000000000001</v>
      </c>
      <c r="BK44" s="83">
        <f>'Raw Data'!BK45/10</f>
        <v>1020.2</v>
      </c>
      <c r="BL44" s="83">
        <f>'Raw Data'!BL45/10</f>
        <v>979.1</v>
      </c>
      <c r="BM44" s="83">
        <f>'Raw Data'!BM45/10</f>
        <v>953</v>
      </c>
      <c r="BN44" s="83">
        <f>'Raw Data'!BN45/10</f>
        <v>930.1</v>
      </c>
      <c r="BO44" s="83">
        <f>'Raw Data'!BO45/10</f>
        <v>923.7</v>
      </c>
      <c r="BP44" s="83">
        <f>'Raw Data'!BP45/10</f>
        <v>887.6</v>
      </c>
      <c r="BQ44" s="83">
        <f>'Raw Data'!BQ45/10</f>
        <v>863.7</v>
      </c>
      <c r="BR44" s="83">
        <f>'Raw Data'!BR45/10</f>
        <v>846.5</v>
      </c>
      <c r="BS44" s="83">
        <f>'Raw Data'!BS45/10</f>
        <v>828.8</v>
      </c>
      <c r="BT44" s="83">
        <f>'Raw Data'!BT45/10</f>
        <v>809.7</v>
      </c>
      <c r="BU44" s="83">
        <f>'Raw Data'!BU45/10</f>
        <v>784.4</v>
      </c>
      <c r="BV44" s="83">
        <f>'Raw Data'!BV45/10</f>
        <v>767.2</v>
      </c>
      <c r="BW44" s="83">
        <f>'Raw Data'!BW45/10</f>
        <v>758.4</v>
      </c>
      <c r="BX44" s="83">
        <f>'Raw Data'!BX45/10</f>
        <v>740.9</v>
      </c>
      <c r="BY44" s="83">
        <f>'Raw Data'!BY45/10</f>
        <v>722.9</v>
      </c>
      <c r="BZ44" s="83">
        <f>'Raw Data'!BZ45/10</f>
        <v>719.7</v>
      </c>
      <c r="CA44" s="83">
        <f>'Raw Data'!CA45/10</f>
        <v>695.5</v>
      </c>
      <c r="CB44" s="83">
        <f>'Raw Data'!CB45/10</f>
        <v>691.6</v>
      </c>
      <c r="CC44" s="83">
        <f>'Raw Data'!CC45/10</f>
        <v>654.5</v>
      </c>
      <c r="CD44" s="83">
        <f>'Raw Data'!CD45/10</f>
        <v>652.6</v>
      </c>
      <c r="CE44" s="83">
        <f>'Raw Data'!CE45/10</f>
        <v>645</v>
      </c>
      <c r="CF44" s="83">
        <f>'Raw Data'!CF45/10</f>
        <v>617.9</v>
      </c>
      <c r="CG44" s="83">
        <f>'Raw Data'!CG45/100</f>
        <v>568.62</v>
      </c>
      <c r="CH44" s="83">
        <f>'Raw Data'!CH45/100</f>
        <v>480.19</v>
      </c>
      <c r="CI44" s="83">
        <f>'Raw Data'!CI45/100</f>
        <v>412.4</v>
      </c>
      <c r="CJ44" s="83">
        <f>'Raw Data'!CJ45/100</f>
        <v>361.25</v>
      </c>
      <c r="CK44" s="83">
        <f>'Raw Data'!CK45/100</f>
        <v>317.74</v>
      </c>
      <c r="CL44" s="83">
        <f>'Raw Data'!CL45/100</f>
        <v>291.08999999999997</v>
      </c>
      <c r="CM44" s="83">
        <f>'Raw Data'!CM45/100</f>
        <v>265.07</v>
      </c>
      <c r="CN44" s="83">
        <f>'Raw Data'!CN45/100</f>
        <v>241.27</v>
      </c>
      <c r="CO44" s="83">
        <f>'Raw Data'!CO45/100</f>
        <v>221.76</v>
      </c>
      <c r="CP44" s="83">
        <f>'Raw Data'!CP45/100</f>
        <v>207.3</v>
      </c>
      <c r="CQ44" s="83">
        <f>'Raw Data'!CQ45/100</f>
        <v>191.81</v>
      </c>
      <c r="CR44" s="83">
        <f>'Raw Data'!CR45/100</f>
        <v>181.91</v>
      </c>
      <c r="CS44" s="83">
        <f>'Raw Data'!CS45/100</f>
        <v>168.33</v>
      </c>
      <c r="CT44" s="83">
        <f>'Raw Data'!CT45/100</f>
        <v>160.74</v>
      </c>
      <c r="CU44" s="382"/>
    </row>
    <row r="45" spans="4:99" s="86" customFormat="1" x14ac:dyDescent="0.2">
      <c r="D45" s="374"/>
      <c r="E45" s="164"/>
      <c r="F45" s="394"/>
      <c r="G45" s="83">
        <f>'Raw Data'!G46</f>
        <v>1647</v>
      </c>
      <c r="H45" s="83">
        <f>'Raw Data'!H46</f>
        <v>1668</v>
      </c>
      <c r="I45" s="83">
        <f>'Raw Data'!I46</f>
        <v>1720</v>
      </c>
      <c r="J45" s="83">
        <f>'Raw Data'!J46</f>
        <v>1664</v>
      </c>
      <c r="K45" s="83">
        <f>'Raw Data'!K46</f>
        <v>1652</v>
      </c>
      <c r="L45" s="83">
        <f>'Raw Data'!L46</f>
        <v>1629</v>
      </c>
      <c r="M45" s="83">
        <f>'Raw Data'!M46</f>
        <v>1608</v>
      </c>
      <c r="N45" s="83">
        <f>'Raw Data'!N46</f>
        <v>1640</v>
      </c>
      <c r="O45" s="83">
        <f>'Raw Data'!O46</f>
        <v>1617</v>
      </c>
      <c r="P45" s="83">
        <f>'Raw Data'!P46</f>
        <v>1603</v>
      </c>
      <c r="Q45" s="83">
        <f>'Raw Data'!Q46</f>
        <v>1601</v>
      </c>
      <c r="R45" s="83">
        <f>'Raw Data'!R46</f>
        <v>1653</v>
      </c>
      <c r="S45" s="83">
        <f>'Raw Data'!S46</f>
        <v>1623</v>
      </c>
      <c r="T45" s="83">
        <f>'Raw Data'!T46</f>
        <v>1620</v>
      </c>
      <c r="U45" s="83">
        <f>'Raw Data'!U46</f>
        <v>1569</v>
      </c>
      <c r="V45" s="83">
        <f>'Raw Data'!V46</f>
        <v>1568</v>
      </c>
      <c r="W45" s="83">
        <f>'Raw Data'!W46</f>
        <v>1571</v>
      </c>
      <c r="X45" s="83">
        <f>'Raw Data'!X46</f>
        <v>1556</v>
      </c>
      <c r="Y45" s="83">
        <f>'Raw Data'!Y46</f>
        <v>1555</v>
      </c>
      <c r="Z45" s="83">
        <f>'Raw Data'!Z46</f>
        <v>1486</v>
      </c>
      <c r="AA45" s="83">
        <f>'Raw Data'!AA46/10</f>
        <v>1531.4</v>
      </c>
      <c r="AB45" s="83">
        <f>'Raw Data'!AB46/10</f>
        <v>1461</v>
      </c>
      <c r="AC45" s="83">
        <f>'Raw Data'!AC46/10</f>
        <v>1394.4</v>
      </c>
      <c r="AD45" s="83">
        <f>'Raw Data'!AD46/10</f>
        <v>1339.6</v>
      </c>
      <c r="AE45" s="83">
        <f>'Raw Data'!AE46/10</f>
        <v>1275.5999999999999</v>
      </c>
      <c r="AF45" s="83">
        <f>'Raw Data'!AF46/10</f>
        <v>1232.8</v>
      </c>
      <c r="AG45" s="83">
        <f>'Raw Data'!AG46/10</f>
        <v>1165.5999999999999</v>
      </c>
      <c r="AH45" s="83">
        <f>'Raw Data'!AH46/10</f>
        <v>1100.4000000000001</v>
      </c>
      <c r="AI45" s="83">
        <f>'Raw Data'!AI46/10</f>
        <v>1054.5</v>
      </c>
      <c r="AJ45" s="83">
        <f>'Raw Data'!AJ46/10</f>
        <v>1014.4</v>
      </c>
      <c r="AK45" s="83">
        <f>'Raw Data'!AK46/10</f>
        <v>980</v>
      </c>
      <c r="AL45" s="83">
        <f>'Raw Data'!AL46/10</f>
        <v>929.3</v>
      </c>
      <c r="AM45" s="83">
        <f>'Raw Data'!AM46/10</f>
        <v>896.5</v>
      </c>
      <c r="AN45" s="83">
        <f>'Raw Data'!AN46/10</f>
        <v>874.9</v>
      </c>
      <c r="AO45" s="83">
        <f>'Raw Data'!AO46/10</f>
        <v>834.2</v>
      </c>
      <c r="AP45" s="83">
        <f>'Raw Data'!AP46/10</f>
        <v>789.9</v>
      </c>
      <c r="AQ45" s="83">
        <f>'Raw Data'!AQ46/10</f>
        <v>773.5</v>
      </c>
      <c r="AR45" s="83">
        <f>'Raw Data'!AR46/10</f>
        <v>750.1</v>
      </c>
      <c r="AS45" s="83">
        <f>'Raw Data'!AS46/10</f>
        <v>724</v>
      </c>
      <c r="AT45" s="83">
        <f>'Raw Data'!AT46/10</f>
        <v>701.2</v>
      </c>
      <c r="AU45" s="83">
        <f>'Raw Data'!AU46/10</f>
        <v>680.8</v>
      </c>
      <c r="AV45" s="83">
        <f>'Raw Data'!AV46/10</f>
        <v>659.6</v>
      </c>
      <c r="AW45" s="83">
        <f>'Raw Data'!AW46/10</f>
        <v>638.20000000000005</v>
      </c>
      <c r="AX45" s="83">
        <f>'Raw Data'!AX46/10</f>
        <v>613.70000000000005</v>
      </c>
      <c r="AY45" s="83">
        <f>'Raw Data'!AY46/10</f>
        <v>571.29999999999995</v>
      </c>
      <c r="AZ45" s="83">
        <f>'Raw Data'!AZ46/10</f>
        <v>591.79999999999995</v>
      </c>
      <c r="BA45" s="83">
        <f>'Raw Data'!BA46/10</f>
        <v>570.1</v>
      </c>
      <c r="BB45" s="83">
        <f>'Raw Data'!BB46/10</f>
        <v>556.1</v>
      </c>
      <c r="BC45" s="83">
        <f>'Raw Data'!BC46/10</f>
        <v>547.70000000000005</v>
      </c>
      <c r="BD45" s="83">
        <f>'Raw Data'!BD46/10</f>
        <v>525.1</v>
      </c>
      <c r="BE45" s="83">
        <f>'Raw Data'!BE46/10</f>
        <v>514.20000000000005</v>
      </c>
      <c r="BF45" s="83">
        <f>'Raw Data'!BF46/10</f>
        <v>502.9</v>
      </c>
      <c r="BG45" s="83">
        <f>'Raw Data'!BG46/10</f>
        <v>498.1</v>
      </c>
      <c r="BH45" s="83">
        <f>'Raw Data'!BH46/10</f>
        <v>473</v>
      </c>
      <c r="BI45" s="83">
        <f>'Raw Data'!BI46/10</f>
        <v>464.6</v>
      </c>
      <c r="BJ45" s="83">
        <f>'Raw Data'!BJ46/10</f>
        <v>453.4</v>
      </c>
      <c r="BK45" s="83">
        <f>'Raw Data'!BK46/10</f>
        <v>446.4</v>
      </c>
      <c r="BL45" s="83">
        <f>'Raw Data'!BL46/10</f>
        <v>430.8</v>
      </c>
      <c r="BM45" s="83">
        <f>'Raw Data'!BM46/10</f>
        <v>431.1</v>
      </c>
      <c r="BN45" s="83">
        <f>'Raw Data'!BN46/10</f>
        <v>414.2</v>
      </c>
      <c r="BO45" s="83">
        <f>'Raw Data'!BO46/10</f>
        <v>411.1</v>
      </c>
      <c r="BP45" s="83">
        <f>'Raw Data'!BP46/10</f>
        <v>401.5</v>
      </c>
      <c r="BQ45" s="83">
        <f>'Raw Data'!BQ46/10</f>
        <v>386.4</v>
      </c>
      <c r="BR45" s="83">
        <f>'Raw Data'!BR46/10</f>
        <v>390.6</v>
      </c>
      <c r="BS45" s="83">
        <f>'Raw Data'!BS46/10</f>
        <v>380.8</v>
      </c>
      <c r="BT45" s="83">
        <f>'Raw Data'!BT46/10</f>
        <v>368.9</v>
      </c>
      <c r="BU45" s="83">
        <f>'Raw Data'!BU46/10</f>
        <v>362.8</v>
      </c>
      <c r="BV45" s="83">
        <f>'Raw Data'!BV46/10</f>
        <v>354.7</v>
      </c>
      <c r="BW45" s="83">
        <f>'Raw Data'!BW46/10</f>
        <v>351.5</v>
      </c>
      <c r="BX45" s="83">
        <f>'Raw Data'!BX46/10</f>
        <v>343.7</v>
      </c>
      <c r="BY45" s="83">
        <f>'Raw Data'!BY46/10</f>
        <v>337.7</v>
      </c>
      <c r="BZ45" s="83">
        <f>'Raw Data'!BZ46/10</f>
        <v>335.9</v>
      </c>
      <c r="CA45" s="83">
        <f>'Raw Data'!CA46/10</f>
        <v>322.10000000000002</v>
      </c>
      <c r="CB45" s="83">
        <f>'Raw Data'!CB46/10</f>
        <v>319.60000000000002</v>
      </c>
      <c r="CC45" s="83">
        <f>'Raw Data'!CC46/10</f>
        <v>318.3</v>
      </c>
      <c r="CD45" s="83">
        <f>'Raw Data'!CD46/10</f>
        <v>311.39999999999998</v>
      </c>
      <c r="CE45" s="83">
        <f>'Raw Data'!CE46/10</f>
        <v>305.39999999999998</v>
      </c>
      <c r="CF45" s="83">
        <f>'Raw Data'!CF46/10</f>
        <v>302.8</v>
      </c>
      <c r="CG45" s="83">
        <f>'Raw Data'!CG46/100</f>
        <v>277.79000000000002</v>
      </c>
      <c r="CH45" s="83">
        <f>'Raw Data'!CH46/100</f>
        <v>244.4</v>
      </c>
      <c r="CI45" s="83">
        <f>'Raw Data'!CI46/100</f>
        <v>220.51</v>
      </c>
      <c r="CJ45" s="83">
        <f>'Raw Data'!CJ46/100</f>
        <v>199.95</v>
      </c>
      <c r="CK45" s="83">
        <f>'Raw Data'!CK46/100</f>
        <v>180.24</v>
      </c>
      <c r="CL45" s="83">
        <f>'Raw Data'!CL46/100</f>
        <v>167.01</v>
      </c>
      <c r="CM45" s="83">
        <f>'Raw Data'!CM46/100</f>
        <v>156.44999999999999</v>
      </c>
      <c r="CN45" s="83">
        <f>'Raw Data'!CN46/100</f>
        <v>147.13999999999999</v>
      </c>
      <c r="CO45" s="83">
        <f>'Raw Data'!CO46/100</f>
        <v>139.44999999999999</v>
      </c>
      <c r="CP45" s="83">
        <f>'Raw Data'!CP46/100</f>
        <v>130.28</v>
      </c>
      <c r="CQ45" s="83">
        <f>'Raw Data'!CQ46/100</f>
        <v>124.68</v>
      </c>
      <c r="CR45" s="83">
        <f>'Raw Data'!CR46/100</f>
        <v>118.8</v>
      </c>
      <c r="CS45" s="83">
        <f>'Raw Data'!CS46/100</f>
        <v>112.59</v>
      </c>
      <c r="CT45" s="83">
        <f>'Raw Data'!CT46/100</f>
        <v>108.36</v>
      </c>
      <c r="CU45" s="382"/>
    </row>
    <row r="46" spans="4:99" s="86" customFormat="1" x14ac:dyDescent="0.2">
      <c r="D46" s="374"/>
      <c r="E46" s="164"/>
      <c r="F46" s="394"/>
      <c r="G46" s="83">
        <f>'Raw Data'!G47</f>
        <v>5406</v>
      </c>
      <c r="H46" s="83">
        <f>'Raw Data'!H47</f>
        <v>5397</v>
      </c>
      <c r="I46" s="83">
        <f>'Raw Data'!I47</f>
        <v>5380</v>
      </c>
      <c r="J46" s="83">
        <f>'Raw Data'!J47</f>
        <v>5358</v>
      </c>
      <c r="K46" s="83">
        <f>'Raw Data'!K47</f>
        <v>5445</v>
      </c>
      <c r="L46" s="83">
        <f>'Raw Data'!L47</f>
        <v>5382</v>
      </c>
      <c r="M46" s="83">
        <f>'Raw Data'!M47</f>
        <v>5384</v>
      </c>
      <c r="N46" s="83">
        <f>'Raw Data'!N47</f>
        <v>5407</v>
      </c>
      <c r="O46" s="83">
        <f>'Raw Data'!O47</f>
        <v>5176</v>
      </c>
      <c r="P46" s="83">
        <f>'Raw Data'!P47</f>
        <v>5267</v>
      </c>
      <c r="Q46" s="83">
        <f>'Raw Data'!Q47</f>
        <v>5327</v>
      </c>
      <c r="R46" s="83">
        <f>'Raw Data'!R47</f>
        <v>5244</v>
      </c>
      <c r="S46" s="83">
        <f>'Raw Data'!S47</f>
        <v>5334</v>
      </c>
      <c r="T46" s="83">
        <f>'Raw Data'!T47</f>
        <v>5218</v>
      </c>
      <c r="U46" s="83">
        <f>'Raw Data'!U47</f>
        <v>5164</v>
      </c>
      <c r="V46" s="83">
        <f>'Raw Data'!V47</f>
        <v>5155</v>
      </c>
      <c r="W46" s="83">
        <f>'Raw Data'!W47</f>
        <v>5035</v>
      </c>
      <c r="X46" s="83">
        <f>'Raw Data'!X47</f>
        <v>5117</v>
      </c>
      <c r="Y46" s="83">
        <f>'Raw Data'!Y47</f>
        <v>5031</v>
      </c>
      <c r="Z46" s="83">
        <f>'Raw Data'!Z47</f>
        <v>5130</v>
      </c>
      <c r="AA46" s="83">
        <f>'Raw Data'!AA47/10</f>
        <v>4956.8999999999996</v>
      </c>
      <c r="AB46" s="83">
        <f>'Raw Data'!AB47/10</f>
        <v>4694.1000000000004</v>
      </c>
      <c r="AC46" s="83">
        <f>'Raw Data'!AC47/10</f>
        <v>4474.3999999999996</v>
      </c>
      <c r="AD46" s="83">
        <f>'Raw Data'!AD47/10</f>
        <v>4210.1000000000004</v>
      </c>
      <c r="AE46" s="83">
        <f>'Raw Data'!AE47/10</f>
        <v>4009.5</v>
      </c>
      <c r="AF46" s="83">
        <f>'Raw Data'!AF47/10</f>
        <v>3804.1</v>
      </c>
      <c r="AG46" s="83">
        <f>'Raw Data'!AG47/10</f>
        <v>3609.9</v>
      </c>
      <c r="AH46" s="83">
        <f>'Raw Data'!AH47/10</f>
        <v>3418.9</v>
      </c>
      <c r="AI46" s="83">
        <f>'Raw Data'!AI47/10</f>
        <v>3249.3</v>
      </c>
      <c r="AJ46" s="83">
        <f>'Raw Data'!AJ47/10</f>
        <v>3113.6</v>
      </c>
      <c r="AK46" s="83">
        <f>'Raw Data'!AK47/10</f>
        <v>2965.2</v>
      </c>
      <c r="AL46" s="83">
        <f>'Raw Data'!AL47/10</f>
        <v>2827.1</v>
      </c>
      <c r="AM46" s="83">
        <f>'Raw Data'!AM47/10</f>
        <v>2710.7</v>
      </c>
      <c r="AN46" s="83">
        <f>'Raw Data'!AN47/10</f>
        <v>2586.5</v>
      </c>
      <c r="AO46" s="83">
        <f>'Raw Data'!AO47/10</f>
        <v>2472</v>
      </c>
      <c r="AP46" s="83">
        <f>'Raw Data'!AP47/10</f>
        <v>2383.6</v>
      </c>
      <c r="AQ46" s="83">
        <f>'Raw Data'!AQ47/10</f>
        <v>2284.3000000000002</v>
      </c>
      <c r="AR46" s="83">
        <f>'Raw Data'!AR47/10</f>
        <v>2186.8000000000002</v>
      </c>
      <c r="AS46" s="83">
        <f>'Raw Data'!AS47/10</f>
        <v>2097.5</v>
      </c>
      <c r="AT46" s="83">
        <f>'Raw Data'!AT47/10</f>
        <v>2029.5</v>
      </c>
      <c r="AU46" s="83">
        <f>'Raw Data'!AU47/10</f>
        <v>1960.8</v>
      </c>
      <c r="AV46" s="83">
        <f>'Raw Data'!AV47/10</f>
        <v>1895.1</v>
      </c>
      <c r="AW46" s="83">
        <f>'Raw Data'!AW47/10</f>
        <v>1818.7</v>
      </c>
      <c r="AX46" s="83">
        <f>'Raw Data'!AX47/10</f>
        <v>1752.9</v>
      </c>
      <c r="AY46" s="83">
        <f>'Raw Data'!AY47/10</f>
        <v>1678</v>
      </c>
      <c r="AZ46" s="83">
        <f>'Raw Data'!AZ47/10</f>
        <v>1653.7</v>
      </c>
      <c r="BA46" s="83">
        <f>'Raw Data'!BA47/10</f>
        <v>1576.6</v>
      </c>
      <c r="BB46" s="83">
        <f>'Raw Data'!BB47/10</f>
        <v>1522.7</v>
      </c>
      <c r="BC46" s="83">
        <f>'Raw Data'!BC47/10</f>
        <v>1481.8</v>
      </c>
      <c r="BD46" s="83">
        <f>'Raw Data'!BD47/10</f>
        <v>1436.5</v>
      </c>
      <c r="BE46" s="83">
        <f>'Raw Data'!BE47/10</f>
        <v>1398.8</v>
      </c>
      <c r="BF46" s="83">
        <f>'Raw Data'!BF47/10</f>
        <v>1375.2</v>
      </c>
      <c r="BG46" s="83">
        <f>'Raw Data'!BG47/10</f>
        <v>1316.8</v>
      </c>
      <c r="BH46" s="83">
        <f>'Raw Data'!BH47/10</f>
        <v>1279.4000000000001</v>
      </c>
      <c r="BI46" s="83">
        <f>'Raw Data'!BI47/10</f>
        <v>1236.8</v>
      </c>
      <c r="BJ46" s="83">
        <f>'Raw Data'!BJ47/10</f>
        <v>1215.8</v>
      </c>
      <c r="BK46" s="83">
        <f>'Raw Data'!BK47/10</f>
        <v>1176.7</v>
      </c>
      <c r="BL46" s="83">
        <f>'Raw Data'!BL47/10</f>
        <v>1141.5999999999999</v>
      </c>
      <c r="BM46" s="83">
        <f>'Raw Data'!BM47/10</f>
        <v>1114.3</v>
      </c>
      <c r="BN46" s="83">
        <f>'Raw Data'!BN47/10</f>
        <v>1085.4000000000001</v>
      </c>
      <c r="BO46" s="83">
        <f>'Raw Data'!BO47/10</f>
        <v>1042.2</v>
      </c>
      <c r="BP46" s="83">
        <f>'Raw Data'!BP47/10</f>
        <v>1051.4000000000001</v>
      </c>
      <c r="BQ46" s="83">
        <f>'Raw Data'!BQ47/10</f>
        <v>1024.9000000000001</v>
      </c>
      <c r="BR46" s="83">
        <f>'Raw Data'!BR47/10</f>
        <v>991.3</v>
      </c>
      <c r="BS46" s="83">
        <f>'Raw Data'!BS47/10</f>
        <v>959.3</v>
      </c>
      <c r="BT46" s="83">
        <f>'Raw Data'!BT47/10</f>
        <v>931.4</v>
      </c>
      <c r="BU46" s="83">
        <f>'Raw Data'!BU47/10</f>
        <v>912.7</v>
      </c>
      <c r="BV46" s="83">
        <f>'Raw Data'!BV47/10</f>
        <v>898</v>
      </c>
      <c r="BW46" s="83">
        <f>'Raw Data'!BW47/10</f>
        <v>889.3</v>
      </c>
      <c r="BX46" s="83">
        <f>'Raw Data'!BX47/10</f>
        <v>854.4</v>
      </c>
      <c r="BY46" s="83">
        <f>'Raw Data'!BY47/10</f>
        <v>852.4</v>
      </c>
      <c r="BZ46" s="83">
        <f>'Raw Data'!BZ47/10</f>
        <v>822.5</v>
      </c>
      <c r="CA46" s="83">
        <f>'Raw Data'!CA47/10</f>
        <v>809.2</v>
      </c>
      <c r="CB46" s="83">
        <f>'Raw Data'!CB47/10</f>
        <v>791</v>
      </c>
      <c r="CC46" s="83">
        <f>'Raw Data'!CC47/10</f>
        <v>775.9</v>
      </c>
      <c r="CD46" s="83">
        <f>'Raw Data'!CD47/10</f>
        <v>759</v>
      </c>
      <c r="CE46" s="83">
        <f>'Raw Data'!CE47/10</f>
        <v>744.2</v>
      </c>
      <c r="CF46" s="83">
        <f>'Raw Data'!CF47/10</f>
        <v>731.3</v>
      </c>
      <c r="CG46" s="83">
        <f>'Raw Data'!CG47/100</f>
        <v>659.16</v>
      </c>
      <c r="CH46" s="83">
        <f>'Raw Data'!CH47/100</f>
        <v>558.91</v>
      </c>
      <c r="CI46" s="83">
        <f>'Raw Data'!CI47/100</f>
        <v>481.14</v>
      </c>
      <c r="CJ46" s="83">
        <f>'Raw Data'!CJ47/100</f>
        <v>423.2</v>
      </c>
      <c r="CK46" s="83">
        <f>'Raw Data'!CK47/100</f>
        <v>372.83</v>
      </c>
      <c r="CL46" s="83">
        <f>'Raw Data'!CL47/100</f>
        <v>335.07</v>
      </c>
      <c r="CM46" s="83">
        <f>'Raw Data'!CM47/100</f>
        <v>304.2</v>
      </c>
      <c r="CN46" s="83">
        <f>'Raw Data'!CN47/100</f>
        <v>279.64</v>
      </c>
      <c r="CO46" s="83">
        <f>'Raw Data'!CO47/100</f>
        <v>256.10000000000002</v>
      </c>
      <c r="CP46" s="83">
        <f>'Raw Data'!CP47/100</f>
        <v>237.07</v>
      </c>
      <c r="CQ46" s="83">
        <f>'Raw Data'!CQ47/100</f>
        <v>219.96</v>
      </c>
      <c r="CR46" s="83">
        <f>'Raw Data'!CR47/100</f>
        <v>206.31</v>
      </c>
      <c r="CS46" s="83">
        <f>'Raw Data'!CS47/100</f>
        <v>192.62</v>
      </c>
      <c r="CT46" s="83">
        <f>'Raw Data'!CT47/100</f>
        <v>181.16</v>
      </c>
      <c r="CU46" s="382"/>
    </row>
    <row r="47" spans="4:99" s="86" customFormat="1" x14ac:dyDescent="0.2">
      <c r="D47" s="374"/>
      <c r="E47" s="164"/>
      <c r="F47" s="394"/>
      <c r="G47" s="83">
        <f>'Raw Data'!G48</f>
        <v>1635</v>
      </c>
      <c r="H47" s="83">
        <f>'Raw Data'!H48</f>
        <v>1683</v>
      </c>
      <c r="I47" s="83">
        <f>'Raw Data'!I48</f>
        <v>1724</v>
      </c>
      <c r="J47" s="83">
        <f>'Raw Data'!J48</f>
        <v>1635</v>
      </c>
      <c r="K47" s="83">
        <f>'Raw Data'!K48</f>
        <v>1610</v>
      </c>
      <c r="L47" s="83">
        <f>'Raw Data'!L48</f>
        <v>1625</v>
      </c>
      <c r="M47" s="83">
        <f>'Raw Data'!M48</f>
        <v>1621</v>
      </c>
      <c r="N47" s="83">
        <f>'Raw Data'!N48</f>
        <v>1628</v>
      </c>
      <c r="O47" s="83">
        <f>'Raw Data'!O48</f>
        <v>1569</v>
      </c>
      <c r="P47" s="83">
        <f>'Raw Data'!P48</f>
        <v>1611</v>
      </c>
      <c r="Q47" s="83">
        <f>'Raw Data'!Q48</f>
        <v>1620</v>
      </c>
      <c r="R47" s="83">
        <f>'Raw Data'!R48</f>
        <v>1650</v>
      </c>
      <c r="S47" s="83">
        <f>'Raw Data'!S48</f>
        <v>1608</v>
      </c>
      <c r="T47" s="83">
        <f>'Raw Data'!T48</f>
        <v>1600</v>
      </c>
      <c r="U47" s="83">
        <f>'Raw Data'!U48</f>
        <v>1595</v>
      </c>
      <c r="V47" s="83">
        <f>'Raw Data'!V48</f>
        <v>1602</v>
      </c>
      <c r="W47" s="83">
        <f>'Raw Data'!W48</f>
        <v>1791</v>
      </c>
      <c r="X47" s="83">
        <f>'Raw Data'!X48</f>
        <v>1567</v>
      </c>
      <c r="Y47" s="83">
        <f>'Raw Data'!Y48</f>
        <v>1536</v>
      </c>
      <c r="Z47" s="83">
        <f>'Raw Data'!Z48</f>
        <v>1576</v>
      </c>
      <c r="AA47" s="83">
        <f>'Raw Data'!AA48/10</f>
        <v>1535.4</v>
      </c>
      <c r="AB47" s="83">
        <f>'Raw Data'!AB48/10</f>
        <v>1470.9</v>
      </c>
      <c r="AC47" s="83">
        <f>'Raw Data'!AC48/10</f>
        <v>1389.1</v>
      </c>
      <c r="AD47" s="83">
        <f>'Raw Data'!AD48/10</f>
        <v>1336.8</v>
      </c>
      <c r="AE47" s="83">
        <f>'Raw Data'!AE48/10</f>
        <v>1261.5999999999999</v>
      </c>
      <c r="AF47" s="83">
        <f>'Raw Data'!AF48/10</f>
        <v>1225.4000000000001</v>
      </c>
      <c r="AG47" s="83">
        <f>'Raw Data'!AG48/10</f>
        <v>1162.7</v>
      </c>
      <c r="AH47" s="83">
        <f>'Raw Data'!AH48/10</f>
        <v>1133.0999999999999</v>
      </c>
      <c r="AI47" s="83">
        <f>'Raw Data'!AI48/10</f>
        <v>1059.0999999999999</v>
      </c>
      <c r="AJ47" s="83">
        <f>'Raw Data'!AJ48/10</f>
        <v>1015.1</v>
      </c>
      <c r="AK47" s="83">
        <f>'Raw Data'!AK48/10</f>
        <v>979</v>
      </c>
      <c r="AL47" s="83">
        <f>'Raw Data'!AL48/10</f>
        <v>938.4</v>
      </c>
      <c r="AM47" s="83">
        <f>'Raw Data'!AM48/10</f>
        <v>914.9</v>
      </c>
      <c r="AN47" s="83">
        <f>'Raw Data'!AN48/10</f>
        <v>873.6</v>
      </c>
      <c r="AO47" s="83">
        <f>'Raw Data'!AO48/10</f>
        <v>845.4</v>
      </c>
      <c r="AP47" s="83">
        <f>'Raw Data'!AP48/10</f>
        <v>811.4</v>
      </c>
      <c r="AQ47" s="83">
        <f>'Raw Data'!AQ48/10</f>
        <v>794.7</v>
      </c>
      <c r="AR47" s="83">
        <f>'Raw Data'!AR48/10</f>
        <v>764.2</v>
      </c>
      <c r="AS47" s="83">
        <f>'Raw Data'!AS48/10</f>
        <v>729.8</v>
      </c>
      <c r="AT47" s="83">
        <f>'Raw Data'!AT48/10</f>
        <v>697.4</v>
      </c>
      <c r="AU47" s="83">
        <f>'Raw Data'!AU48/10</f>
        <v>684.4</v>
      </c>
      <c r="AV47" s="83">
        <f>'Raw Data'!AV48/10</f>
        <v>658.7</v>
      </c>
      <c r="AW47" s="83">
        <f>'Raw Data'!AW48/10</f>
        <v>647.4</v>
      </c>
      <c r="AX47" s="83">
        <f>'Raw Data'!AX48/10</f>
        <v>618.70000000000005</v>
      </c>
      <c r="AY47" s="83">
        <f>'Raw Data'!AY48/10</f>
        <v>612.79999999999995</v>
      </c>
      <c r="AZ47" s="83">
        <f>'Raw Data'!AZ48/10</f>
        <v>604.70000000000005</v>
      </c>
      <c r="BA47" s="83">
        <f>'Raw Data'!BA48/10</f>
        <v>575.70000000000005</v>
      </c>
      <c r="BB47" s="83">
        <f>'Raw Data'!BB48/10</f>
        <v>567.20000000000005</v>
      </c>
      <c r="BC47" s="83">
        <f>'Raw Data'!BC48/10</f>
        <v>554.9</v>
      </c>
      <c r="BD47" s="83">
        <f>'Raw Data'!BD48/10</f>
        <v>550.29999999999995</v>
      </c>
      <c r="BE47" s="83">
        <f>'Raw Data'!BE48/10</f>
        <v>524.6</v>
      </c>
      <c r="BF47" s="83">
        <f>'Raw Data'!BF48/10</f>
        <v>511.3</v>
      </c>
      <c r="BG47" s="83">
        <f>'Raw Data'!BG48/10</f>
        <v>504.2</v>
      </c>
      <c r="BH47" s="83">
        <f>'Raw Data'!BH48/10</f>
        <v>476.8</v>
      </c>
      <c r="BI47" s="83">
        <f>'Raw Data'!BI48/10</f>
        <v>461.7</v>
      </c>
      <c r="BJ47" s="83">
        <f>'Raw Data'!BJ48/10</f>
        <v>461.8</v>
      </c>
      <c r="BK47" s="83">
        <f>'Raw Data'!BK48/10</f>
        <v>448.2</v>
      </c>
      <c r="BL47" s="83">
        <f>'Raw Data'!BL48/10</f>
        <v>453.7</v>
      </c>
      <c r="BM47" s="83">
        <f>'Raw Data'!BM48/10</f>
        <v>434.9</v>
      </c>
      <c r="BN47" s="83">
        <f>'Raw Data'!BN48/10</f>
        <v>431</v>
      </c>
      <c r="BO47" s="83">
        <f>'Raw Data'!BO48/10</f>
        <v>413.6</v>
      </c>
      <c r="BP47" s="83">
        <f>'Raw Data'!BP48/10</f>
        <v>403.7</v>
      </c>
      <c r="BQ47" s="83">
        <f>'Raw Data'!BQ48/10</f>
        <v>405</v>
      </c>
      <c r="BR47" s="83">
        <f>'Raw Data'!BR48/10</f>
        <v>398</v>
      </c>
      <c r="BS47" s="83">
        <f>'Raw Data'!BS48/10</f>
        <v>383.5</v>
      </c>
      <c r="BT47" s="83">
        <f>'Raw Data'!BT48/10</f>
        <v>375.8</v>
      </c>
      <c r="BU47" s="83">
        <f>'Raw Data'!BU48/10</f>
        <v>374.9</v>
      </c>
      <c r="BV47" s="83">
        <f>'Raw Data'!BV48/10</f>
        <v>364.7</v>
      </c>
      <c r="BW47" s="83">
        <f>'Raw Data'!BW48/10</f>
        <v>359.4</v>
      </c>
      <c r="BX47" s="83">
        <f>'Raw Data'!BX48/10</f>
        <v>357.4</v>
      </c>
      <c r="BY47" s="83">
        <f>'Raw Data'!BY48/10</f>
        <v>343.8</v>
      </c>
      <c r="BZ47" s="83">
        <f>'Raw Data'!BZ48/10</f>
        <v>345.4</v>
      </c>
      <c r="CA47" s="83">
        <f>'Raw Data'!CA48/10</f>
        <v>335.3</v>
      </c>
      <c r="CB47" s="83">
        <f>'Raw Data'!CB48/10</f>
        <v>328.9</v>
      </c>
      <c r="CC47" s="83">
        <f>'Raw Data'!CC48/10</f>
        <v>325.2</v>
      </c>
      <c r="CD47" s="83">
        <f>'Raw Data'!CD48/10</f>
        <v>317.2</v>
      </c>
      <c r="CE47" s="83">
        <f>'Raw Data'!CE48/10</f>
        <v>314.2</v>
      </c>
      <c r="CF47" s="83">
        <f>'Raw Data'!CF48/10</f>
        <v>314.7</v>
      </c>
      <c r="CG47" s="83">
        <f>'Raw Data'!CG48/100</f>
        <v>288.91000000000003</v>
      </c>
      <c r="CH47" s="83">
        <f>'Raw Data'!CH48/100</f>
        <v>253.97</v>
      </c>
      <c r="CI47" s="83">
        <f>'Raw Data'!CI48/100</f>
        <v>226.15</v>
      </c>
      <c r="CJ47" s="83">
        <f>'Raw Data'!CJ48/100</f>
        <v>206.93</v>
      </c>
      <c r="CK47" s="83">
        <f>'Raw Data'!CK48/100</f>
        <v>190.22</v>
      </c>
      <c r="CL47" s="83">
        <f>'Raw Data'!CL48/100</f>
        <v>174.34</v>
      </c>
      <c r="CM47" s="83">
        <f>'Raw Data'!CM48/100</f>
        <v>163.65</v>
      </c>
      <c r="CN47" s="83">
        <f>'Raw Data'!CN48/100</f>
        <v>153.75</v>
      </c>
      <c r="CO47" s="83">
        <f>'Raw Data'!CO48/100</f>
        <v>145.22</v>
      </c>
      <c r="CP47" s="83">
        <f>'Raw Data'!CP48/100</f>
        <v>136.66</v>
      </c>
      <c r="CQ47" s="83">
        <f>'Raw Data'!CQ48/100</f>
        <v>128.91999999999999</v>
      </c>
      <c r="CR47" s="83">
        <f>'Raw Data'!CR48/100</f>
        <v>125.13</v>
      </c>
      <c r="CS47" s="83">
        <f>'Raw Data'!CS48/100</f>
        <v>119.92</v>
      </c>
      <c r="CT47" s="83">
        <f>'Raw Data'!CT48/100</f>
        <v>114.23</v>
      </c>
      <c r="CU47" s="382"/>
    </row>
    <row r="48" spans="4:99" s="86" customFormat="1" x14ac:dyDescent="0.2">
      <c r="D48" s="374"/>
      <c r="E48" s="164"/>
      <c r="F48" s="394"/>
      <c r="G48" s="83">
        <f>'Raw Data'!G49</f>
        <v>72</v>
      </c>
      <c r="H48" s="83">
        <f>'Raw Data'!H49</f>
        <v>59</v>
      </c>
      <c r="I48" s="83">
        <f>'Raw Data'!I49</f>
        <v>64</v>
      </c>
      <c r="J48" s="83">
        <f>'Raw Data'!J49</f>
        <v>64</v>
      </c>
      <c r="K48" s="83">
        <f>'Raw Data'!K49</f>
        <v>58</v>
      </c>
      <c r="L48" s="83">
        <f>'Raw Data'!L49</f>
        <v>63</v>
      </c>
      <c r="M48" s="83">
        <f>'Raw Data'!M49</f>
        <v>76</v>
      </c>
      <c r="N48" s="83">
        <f>'Raw Data'!N49</f>
        <v>66</v>
      </c>
      <c r="O48" s="83">
        <f>'Raw Data'!O49</f>
        <v>70</v>
      </c>
      <c r="P48" s="83">
        <f>'Raw Data'!P49</f>
        <v>76</v>
      </c>
      <c r="Q48" s="83">
        <f>'Raw Data'!Q49</f>
        <v>67</v>
      </c>
      <c r="R48" s="83">
        <f>'Raw Data'!R49</f>
        <v>68</v>
      </c>
      <c r="S48" s="83">
        <f>'Raw Data'!S49</f>
        <v>68</v>
      </c>
      <c r="T48" s="83">
        <f>'Raw Data'!T49</f>
        <v>69</v>
      </c>
      <c r="U48" s="83">
        <f>'Raw Data'!U49</f>
        <v>63</v>
      </c>
      <c r="V48" s="83">
        <f>'Raw Data'!V49</f>
        <v>51</v>
      </c>
      <c r="W48" s="83">
        <f>'Raw Data'!W49</f>
        <v>54</v>
      </c>
      <c r="X48" s="83">
        <f>'Raw Data'!X49</f>
        <v>61</v>
      </c>
      <c r="Y48" s="83">
        <f>'Raw Data'!Y49</f>
        <v>67</v>
      </c>
      <c r="Z48" s="83">
        <f>'Raw Data'!Z49</f>
        <v>62</v>
      </c>
      <c r="AA48" s="83">
        <f>'Raw Data'!AA49/10</f>
        <v>62.8</v>
      </c>
      <c r="AB48" s="83">
        <f>'Raw Data'!AB49/10</f>
        <v>64.900000000000006</v>
      </c>
      <c r="AC48" s="83">
        <f>'Raw Data'!AC49/10</f>
        <v>63.1</v>
      </c>
      <c r="AD48" s="83">
        <f>'Raw Data'!AD49/10</f>
        <v>62.9</v>
      </c>
      <c r="AE48" s="83">
        <f>'Raw Data'!AE49/10</f>
        <v>63.5</v>
      </c>
      <c r="AF48" s="83">
        <f>'Raw Data'!AF49/10</f>
        <v>62.7</v>
      </c>
      <c r="AG48" s="83">
        <f>'Raw Data'!AG49/10</f>
        <v>58.6</v>
      </c>
      <c r="AH48" s="83">
        <f>'Raw Data'!AH49/10</f>
        <v>58.9</v>
      </c>
      <c r="AI48" s="83">
        <f>'Raw Data'!AI49/10</f>
        <v>55.5</v>
      </c>
      <c r="AJ48" s="83">
        <f>'Raw Data'!AJ49/10</f>
        <v>56.8</v>
      </c>
      <c r="AK48" s="83">
        <f>'Raw Data'!AK49/10</f>
        <v>53.6</v>
      </c>
      <c r="AL48" s="83">
        <f>'Raw Data'!AL49/10</f>
        <v>52.9</v>
      </c>
      <c r="AM48" s="83">
        <f>'Raw Data'!AM49/10</f>
        <v>52.6</v>
      </c>
      <c r="AN48" s="83">
        <f>'Raw Data'!AN49/10</f>
        <v>55</v>
      </c>
      <c r="AO48" s="83">
        <f>'Raw Data'!AO49/10</f>
        <v>53.1</v>
      </c>
      <c r="AP48" s="83">
        <f>'Raw Data'!AP49/10</f>
        <v>52.5</v>
      </c>
      <c r="AQ48" s="83">
        <f>'Raw Data'!AQ49/10</f>
        <v>50</v>
      </c>
      <c r="AR48" s="83">
        <f>'Raw Data'!AR49/10</f>
        <v>47.1</v>
      </c>
      <c r="AS48" s="83">
        <f>'Raw Data'!AS49/10</f>
        <v>46.5</v>
      </c>
      <c r="AT48" s="83">
        <f>'Raw Data'!AT49/10</f>
        <v>49.4</v>
      </c>
      <c r="AU48" s="83">
        <f>'Raw Data'!AU49/10</f>
        <v>46.2</v>
      </c>
      <c r="AV48" s="83">
        <f>'Raw Data'!AV49/10</f>
        <v>46.4</v>
      </c>
      <c r="AW48" s="83">
        <f>'Raw Data'!AW49/10</f>
        <v>48.9</v>
      </c>
      <c r="AX48" s="83">
        <f>'Raw Data'!AX49/10</f>
        <v>46.9</v>
      </c>
      <c r="AY48" s="83">
        <f>'Raw Data'!AY49/10</f>
        <v>45.2</v>
      </c>
      <c r="AZ48" s="83">
        <f>'Raw Data'!AZ49/10</f>
        <v>46.9</v>
      </c>
      <c r="BA48" s="83">
        <f>'Raw Data'!BA49/10</f>
        <v>42.7</v>
      </c>
      <c r="BB48" s="83">
        <f>'Raw Data'!BB49/10</f>
        <v>44</v>
      </c>
      <c r="BC48" s="83">
        <f>'Raw Data'!BC49/10</f>
        <v>43.7</v>
      </c>
      <c r="BD48" s="83">
        <f>'Raw Data'!BD49/10</f>
        <v>44.6</v>
      </c>
      <c r="BE48" s="83">
        <f>'Raw Data'!BE49/10</f>
        <v>43.2</v>
      </c>
      <c r="BF48" s="83">
        <f>'Raw Data'!BF49/10</f>
        <v>45</v>
      </c>
      <c r="BG48" s="83">
        <f>'Raw Data'!BG49/10</f>
        <v>39</v>
      </c>
      <c r="BH48" s="83">
        <f>'Raw Data'!BH49/10</f>
        <v>44.9</v>
      </c>
      <c r="BI48" s="83">
        <f>'Raw Data'!BI49/10</f>
        <v>39.6</v>
      </c>
      <c r="BJ48" s="83">
        <f>'Raw Data'!BJ49/10</f>
        <v>41.4</v>
      </c>
      <c r="BK48" s="83">
        <f>'Raw Data'!BK49/10</f>
        <v>41.9</v>
      </c>
      <c r="BL48" s="83">
        <f>'Raw Data'!BL49/10</f>
        <v>40.4</v>
      </c>
      <c r="BM48" s="83">
        <f>'Raw Data'!BM49/10</f>
        <v>40.9</v>
      </c>
      <c r="BN48" s="83">
        <f>'Raw Data'!BN49/10</f>
        <v>40.1</v>
      </c>
      <c r="BO48" s="83">
        <f>'Raw Data'!BO49/10</f>
        <v>40.299999999999997</v>
      </c>
      <c r="BP48" s="83">
        <f>'Raw Data'!BP49/10</f>
        <v>37.9</v>
      </c>
      <c r="BQ48" s="83">
        <f>'Raw Data'!BQ49/10</f>
        <v>36.299999999999997</v>
      </c>
      <c r="BR48" s="83">
        <f>'Raw Data'!BR49/10</f>
        <v>38</v>
      </c>
      <c r="BS48" s="83">
        <f>'Raw Data'!BS49/10</f>
        <v>33.700000000000003</v>
      </c>
      <c r="BT48" s="83">
        <f>'Raw Data'!BT49/10</f>
        <v>37.4</v>
      </c>
      <c r="BU48" s="83">
        <f>'Raw Data'!BU49/10</f>
        <v>37.799999999999997</v>
      </c>
      <c r="BV48" s="83">
        <f>'Raw Data'!BV49/10</f>
        <v>39.799999999999997</v>
      </c>
      <c r="BW48" s="83">
        <f>'Raw Data'!BW49/10</f>
        <v>38</v>
      </c>
      <c r="BX48" s="83">
        <f>'Raw Data'!BX49/10</f>
        <v>37.799999999999997</v>
      </c>
      <c r="BY48" s="83">
        <f>'Raw Data'!BY49/10</f>
        <v>35.5</v>
      </c>
      <c r="BZ48" s="83">
        <f>'Raw Data'!BZ49/10</f>
        <v>36.5</v>
      </c>
      <c r="CA48" s="83">
        <f>'Raw Data'!CA49/10</f>
        <v>38</v>
      </c>
      <c r="CB48" s="83">
        <f>'Raw Data'!CB49/10</f>
        <v>36.200000000000003</v>
      </c>
      <c r="CC48" s="83">
        <f>'Raw Data'!CC49/10</f>
        <v>36.299999999999997</v>
      </c>
      <c r="CD48" s="83">
        <f>'Raw Data'!CD49/10</f>
        <v>36.9</v>
      </c>
      <c r="CE48" s="83">
        <f>'Raw Data'!CE49/10</f>
        <v>35.799999999999997</v>
      </c>
      <c r="CF48" s="83">
        <f>'Raw Data'!CF49/10</f>
        <v>34.4</v>
      </c>
      <c r="CG48" s="83">
        <f>'Raw Data'!CG49/100</f>
        <v>34.729999999999997</v>
      </c>
      <c r="CH48" s="83">
        <f>'Raw Data'!CH49/100</f>
        <v>33.85</v>
      </c>
      <c r="CI48" s="83">
        <f>'Raw Data'!CI49/100</f>
        <v>31.68</v>
      </c>
      <c r="CJ48" s="83">
        <f>'Raw Data'!CJ49/100</f>
        <v>31.75</v>
      </c>
      <c r="CK48" s="83">
        <f>'Raw Data'!CK49/100</f>
        <v>29.78</v>
      </c>
      <c r="CL48" s="83">
        <f>'Raw Data'!CL49/100</f>
        <v>28.9</v>
      </c>
      <c r="CM48" s="83">
        <f>'Raw Data'!CM49/100</f>
        <v>28.4</v>
      </c>
      <c r="CN48" s="83">
        <f>'Raw Data'!CN49/100</f>
        <v>27.55</v>
      </c>
      <c r="CO48" s="83">
        <f>'Raw Data'!CO49/100</f>
        <v>27.46</v>
      </c>
      <c r="CP48" s="83">
        <f>'Raw Data'!CP49/100</f>
        <v>27.27</v>
      </c>
      <c r="CQ48" s="83">
        <f>'Raw Data'!CQ49/100</f>
        <v>27.11</v>
      </c>
      <c r="CR48" s="83">
        <f>'Raw Data'!CR49/100</f>
        <v>27.13</v>
      </c>
      <c r="CS48" s="83">
        <f>'Raw Data'!CS49/100</f>
        <v>26.2</v>
      </c>
      <c r="CT48" s="83">
        <f>'Raw Data'!CT49/100</f>
        <v>26.35</v>
      </c>
      <c r="CU48" s="382"/>
    </row>
    <row r="49" spans="4:99" s="86" customFormat="1" x14ac:dyDescent="0.2">
      <c r="D49" s="374"/>
      <c r="E49" s="164"/>
      <c r="F49" s="394"/>
      <c r="G49" s="83">
        <f>'Raw Data'!G50</f>
        <v>1433</v>
      </c>
      <c r="H49" s="83">
        <f>'Raw Data'!H50</f>
        <v>1427</v>
      </c>
      <c r="I49" s="83">
        <f>'Raw Data'!I50</f>
        <v>1412</v>
      </c>
      <c r="J49" s="83">
        <f>'Raw Data'!J50</f>
        <v>1415</v>
      </c>
      <c r="K49" s="83">
        <f>'Raw Data'!K50</f>
        <v>1422</v>
      </c>
      <c r="L49" s="83">
        <f>'Raw Data'!L50</f>
        <v>1443</v>
      </c>
      <c r="M49" s="83">
        <f>'Raw Data'!M50</f>
        <v>1408</v>
      </c>
      <c r="N49" s="83">
        <f>'Raw Data'!N50</f>
        <v>1389</v>
      </c>
      <c r="O49" s="83">
        <f>'Raw Data'!O50</f>
        <v>1429</v>
      </c>
      <c r="P49" s="83">
        <f>'Raw Data'!P50</f>
        <v>1397</v>
      </c>
      <c r="Q49" s="83">
        <f>'Raw Data'!Q50</f>
        <v>1372</v>
      </c>
      <c r="R49" s="83">
        <f>'Raw Data'!R50</f>
        <v>1382</v>
      </c>
      <c r="S49" s="83">
        <f>'Raw Data'!S50</f>
        <v>1370</v>
      </c>
      <c r="T49" s="83">
        <f>'Raw Data'!T50</f>
        <v>1376</v>
      </c>
      <c r="U49" s="83">
        <f>'Raw Data'!U50</f>
        <v>1382</v>
      </c>
      <c r="V49" s="83">
        <f>'Raw Data'!V50</f>
        <v>1336</v>
      </c>
      <c r="W49" s="83">
        <f>'Raw Data'!W50</f>
        <v>1394</v>
      </c>
      <c r="X49" s="83">
        <f>'Raw Data'!X50</f>
        <v>1334</v>
      </c>
      <c r="Y49" s="83">
        <f>'Raw Data'!Y50</f>
        <v>1335</v>
      </c>
      <c r="Z49" s="83">
        <f>'Raw Data'!Z50</f>
        <v>1289</v>
      </c>
      <c r="AA49" s="83">
        <f>'Raw Data'!AA50/10</f>
        <v>1320</v>
      </c>
      <c r="AB49" s="83">
        <f>'Raw Data'!AB50/10</f>
        <v>1242.0999999999999</v>
      </c>
      <c r="AC49" s="83">
        <f>'Raw Data'!AC50/10</f>
        <v>1188</v>
      </c>
      <c r="AD49" s="83">
        <f>'Raw Data'!AD50/10</f>
        <v>1131.5</v>
      </c>
      <c r="AE49" s="83">
        <f>'Raw Data'!AE50/10</f>
        <v>1068.2</v>
      </c>
      <c r="AF49" s="83">
        <f>'Raw Data'!AF50/10</f>
        <v>1020.9</v>
      </c>
      <c r="AG49" s="83">
        <f>'Raw Data'!AG50/10</f>
        <v>981</v>
      </c>
      <c r="AH49" s="83">
        <f>'Raw Data'!AH50/10</f>
        <v>910.6</v>
      </c>
      <c r="AI49" s="83">
        <f>'Raw Data'!AI50/10</f>
        <v>880.4</v>
      </c>
      <c r="AJ49" s="83">
        <f>'Raw Data'!AJ50/10</f>
        <v>837.4</v>
      </c>
      <c r="AK49" s="83">
        <f>'Raw Data'!AK50/10</f>
        <v>813.1</v>
      </c>
      <c r="AL49" s="83">
        <f>'Raw Data'!AL50/10</f>
        <v>764.2</v>
      </c>
      <c r="AM49" s="83">
        <f>'Raw Data'!AM50/10</f>
        <v>732.7</v>
      </c>
      <c r="AN49" s="83">
        <f>'Raw Data'!AN50/10</f>
        <v>704.6</v>
      </c>
      <c r="AO49" s="83">
        <f>'Raw Data'!AO50/10</f>
        <v>683.5</v>
      </c>
      <c r="AP49" s="83">
        <f>'Raw Data'!AP50/10</f>
        <v>654.1</v>
      </c>
      <c r="AQ49" s="83">
        <f>'Raw Data'!AQ50/10</f>
        <v>638.9</v>
      </c>
      <c r="AR49" s="83">
        <f>'Raw Data'!AR50/10</f>
        <v>598.9</v>
      </c>
      <c r="AS49" s="83">
        <f>'Raw Data'!AS50/10</f>
        <v>578.1</v>
      </c>
      <c r="AT49" s="83">
        <f>'Raw Data'!AT50/10</f>
        <v>563.4</v>
      </c>
      <c r="AU49" s="83">
        <f>'Raw Data'!AU50/10</f>
        <v>549.1</v>
      </c>
      <c r="AV49" s="83">
        <f>'Raw Data'!AV50/10</f>
        <v>531.29999999999995</v>
      </c>
      <c r="AW49" s="83">
        <f>'Raw Data'!AW50/10</f>
        <v>511</v>
      </c>
      <c r="AX49" s="83">
        <f>'Raw Data'!AX50/10</f>
        <v>489.6</v>
      </c>
      <c r="AY49" s="83">
        <f>'Raw Data'!AY50/10</f>
        <v>473.6</v>
      </c>
      <c r="AZ49" s="83">
        <f>'Raw Data'!AZ50/10</f>
        <v>473.4</v>
      </c>
      <c r="BA49" s="83">
        <f>'Raw Data'!BA50/10</f>
        <v>443.1</v>
      </c>
      <c r="BB49" s="83">
        <f>'Raw Data'!BB50/10</f>
        <v>435.3</v>
      </c>
      <c r="BC49" s="83">
        <f>'Raw Data'!BC50/10</f>
        <v>426.7</v>
      </c>
      <c r="BD49" s="83">
        <f>'Raw Data'!BD50/10</f>
        <v>420.5</v>
      </c>
      <c r="BE49" s="83">
        <f>'Raw Data'!BE50/10</f>
        <v>394</v>
      </c>
      <c r="BF49" s="83">
        <f>'Raw Data'!BF50/10</f>
        <v>391.9</v>
      </c>
      <c r="BG49" s="83">
        <f>'Raw Data'!BG50/10</f>
        <v>380</v>
      </c>
      <c r="BH49" s="83">
        <f>'Raw Data'!BH50/10</f>
        <v>367.7</v>
      </c>
      <c r="BI49" s="83">
        <f>'Raw Data'!BI50/10</f>
        <v>354.4</v>
      </c>
      <c r="BJ49" s="83">
        <f>'Raw Data'!BJ50/10</f>
        <v>342.5</v>
      </c>
      <c r="BK49" s="83">
        <f>'Raw Data'!BK50/10</f>
        <v>337.3</v>
      </c>
      <c r="BL49" s="83">
        <f>'Raw Data'!BL50/10</f>
        <v>335.9</v>
      </c>
      <c r="BM49" s="83">
        <f>'Raw Data'!BM50/10</f>
        <v>324.39999999999998</v>
      </c>
      <c r="BN49" s="83">
        <f>'Raw Data'!BN50/10</f>
        <v>318.39999999999998</v>
      </c>
      <c r="BO49" s="83">
        <f>'Raw Data'!BO50/10</f>
        <v>310.10000000000002</v>
      </c>
      <c r="BP49" s="83">
        <f>'Raw Data'!BP50/10</f>
        <v>298.60000000000002</v>
      </c>
      <c r="BQ49" s="83">
        <f>'Raw Data'!BQ50/10</f>
        <v>296.10000000000002</v>
      </c>
      <c r="BR49" s="83">
        <f>'Raw Data'!BR50/10</f>
        <v>298.5</v>
      </c>
      <c r="BS49" s="83">
        <f>'Raw Data'!BS50/10</f>
        <v>277.5</v>
      </c>
      <c r="BT49" s="83">
        <f>'Raw Data'!BT50/10</f>
        <v>281.2</v>
      </c>
      <c r="BU49" s="83">
        <f>'Raw Data'!BU50/10</f>
        <v>272.5</v>
      </c>
      <c r="BV49" s="83">
        <f>'Raw Data'!BV50/10</f>
        <v>260.89999999999998</v>
      </c>
      <c r="BW49" s="83">
        <f>'Raw Data'!BW50/10</f>
        <v>254.7</v>
      </c>
      <c r="BX49" s="83">
        <f>'Raw Data'!BX50/10</f>
        <v>252.4</v>
      </c>
      <c r="BY49" s="83">
        <f>'Raw Data'!BY50/10</f>
        <v>251.1</v>
      </c>
      <c r="BZ49" s="83">
        <f>'Raw Data'!BZ50/10</f>
        <v>244.4</v>
      </c>
      <c r="CA49" s="83">
        <f>'Raw Data'!CA50/10</f>
        <v>237.6</v>
      </c>
      <c r="CB49" s="83">
        <f>'Raw Data'!CB50/10</f>
        <v>235.5</v>
      </c>
      <c r="CC49" s="83">
        <f>'Raw Data'!CC50/10</f>
        <v>226.9</v>
      </c>
      <c r="CD49" s="83">
        <f>'Raw Data'!CD50/10</f>
        <v>225.9</v>
      </c>
      <c r="CE49" s="83">
        <f>'Raw Data'!CE50/10</f>
        <v>224.8</v>
      </c>
      <c r="CF49" s="83">
        <f>'Raw Data'!CF50/10</f>
        <v>215.1</v>
      </c>
      <c r="CG49" s="83">
        <f>'Raw Data'!CG50/100</f>
        <v>197.3</v>
      </c>
      <c r="CH49" s="83">
        <f>'Raw Data'!CH50/100</f>
        <v>171.27</v>
      </c>
      <c r="CI49" s="83">
        <f>'Raw Data'!CI50/100</f>
        <v>150.65</v>
      </c>
      <c r="CJ49" s="83">
        <f>'Raw Data'!CJ50/100</f>
        <v>132.4</v>
      </c>
      <c r="CK49" s="83">
        <f>'Raw Data'!CK50/100</f>
        <v>119.63</v>
      </c>
      <c r="CL49" s="83">
        <f>'Raw Data'!CL50/100</f>
        <v>110.04</v>
      </c>
      <c r="CM49" s="83">
        <f>'Raw Data'!CM50/100</f>
        <v>98.8</v>
      </c>
      <c r="CN49" s="83">
        <f>'Raw Data'!CN50/100</f>
        <v>92.05</v>
      </c>
      <c r="CO49" s="83">
        <f>'Raw Data'!CO50/100</f>
        <v>85.77</v>
      </c>
      <c r="CP49" s="83">
        <f>'Raw Data'!CP50/100</f>
        <v>81.34</v>
      </c>
      <c r="CQ49" s="83">
        <f>'Raw Data'!CQ50/100</f>
        <v>76.08</v>
      </c>
      <c r="CR49" s="83">
        <f>'Raw Data'!CR50/100</f>
        <v>71.459999999999994</v>
      </c>
      <c r="CS49" s="83">
        <f>'Raw Data'!CS50/100</f>
        <v>68.78</v>
      </c>
      <c r="CT49" s="83">
        <f>'Raw Data'!CT50/100</f>
        <v>65.95</v>
      </c>
      <c r="CU49" s="382"/>
    </row>
    <row r="50" spans="4:99" s="86" customFormat="1" x14ac:dyDescent="0.2">
      <c r="D50" s="374"/>
      <c r="E50" s="164"/>
      <c r="F50" s="394"/>
      <c r="G50" s="83">
        <f>'Raw Data'!G51</f>
        <v>2838</v>
      </c>
      <c r="H50" s="83">
        <f>'Raw Data'!H51</f>
        <v>2789</v>
      </c>
      <c r="I50" s="83">
        <f>'Raw Data'!I51</f>
        <v>2772</v>
      </c>
      <c r="J50" s="83">
        <f>'Raw Data'!J51</f>
        <v>2744</v>
      </c>
      <c r="K50" s="83">
        <f>'Raw Data'!K51</f>
        <v>2727</v>
      </c>
      <c r="L50" s="83">
        <f>'Raw Data'!L51</f>
        <v>2788</v>
      </c>
      <c r="M50" s="83">
        <f>'Raw Data'!M51</f>
        <v>2813</v>
      </c>
      <c r="N50" s="83">
        <f>'Raw Data'!N51</f>
        <v>2747</v>
      </c>
      <c r="O50" s="83">
        <f>'Raw Data'!O51</f>
        <v>2744</v>
      </c>
      <c r="P50" s="83">
        <f>'Raw Data'!P51</f>
        <v>2681</v>
      </c>
      <c r="Q50" s="83">
        <f>'Raw Data'!Q51</f>
        <v>2675</v>
      </c>
      <c r="R50" s="83">
        <f>'Raw Data'!R51</f>
        <v>2660</v>
      </c>
      <c r="S50" s="83">
        <f>'Raw Data'!S51</f>
        <v>2625</v>
      </c>
      <c r="T50" s="83">
        <f>'Raw Data'!T51</f>
        <v>2717</v>
      </c>
      <c r="U50" s="83">
        <f>'Raw Data'!U51</f>
        <v>2617</v>
      </c>
      <c r="V50" s="83">
        <f>'Raw Data'!V51</f>
        <v>2815</v>
      </c>
      <c r="W50" s="83">
        <f>'Raw Data'!W51</f>
        <v>2633</v>
      </c>
      <c r="X50" s="83">
        <f>'Raw Data'!X51</f>
        <v>2563</v>
      </c>
      <c r="Y50" s="83">
        <f>'Raw Data'!Y51</f>
        <v>2566</v>
      </c>
      <c r="Z50" s="83">
        <f>'Raw Data'!Z51</f>
        <v>2596</v>
      </c>
      <c r="AA50" s="83">
        <f>'Raw Data'!AA51/10</f>
        <v>2535.1999999999998</v>
      </c>
      <c r="AB50" s="83">
        <f>'Raw Data'!AB51/10</f>
        <v>2412.6</v>
      </c>
      <c r="AC50" s="83">
        <f>'Raw Data'!AC51/10</f>
        <v>2291.4</v>
      </c>
      <c r="AD50" s="83">
        <f>'Raw Data'!AD51/10</f>
        <v>2160.9</v>
      </c>
      <c r="AE50" s="83">
        <f>'Raw Data'!AE51/10</f>
        <v>2075.5</v>
      </c>
      <c r="AF50" s="83">
        <f>'Raw Data'!AF51/10</f>
        <v>1945.5</v>
      </c>
      <c r="AG50" s="83">
        <f>'Raw Data'!AG51/10</f>
        <v>1855.2</v>
      </c>
      <c r="AH50" s="83">
        <f>'Raw Data'!AH51/10</f>
        <v>1761.5</v>
      </c>
      <c r="AI50" s="83">
        <f>'Raw Data'!AI51/10</f>
        <v>1679.4</v>
      </c>
      <c r="AJ50" s="83">
        <f>'Raw Data'!AJ51/10</f>
        <v>1625.2</v>
      </c>
      <c r="AK50" s="83">
        <f>'Raw Data'!AK51/10</f>
        <v>1523.1</v>
      </c>
      <c r="AL50" s="83">
        <f>'Raw Data'!AL51/10</f>
        <v>1462.1</v>
      </c>
      <c r="AM50" s="83">
        <f>'Raw Data'!AM51/10</f>
        <v>1406.1</v>
      </c>
      <c r="AN50" s="83">
        <f>'Raw Data'!AN51/10</f>
        <v>1355.2</v>
      </c>
      <c r="AO50" s="83">
        <f>'Raw Data'!AO51/10</f>
        <v>1288.0999999999999</v>
      </c>
      <c r="AP50" s="83">
        <f>'Raw Data'!AP51/10</f>
        <v>1231.3</v>
      </c>
      <c r="AQ50" s="83">
        <f>'Raw Data'!AQ51/10</f>
        <v>1202.9000000000001</v>
      </c>
      <c r="AR50" s="83">
        <f>'Raw Data'!AR51/10</f>
        <v>1161.2</v>
      </c>
      <c r="AS50" s="83">
        <f>'Raw Data'!AS51/10</f>
        <v>1104.5999999999999</v>
      </c>
      <c r="AT50" s="83">
        <f>'Raw Data'!AT51/10</f>
        <v>1072.2</v>
      </c>
      <c r="AU50" s="83">
        <f>'Raw Data'!AU51/10</f>
        <v>1027.9000000000001</v>
      </c>
      <c r="AV50" s="83">
        <f>'Raw Data'!AV51/10</f>
        <v>992.5</v>
      </c>
      <c r="AW50" s="83">
        <f>'Raw Data'!AW51/10</f>
        <v>961.5</v>
      </c>
      <c r="AX50" s="83">
        <f>'Raw Data'!AX51/10</f>
        <v>925.8</v>
      </c>
      <c r="AY50" s="83">
        <f>'Raw Data'!AY51/10</f>
        <v>892.5</v>
      </c>
      <c r="AZ50" s="83">
        <f>'Raw Data'!AZ51/10</f>
        <v>866.4</v>
      </c>
      <c r="BA50" s="83">
        <f>'Raw Data'!BA51/10</f>
        <v>824.6</v>
      </c>
      <c r="BB50" s="83">
        <f>'Raw Data'!BB51/10</f>
        <v>812</v>
      </c>
      <c r="BC50" s="83">
        <f>'Raw Data'!BC51/10</f>
        <v>796.2</v>
      </c>
      <c r="BD50" s="83">
        <f>'Raw Data'!BD51/10</f>
        <v>764.9</v>
      </c>
      <c r="BE50" s="83">
        <f>'Raw Data'!BE51/10</f>
        <v>736.3</v>
      </c>
      <c r="BF50" s="83">
        <f>'Raw Data'!BF51/10</f>
        <v>712.2</v>
      </c>
      <c r="BG50" s="83">
        <f>'Raw Data'!BG51/10</f>
        <v>696</v>
      </c>
      <c r="BH50" s="83">
        <f>'Raw Data'!BH51/10</f>
        <v>675.5</v>
      </c>
      <c r="BI50" s="83">
        <f>'Raw Data'!BI51/10</f>
        <v>667</v>
      </c>
      <c r="BJ50" s="83">
        <f>'Raw Data'!BJ51/10</f>
        <v>643.20000000000005</v>
      </c>
      <c r="BK50" s="83">
        <f>'Raw Data'!BK51/10</f>
        <v>620.4</v>
      </c>
      <c r="BL50" s="83">
        <f>'Raw Data'!BL51/10</f>
        <v>606.4</v>
      </c>
      <c r="BM50" s="83">
        <f>'Raw Data'!BM51/10</f>
        <v>599.20000000000005</v>
      </c>
      <c r="BN50" s="83">
        <f>'Raw Data'!BN51/10</f>
        <v>583.4</v>
      </c>
      <c r="BO50" s="83">
        <f>'Raw Data'!BO51/10</f>
        <v>559.5</v>
      </c>
      <c r="BP50" s="83">
        <f>'Raw Data'!BP51/10</f>
        <v>555.9</v>
      </c>
      <c r="BQ50" s="83">
        <f>'Raw Data'!BQ51/10</f>
        <v>543.9</v>
      </c>
      <c r="BR50" s="83">
        <f>'Raw Data'!BR51/10</f>
        <v>530.1</v>
      </c>
      <c r="BS50" s="83">
        <f>'Raw Data'!BS51/10</f>
        <v>516</v>
      </c>
      <c r="BT50" s="83">
        <f>'Raw Data'!BT51/10</f>
        <v>502.5</v>
      </c>
      <c r="BU50" s="83">
        <f>'Raw Data'!BU51/10</f>
        <v>493.5</v>
      </c>
      <c r="BV50" s="83">
        <f>'Raw Data'!BV51/10</f>
        <v>490.7</v>
      </c>
      <c r="BW50" s="83">
        <f>'Raw Data'!BW51/10</f>
        <v>474.5</v>
      </c>
      <c r="BX50" s="83">
        <f>'Raw Data'!BX51/10</f>
        <v>463.7</v>
      </c>
      <c r="BY50" s="83">
        <f>'Raw Data'!BY51/10</f>
        <v>458.2</v>
      </c>
      <c r="BZ50" s="83">
        <f>'Raw Data'!BZ51/10</f>
        <v>446.8</v>
      </c>
      <c r="CA50" s="83">
        <f>'Raw Data'!CA51/10</f>
        <v>428.6</v>
      </c>
      <c r="CB50" s="83">
        <f>'Raw Data'!CB51/10</f>
        <v>428</v>
      </c>
      <c r="CC50" s="83">
        <f>'Raw Data'!CC51/10</f>
        <v>415.9</v>
      </c>
      <c r="CD50" s="83">
        <f>'Raw Data'!CD51/10</f>
        <v>407.5</v>
      </c>
      <c r="CE50" s="83">
        <f>'Raw Data'!CE51/10</f>
        <v>406.4</v>
      </c>
      <c r="CF50" s="83">
        <f>'Raw Data'!CF51/10</f>
        <v>383.4</v>
      </c>
      <c r="CG50" s="83">
        <f>'Raw Data'!CG51/100</f>
        <v>354.24</v>
      </c>
      <c r="CH50" s="83">
        <f>'Raw Data'!CH51/100</f>
        <v>300.51</v>
      </c>
      <c r="CI50" s="83">
        <f>'Raw Data'!CI51/100</f>
        <v>260.27999999999997</v>
      </c>
      <c r="CJ50" s="83">
        <f>'Raw Data'!CJ51/100</f>
        <v>228.31</v>
      </c>
      <c r="CK50" s="83">
        <f>'Raw Data'!CK51/100</f>
        <v>203.06</v>
      </c>
      <c r="CL50" s="83">
        <f>'Raw Data'!CL51/100</f>
        <v>184.74</v>
      </c>
      <c r="CM50" s="83">
        <f>'Raw Data'!CM51/100</f>
        <v>166.24</v>
      </c>
      <c r="CN50" s="83">
        <f>'Raw Data'!CN51/100</f>
        <v>152.01</v>
      </c>
      <c r="CO50" s="83">
        <f>'Raw Data'!CO51/100</f>
        <v>142.08000000000001</v>
      </c>
      <c r="CP50" s="83">
        <f>'Raw Data'!CP51/100</f>
        <v>131.85</v>
      </c>
      <c r="CQ50" s="83">
        <f>'Raw Data'!CQ51/100</f>
        <v>121.5</v>
      </c>
      <c r="CR50" s="83">
        <f>'Raw Data'!CR51/100</f>
        <v>114.37</v>
      </c>
      <c r="CS50" s="83">
        <f>'Raw Data'!CS51/100</f>
        <v>109.53</v>
      </c>
      <c r="CT50" s="83">
        <f>'Raw Data'!CT51/100</f>
        <v>102.81</v>
      </c>
      <c r="CU50" s="382"/>
    </row>
    <row r="51" spans="4:99" s="86" customFormat="1" x14ac:dyDescent="0.2">
      <c r="D51" s="374"/>
      <c r="E51" s="381"/>
      <c r="F51" s="395"/>
      <c r="G51" s="83">
        <f>'Raw Data'!G52</f>
        <v>1462</v>
      </c>
      <c r="H51" s="83">
        <f>'Raw Data'!H52</f>
        <v>1484</v>
      </c>
      <c r="I51" s="83">
        <f>'Raw Data'!I52</f>
        <v>1520</v>
      </c>
      <c r="J51" s="83">
        <f>'Raw Data'!J52</f>
        <v>1426</v>
      </c>
      <c r="K51" s="83">
        <f>'Raw Data'!K52</f>
        <v>1442</v>
      </c>
      <c r="L51" s="83">
        <f>'Raw Data'!L52</f>
        <v>1494</v>
      </c>
      <c r="M51" s="83">
        <f>'Raw Data'!M52</f>
        <v>1410</v>
      </c>
      <c r="N51" s="83">
        <f>'Raw Data'!N52</f>
        <v>1405</v>
      </c>
      <c r="O51" s="83">
        <f>'Raw Data'!O52</f>
        <v>1458</v>
      </c>
      <c r="P51" s="83">
        <f>'Raw Data'!P52</f>
        <v>1411</v>
      </c>
      <c r="Q51" s="83">
        <f>'Raw Data'!Q52</f>
        <v>1410</v>
      </c>
      <c r="R51" s="83">
        <f>'Raw Data'!R52</f>
        <v>1431</v>
      </c>
      <c r="S51" s="83">
        <f>'Raw Data'!S52</f>
        <v>1410</v>
      </c>
      <c r="T51" s="83">
        <f>'Raw Data'!T52</f>
        <v>1448</v>
      </c>
      <c r="U51" s="83">
        <f>'Raw Data'!U52</f>
        <v>1371</v>
      </c>
      <c r="V51" s="83">
        <f>'Raw Data'!V52</f>
        <v>1354</v>
      </c>
      <c r="W51" s="83">
        <f>'Raw Data'!W52</f>
        <v>1376</v>
      </c>
      <c r="X51" s="83">
        <f>'Raw Data'!X52</f>
        <v>1378</v>
      </c>
      <c r="Y51" s="83">
        <f>'Raw Data'!Y52</f>
        <v>1377</v>
      </c>
      <c r="Z51" s="83">
        <f>'Raw Data'!Z52</f>
        <v>1373</v>
      </c>
      <c r="AA51" s="83">
        <f>'Raw Data'!AA52/10</f>
        <v>1358.3</v>
      </c>
      <c r="AB51" s="83">
        <f>'Raw Data'!AB52/10</f>
        <v>1310.7</v>
      </c>
      <c r="AC51" s="83">
        <f>'Raw Data'!AC52/10</f>
        <v>1240.7</v>
      </c>
      <c r="AD51" s="83">
        <f>'Raw Data'!AD52/10</f>
        <v>1172.9000000000001</v>
      </c>
      <c r="AE51" s="83">
        <f>'Raw Data'!AE52/10</f>
        <v>1116.0999999999999</v>
      </c>
      <c r="AF51" s="83">
        <f>'Raw Data'!AF52/10</f>
        <v>1074.9000000000001</v>
      </c>
      <c r="AG51" s="83">
        <f>'Raw Data'!AG52/10</f>
        <v>1028.0999999999999</v>
      </c>
      <c r="AH51" s="83">
        <f>'Raw Data'!AH52/10</f>
        <v>982.2</v>
      </c>
      <c r="AI51" s="83">
        <f>'Raw Data'!AI52/10</f>
        <v>924.2</v>
      </c>
      <c r="AJ51" s="83">
        <f>'Raw Data'!AJ52/10</f>
        <v>898.1</v>
      </c>
      <c r="AK51" s="83">
        <f>'Raw Data'!AK52/10</f>
        <v>854.9</v>
      </c>
      <c r="AL51" s="83">
        <f>'Raw Data'!AL52/10</f>
        <v>812.2</v>
      </c>
      <c r="AM51" s="83">
        <f>'Raw Data'!AM52/10</f>
        <v>793.3</v>
      </c>
      <c r="AN51" s="83">
        <f>'Raw Data'!AN52/10</f>
        <v>735.1</v>
      </c>
      <c r="AO51" s="83">
        <f>'Raw Data'!AO52/10</f>
        <v>731.7</v>
      </c>
      <c r="AP51" s="83">
        <f>'Raw Data'!AP52/10</f>
        <v>696.5</v>
      </c>
      <c r="AQ51" s="83">
        <f>'Raw Data'!AQ52/10</f>
        <v>682.8</v>
      </c>
      <c r="AR51" s="83">
        <f>'Raw Data'!AR52/10</f>
        <v>642.29999999999995</v>
      </c>
      <c r="AS51" s="83">
        <f>'Raw Data'!AS52/10</f>
        <v>624.9</v>
      </c>
      <c r="AT51" s="83">
        <f>'Raw Data'!AT52/10</f>
        <v>603.20000000000005</v>
      </c>
      <c r="AU51" s="83">
        <f>'Raw Data'!AU52/10</f>
        <v>585.70000000000005</v>
      </c>
      <c r="AV51" s="83">
        <f>'Raw Data'!AV52/10</f>
        <v>566.6</v>
      </c>
      <c r="AW51" s="83">
        <f>'Raw Data'!AW52/10</f>
        <v>553.29999999999995</v>
      </c>
      <c r="AX51" s="83">
        <f>'Raw Data'!AX52/10</f>
        <v>546.4</v>
      </c>
      <c r="AY51" s="83">
        <f>'Raw Data'!AY52/10</f>
        <v>515.9</v>
      </c>
      <c r="AZ51" s="83">
        <f>'Raw Data'!AZ52/10</f>
        <v>503.3</v>
      </c>
      <c r="BA51" s="83">
        <f>'Raw Data'!BA52/10</f>
        <v>499.4</v>
      </c>
      <c r="BB51" s="83">
        <f>'Raw Data'!BB52/10</f>
        <v>478.1</v>
      </c>
      <c r="BC51" s="83">
        <f>'Raw Data'!BC52/10</f>
        <v>464.9</v>
      </c>
      <c r="BD51" s="83">
        <f>'Raw Data'!BD52/10</f>
        <v>456.3</v>
      </c>
      <c r="BE51" s="83">
        <f>'Raw Data'!BE52/10</f>
        <v>435.6</v>
      </c>
      <c r="BF51" s="83">
        <f>'Raw Data'!BF52/10</f>
        <v>417.1</v>
      </c>
      <c r="BG51" s="83">
        <f>'Raw Data'!BG52/10</f>
        <v>423.1</v>
      </c>
      <c r="BH51" s="83">
        <f>'Raw Data'!BH52/10</f>
        <v>411.9</v>
      </c>
      <c r="BI51" s="83">
        <f>'Raw Data'!BI52/10</f>
        <v>403</v>
      </c>
      <c r="BJ51" s="83">
        <f>'Raw Data'!BJ52/10</f>
        <v>382.8</v>
      </c>
      <c r="BK51" s="83">
        <f>'Raw Data'!BK52/10</f>
        <v>378</v>
      </c>
      <c r="BL51" s="83">
        <f>'Raw Data'!BL52/10</f>
        <v>373.3</v>
      </c>
      <c r="BM51" s="83">
        <f>'Raw Data'!BM52/10</f>
        <v>362.7</v>
      </c>
      <c r="BN51" s="83">
        <f>'Raw Data'!BN52/10</f>
        <v>352.8</v>
      </c>
      <c r="BO51" s="83">
        <f>'Raw Data'!BO52/10</f>
        <v>347.4</v>
      </c>
      <c r="BP51" s="83">
        <f>'Raw Data'!BP52/10</f>
        <v>345.2</v>
      </c>
      <c r="BQ51" s="83">
        <f>'Raw Data'!BQ52/10</f>
        <v>329.3</v>
      </c>
      <c r="BR51" s="83">
        <f>'Raw Data'!BR52/10</f>
        <v>328.4</v>
      </c>
      <c r="BS51" s="83">
        <f>'Raw Data'!BS52/10</f>
        <v>321</v>
      </c>
      <c r="BT51" s="83">
        <f>'Raw Data'!BT52/10</f>
        <v>311.39999999999998</v>
      </c>
      <c r="BU51" s="83">
        <f>'Raw Data'!BU52/10</f>
        <v>311.8</v>
      </c>
      <c r="BV51" s="83">
        <f>'Raw Data'!BV52/10</f>
        <v>305.5</v>
      </c>
      <c r="BW51" s="83">
        <f>'Raw Data'!BW52/10</f>
        <v>291.10000000000002</v>
      </c>
      <c r="BX51" s="83">
        <f>'Raw Data'!BX52/10</f>
        <v>289.39999999999998</v>
      </c>
      <c r="BY51" s="83">
        <f>'Raw Data'!BY52/10</f>
        <v>288.3</v>
      </c>
      <c r="BZ51" s="83">
        <f>'Raw Data'!BZ52/10</f>
        <v>277</v>
      </c>
      <c r="CA51" s="83">
        <f>'Raw Data'!CA52/10</f>
        <v>278.39999999999998</v>
      </c>
      <c r="CB51" s="83">
        <f>'Raw Data'!CB52/10</f>
        <v>264.89999999999998</v>
      </c>
      <c r="CC51" s="83">
        <f>'Raw Data'!CC52/10</f>
        <v>263.60000000000002</v>
      </c>
      <c r="CD51" s="83">
        <f>'Raw Data'!CD52/10</f>
        <v>262.3</v>
      </c>
      <c r="CE51" s="83">
        <f>'Raw Data'!CE52/10</f>
        <v>253.2</v>
      </c>
      <c r="CF51" s="83">
        <f>'Raw Data'!CF52/10</f>
        <v>251.3</v>
      </c>
      <c r="CG51" s="83">
        <f>'Raw Data'!CG52/100</f>
        <v>235.51</v>
      </c>
      <c r="CH51" s="83">
        <f>'Raw Data'!CH52/100</f>
        <v>202.54</v>
      </c>
      <c r="CI51" s="83">
        <f>'Raw Data'!CI52/100</f>
        <v>181.04</v>
      </c>
      <c r="CJ51" s="83">
        <f>'Raw Data'!CJ52/100</f>
        <v>161.02000000000001</v>
      </c>
      <c r="CK51" s="83">
        <f>'Raw Data'!CK52/100</f>
        <v>148.56</v>
      </c>
      <c r="CL51" s="83">
        <f>'Raw Data'!CL52/100</f>
        <v>136.55000000000001</v>
      </c>
      <c r="CM51" s="83">
        <f>'Raw Data'!CM52/100</f>
        <v>125.8</v>
      </c>
      <c r="CN51" s="83">
        <f>'Raw Data'!CN52/100</f>
        <v>118.15</v>
      </c>
      <c r="CO51" s="83">
        <f>'Raw Data'!CO52/100</f>
        <v>110.12</v>
      </c>
      <c r="CP51" s="83">
        <f>'Raw Data'!CP52/100</f>
        <v>104.73</v>
      </c>
      <c r="CQ51" s="83">
        <f>'Raw Data'!CQ52/100</f>
        <v>99.64</v>
      </c>
      <c r="CR51" s="83">
        <f>'Raw Data'!CR52/100</f>
        <v>93.24</v>
      </c>
      <c r="CS51" s="83">
        <f>'Raw Data'!CS52/100</f>
        <v>89.12</v>
      </c>
      <c r="CT51" s="83">
        <f>'Raw Data'!CT52/100</f>
        <v>85.19</v>
      </c>
      <c r="CU51" s="382"/>
    </row>
    <row r="52" spans="4:99" s="86" customFormat="1" x14ac:dyDescent="0.2">
      <c r="D52" s="346"/>
      <c r="E52" s="164"/>
      <c r="F52" s="394"/>
      <c r="G52" s="85">
        <f>'Raw Data'!G53</f>
        <v>28</v>
      </c>
      <c r="H52" s="85">
        <f>'Raw Data'!H53</f>
        <v>31</v>
      </c>
      <c r="I52" s="85">
        <f>'Raw Data'!I53</f>
        <v>30</v>
      </c>
      <c r="J52" s="85">
        <f>'Raw Data'!J53</f>
        <v>29</v>
      </c>
      <c r="K52" s="85">
        <f>'Raw Data'!K53</f>
        <v>24</v>
      </c>
      <c r="L52" s="85">
        <f>'Raw Data'!L53</f>
        <v>31</v>
      </c>
      <c r="M52" s="85">
        <f>'Raw Data'!M53</f>
        <v>26</v>
      </c>
      <c r="N52" s="85">
        <f>'Raw Data'!N53</f>
        <v>27</v>
      </c>
      <c r="O52" s="85">
        <f>'Raw Data'!O53</f>
        <v>31</v>
      </c>
      <c r="P52" s="85">
        <f>'Raw Data'!P53</f>
        <v>26</v>
      </c>
      <c r="Q52" s="85">
        <f>'Raw Data'!Q53</f>
        <v>36</v>
      </c>
      <c r="R52" s="85">
        <f>'Raw Data'!R53</f>
        <v>28</v>
      </c>
      <c r="S52" s="85">
        <f>'Raw Data'!S53</f>
        <v>32</v>
      </c>
      <c r="T52" s="85">
        <f>'Raw Data'!T53</f>
        <v>33</v>
      </c>
      <c r="U52" s="85">
        <f>'Raw Data'!U53</f>
        <v>34</v>
      </c>
      <c r="V52" s="85">
        <f>'Raw Data'!V53</f>
        <v>31</v>
      </c>
      <c r="W52" s="85">
        <f>'Raw Data'!W53</f>
        <v>37</v>
      </c>
      <c r="X52" s="85">
        <f>'Raw Data'!X53</f>
        <v>37</v>
      </c>
      <c r="Y52" s="85">
        <f>'Raw Data'!Y53</f>
        <v>27</v>
      </c>
      <c r="Z52" s="85">
        <f>'Raw Data'!Z53</f>
        <v>30</v>
      </c>
      <c r="AA52" s="85">
        <f>'Raw Data'!AA53/10</f>
        <v>30.6</v>
      </c>
      <c r="AB52" s="85">
        <f>'Raw Data'!AB53/10</f>
        <v>29.4</v>
      </c>
      <c r="AC52" s="85">
        <f>'Raw Data'!AC53/10</f>
        <v>30.8</v>
      </c>
      <c r="AD52" s="85">
        <f>'Raw Data'!AD53/10</f>
        <v>28.9</v>
      </c>
      <c r="AE52" s="85">
        <f>'Raw Data'!AE53/10</f>
        <v>31.2</v>
      </c>
      <c r="AF52" s="85">
        <f>'Raw Data'!AF53/10</f>
        <v>30.3</v>
      </c>
      <c r="AG52" s="85">
        <f>'Raw Data'!AG53/10</f>
        <v>30.7</v>
      </c>
      <c r="AH52" s="85">
        <f>'Raw Data'!AH53/10</f>
        <v>29.9</v>
      </c>
      <c r="AI52" s="85">
        <f>'Raw Data'!AI53/10</f>
        <v>26.9</v>
      </c>
      <c r="AJ52" s="85">
        <f>'Raw Data'!AJ53/10</f>
        <v>29</v>
      </c>
      <c r="AK52" s="85">
        <f>'Raw Data'!AK53/10</f>
        <v>26.3</v>
      </c>
      <c r="AL52" s="85">
        <f>'Raw Data'!AL53/10</f>
        <v>25.9</v>
      </c>
      <c r="AM52" s="85">
        <f>'Raw Data'!AM53/10</f>
        <v>26.7</v>
      </c>
      <c r="AN52" s="85">
        <f>'Raw Data'!AN53/10</f>
        <v>28.2</v>
      </c>
      <c r="AO52" s="85">
        <f>'Raw Data'!AO53/10</f>
        <v>28.6</v>
      </c>
      <c r="AP52" s="85">
        <f>'Raw Data'!AP53/10</f>
        <v>29.4</v>
      </c>
      <c r="AQ52" s="85">
        <f>'Raw Data'!AQ53/10</f>
        <v>28.8</v>
      </c>
      <c r="AR52" s="85">
        <f>'Raw Data'!AR53/10</f>
        <v>27.4</v>
      </c>
      <c r="AS52" s="85">
        <f>'Raw Data'!AS53/10</f>
        <v>28</v>
      </c>
      <c r="AT52" s="85">
        <f>'Raw Data'!AT53/10</f>
        <v>26.1</v>
      </c>
      <c r="AU52" s="85">
        <f>'Raw Data'!AU53/10</f>
        <v>27.3</v>
      </c>
      <c r="AV52" s="85">
        <f>'Raw Data'!AV53/10</f>
        <v>26.5</v>
      </c>
      <c r="AW52" s="85">
        <f>'Raw Data'!AW53/10</f>
        <v>25.2</v>
      </c>
      <c r="AX52" s="85">
        <f>'Raw Data'!AX53/10</f>
        <v>25</v>
      </c>
      <c r="AY52" s="85">
        <f>'Raw Data'!AY53/10</f>
        <v>24.5</v>
      </c>
      <c r="AZ52" s="85">
        <f>'Raw Data'!AZ53/10</f>
        <v>26</v>
      </c>
      <c r="BA52" s="85">
        <f>'Raw Data'!BA53/10</f>
        <v>26.4</v>
      </c>
      <c r="BB52" s="85">
        <f>'Raw Data'!BB53/10</f>
        <v>23.7</v>
      </c>
      <c r="BC52" s="85">
        <f>'Raw Data'!BC53/10</f>
        <v>25.4</v>
      </c>
      <c r="BD52" s="85">
        <f>'Raw Data'!BD53/10</f>
        <v>27.2</v>
      </c>
      <c r="BE52" s="85">
        <f>'Raw Data'!BE53/10</f>
        <v>24.7</v>
      </c>
      <c r="BF52" s="85">
        <f>'Raw Data'!BF53/10</f>
        <v>25.5</v>
      </c>
      <c r="BG52" s="85">
        <f>'Raw Data'!BG53/10</f>
        <v>22.7</v>
      </c>
      <c r="BH52" s="85">
        <f>'Raw Data'!BH53/10</f>
        <v>24.7</v>
      </c>
      <c r="BI52" s="85">
        <f>'Raw Data'!BI53/10</f>
        <v>22.4</v>
      </c>
      <c r="BJ52" s="85">
        <f>'Raw Data'!BJ53/10</f>
        <v>24.8</v>
      </c>
      <c r="BK52" s="85">
        <f>'Raw Data'!BK53/10</f>
        <v>21.8</v>
      </c>
      <c r="BL52" s="85">
        <f>'Raw Data'!BL53/10</f>
        <v>23.5</v>
      </c>
      <c r="BM52" s="85">
        <f>'Raw Data'!BM53/10</f>
        <v>23</v>
      </c>
      <c r="BN52" s="85">
        <f>'Raw Data'!BN53/10</f>
        <v>23.3</v>
      </c>
      <c r="BO52" s="85">
        <f>'Raw Data'!BO53/10</f>
        <v>24.8</v>
      </c>
      <c r="BP52" s="85">
        <f>'Raw Data'!BP53/10</f>
        <v>25.2</v>
      </c>
      <c r="BQ52" s="85">
        <f>'Raw Data'!BQ53/10</f>
        <v>22.4</v>
      </c>
      <c r="BR52" s="85">
        <f>'Raw Data'!BR53/10</f>
        <v>23</v>
      </c>
      <c r="BS52" s="85">
        <f>'Raw Data'!BS53/10</f>
        <v>24.8</v>
      </c>
      <c r="BT52" s="85">
        <f>'Raw Data'!BT53/10</f>
        <v>22.3</v>
      </c>
      <c r="BU52" s="85">
        <f>'Raw Data'!BU53/10</f>
        <v>24.9</v>
      </c>
      <c r="BV52" s="85">
        <f>'Raw Data'!BV53/10</f>
        <v>22.9</v>
      </c>
      <c r="BW52" s="85">
        <f>'Raw Data'!BW53/10</f>
        <v>22.3</v>
      </c>
      <c r="BX52" s="85">
        <f>'Raw Data'!BX53/10</f>
        <v>21.8</v>
      </c>
      <c r="BY52" s="85">
        <f>'Raw Data'!BY53/10</f>
        <v>23.2</v>
      </c>
      <c r="BZ52" s="85">
        <f>'Raw Data'!BZ53/10</f>
        <v>23.6</v>
      </c>
      <c r="CA52" s="85">
        <f>'Raw Data'!CA53/10</f>
        <v>20.399999999999999</v>
      </c>
      <c r="CB52" s="85">
        <f>'Raw Data'!CB53/10</f>
        <v>21</v>
      </c>
      <c r="CC52" s="85">
        <f>'Raw Data'!CC53/10</f>
        <v>23.4</v>
      </c>
      <c r="CD52" s="85">
        <f>'Raw Data'!CD53/10</f>
        <v>22</v>
      </c>
      <c r="CE52" s="85">
        <f>'Raw Data'!CE53/10</f>
        <v>24</v>
      </c>
      <c r="CF52" s="85">
        <f>'Raw Data'!CF53/10</f>
        <v>21.7</v>
      </c>
      <c r="CG52" s="85">
        <f>'Raw Data'!CG53/100</f>
        <v>21.63</v>
      </c>
      <c r="CH52" s="85">
        <f>'Raw Data'!CH53/100</f>
        <v>21.58</v>
      </c>
      <c r="CI52" s="85">
        <f>'Raw Data'!CI53/100</f>
        <v>20.74</v>
      </c>
      <c r="CJ52" s="85">
        <f>'Raw Data'!CJ53/100</f>
        <v>20.95</v>
      </c>
      <c r="CK52" s="85">
        <f>'Raw Data'!CK53/100</f>
        <v>20.65</v>
      </c>
      <c r="CL52" s="85">
        <f>'Raw Data'!CL53/100</f>
        <v>19.920000000000002</v>
      </c>
      <c r="CM52" s="85">
        <f>'Raw Data'!CM53/100</f>
        <v>19.149999999999999</v>
      </c>
      <c r="CN52" s="85">
        <f>'Raw Data'!CN53/100</f>
        <v>19.78</v>
      </c>
      <c r="CO52" s="85">
        <f>'Raw Data'!CO53/100</f>
        <v>19.47</v>
      </c>
      <c r="CP52" s="85">
        <f>'Raw Data'!CP53/100</f>
        <v>19.239999999999998</v>
      </c>
      <c r="CQ52" s="85">
        <f>'Raw Data'!CQ53/100</f>
        <v>19.14</v>
      </c>
      <c r="CR52" s="85">
        <f>'Raw Data'!CR53/100</f>
        <v>18.579999999999998</v>
      </c>
      <c r="CS52" s="85">
        <f>'Raw Data'!CS53/100</f>
        <v>18.420000000000002</v>
      </c>
      <c r="CT52" s="85">
        <f>'Raw Data'!CT53/100</f>
        <v>18.25</v>
      </c>
      <c r="CU52" s="382"/>
    </row>
    <row r="53" spans="4:99" s="86" customFormat="1" x14ac:dyDescent="0.2">
      <c r="D53" s="348"/>
      <c r="E53" s="164"/>
      <c r="F53" s="394"/>
      <c r="G53" s="86">
        <f>'Raw Data'!G54</f>
        <v>23</v>
      </c>
      <c r="H53" s="86">
        <f>'Raw Data'!H54</f>
        <v>25</v>
      </c>
      <c r="I53" s="86">
        <f>'Raw Data'!I54</f>
        <v>22</v>
      </c>
      <c r="J53" s="86">
        <f>'Raw Data'!J54</f>
        <v>22</v>
      </c>
      <c r="K53" s="86">
        <f>'Raw Data'!K54</f>
        <v>30</v>
      </c>
      <c r="L53" s="86">
        <f>'Raw Data'!L54</f>
        <v>27</v>
      </c>
      <c r="M53" s="86">
        <f>'Raw Data'!M54</f>
        <v>27</v>
      </c>
      <c r="N53" s="86">
        <f>'Raw Data'!N54</f>
        <v>31</v>
      </c>
      <c r="O53" s="86">
        <f>'Raw Data'!O54</f>
        <v>25</v>
      </c>
      <c r="P53" s="86">
        <f>'Raw Data'!P54</f>
        <v>27</v>
      </c>
      <c r="Q53" s="86">
        <f>'Raw Data'!Q54</f>
        <v>29</v>
      </c>
      <c r="R53" s="86">
        <f>'Raw Data'!R54</f>
        <v>24</v>
      </c>
      <c r="S53" s="86">
        <f>'Raw Data'!S54</f>
        <v>28</v>
      </c>
      <c r="T53" s="86">
        <f>'Raw Data'!T54</f>
        <v>23</v>
      </c>
      <c r="U53" s="86">
        <f>'Raw Data'!U54</f>
        <v>22</v>
      </c>
      <c r="V53" s="86">
        <f>'Raw Data'!V54</f>
        <v>21</v>
      </c>
      <c r="W53" s="86">
        <f>'Raw Data'!W54</f>
        <v>25</v>
      </c>
      <c r="X53" s="86">
        <f>'Raw Data'!X54</f>
        <v>25</v>
      </c>
      <c r="Y53" s="86">
        <f>'Raw Data'!Y54</f>
        <v>26</v>
      </c>
      <c r="Z53" s="86">
        <f>'Raw Data'!Z54</f>
        <v>26</v>
      </c>
      <c r="AA53" s="86">
        <f>'Raw Data'!AA54/10</f>
        <v>25.1</v>
      </c>
      <c r="AB53" s="86">
        <f>'Raw Data'!AB54/10</f>
        <v>24.4</v>
      </c>
      <c r="AC53" s="86">
        <f>'Raw Data'!AC54/10</f>
        <v>23.6</v>
      </c>
      <c r="AD53" s="86">
        <f>'Raw Data'!AD54/10</f>
        <v>26.3</v>
      </c>
      <c r="AE53" s="86">
        <f>'Raw Data'!AE54/10</f>
        <v>24.7</v>
      </c>
      <c r="AF53" s="86">
        <f>'Raw Data'!AF54/10</f>
        <v>24.7</v>
      </c>
      <c r="AG53" s="86">
        <f>'Raw Data'!AG54/10</f>
        <v>22.7</v>
      </c>
      <c r="AH53" s="86">
        <f>'Raw Data'!AH54/10</f>
        <v>22.2</v>
      </c>
      <c r="AI53" s="86">
        <f>'Raw Data'!AI54/10</f>
        <v>23</v>
      </c>
      <c r="AJ53" s="86">
        <f>'Raw Data'!AJ54/10</f>
        <v>21.7</v>
      </c>
      <c r="AK53" s="86">
        <f>'Raw Data'!AK54/10</f>
        <v>20.7</v>
      </c>
      <c r="AL53" s="86">
        <f>'Raw Data'!AL54/10</f>
        <v>22.8</v>
      </c>
      <c r="AM53" s="86">
        <f>'Raw Data'!AM54/10</f>
        <v>22.4</v>
      </c>
      <c r="AN53" s="86">
        <f>'Raw Data'!AN54/10</f>
        <v>22</v>
      </c>
      <c r="AO53" s="86">
        <f>'Raw Data'!AO54/10</f>
        <v>19.600000000000001</v>
      </c>
      <c r="AP53" s="86">
        <f>'Raw Data'!AP54/10</f>
        <v>20.5</v>
      </c>
      <c r="AQ53" s="86">
        <f>'Raw Data'!AQ54/10</f>
        <v>21.6</v>
      </c>
      <c r="AR53" s="86">
        <f>'Raw Data'!AR54/10</f>
        <v>19.2</v>
      </c>
      <c r="AS53" s="86">
        <f>'Raw Data'!AS54/10</f>
        <v>20</v>
      </c>
      <c r="AT53" s="86">
        <f>'Raw Data'!AT54/10</f>
        <v>20</v>
      </c>
      <c r="AU53" s="86">
        <f>'Raw Data'!AU54/10</f>
        <v>19.600000000000001</v>
      </c>
      <c r="AV53" s="86">
        <f>'Raw Data'!AV54/10</f>
        <v>20.8</v>
      </c>
      <c r="AW53" s="86">
        <f>'Raw Data'!AW54/10</f>
        <v>18</v>
      </c>
      <c r="AX53" s="86">
        <f>'Raw Data'!AX54/10</f>
        <v>19</v>
      </c>
      <c r="AY53" s="86">
        <f>'Raw Data'!AY54/10</f>
        <v>18.399999999999999</v>
      </c>
      <c r="AZ53" s="86">
        <f>'Raw Data'!AZ54/10</f>
        <v>20.5</v>
      </c>
      <c r="BA53" s="86">
        <f>'Raw Data'!BA54/10</f>
        <v>19</v>
      </c>
      <c r="BB53" s="86">
        <f>'Raw Data'!BB54/10</f>
        <v>19.600000000000001</v>
      </c>
      <c r="BC53" s="86">
        <f>'Raw Data'!BC54/10</f>
        <v>18.2</v>
      </c>
      <c r="BD53" s="86">
        <f>'Raw Data'!BD54/10</f>
        <v>16.5</v>
      </c>
      <c r="BE53" s="86">
        <f>'Raw Data'!BE54/10</f>
        <v>19.7</v>
      </c>
      <c r="BF53" s="86">
        <f>'Raw Data'!BF54/10</f>
        <v>17.3</v>
      </c>
      <c r="BG53" s="86">
        <f>'Raw Data'!BG54/10</f>
        <v>17.7</v>
      </c>
      <c r="BH53" s="86">
        <f>'Raw Data'!BH54/10</f>
        <v>18.3</v>
      </c>
      <c r="BI53" s="86">
        <f>'Raw Data'!BI54/10</f>
        <v>17.2</v>
      </c>
      <c r="BJ53" s="86">
        <f>'Raw Data'!BJ54/10</f>
        <v>18.899999999999999</v>
      </c>
      <c r="BK53" s="86">
        <f>'Raw Data'!BK54/10</f>
        <v>18.7</v>
      </c>
      <c r="BL53" s="86">
        <f>'Raw Data'!BL54/10</f>
        <v>16.600000000000001</v>
      </c>
      <c r="BM53" s="86">
        <f>'Raw Data'!BM54/10</f>
        <v>17.2</v>
      </c>
      <c r="BN53" s="86">
        <f>'Raw Data'!BN54/10</f>
        <v>16.7</v>
      </c>
      <c r="BO53" s="86">
        <f>'Raw Data'!BO54/10</f>
        <v>18.5</v>
      </c>
      <c r="BP53" s="86">
        <f>'Raw Data'!BP54/10</f>
        <v>18.3</v>
      </c>
      <c r="BQ53" s="86">
        <f>'Raw Data'!BQ54/10</f>
        <v>17.2</v>
      </c>
      <c r="BR53" s="86">
        <f>'Raw Data'!BR54/10</f>
        <v>17.100000000000001</v>
      </c>
      <c r="BS53" s="86">
        <f>'Raw Data'!BS54/10</f>
        <v>16.3</v>
      </c>
      <c r="BT53" s="86">
        <f>'Raw Data'!BT54/10</f>
        <v>17.7</v>
      </c>
      <c r="BU53" s="86">
        <f>'Raw Data'!BU54/10</f>
        <v>16.5</v>
      </c>
      <c r="BV53" s="86">
        <f>'Raw Data'!BV54/10</f>
        <v>17</v>
      </c>
      <c r="BW53" s="86">
        <f>'Raw Data'!BW54/10</f>
        <v>16.5</v>
      </c>
      <c r="BX53" s="86">
        <f>'Raw Data'!BX54/10</f>
        <v>17.899999999999999</v>
      </c>
      <c r="BY53" s="86">
        <f>'Raw Data'!BY54/10</f>
        <v>17</v>
      </c>
      <c r="BZ53" s="86">
        <f>'Raw Data'!BZ54/10</f>
        <v>18.399999999999999</v>
      </c>
      <c r="CA53" s="86">
        <f>'Raw Data'!CA54/10</f>
        <v>16.399999999999999</v>
      </c>
      <c r="CB53" s="86">
        <f>'Raw Data'!CB54/10</f>
        <v>16.2</v>
      </c>
      <c r="CC53" s="86">
        <f>'Raw Data'!CC54/10</f>
        <v>16.5</v>
      </c>
      <c r="CD53" s="86">
        <f>'Raw Data'!CD54/10</f>
        <v>16.899999999999999</v>
      </c>
      <c r="CE53" s="86">
        <f>'Raw Data'!CE54/10</f>
        <v>16.399999999999999</v>
      </c>
      <c r="CF53" s="86">
        <f>'Raw Data'!CF54/10</f>
        <v>16.5</v>
      </c>
      <c r="CG53" s="86">
        <f>'Raw Data'!CG54/100</f>
        <v>15.87</v>
      </c>
      <c r="CH53" s="86">
        <f>'Raw Data'!CH54/100</f>
        <v>15.33</v>
      </c>
      <c r="CI53" s="86">
        <f>'Raw Data'!CI54/100</f>
        <v>14.67</v>
      </c>
      <c r="CJ53" s="86">
        <f>'Raw Data'!CJ54/100</f>
        <v>14.75</v>
      </c>
      <c r="CK53" s="86">
        <f>'Raw Data'!CK54/100</f>
        <v>14.32</v>
      </c>
      <c r="CL53" s="86">
        <f>'Raw Data'!CL54/100</f>
        <v>14.88</v>
      </c>
      <c r="CM53" s="86">
        <f>'Raw Data'!CM54/100</f>
        <v>14.61</v>
      </c>
      <c r="CN53" s="86">
        <f>'Raw Data'!CN54/100</f>
        <v>14.22</v>
      </c>
      <c r="CO53" s="86">
        <f>'Raw Data'!CO54/100</f>
        <v>13.82</v>
      </c>
      <c r="CP53" s="86">
        <f>'Raw Data'!CP54/100</f>
        <v>13.76</v>
      </c>
      <c r="CQ53" s="86">
        <f>'Raw Data'!CQ54/100</f>
        <v>13.5</v>
      </c>
      <c r="CR53" s="86">
        <f>'Raw Data'!CR54/100</f>
        <v>13.31</v>
      </c>
      <c r="CS53" s="86">
        <f>'Raw Data'!CS54/100</f>
        <v>13.05</v>
      </c>
      <c r="CT53" s="86">
        <f>'Raw Data'!CT54/100</f>
        <v>13.39</v>
      </c>
      <c r="CU53" s="382"/>
    </row>
    <row r="54" spans="4:99" s="86" customFormat="1" x14ac:dyDescent="0.2">
      <c r="D54" s="348"/>
      <c r="E54" s="164"/>
      <c r="F54" s="394"/>
      <c r="G54" s="86">
        <f>'Raw Data'!G55</f>
        <v>23</v>
      </c>
      <c r="H54" s="86">
        <f>'Raw Data'!H55</f>
        <v>15</v>
      </c>
      <c r="I54" s="86">
        <f>'Raw Data'!I55</f>
        <v>18</v>
      </c>
      <c r="J54" s="86">
        <f>'Raw Data'!J55</f>
        <v>19</v>
      </c>
      <c r="K54" s="86">
        <f>'Raw Data'!K55</f>
        <v>17</v>
      </c>
      <c r="L54" s="86">
        <f>'Raw Data'!L55</f>
        <v>16</v>
      </c>
      <c r="M54" s="86">
        <f>'Raw Data'!M55</f>
        <v>18</v>
      </c>
      <c r="N54" s="86">
        <f>'Raw Data'!N55</f>
        <v>11</v>
      </c>
      <c r="O54" s="86">
        <f>'Raw Data'!O55</f>
        <v>19</v>
      </c>
      <c r="P54" s="86">
        <f>'Raw Data'!P55</f>
        <v>22</v>
      </c>
      <c r="Q54" s="86">
        <f>'Raw Data'!Q55</f>
        <v>15</v>
      </c>
      <c r="R54" s="86">
        <f>'Raw Data'!R55</f>
        <v>18</v>
      </c>
      <c r="S54" s="86">
        <f>'Raw Data'!S55</f>
        <v>19</v>
      </c>
      <c r="T54" s="86">
        <f>'Raw Data'!T55</f>
        <v>14</v>
      </c>
      <c r="U54" s="86">
        <f>'Raw Data'!U55</f>
        <v>14</v>
      </c>
      <c r="V54" s="86">
        <f>'Raw Data'!V55</f>
        <v>17</v>
      </c>
      <c r="W54" s="86">
        <f>'Raw Data'!W55</f>
        <v>13</v>
      </c>
      <c r="X54" s="86">
        <f>'Raw Data'!X55</f>
        <v>22</v>
      </c>
      <c r="Y54" s="86">
        <f>'Raw Data'!Y55</f>
        <v>17</v>
      </c>
      <c r="Z54" s="86">
        <f>'Raw Data'!Z55</f>
        <v>18</v>
      </c>
      <c r="AA54" s="86">
        <f>'Raw Data'!AA55/10</f>
        <v>19.600000000000001</v>
      </c>
      <c r="AB54" s="86">
        <f>'Raw Data'!AB55/10</f>
        <v>16.899999999999999</v>
      </c>
      <c r="AC54" s="86">
        <f>'Raw Data'!AC55/10</f>
        <v>17.5</v>
      </c>
      <c r="AD54" s="86">
        <f>'Raw Data'!AD55/10</f>
        <v>17.3</v>
      </c>
      <c r="AE54" s="86">
        <f>'Raw Data'!AE55/10</f>
        <v>16</v>
      </c>
      <c r="AF54" s="86">
        <f>'Raw Data'!AF55/10</f>
        <v>16.399999999999999</v>
      </c>
      <c r="AG54" s="86">
        <f>'Raw Data'!AG55/10</f>
        <v>15.7</v>
      </c>
      <c r="AH54" s="86">
        <f>'Raw Data'!AH55/10</f>
        <v>17.7</v>
      </c>
      <c r="AI54" s="86">
        <f>'Raw Data'!AI55/10</f>
        <v>16.3</v>
      </c>
      <c r="AJ54" s="86">
        <f>'Raw Data'!AJ55/10</f>
        <v>15.3</v>
      </c>
      <c r="AK54" s="86">
        <f>'Raw Data'!AK55/10</f>
        <v>13.9</v>
      </c>
      <c r="AL54" s="86">
        <f>'Raw Data'!AL55/10</f>
        <v>15.3</v>
      </c>
      <c r="AM54" s="86">
        <f>'Raw Data'!AM55/10</f>
        <v>16</v>
      </c>
      <c r="AN54" s="86">
        <f>'Raw Data'!AN55/10</f>
        <v>14.9</v>
      </c>
      <c r="AO54" s="86">
        <f>'Raw Data'!AO55/10</f>
        <v>13.1</v>
      </c>
      <c r="AP54" s="86">
        <f>'Raw Data'!AP55/10</f>
        <v>14.1</v>
      </c>
      <c r="AQ54" s="86">
        <f>'Raw Data'!AQ55/10</f>
        <v>13.9</v>
      </c>
      <c r="AR54" s="86">
        <f>'Raw Data'!AR55/10</f>
        <v>15.5</v>
      </c>
      <c r="AS54" s="86">
        <f>'Raw Data'!AS55/10</f>
        <v>14.7</v>
      </c>
      <c r="AT54" s="86">
        <f>'Raw Data'!AT55/10</f>
        <v>14</v>
      </c>
      <c r="AU54" s="86">
        <f>'Raw Data'!AU55/10</f>
        <v>15.2</v>
      </c>
      <c r="AV54" s="86">
        <f>'Raw Data'!AV55/10</f>
        <v>15.1</v>
      </c>
      <c r="AW54" s="86">
        <f>'Raw Data'!AW55/10</f>
        <v>13.8</v>
      </c>
      <c r="AX54" s="86">
        <f>'Raw Data'!AX55/10</f>
        <v>12.5</v>
      </c>
      <c r="AY54" s="86">
        <f>'Raw Data'!AY55/10</f>
        <v>14.6</v>
      </c>
      <c r="AZ54" s="86">
        <f>'Raw Data'!AZ55/10</f>
        <v>13.7</v>
      </c>
      <c r="BA54" s="86">
        <f>'Raw Data'!BA55/10</f>
        <v>12.2</v>
      </c>
      <c r="BB54" s="86">
        <f>'Raw Data'!BB55/10</f>
        <v>13.4</v>
      </c>
      <c r="BC54" s="86">
        <f>'Raw Data'!BC55/10</f>
        <v>11.5</v>
      </c>
      <c r="BD54" s="86">
        <f>'Raw Data'!BD55/10</f>
        <v>12.5</v>
      </c>
      <c r="BE54" s="86">
        <f>'Raw Data'!BE55/10</f>
        <v>13.7</v>
      </c>
      <c r="BF54" s="86">
        <f>'Raw Data'!BF55/10</f>
        <v>13.4</v>
      </c>
      <c r="BG54" s="86">
        <f>'Raw Data'!BG55/10</f>
        <v>11.3</v>
      </c>
      <c r="BH54" s="86">
        <f>'Raw Data'!BH55/10</f>
        <v>12.3</v>
      </c>
      <c r="BI54" s="86">
        <f>'Raw Data'!BI55/10</f>
        <v>12.2</v>
      </c>
      <c r="BJ54" s="86">
        <f>'Raw Data'!BJ55/10</f>
        <v>12.1</v>
      </c>
      <c r="BK54" s="86">
        <f>'Raw Data'!BK55/10</f>
        <v>13</v>
      </c>
      <c r="BL54" s="86">
        <f>'Raw Data'!BL55/10</f>
        <v>12.5</v>
      </c>
      <c r="BM54" s="86">
        <f>'Raw Data'!BM55/10</f>
        <v>12.1</v>
      </c>
      <c r="BN54" s="86">
        <f>'Raw Data'!BN55/10</f>
        <v>12.6</v>
      </c>
      <c r="BO54" s="86">
        <f>'Raw Data'!BO55/10</f>
        <v>12.7</v>
      </c>
      <c r="BP54" s="86">
        <f>'Raw Data'!BP55/10</f>
        <v>11.4</v>
      </c>
      <c r="BQ54" s="86">
        <f>'Raw Data'!BQ55/10</f>
        <v>11.4</v>
      </c>
      <c r="BR54" s="86">
        <f>'Raw Data'!BR55/10</f>
        <v>12.2</v>
      </c>
      <c r="BS54" s="86">
        <f>'Raw Data'!BS55/10</f>
        <v>12.7</v>
      </c>
      <c r="BT54" s="86">
        <f>'Raw Data'!BT55/10</f>
        <v>11.7</v>
      </c>
      <c r="BU54" s="86">
        <f>'Raw Data'!BU55/10</f>
        <v>12.3</v>
      </c>
      <c r="BV54" s="86">
        <f>'Raw Data'!BV55/10</f>
        <v>11.9</v>
      </c>
      <c r="BW54" s="86">
        <f>'Raw Data'!BW55/10</f>
        <v>12.2</v>
      </c>
      <c r="BX54" s="86">
        <f>'Raw Data'!BX55/10</f>
        <v>10.6</v>
      </c>
      <c r="BY54" s="86">
        <f>'Raw Data'!BY55/10</f>
        <v>11.3</v>
      </c>
      <c r="BZ54" s="86">
        <f>'Raw Data'!BZ55/10</f>
        <v>11.8</v>
      </c>
      <c r="CA54" s="86">
        <f>'Raw Data'!CA55/10</f>
        <v>11.4</v>
      </c>
      <c r="CB54" s="86">
        <f>'Raw Data'!CB55/10</f>
        <v>10.9</v>
      </c>
      <c r="CC54" s="86">
        <f>'Raw Data'!CC55/10</f>
        <v>11</v>
      </c>
      <c r="CD54" s="86">
        <f>'Raw Data'!CD55/10</f>
        <v>11.6</v>
      </c>
      <c r="CE54" s="86">
        <f>'Raw Data'!CE55/10</f>
        <v>11</v>
      </c>
      <c r="CF54" s="86">
        <f>'Raw Data'!CF55/10</f>
        <v>11.9</v>
      </c>
      <c r="CG54" s="86">
        <f>'Raw Data'!CG55/100</f>
        <v>11.35</v>
      </c>
      <c r="CH54" s="86">
        <f>'Raw Data'!CH55/100</f>
        <v>10.86</v>
      </c>
      <c r="CI54" s="86">
        <f>'Raw Data'!CI55/100</f>
        <v>10.050000000000001</v>
      </c>
      <c r="CJ54" s="86">
        <f>'Raw Data'!CJ55/100</f>
        <v>9.7200000000000006</v>
      </c>
      <c r="CK54" s="86">
        <f>'Raw Data'!CK55/100</f>
        <v>9.94</v>
      </c>
      <c r="CL54" s="86">
        <f>'Raw Data'!CL55/100</f>
        <v>9.39</v>
      </c>
      <c r="CM54" s="86">
        <f>'Raw Data'!CM55/100</f>
        <v>9.91</v>
      </c>
      <c r="CN54" s="86">
        <f>'Raw Data'!CN55/100</f>
        <v>9.1999999999999993</v>
      </c>
      <c r="CO54" s="86">
        <f>'Raw Data'!CO55/100</f>
        <v>9.39</v>
      </c>
      <c r="CP54" s="86">
        <f>'Raw Data'!CP55/100</f>
        <v>9.33</v>
      </c>
      <c r="CQ54" s="86">
        <f>'Raw Data'!CQ55/100</f>
        <v>9.19</v>
      </c>
      <c r="CR54" s="86">
        <f>'Raw Data'!CR55/100</f>
        <v>9.5</v>
      </c>
      <c r="CS54" s="86">
        <f>'Raw Data'!CS55/100</f>
        <v>9.25</v>
      </c>
      <c r="CT54" s="86">
        <f>'Raw Data'!CT55/100</f>
        <v>8.6999999999999993</v>
      </c>
      <c r="CU54" s="382"/>
    </row>
    <row r="55" spans="4:99" s="86" customFormat="1" x14ac:dyDescent="0.2">
      <c r="D55" s="348"/>
      <c r="E55" s="164"/>
      <c r="F55" s="394"/>
      <c r="G55" s="86">
        <f>'Raw Data'!G56</f>
        <v>19</v>
      </c>
      <c r="H55" s="86">
        <f>'Raw Data'!H56</f>
        <v>23</v>
      </c>
      <c r="I55" s="86">
        <f>'Raw Data'!I56</f>
        <v>19</v>
      </c>
      <c r="J55" s="86">
        <f>'Raw Data'!J56</f>
        <v>17</v>
      </c>
      <c r="K55" s="86">
        <f>'Raw Data'!K56</f>
        <v>18</v>
      </c>
      <c r="L55" s="86">
        <f>'Raw Data'!L56</f>
        <v>20</v>
      </c>
      <c r="M55" s="86">
        <f>'Raw Data'!M56</f>
        <v>20</v>
      </c>
      <c r="N55" s="86">
        <f>'Raw Data'!N56</f>
        <v>21</v>
      </c>
      <c r="O55" s="86">
        <f>'Raw Data'!O56</f>
        <v>24</v>
      </c>
      <c r="P55" s="86">
        <f>'Raw Data'!P56</f>
        <v>15</v>
      </c>
      <c r="Q55" s="86">
        <f>'Raw Data'!Q56</f>
        <v>22</v>
      </c>
      <c r="R55" s="86">
        <f>'Raw Data'!R56</f>
        <v>15</v>
      </c>
      <c r="S55" s="86">
        <f>'Raw Data'!S56</f>
        <v>17</v>
      </c>
      <c r="T55" s="86">
        <f>'Raw Data'!T56</f>
        <v>21</v>
      </c>
      <c r="U55" s="86">
        <f>'Raw Data'!U56</f>
        <v>21</v>
      </c>
      <c r="V55" s="86">
        <f>'Raw Data'!V56</f>
        <v>17</v>
      </c>
      <c r="W55" s="86">
        <f>'Raw Data'!W56</f>
        <v>18</v>
      </c>
      <c r="X55" s="86">
        <f>'Raw Data'!X56</f>
        <v>13</v>
      </c>
      <c r="Y55" s="86">
        <f>'Raw Data'!Y56</f>
        <v>16</v>
      </c>
      <c r="Z55" s="86">
        <f>'Raw Data'!Z56</f>
        <v>20</v>
      </c>
      <c r="AA55" s="86">
        <f>'Raw Data'!AA56/10</f>
        <v>20.5</v>
      </c>
      <c r="AB55" s="86">
        <f>'Raw Data'!AB56/10</f>
        <v>19.399999999999999</v>
      </c>
      <c r="AC55" s="86">
        <f>'Raw Data'!AC56/10</f>
        <v>20.3</v>
      </c>
      <c r="AD55" s="86">
        <f>'Raw Data'!AD56/10</f>
        <v>17.600000000000001</v>
      </c>
      <c r="AE55" s="86">
        <f>'Raw Data'!AE56/10</f>
        <v>18.7</v>
      </c>
      <c r="AF55" s="86">
        <f>'Raw Data'!AF56/10</f>
        <v>17.600000000000001</v>
      </c>
      <c r="AG55" s="86">
        <f>'Raw Data'!AG56/10</f>
        <v>15.8</v>
      </c>
      <c r="AH55" s="86">
        <f>'Raw Data'!AH56/10</f>
        <v>16.399999999999999</v>
      </c>
      <c r="AI55" s="86">
        <f>'Raw Data'!AI56/10</f>
        <v>18.5</v>
      </c>
      <c r="AJ55" s="86">
        <f>'Raw Data'!AJ56/10</f>
        <v>17.2</v>
      </c>
      <c r="AK55" s="86">
        <f>'Raw Data'!AK56/10</f>
        <v>15.7</v>
      </c>
      <c r="AL55" s="86">
        <f>'Raw Data'!AL56/10</f>
        <v>16.899999999999999</v>
      </c>
      <c r="AM55" s="86">
        <f>'Raw Data'!AM56/10</f>
        <v>16.100000000000001</v>
      </c>
      <c r="AN55" s="86">
        <f>'Raw Data'!AN56/10</f>
        <v>15.5</v>
      </c>
      <c r="AO55" s="86">
        <f>'Raw Data'!AO56/10</f>
        <v>14.9</v>
      </c>
      <c r="AP55" s="86">
        <f>'Raw Data'!AP56/10</f>
        <v>14</v>
      </c>
      <c r="AQ55" s="86">
        <f>'Raw Data'!AQ56/10</f>
        <v>13.9</v>
      </c>
      <c r="AR55" s="86">
        <f>'Raw Data'!AR56/10</f>
        <v>14.2</v>
      </c>
      <c r="AS55" s="86">
        <f>'Raw Data'!AS56/10</f>
        <v>14</v>
      </c>
      <c r="AT55" s="86">
        <f>'Raw Data'!AT56/10</f>
        <v>14.3</v>
      </c>
      <c r="AU55" s="86">
        <f>'Raw Data'!AU56/10</f>
        <v>14</v>
      </c>
      <c r="AV55" s="86">
        <f>'Raw Data'!AV56/10</f>
        <v>13.1</v>
      </c>
      <c r="AW55" s="86">
        <f>'Raw Data'!AW56/10</f>
        <v>12.9</v>
      </c>
      <c r="AX55" s="86">
        <f>'Raw Data'!AX56/10</f>
        <v>14.4</v>
      </c>
      <c r="AY55" s="86">
        <f>'Raw Data'!AY56/10</f>
        <v>0.7</v>
      </c>
      <c r="AZ55" s="86">
        <f>'Raw Data'!AZ56/10</f>
        <v>13.7</v>
      </c>
      <c r="BA55" s="86">
        <f>'Raw Data'!BA56/10</f>
        <v>14.6</v>
      </c>
      <c r="BB55" s="86">
        <f>'Raw Data'!BB56/10</f>
        <v>14.1</v>
      </c>
      <c r="BC55" s="86">
        <f>'Raw Data'!BC56/10</f>
        <v>11.6</v>
      </c>
      <c r="BD55" s="86">
        <f>'Raw Data'!BD56/10</f>
        <v>13</v>
      </c>
      <c r="BE55" s="86">
        <f>'Raw Data'!BE56/10</f>
        <v>13.6</v>
      </c>
      <c r="BF55" s="86">
        <f>'Raw Data'!BF56/10</f>
        <v>11.9</v>
      </c>
      <c r="BG55" s="86">
        <f>'Raw Data'!BG56/10</f>
        <v>12.4</v>
      </c>
      <c r="BH55" s="86">
        <f>'Raw Data'!BH56/10</f>
        <v>12.5</v>
      </c>
      <c r="BI55" s="86">
        <f>'Raw Data'!BI56/10</f>
        <v>12.9</v>
      </c>
      <c r="BJ55" s="86">
        <f>'Raw Data'!BJ56/10</f>
        <v>12.3</v>
      </c>
      <c r="BK55" s="86">
        <f>'Raw Data'!BK56/10</f>
        <v>11.3</v>
      </c>
      <c r="BL55" s="86">
        <f>'Raw Data'!BL56/10</f>
        <v>11.8</v>
      </c>
      <c r="BM55" s="86">
        <f>'Raw Data'!BM56/10</f>
        <v>13.9</v>
      </c>
      <c r="BN55" s="86">
        <f>'Raw Data'!BN56/10</f>
        <v>11.5</v>
      </c>
      <c r="BO55" s="86">
        <f>'Raw Data'!BO56/10</f>
        <v>10.8</v>
      </c>
      <c r="BP55" s="86">
        <f>'Raw Data'!BP56/10</f>
        <v>11.3</v>
      </c>
      <c r="BQ55" s="86">
        <f>'Raw Data'!BQ56/10</f>
        <v>11.5</v>
      </c>
      <c r="BR55" s="86">
        <f>'Raw Data'!BR56/10</f>
        <v>11</v>
      </c>
      <c r="BS55" s="86">
        <f>'Raw Data'!BS56/10</f>
        <v>11.3</v>
      </c>
      <c r="BT55" s="86">
        <f>'Raw Data'!BT56/10</f>
        <v>12.4</v>
      </c>
      <c r="BU55" s="86">
        <f>'Raw Data'!BU56/10</f>
        <v>11</v>
      </c>
      <c r="BV55" s="86">
        <f>'Raw Data'!BV56/10</f>
        <v>12.1</v>
      </c>
      <c r="BW55" s="86">
        <f>'Raw Data'!BW56/10</f>
        <v>12.7</v>
      </c>
      <c r="BX55" s="86">
        <f>'Raw Data'!BX56/10</f>
        <v>12.5</v>
      </c>
      <c r="BY55" s="86">
        <f>'Raw Data'!BY56/10</f>
        <v>10.199999999999999</v>
      </c>
      <c r="BZ55" s="86">
        <f>'Raw Data'!BZ56/10</f>
        <v>11.3</v>
      </c>
      <c r="CA55" s="86">
        <f>'Raw Data'!CA56/10</f>
        <v>11.4</v>
      </c>
      <c r="CB55" s="86">
        <f>'Raw Data'!CB56/10</f>
        <v>10.199999999999999</v>
      </c>
      <c r="CC55" s="86">
        <f>'Raw Data'!CC56/10</f>
        <v>9.9</v>
      </c>
      <c r="CD55" s="86">
        <f>'Raw Data'!CD56/10</f>
        <v>10.199999999999999</v>
      </c>
      <c r="CE55" s="86">
        <f>'Raw Data'!CE56/10</f>
        <v>11</v>
      </c>
      <c r="CF55" s="86">
        <f>'Raw Data'!CF56/10</f>
        <v>11</v>
      </c>
      <c r="CG55" s="86">
        <f>'Raw Data'!CG56/100</f>
        <v>10.58</v>
      </c>
      <c r="CH55" s="86">
        <f>'Raw Data'!CH56/100</f>
        <v>10.18</v>
      </c>
      <c r="CI55" s="86">
        <f>'Raw Data'!CI56/100</f>
        <v>9.7100000000000009</v>
      </c>
      <c r="CJ55" s="86">
        <f>'Raw Data'!CJ56/100</f>
        <v>9.91</v>
      </c>
      <c r="CK55" s="86">
        <f>'Raw Data'!CK56/100</f>
        <v>9.41</v>
      </c>
      <c r="CL55" s="86">
        <f>'Raw Data'!CL56/100</f>
        <v>9.24</v>
      </c>
      <c r="CM55" s="86">
        <f>'Raw Data'!CM56/100</f>
        <v>9.33</v>
      </c>
      <c r="CN55" s="86">
        <f>'Raw Data'!CN56/100</f>
        <v>9.32</v>
      </c>
      <c r="CO55" s="86">
        <f>'Raw Data'!CO56/100</f>
        <v>8.98</v>
      </c>
      <c r="CP55" s="86">
        <f>'Raw Data'!CP56/100</f>
        <v>9.2799999999999994</v>
      </c>
      <c r="CQ55" s="86">
        <f>'Raw Data'!CQ56/100</f>
        <v>8.85</v>
      </c>
      <c r="CR55" s="86">
        <f>'Raw Data'!CR56/100</f>
        <v>8.31</v>
      </c>
      <c r="CS55" s="86">
        <f>'Raw Data'!CS56/100</f>
        <v>8.44</v>
      </c>
      <c r="CT55" s="86">
        <f>'Raw Data'!CT56/100</f>
        <v>8.8000000000000007</v>
      </c>
      <c r="CU55" s="382"/>
    </row>
    <row r="56" spans="4:99" s="86" customFormat="1" x14ac:dyDescent="0.2">
      <c r="D56" s="348"/>
      <c r="E56" s="164"/>
      <c r="F56" s="394"/>
      <c r="G56" s="86">
        <f>'Raw Data'!G57</f>
        <v>17</v>
      </c>
      <c r="H56" s="86">
        <f>'Raw Data'!H57</f>
        <v>16</v>
      </c>
      <c r="I56" s="86">
        <f>'Raw Data'!I57</f>
        <v>23</v>
      </c>
      <c r="J56" s="86">
        <f>'Raw Data'!J57</f>
        <v>19</v>
      </c>
      <c r="K56" s="86">
        <f>'Raw Data'!K57</f>
        <v>26</v>
      </c>
      <c r="L56" s="86">
        <f>'Raw Data'!L57</f>
        <v>21</v>
      </c>
      <c r="M56" s="86">
        <f>'Raw Data'!M57</f>
        <v>23</v>
      </c>
      <c r="N56" s="86">
        <f>'Raw Data'!N57</f>
        <v>19</v>
      </c>
      <c r="O56" s="86">
        <f>'Raw Data'!O57</f>
        <v>27</v>
      </c>
      <c r="P56" s="86">
        <f>'Raw Data'!P57</f>
        <v>16</v>
      </c>
      <c r="Q56" s="86">
        <f>'Raw Data'!Q57</f>
        <v>27</v>
      </c>
      <c r="R56" s="86">
        <f>'Raw Data'!R57</f>
        <v>19</v>
      </c>
      <c r="S56" s="86">
        <f>'Raw Data'!S57</f>
        <v>24</v>
      </c>
      <c r="T56" s="86">
        <f>'Raw Data'!T57</f>
        <v>17</v>
      </c>
      <c r="U56" s="86">
        <f>'Raw Data'!U57</f>
        <v>22</v>
      </c>
      <c r="V56" s="86">
        <f>'Raw Data'!V57</f>
        <v>27</v>
      </c>
      <c r="W56" s="86">
        <f>'Raw Data'!W57</f>
        <v>18</v>
      </c>
      <c r="X56" s="86">
        <f>'Raw Data'!X57</f>
        <v>24</v>
      </c>
      <c r="Y56" s="86">
        <f>'Raw Data'!Y57</f>
        <v>22</v>
      </c>
      <c r="Z56" s="86">
        <f>'Raw Data'!Z57</f>
        <v>17</v>
      </c>
      <c r="AA56" s="86">
        <f>'Raw Data'!AA57/10</f>
        <v>19.2</v>
      </c>
      <c r="AB56" s="86">
        <f>'Raw Data'!AB57/10</f>
        <v>21.2</v>
      </c>
      <c r="AC56" s="86">
        <f>'Raw Data'!AC57/10</f>
        <v>18.5</v>
      </c>
      <c r="AD56" s="86">
        <f>'Raw Data'!AD57/10</f>
        <v>19.5</v>
      </c>
      <c r="AE56" s="86">
        <f>'Raw Data'!AE57/10</f>
        <v>18.7</v>
      </c>
      <c r="AF56" s="86">
        <f>'Raw Data'!AF57/10</f>
        <v>20.100000000000001</v>
      </c>
      <c r="AG56" s="86">
        <f>'Raw Data'!AG57/10</f>
        <v>17.2</v>
      </c>
      <c r="AH56" s="86">
        <f>'Raw Data'!AH57/10</f>
        <v>18.600000000000001</v>
      </c>
      <c r="AI56" s="86">
        <f>'Raw Data'!AI57/10</f>
        <v>16.899999999999999</v>
      </c>
      <c r="AJ56" s="86">
        <f>'Raw Data'!AJ57/10</f>
        <v>16.3</v>
      </c>
      <c r="AK56" s="86">
        <f>'Raw Data'!AK57/10</f>
        <v>16.7</v>
      </c>
      <c r="AL56" s="86">
        <f>'Raw Data'!AL57/10</f>
        <v>17.3</v>
      </c>
      <c r="AM56" s="86">
        <f>'Raw Data'!AM57/10</f>
        <v>16.8</v>
      </c>
      <c r="AN56" s="86">
        <f>'Raw Data'!AN57/10</f>
        <v>15.4</v>
      </c>
      <c r="AO56" s="86">
        <f>'Raw Data'!AO57/10</f>
        <v>13.8</v>
      </c>
      <c r="AP56" s="86">
        <f>'Raw Data'!AP57/10</f>
        <v>14.2</v>
      </c>
      <c r="AQ56" s="86">
        <f>'Raw Data'!AQ57/10</f>
        <v>14.7</v>
      </c>
      <c r="AR56" s="86">
        <f>'Raw Data'!AR57/10</f>
        <v>15.2</v>
      </c>
      <c r="AS56" s="86">
        <f>'Raw Data'!AS57/10</f>
        <v>15.9</v>
      </c>
      <c r="AT56" s="86">
        <f>'Raw Data'!AT57/10</f>
        <v>14.8</v>
      </c>
      <c r="AU56" s="86">
        <f>'Raw Data'!AU57/10</f>
        <v>15</v>
      </c>
      <c r="AV56" s="86">
        <f>'Raw Data'!AV57/10</f>
        <v>13.5</v>
      </c>
      <c r="AW56" s="86">
        <f>'Raw Data'!AW57/10</f>
        <v>12.7</v>
      </c>
      <c r="AX56" s="86">
        <f>'Raw Data'!AX57/10</f>
        <v>14.2</v>
      </c>
      <c r="AY56" s="86">
        <f>'Raw Data'!AY57/10</f>
        <v>13.5</v>
      </c>
      <c r="AZ56" s="86">
        <f>'Raw Data'!AZ57/10</f>
        <v>13.2</v>
      </c>
      <c r="BA56" s="86">
        <f>'Raw Data'!BA57/10</f>
        <v>13.9</v>
      </c>
      <c r="BB56" s="86">
        <f>'Raw Data'!BB57/10</f>
        <v>13.3</v>
      </c>
      <c r="BC56" s="86">
        <f>'Raw Data'!BC57/10</f>
        <v>13.1</v>
      </c>
      <c r="BD56" s="86">
        <f>'Raw Data'!BD57/10</f>
        <v>13</v>
      </c>
      <c r="BE56" s="86">
        <f>'Raw Data'!BE57/10</f>
        <v>12.5</v>
      </c>
      <c r="BF56" s="86">
        <f>'Raw Data'!BF57/10</f>
        <v>12.8</v>
      </c>
      <c r="BG56" s="86">
        <f>'Raw Data'!BG57/10</f>
        <v>13.3</v>
      </c>
      <c r="BH56" s="86">
        <f>'Raw Data'!BH57/10</f>
        <v>12.9</v>
      </c>
      <c r="BI56" s="86">
        <f>'Raw Data'!BI57/10</f>
        <v>13.2</v>
      </c>
      <c r="BJ56" s="86">
        <f>'Raw Data'!BJ57/10</f>
        <v>12.9</v>
      </c>
      <c r="BK56" s="86">
        <f>'Raw Data'!BK57/10</f>
        <v>11.7</v>
      </c>
      <c r="BL56" s="86">
        <f>'Raw Data'!BL57/10</f>
        <v>11.8</v>
      </c>
      <c r="BM56" s="86">
        <f>'Raw Data'!BM57/10</f>
        <v>11.7</v>
      </c>
      <c r="BN56" s="86">
        <f>'Raw Data'!BN57/10</f>
        <v>12</v>
      </c>
      <c r="BO56" s="86">
        <f>'Raw Data'!BO57/10</f>
        <v>11.9</v>
      </c>
      <c r="BP56" s="86">
        <f>'Raw Data'!BP57/10</f>
        <v>11.8</v>
      </c>
      <c r="BQ56" s="86">
        <f>'Raw Data'!BQ57/10</f>
        <v>12.6</v>
      </c>
      <c r="BR56" s="86">
        <f>'Raw Data'!BR57/10</f>
        <v>10.4</v>
      </c>
      <c r="BS56" s="86">
        <f>'Raw Data'!BS57/10</f>
        <v>12</v>
      </c>
      <c r="BT56" s="86">
        <f>'Raw Data'!BT57/10</f>
        <v>11.2</v>
      </c>
      <c r="BU56" s="86">
        <f>'Raw Data'!BU57/10</f>
        <v>12.3</v>
      </c>
      <c r="BV56" s="86">
        <f>'Raw Data'!BV57/10</f>
        <v>11.3</v>
      </c>
      <c r="BW56" s="86">
        <f>'Raw Data'!BW57/10</f>
        <v>11.4</v>
      </c>
      <c r="BX56" s="86">
        <f>'Raw Data'!BX57/10</f>
        <v>10.6</v>
      </c>
      <c r="BY56" s="86">
        <f>'Raw Data'!BY57/10</f>
        <v>10.3</v>
      </c>
      <c r="BZ56" s="86">
        <f>'Raw Data'!BZ57/10</f>
        <v>11.9</v>
      </c>
      <c r="CA56" s="86">
        <f>'Raw Data'!CA57/10</f>
        <v>9.9</v>
      </c>
      <c r="CB56" s="86">
        <f>'Raw Data'!CB57/10</f>
        <v>9.6999999999999993</v>
      </c>
      <c r="CC56" s="86">
        <f>'Raw Data'!CC57/10</f>
        <v>10.3</v>
      </c>
      <c r="CD56" s="86">
        <f>'Raw Data'!CD57/10</f>
        <v>10</v>
      </c>
      <c r="CE56" s="86">
        <f>'Raw Data'!CE57/10</f>
        <v>11.4</v>
      </c>
      <c r="CF56" s="86">
        <f>'Raw Data'!CF57/10</f>
        <v>11.2</v>
      </c>
      <c r="CG56" s="86">
        <f>'Raw Data'!CG57/100</f>
        <v>9.8699999999999992</v>
      </c>
      <c r="CH56" s="86">
        <f>'Raw Data'!CH57/100</f>
        <v>9.8699999999999992</v>
      </c>
      <c r="CI56" s="86">
        <f>'Raw Data'!CI57/100</f>
        <v>9.32</v>
      </c>
      <c r="CJ56" s="86">
        <f>'Raw Data'!CJ57/100</f>
        <v>9.27</v>
      </c>
      <c r="CK56" s="86">
        <f>'Raw Data'!CK57/100</f>
        <v>8.66</v>
      </c>
      <c r="CL56" s="86">
        <f>'Raw Data'!CL57/100</f>
        <v>8.68</v>
      </c>
      <c r="CM56" s="86">
        <f>'Raw Data'!CM57/100</f>
        <v>8.49</v>
      </c>
      <c r="CN56" s="86">
        <f>'Raw Data'!CN57/100</f>
        <v>7.98</v>
      </c>
      <c r="CO56" s="86">
        <f>'Raw Data'!CO57/100</f>
        <v>8.31</v>
      </c>
      <c r="CP56" s="86">
        <f>'Raw Data'!CP57/100</f>
        <v>8.18</v>
      </c>
      <c r="CQ56" s="86">
        <f>'Raw Data'!CQ57/100</f>
        <v>8.17</v>
      </c>
      <c r="CR56" s="86">
        <f>'Raw Data'!CR57/100</f>
        <v>7.87</v>
      </c>
      <c r="CS56" s="86">
        <f>'Raw Data'!CS57/100</f>
        <v>7.88</v>
      </c>
      <c r="CT56" s="86">
        <f>'Raw Data'!CT57/100</f>
        <v>7.61</v>
      </c>
      <c r="CU56" s="382"/>
    </row>
    <row r="57" spans="4:99" s="86" customFormat="1" x14ac:dyDescent="0.2">
      <c r="D57" s="348"/>
      <c r="E57" s="164"/>
      <c r="F57" s="394"/>
      <c r="G57" s="86">
        <f>'Raw Data'!G58</f>
        <v>16</v>
      </c>
      <c r="H57" s="86">
        <f>'Raw Data'!H58</f>
        <v>19</v>
      </c>
      <c r="I57" s="86">
        <f>'Raw Data'!I58</f>
        <v>23</v>
      </c>
      <c r="J57" s="86">
        <f>'Raw Data'!J58</f>
        <v>18</v>
      </c>
      <c r="K57" s="86">
        <f>'Raw Data'!K58</f>
        <v>20</v>
      </c>
      <c r="L57" s="86">
        <f>'Raw Data'!L58</f>
        <v>18</v>
      </c>
      <c r="M57" s="86">
        <f>'Raw Data'!M58</f>
        <v>16</v>
      </c>
      <c r="N57" s="86">
        <f>'Raw Data'!N58</f>
        <v>20</v>
      </c>
      <c r="O57" s="86">
        <f>'Raw Data'!O58</f>
        <v>16</v>
      </c>
      <c r="P57" s="86">
        <f>'Raw Data'!P58</f>
        <v>15</v>
      </c>
      <c r="Q57" s="86">
        <f>'Raw Data'!Q58</f>
        <v>25</v>
      </c>
      <c r="R57" s="86">
        <f>'Raw Data'!R58</f>
        <v>26</v>
      </c>
      <c r="S57" s="86">
        <f>'Raw Data'!S58</f>
        <v>17</v>
      </c>
      <c r="T57" s="86">
        <f>'Raw Data'!T58</f>
        <v>21</v>
      </c>
      <c r="U57" s="86">
        <f>'Raw Data'!U58</f>
        <v>22</v>
      </c>
      <c r="V57" s="86">
        <f>'Raw Data'!V58</f>
        <v>16</v>
      </c>
      <c r="W57" s="86">
        <f>'Raw Data'!W58</f>
        <v>17</v>
      </c>
      <c r="X57" s="86">
        <f>'Raw Data'!X58</f>
        <v>17</v>
      </c>
      <c r="Y57" s="86">
        <f>'Raw Data'!Y58</f>
        <v>18</v>
      </c>
      <c r="Z57" s="86">
        <f>'Raw Data'!Z58</f>
        <v>15</v>
      </c>
      <c r="AA57" s="86">
        <f>'Raw Data'!AA58/10</f>
        <v>20.8</v>
      </c>
      <c r="AB57" s="86">
        <f>'Raw Data'!AB58/10</f>
        <v>17.600000000000001</v>
      </c>
      <c r="AC57" s="86">
        <f>'Raw Data'!AC58/10</f>
        <v>18</v>
      </c>
      <c r="AD57" s="86">
        <f>'Raw Data'!AD58/10</f>
        <v>16.3</v>
      </c>
      <c r="AE57" s="86">
        <f>'Raw Data'!AE58/10</f>
        <v>15.6</v>
      </c>
      <c r="AF57" s="86">
        <f>'Raw Data'!AF58/10</f>
        <v>17.600000000000001</v>
      </c>
      <c r="AG57" s="86">
        <f>'Raw Data'!AG58/10</f>
        <v>18</v>
      </c>
      <c r="AH57" s="86">
        <f>'Raw Data'!AH58/10</f>
        <v>15.5</v>
      </c>
      <c r="AI57" s="86">
        <f>'Raw Data'!AI58/10</f>
        <v>16.399999999999999</v>
      </c>
      <c r="AJ57" s="86">
        <f>'Raw Data'!AJ58/10</f>
        <v>15.3</v>
      </c>
      <c r="AK57" s="86">
        <f>'Raw Data'!AK58/10</f>
        <v>17.2</v>
      </c>
      <c r="AL57" s="86">
        <f>'Raw Data'!AL58/10</f>
        <v>13.5</v>
      </c>
      <c r="AM57" s="86">
        <f>'Raw Data'!AM58/10</f>
        <v>16.3</v>
      </c>
      <c r="AN57" s="86">
        <f>'Raw Data'!AN58/10</f>
        <v>14.2</v>
      </c>
      <c r="AO57" s="86">
        <f>'Raw Data'!AO58/10</f>
        <v>13.5</v>
      </c>
      <c r="AP57" s="86">
        <f>'Raw Data'!AP58/10</f>
        <v>13.3</v>
      </c>
      <c r="AQ57" s="86">
        <f>'Raw Data'!AQ58/10</f>
        <v>14</v>
      </c>
      <c r="AR57" s="86">
        <f>'Raw Data'!AR58/10</f>
        <v>13</v>
      </c>
      <c r="AS57" s="86">
        <f>'Raw Data'!AS58/10</f>
        <v>12.4</v>
      </c>
      <c r="AT57" s="86">
        <f>'Raw Data'!AT58/10</f>
        <v>13.5</v>
      </c>
      <c r="AU57" s="86">
        <f>'Raw Data'!AU58/10</f>
        <v>13.5</v>
      </c>
      <c r="AV57" s="86">
        <f>'Raw Data'!AV58/10</f>
        <v>13.6</v>
      </c>
      <c r="AW57" s="86">
        <f>'Raw Data'!AW58/10</f>
        <v>13.7</v>
      </c>
      <c r="AX57" s="86">
        <f>'Raw Data'!AX58/10</f>
        <v>10.9</v>
      </c>
      <c r="AY57" s="86">
        <f>'Raw Data'!AY58/10</f>
        <v>12.2</v>
      </c>
      <c r="AZ57" s="86">
        <f>'Raw Data'!AZ58/10</f>
        <v>11.1</v>
      </c>
      <c r="BA57" s="86">
        <f>'Raw Data'!BA58/10</f>
        <v>13</v>
      </c>
      <c r="BB57" s="86">
        <f>'Raw Data'!BB58/10</f>
        <v>12.9</v>
      </c>
      <c r="BC57" s="86">
        <f>'Raw Data'!BC58/10</f>
        <v>13.8</v>
      </c>
      <c r="BD57" s="86">
        <f>'Raw Data'!BD58/10</f>
        <v>12.5</v>
      </c>
      <c r="BE57" s="86">
        <f>'Raw Data'!BE58/10</f>
        <v>11</v>
      </c>
      <c r="BF57" s="86">
        <f>'Raw Data'!BF58/10</f>
        <v>12.2</v>
      </c>
      <c r="BG57" s="86">
        <f>'Raw Data'!BG58/10</f>
        <v>11</v>
      </c>
      <c r="BH57" s="86">
        <f>'Raw Data'!BH58/10</f>
        <v>12.8</v>
      </c>
      <c r="BI57" s="86">
        <f>'Raw Data'!BI58/10</f>
        <v>12.4</v>
      </c>
      <c r="BJ57" s="86">
        <f>'Raw Data'!BJ58/10</f>
        <v>13.4</v>
      </c>
      <c r="BK57" s="86">
        <f>'Raw Data'!BK58/10</f>
        <v>10.7</v>
      </c>
      <c r="BL57" s="86">
        <f>'Raw Data'!BL58/10</f>
        <v>11</v>
      </c>
      <c r="BM57" s="86">
        <f>'Raw Data'!BM58/10</f>
        <v>12.5</v>
      </c>
      <c r="BN57" s="86">
        <f>'Raw Data'!BN58/10</f>
        <v>9.9</v>
      </c>
      <c r="BO57" s="86">
        <f>'Raw Data'!BO58/10</f>
        <v>10.6</v>
      </c>
      <c r="BP57" s="86">
        <f>'Raw Data'!BP58/10</f>
        <v>10.4</v>
      </c>
      <c r="BQ57" s="86">
        <f>'Raw Data'!BQ58/10</f>
        <v>10.4</v>
      </c>
      <c r="BR57" s="86">
        <f>'Raw Data'!BR58/10</f>
        <v>11.5</v>
      </c>
      <c r="BS57" s="86">
        <f>'Raw Data'!BS58/10</f>
        <v>10.5</v>
      </c>
      <c r="BT57" s="86">
        <f>'Raw Data'!BT58/10</f>
        <v>12.3</v>
      </c>
      <c r="BU57" s="86">
        <f>'Raw Data'!BU58/10</f>
        <v>11.1</v>
      </c>
      <c r="BV57" s="86">
        <f>'Raw Data'!BV58/10</f>
        <v>9.5</v>
      </c>
      <c r="BW57" s="86">
        <f>'Raw Data'!BW58/10</f>
        <v>11.2</v>
      </c>
      <c r="BX57" s="86">
        <f>'Raw Data'!BX58/10</f>
        <v>9.3000000000000007</v>
      </c>
      <c r="BY57" s="86">
        <f>'Raw Data'!BY58/10</f>
        <v>9.4</v>
      </c>
      <c r="BZ57" s="86">
        <f>'Raw Data'!BZ58/10</f>
        <v>12</v>
      </c>
      <c r="CA57" s="86">
        <f>'Raw Data'!CA58/10</f>
        <v>11</v>
      </c>
      <c r="CB57" s="86">
        <f>'Raw Data'!CB58/10</f>
        <v>10.6</v>
      </c>
      <c r="CC57" s="86">
        <f>'Raw Data'!CC58/10</f>
        <v>10.9</v>
      </c>
      <c r="CD57" s="86">
        <f>'Raw Data'!CD58/10</f>
        <v>9.6</v>
      </c>
      <c r="CE57" s="86">
        <f>'Raw Data'!CE58/10</f>
        <v>9.5</v>
      </c>
      <c r="CF57" s="86">
        <f>'Raw Data'!CF58/10</f>
        <v>9.3000000000000007</v>
      </c>
      <c r="CG57" s="86">
        <f>'Raw Data'!CG58/100</f>
        <v>9.69</v>
      </c>
      <c r="CH57" s="86">
        <f>'Raw Data'!CH58/100</f>
        <v>8.99</v>
      </c>
      <c r="CI57" s="86">
        <f>'Raw Data'!CI58/100</f>
        <v>9.11</v>
      </c>
      <c r="CJ57" s="86">
        <f>'Raw Data'!CJ58/100</f>
        <v>8.76</v>
      </c>
      <c r="CK57" s="86">
        <f>'Raw Data'!CK58/100</f>
        <v>8.4499999999999993</v>
      </c>
      <c r="CL57" s="86">
        <f>'Raw Data'!CL58/100</f>
        <v>8.6</v>
      </c>
      <c r="CM57" s="86">
        <f>'Raw Data'!CM58/100</f>
        <v>7.88</v>
      </c>
      <c r="CN57" s="86">
        <f>'Raw Data'!CN58/100</f>
        <v>7.98</v>
      </c>
      <c r="CO57" s="86">
        <f>'Raw Data'!CO58/100</f>
        <v>7.64</v>
      </c>
      <c r="CP57" s="86">
        <f>'Raw Data'!CP58/100</f>
        <v>7.66</v>
      </c>
      <c r="CQ57" s="86">
        <f>'Raw Data'!CQ58/100</f>
        <v>7.68</v>
      </c>
      <c r="CR57" s="86">
        <f>'Raw Data'!CR58/100</f>
        <v>7.53</v>
      </c>
      <c r="CS57" s="86">
        <f>'Raw Data'!CS58/100</f>
        <v>7.71</v>
      </c>
      <c r="CT57" s="86">
        <f>'Raw Data'!CT58/100</f>
        <v>7.23</v>
      </c>
      <c r="CU57" s="382"/>
    </row>
    <row r="58" spans="4:99" s="86" customFormat="1" x14ac:dyDescent="0.2">
      <c r="D58" s="348"/>
      <c r="E58" s="164"/>
      <c r="F58" s="394"/>
      <c r="G58" s="86">
        <f>'Raw Data'!G59</f>
        <v>30</v>
      </c>
      <c r="H58" s="86">
        <f>'Raw Data'!H59</f>
        <v>37</v>
      </c>
      <c r="I58" s="86">
        <f>'Raw Data'!I59</f>
        <v>30</v>
      </c>
      <c r="J58" s="86">
        <f>'Raw Data'!J59</f>
        <v>36</v>
      </c>
      <c r="K58" s="86">
        <f>'Raw Data'!K59</f>
        <v>36</v>
      </c>
      <c r="L58" s="86">
        <f>'Raw Data'!L59</f>
        <v>38</v>
      </c>
      <c r="M58" s="86">
        <f>'Raw Data'!M59</f>
        <v>28</v>
      </c>
      <c r="N58" s="86">
        <f>'Raw Data'!N59</f>
        <v>33</v>
      </c>
      <c r="O58" s="86">
        <f>'Raw Data'!O59</f>
        <v>29</v>
      </c>
      <c r="P58" s="86">
        <f>'Raw Data'!P59</f>
        <v>34</v>
      </c>
      <c r="Q58" s="86">
        <f>'Raw Data'!Q59</f>
        <v>39</v>
      </c>
      <c r="R58" s="86">
        <f>'Raw Data'!R59</f>
        <v>36</v>
      </c>
      <c r="S58" s="86">
        <f>'Raw Data'!S59</f>
        <v>33</v>
      </c>
      <c r="T58" s="86">
        <f>'Raw Data'!T59</f>
        <v>22</v>
      </c>
      <c r="U58" s="86">
        <f>'Raw Data'!U59</f>
        <v>27</v>
      </c>
      <c r="V58" s="86">
        <f>'Raw Data'!V59</f>
        <v>31</v>
      </c>
      <c r="W58" s="86">
        <f>'Raw Data'!W59</f>
        <v>39</v>
      </c>
      <c r="X58" s="86">
        <f>'Raw Data'!X59</f>
        <v>42</v>
      </c>
      <c r="Y58" s="86">
        <f>'Raw Data'!Y59</f>
        <v>30</v>
      </c>
      <c r="Z58" s="86">
        <f>'Raw Data'!Z59</f>
        <v>34</v>
      </c>
      <c r="AA58" s="86">
        <f>'Raw Data'!AA59/10</f>
        <v>30.3</v>
      </c>
      <c r="AB58" s="86">
        <f>'Raw Data'!AB59/10</f>
        <v>31.7</v>
      </c>
      <c r="AC58" s="86">
        <f>'Raw Data'!AC59/10</f>
        <v>30.2</v>
      </c>
      <c r="AD58" s="86">
        <f>'Raw Data'!AD59/10</f>
        <v>29.4</v>
      </c>
      <c r="AE58" s="86">
        <f>'Raw Data'!AE59/10</f>
        <v>29.5</v>
      </c>
      <c r="AF58" s="86">
        <f>'Raw Data'!AF59/10</f>
        <v>29.5</v>
      </c>
      <c r="AG58" s="86">
        <f>'Raw Data'!AG59/10</f>
        <v>27.1</v>
      </c>
      <c r="AH58" s="86">
        <f>'Raw Data'!AH59/10</f>
        <v>26</v>
      </c>
      <c r="AI58" s="86">
        <f>'Raw Data'!AI59/10</f>
        <v>26.7</v>
      </c>
      <c r="AJ58" s="86">
        <f>'Raw Data'!AJ59/10</f>
        <v>26.8</v>
      </c>
      <c r="AK58" s="86">
        <f>'Raw Data'!AK59/10</f>
        <v>26.3</v>
      </c>
      <c r="AL58" s="86">
        <f>'Raw Data'!AL59/10</f>
        <v>26.1</v>
      </c>
      <c r="AM58" s="86">
        <f>'Raw Data'!AM59/10</f>
        <v>23.6</v>
      </c>
      <c r="AN58" s="86">
        <f>'Raw Data'!AN59/10</f>
        <v>22.6</v>
      </c>
      <c r="AO58" s="86">
        <f>'Raw Data'!AO59/10</f>
        <v>23.8</v>
      </c>
      <c r="AP58" s="86">
        <f>'Raw Data'!AP59/10</f>
        <v>23.3</v>
      </c>
      <c r="AQ58" s="86">
        <f>'Raw Data'!AQ59/10</f>
        <v>22</v>
      </c>
      <c r="AR58" s="86">
        <f>'Raw Data'!AR59/10</f>
        <v>20.7</v>
      </c>
      <c r="AS58" s="86">
        <f>'Raw Data'!AS59/10</f>
        <v>20.2</v>
      </c>
      <c r="AT58" s="86">
        <f>'Raw Data'!AT59/10</f>
        <v>19.8</v>
      </c>
      <c r="AU58" s="86">
        <f>'Raw Data'!AU59/10</f>
        <v>20.8</v>
      </c>
      <c r="AV58" s="86">
        <f>'Raw Data'!AV59/10</f>
        <v>19.899999999999999</v>
      </c>
      <c r="AW58" s="86">
        <f>'Raw Data'!AW59/10</f>
        <v>21.6</v>
      </c>
      <c r="AX58" s="86">
        <f>'Raw Data'!AX59/10</f>
        <v>19.600000000000001</v>
      </c>
      <c r="AY58" s="86">
        <f>'Raw Data'!AY59/10</f>
        <v>18.5</v>
      </c>
      <c r="AZ58" s="86">
        <f>'Raw Data'!AZ59/10</f>
        <v>18.100000000000001</v>
      </c>
      <c r="BA58" s="86">
        <f>'Raw Data'!BA59/10</f>
        <v>18.7</v>
      </c>
      <c r="BB58" s="86">
        <f>'Raw Data'!BB59/10</f>
        <v>18.5</v>
      </c>
      <c r="BC58" s="86">
        <f>'Raw Data'!BC59/10</f>
        <v>17.899999999999999</v>
      </c>
      <c r="BD58" s="86">
        <f>'Raw Data'!BD59/10</f>
        <v>17.5</v>
      </c>
      <c r="BE58" s="86">
        <f>'Raw Data'!BE59/10</f>
        <v>18</v>
      </c>
      <c r="BF58" s="86">
        <f>'Raw Data'!BF59/10</f>
        <v>16.899999999999999</v>
      </c>
      <c r="BG58" s="86">
        <f>'Raw Data'!BG59/10</f>
        <v>16.2</v>
      </c>
      <c r="BH58" s="86">
        <f>'Raw Data'!BH59/10</f>
        <v>14.8</v>
      </c>
      <c r="BI58" s="86">
        <f>'Raw Data'!BI59/10</f>
        <v>17.5</v>
      </c>
      <c r="BJ58" s="86">
        <f>'Raw Data'!BJ59/10</f>
        <v>15.3</v>
      </c>
      <c r="BK58" s="86">
        <f>'Raw Data'!BK59/10</f>
        <v>14.5</v>
      </c>
      <c r="BL58" s="86">
        <f>'Raw Data'!BL59/10</f>
        <v>15.7</v>
      </c>
      <c r="BM58" s="86">
        <f>'Raw Data'!BM59/10</f>
        <v>14.7</v>
      </c>
      <c r="BN58" s="86">
        <f>'Raw Data'!BN59/10</f>
        <v>14.4</v>
      </c>
      <c r="BO58" s="86">
        <f>'Raw Data'!BO59/10</f>
        <v>14.4</v>
      </c>
      <c r="BP58" s="86">
        <f>'Raw Data'!BP59/10</f>
        <v>13.6</v>
      </c>
      <c r="BQ58" s="86">
        <f>'Raw Data'!BQ59/10</f>
        <v>12.6</v>
      </c>
      <c r="BR58" s="86">
        <f>'Raw Data'!BR59/10</f>
        <v>15.6</v>
      </c>
      <c r="BS58" s="86">
        <f>'Raw Data'!BS59/10</f>
        <v>15.2</v>
      </c>
      <c r="BT58" s="86">
        <f>'Raw Data'!BT59/10</f>
        <v>11.5</v>
      </c>
      <c r="BU58" s="86">
        <f>'Raw Data'!BU59/10</f>
        <v>14.9</v>
      </c>
      <c r="BV58" s="86">
        <f>'Raw Data'!BV59/10</f>
        <v>13.7</v>
      </c>
      <c r="BW58" s="86">
        <f>'Raw Data'!BW59/10</f>
        <v>13.2</v>
      </c>
      <c r="BX58" s="86">
        <f>'Raw Data'!BX59/10</f>
        <v>13.8</v>
      </c>
      <c r="BY58" s="86">
        <f>'Raw Data'!BY59/10</f>
        <v>14.9</v>
      </c>
      <c r="BZ58" s="86">
        <f>'Raw Data'!BZ59/10</f>
        <v>15</v>
      </c>
      <c r="CA58" s="86">
        <f>'Raw Data'!CA59/10</f>
        <v>13.2</v>
      </c>
      <c r="CB58" s="86">
        <f>'Raw Data'!CB59/10</f>
        <v>12.5</v>
      </c>
      <c r="CC58" s="86">
        <f>'Raw Data'!CC59/10</f>
        <v>13</v>
      </c>
      <c r="CD58" s="86">
        <f>'Raw Data'!CD59/10</f>
        <v>13.3</v>
      </c>
      <c r="CE58" s="86">
        <f>'Raw Data'!CE59/10</f>
        <v>11.2</v>
      </c>
      <c r="CF58" s="86">
        <f>'Raw Data'!CF59/10</f>
        <v>13.2</v>
      </c>
      <c r="CG58" s="86">
        <f>'Raw Data'!CG59/100</f>
        <v>12.17</v>
      </c>
      <c r="CH58" s="86">
        <f>'Raw Data'!CH59/100</f>
        <v>11.24</v>
      </c>
      <c r="CI58" s="86">
        <f>'Raw Data'!CI59/100</f>
        <v>10.74</v>
      </c>
      <c r="CJ58" s="86">
        <f>'Raw Data'!CJ59/100</f>
        <v>10.33</v>
      </c>
      <c r="CK58" s="86">
        <f>'Raw Data'!CK59/100</f>
        <v>10.26</v>
      </c>
      <c r="CL58" s="86">
        <f>'Raw Data'!CL59/100</f>
        <v>9.5399999999999991</v>
      </c>
      <c r="CM58" s="86">
        <f>'Raw Data'!CM59/100</f>
        <v>9.3800000000000008</v>
      </c>
      <c r="CN58" s="86">
        <f>'Raw Data'!CN59/100</f>
        <v>8.92</v>
      </c>
      <c r="CO58" s="86">
        <f>'Raw Data'!CO59/100</f>
        <v>8.35</v>
      </c>
      <c r="CP58" s="86">
        <f>'Raw Data'!CP59/100</f>
        <v>8.6999999999999993</v>
      </c>
      <c r="CQ58" s="86">
        <f>'Raw Data'!CQ59/100</f>
        <v>8.1199999999999992</v>
      </c>
      <c r="CR58" s="86">
        <f>'Raw Data'!CR59/100</f>
        <v>8.1199999999999992</v>
      </c>
      <c r="CS58" s="86">
        <f>'Raw Data'!CS59/100</f>
        <v>8.34</v>
      </c>
      <c r="CT58" s="86">
        <f>'Raw Data'!CT59/100</f>
        <v>8.33</v>
      </c>
      <c r="CU58" s="382"/>
    </row>
    <row r="59" spans="4:99" s="86" customFormat="1" x14ac:dyDescent="0.2">
      <c r="D59" s="348"/>
      <c r="E59" s="164"/>
      <c r="F59" s="394"/>
      <c r="G59" s="86">
        <f>'Raw Data'!G60</f>
        <v>17</v>
      </c>
      <c r="H59" s="86">
        <f>'Raw Data'!H60</f>
        <v>16</v>
      </c>
      <c r="I59" s="86">
        <f>'Raw Data'!I60</f>
        <v>20</v>
      </c>
      <c r="J59" s="86">
        <f>'Raw Data'!J60</f>
        <v>18</v>
      </c>
      <c r="K59" s="86">
        <f>'Raw Data'!K60</f>
        <v>17</v>
      </c>
      <c r="L59" s="86">
        <f>'Raw Data'!L60</f>
        <v>16</v>
      </c>
      <c r="M59" s="86">
        <f>'Raw Data'!M60</f>
        <v>25</v>
      </c>
      <c r="N59" s="86">
        <f>'Raw Data'!N60</f>
        <v>24</v>
      </c>
      <c r="O59" s="86">
        <f>'Raw Data'!O60</f>
        <v>20</v>
      </c>
      <c r="P59" s="86">
        <f>'Raw Data'!P60</f>
        <v>24</v>
      </c>
      <c r="Q59" s="86">
        <f>'Raw Data'!Q60</f>
        <v>20</v>
      </c>
      <c r="R59" s="86">
        <f>'Raw Data'!R60</f>
        <v>15</v>
      </c>
      <c r="S59" s="86">
        <f>'Raw Data'!S60</f>
        <v>19</v>
      </c>
      <c r="T59" s="86">
        <f>'Raw Data'!T60</f>
        <v>16</v>
      </c>
      <c r="U59" s="86">
        <f>'Raw Data'!U60</f>
        <v>25</v>
      </c>
      <c r="V59" s="86">
        <f>'Raw Data'!V60</f>
        <v>19</v>
      </c>
      <c r="W59" s="86">
        <f>'Raw Data'!W60</f>
        <v>21</v>
      </c>
      <c r="X59" s="86">
        <f>'Raw Data'!X60</f>
        <v>19</v>
      </c>
      <c r="Y59" s="86">
        <f>'Raw Data'!Y60</f>
        <v>21</v>
      </c>
      <c r="Z59" s="86">
        <f>'Raw Data'!Z60</f>
        <v>18</v>
      </c>
      <c r="AA59" s="86">
        <f>'Raw Data'!AA60/10</f>
        <v>17.899999999999999</v>
      </c>
      <c r="AB59" s="86">
        <f>'Raw Data'!AB60/10</f>
        <v>20.5</v>
      </c>
      <c r="AC59" s="86">
        <f>'Raw Data'!AC60/10</f>
        <v>18.600000000000001</v>
      </c>
      <c r="AD59" s="86">
        <f>'Raw Data'!AD60/10</f>
        <v>17.3</v>
      </c>
      <c r="AE59" s="86">
        <f>'Raw Data'!AE60/10</f>
        <v>18.399999999999999</v>
      </c>
      <c r="AF59" s="86">
        <f>'Raw Data'!AF60/10</f>
        <v>18.100000000000001</v>
      </c>
      <c r="AG59" s="86">
        <f>'Raw Data'!AG60/10</f>
        <v>17.8</v>
      </c>
      <c r="AH59" s="86">
        <f>'Raw Data'!AH60/10</f>
        <v>18.3</v>
      </c>
      <c r="AI59" s="86">
        <f>'Raw Data'!AI60/10</f>
        <v>17.5</v>
      </c>
      <c r="AJ59" s="86">
        <f>'Raw Data'!AJ60/10</f>
        <v>16.899999999999999</v>
      </c>
      <c r="AK59" s="86">
        <f>'Raw Data'!AK60/10</f>
        <v>16.600000000000001</v>
      </c>
      <c r="AL59" s="86">
        <f>'Raw Data'!AL60/10</f>
        <v>14.7</v>
      </c>
      <c r="AM59" s="86">
        <f>'Raw Data'!AM60/10</f>
        <v>15.5</v>
      </c>
      <c r="AN59" s="86">
        <f>'Raw Data'!AN60/10</f>
        <v>14.6</v>
      </c>
      <c r="AO59" s="86">
        <f>'Raw Data'!AO60/10</f>
        <v>15.2</v>
      </c>
      <c r="AP59" s="86">
        <f>'Raw Data'!AP60/10</f>
        <v>15.3</v>
      </c>
      <c r="AQ59" s="86">
        <f>'Raw Data'!AQ60/10</f>
        <v>15.6</v>
      </c>
      <c r="AR59" s="86">
        <f>'Raw Data'!AR60/10</f>
        <v>14.2</v>
      </c>
      <c r="AS59" s="86">
        <f>'Raw Data'!AS60/10</f>
        <v>13.9</v>
      </c>
      <c r="AT59" s="86">
        <f>'Raw Data'!AT60/10</f>
        <v>14</v>
      </c>
      <c r="AU59" s="86">
        <f>'Raw Data'!AU60/10</f>
        <v>14.9</v>
      </c>
      <c r="AV59" s="86">
        <f>'Raw Data'!AV60/10</f>
        <v>12.8</v>
      </c>
      <c r="AW59" s="86">
        <f>'Raw Data'!AW60/10</f>
        <v>13.8</v>
      </c>
      <c r="AX59" s="86">
        <f>'Raw Data'!AX60/10</f>
        <v>13</v>
      </c>
      <c r="AY59" s="86">
        <f>'Raw Data'!AY60/10</f>
        <v>13.2</v>
      </c>
      <c r="AZ59" s="86">
        <f>'Raw Data'!AZ60/10</f>
        <v>13.1</v>
      </c>
      <c r="BA59" s="86">
        <f>'Raw Data'!BA60/10</f>
        <v>12.5</v>
      </c>
      <c r="BB59" s="86">
        <f>'Raw Data'!BB60/10</f>
        <v>13.8</v>
      </c>
      <c r="BC59" s="86">
        <f>'Raw Data'!BC60/10</f>
        <v>13.6</v>
      </c>
      <c r="BD59" s="86">
        <f>'Raw Data'!BD60/10</f>
        <v>12.1</v>
      </c>
      <c r="BE59" s="86">
        <f>'Raw Data'!BE60/10</f>
        <v>13.4</v>
      </c>
      <c r="BF59" s="86">
        <f>'Raw Data'!BF60/10</f>
        <v>12.2</v>
      </c>
      <c r="BG59" s="86">
        <f>'Raw Data'!BG60/10</f>
        <v>11.7</v>
      </c>
      <c r="BH59" s="86">
        <f>'Raw Data'!BH60/10</f>
        <v>11.5</v>
      </c>
      <c r="BI59" s="86">
        <f>'Raw Data'!BI60/10</f>
        <v>12.4</v>
      </c>
      <c r="BJ59" s="86">
        <f>'Raw Data'!BJ60/10</f>
        <v>11.3</v>
      </c>
      <c r="BK59" s="86">
        <f>'Raw Data'!BK60/10</f>
        <v>11.4</v>
      </c>
      <c r="BL59" s="86">
        <f>'Raw Data'!BL60/10</f>
        <v>12</v>
      </c>
      <c r="BM59" s="86">
        <f>'Raw Data'!BM60/10</f>
        <v>10.6</v>
      </c>
      <c r="BN59" s="86">
        <f>'Raw Data'!BN60/10</f>
        <v>12.6</v>
      </c>
      <c r="BO59" s="86">
        <f>'Raw Data'!BO60/10</f>
        <v>10.9</v>
      </c>
      <c r="BP59" s="86">
        <f>'Raw Data'!BP60/10</f>
        <v>10.5</v>
      </c>
      <c r="BQ59" s="86">
        <f>'Raw Data'!BQ60/10</f>
        <v>11.1</v>
      </c>
      <c r="BR59" s="86">
        <f>'Raw Data'!BR60/10</f>
        <v>11.8</v>
      </c>
      <c r="BS59" s="86">
        <f>'Raw Data'!BS60/10</f>
        <v>10.3</v>
      </c>
      <c r="BT59" s="86">
        <f>'Raw Data'!BT60/10</f>
        <v>9.6999999999999993</v>
      </c>
      <c r="BU59" s="86">
        <f>'Raw Data'!BU60/10</f>
        <v>8.8000000000000007</v>
      </c>
      <c r="BV59" s="86">
        <f>'Raw Data'!BV60/10</f>
        <v>9.8000000000000007</v>
      </c>
      <c r="BW59" s="86">
        <f>'Raw Data'!BW60/10</f>
        <v>11.1</v>
      </c>
      <c r="BX59" s="86">
        <f>'Raw Data'!BX60/10</f>
        <v>9.4</v>
      </c>
      <c r="BY59" s="86">
        <f>'Raw Data'!BY60/10</f>
        <v>10.6</v>
      </c>
      <c r="BZ59" s="86">
        <f>'Raw Data'!BZ60/10</f>
        <v>10.6</v>
      </c>
      <c r="CA59" s="86">
        <f>'Raw Data'!CA60/10</f>
        <v>11.2</v>
      </c>
      <c r="CB59" s="86">
        <f>'Raw Data'!CB60/10</f>
        <v>10.4</v>
      </c>
      <c r="CC59" s="86">
        <f>'Raw Data'!CC60/10</f>
        <v>12.5</v>
      </c>
      <c r="CD59" s="86">
        <f>'Raw Data'!CD60/10</f>
        <v>10</v>
      </c>
      <c r="CE59" s="86">
        <f>'Raw Data'!CE60/10</f>
        <v>10.8</v>
      </c>
      <c r="CF59" s="86">
        <f>'Raw Data'!CF60/10</f>
        <v>9.4</v>
      </c>
      <c r="CG59" s="86">
        <f>'Raw Data'!CG60/100</f>
        <v>9.86</v>
      </c>
      <c r="CH59" s="86">
        <f>'Raw Data'!CH60/100</f>
        <v>9.31</v>
      </c>
      <c r="CI59" s="86">
        <f>'Raw Data'!CI60/100</f>
        <v>9.5399999999999991</v>
      </c>
      <c r="CJ59" s="86">
        <f>'Raw Data'!CJ60/100</f>
        <v>8.85</v>
      </c>
      <c r="CK59" s="86">
        <f>'Raw Data'!CK60/100</f>
        <v>8.5299999999999994</v>
      </c>
      <c r="CL59" s="86">
        <f>'Raw Data'!CL60/100</f>
        <v>8.56</v>
      </c>
      <c r="CM59" s="86">
        <f>'Raw Data'!CM60/100</f>
        <v>7.96</v>
      </c>
      <c r="CN59" s="86">
        <f>'Raw Data'!CN60/100</f>
        <v>8.2799999999999994</v>
      </c>
      <c r="CO59" s="86">
        <f>'Raw Data'!CO60/100</f>
        <v>7.96</v>
      </c>
      <c r="CP59" s="86">
        <f>'Raw Data'!CP60/100</f>
        <v>7.71</v>
      </c>
      <c r="CQ59" s="86">
        <f>'Raw Data'!CQ60/100</f>
        <v>7.44</v>
      </c>
      <c r="CR59" s="86">
        <f>'Raw Data'!CR60/100</f>
        <v>7.48</v>
      </c>
      <c r="CS59" s="86">
        <f>'Raw Data'!CS60/100</f>
        <v>7.6</v>
      </c>
      <c r="CT59" s="86">
        <f>'Raw Data'!CT60/100</f>
        <v>7.19</v>
      </c>
      <c r="CU59" s="382"/>
    </row>
    <row r="60" spans="4:99" s="86" customFormat="1" x14ac:dyDescent="0.2">
      <c r="D60" s="348"/>
      <c r="E60" s="164"/>
      <c r="F60" s="394"/>
      <c r="G60" s="86">
        <f>'Raw Data'!G61</f>
        <v>8</v>
      </c>
      <c r="H60" s="86">
        <f>'Raw Data'!H61</f>
        <v>6</v>
      </c>
      <c r="I60" s="86">
        <f>'Raw Data'!I61</f>
        <v>10</v>
      </c>
      <c r="J60" s="86">
        <f>'Raw Data'!J61</f>
        <v>11</v>
      </c>
      <c r="K60" s="86">
        <f>'Raw Data'!K61</f>
        <v>8</v>
      </c>
      <c r="L60" s="86">
        <f>'Raw Data'!L61</f>
        <v>5</v>
      </c>
      <c r="M60" s="86">
        <f>'Raw Data'!M61</f>
        <v>6</v>
      </c>
      <c r="N60" s="86">
        <f>'Raw Data'!N61</f>
        <v>6</v>
      </c>
      <c r="O60" s="86">
        <f>'Raw Data'!O61</f>
        <v>6</v>
      </c>
      <c r="P60" s="86">
        <f>'Raw Data'!P61</f>
        <v>8</v>
      </c>
      <c r="Q60" s="86">
        <f>'Raw Data'!Q61</f>
        <v>6</v>
      </c>
      <c r="R60" s="86">
        <f>'Raw Data'!R61</f>
        <v>8</v>
      </c>
      <c r="S60" s="86">
        <f>'Raw Data'!S61</f>
        <v>5</v>
      </c>
      <c r="T60" s="86">
        <f>'Raw Data'!T61</f>
        <v>5</v>
      </c>
      <c r="U60" s="86">
        <f>'Raw Data'!U61</f>
        <v>5</v>
      </c>
      <c r="V60" s="86">
        <f>'Raw Data'!V61</f>
        <v>9</v>
      </c>
      <c r="W60" s="86">
        <f>'Raw Data'!W61</f>
        <v>5</v>
      </c>
      <c r="X60" s="86">
        <f>'Raw Data'!X61</f>
        <v>9</v>
      </c>
      <c r="Y60" s="86">
        <f>'Raw Data'!Y61</f>
        <v>10</v>
      </c>
      <c r="Z60" s="86">
        <f>'Raw Data'!Z61</f>
        <v>6</v>
      </c>
      <c r="AA60" s="86">
        <f>'Raw Data'!AA61/10</f>
        <v>7.3</v>
      </c>
      <c r="AB60" s="86">
        <f>'Raw Data'!AB61/10</f>
        <v>7.4</v>
      </c>
      <c r="AC60" s="86">
        <f>'Raw Data'!AC61/10</f>
        <v>6.9</v>
      </c>
      <c r="AD60" s="86">
        <f>'Raw Data'!AD61/10</f>
        <v>7.5</v>
      </c>
      <c r="AE60" s="86">
        <f>'Raw Data'!AE61/10</f>
        <v>7.5</v>
      </c>
      <c r="AF60" s="86">
        <f>'Raw Data'!AF61/10</f>
        <v>6.9</v>
      </c>
      <c r="AG60" s="86">
        <f>'Raw Data'!AG61/10</f>
        <v>7.3</v>
      </c>
      <c r="AH60" s="86">
        <f>'Raw Data'!AH61/10</f>
        <v>6.5</v>
      </c>
      <c r="AI60" s="86">
        <f>'Raw Data'!AI61/10</f>
        <v>6.8</v>
      </c>
      <c r="AJ60" s="86">
        <f>'Raw Data'!AJ61/10</f>
        <v>6.5</v>
      </c>
      <c r="AK60" s="86">
        <f>'Raw Data'!AK61/10</f>
        <v>6.7</v>
      </c>
      <c r="AL60" s="86">
        <f>'Raw Data'!AL61/10</f>
        <v>6.5</v>
      </c>
      <c r="AM60" s="86">
        <f>'Raw Data'!AM61/10</f>
        <v>6.5</v>
      </c>
      <c r="AN60" s="86">
        <f>'Raw Data'!AN61/10</f>
        <v>6.9</v>
      </c>
      <c r="AO60" s="86">
        <f>'Raw Data'!AO61/10</f>
        <v>8.1</v>
      </c>
      <c r="AP60" s="86">
        <f>'Raw Data'!AP61/10</f>
        <v>7.8</v>
      </c>
      <c r="AQ60" s="86">
        <f>'Raw Data'!AQ61/10</f>
        <v>6.1</v>
      </c>
      <c r="AR60" s="86">
        <f>'Raw Data'!AR61/10</f>
        <v>6.9</v>
      </c>
      <c r="AS60" s="86">
        <f>'Raw Data'!AS61/10</f>
        <v>7.2</v>
      </c>
      <c r="AT60" s="86">
        <f>'Raw Data'!AT61/10</f>
        <v>6.5</v>
      </c>
      <c r="AU60" s="86">
        <f>'Raw Data'!AU61/10</f>
        <v>6.4</v>
      </c>
      <c r="AV60" s="86">
        <f>'Raw Data'!AV61/10</f>
        <v>6</v>
      </c>
      <c r="AW60" s="86">
        <f>'Raw Data'!AW61/10</f>
        <v>6</v>
      </c>
      <c r="AX60" s="86">
        <f>'Raw Data'!AX61/10</f>
        <v>7.3</v>
      </c>
      <c r="AY60" s="86">
        <f>'Raw Data'!AY61/10</f>
        <v>5.5</v>
      </c>
      <c r="AZ60" s="86">
        <f>'Raw Data'!AZ61/10</f>
        <v>6.7</v>
      </c>
      <c r="BA60" s="86">
        <f>'Raw Data'!BA61/10</f>
        <v>8.4</v>
      </c>
      <c r="BB60" s="86">
        <f>'Raw Data'!BB61/10</f>
        <v>6.1</v>
      </c>
      <c r="BC60" s="86">
        <f>'Raw Data'!BC61/10</f>
        <v>6.5</v>
      </c>
      <c r="BD60" s="86">
        <f>'Raw Data'!BD61/10</f>
        <v>5.9</v>
      </c>
      <c r="BE60" s="86">
        <f>'Raw Data'!BE61/10</f>
        <v>6</v>
      </c>
      <c r="BF60" s="86">
        <f>'Raw Data'!BF61/10</f>
        <v>6.1</v>
      </c>
      <c r="BG60" s="86">
        <f>'Raw Data'!BG61/10</f>
        <v>6.5</v>
      </c>
      <c r="BH60" s="86">
        <f>'Raw Data'!BH61/10</f>
        <v>6.3</v>
      </c>
      <c r="BI60" s="86">
        <f>'Raw Data'!BI61/10</f>
        <v>6.4</v>
      </c>
      <c r="BJ60" s="86">
        <f>'Raw Data'!BJ61/10</f>
        <v>6.3</v>
      </c>
      <c r="BK60" s="86">
        <f>'Raw Data'!BK61/10</f>
        <v>6.2</v>
      </c>
      <c r="BL60" s="86">
        <f>'Raw Data'!BL61/10</f>
        <v>5.7</v>
      </c>
      <c r="BM60" s="86">
        <f>'Raw Data'!BM61/10</f>
        <v>5.3</v>
      </c>
      <c r="BN60" s="86">
        <f>'Raw Data'!BN61/10</f>
        <v>5.7</v>
      </c>
      <c r="BO60" s="86">
        <f>'Raw Data'!BO61/10</f>
        <v>5.5</v>
      </c>
      <c r="BP60" s="86">
        <f>'Raw Data'!BP61/10</f>
        <v>6.6</v>
      </c>
      <c r="BQ60" s="86">
        <f>'Raw Data'!BQ61/10</f>
        <v>6.9</v>
      </c>
      <c r="BR60" s="86">
        <f>'Raw Data'!BR61/10</f>
        <v>5.8</v>
      </c>
      <c r="BS60" s="86">
        <f>'Raw Data'!BS61/10</f>
        <v>6.7</v>
      </c>
      <c r="BT60" s="86">
        <f>'Raw Data'!BT61/10</f>
        <v>6.9</v>
      </c>
      <c r="BU60" s="86">
        <f>'Raw Data'!BU61/10</f>
        <v>5.7</v>
      </c>
      <c r="BV60" s="86">
        <f>'Raw Data'!BV61/10</f>
        <v>5.8</v>
      </c>
      <c r="BW60" s="86">
        <f>'Raw Data'!BW61/10</f>
        <v>7.1</v>
      </c>
      <c r="BX60" s="86">
        <f>'Raw Data'!BX61/10</f>
        <v>6</v>
      </c>
      <c r="BY60" s="86">
        <f>'Raw Data'!BY61/10</f>
        <v>5.5</v>
      </c>
      <c r="BZ60" s="86">
        <f>'Raw Data'!BZ61/10</f>
        <v>6.9</v>
      </c>
      <c r="CA60" s="86">
        <f>'Raw Data'!CA61/10</f>
        <v>6.3</v>
      </c>
      <c r="CB60" s="86">
        <f>'Raw Data'!CB61/10</f>
        <v>7.2</v>
      </c>
      <c r="CC60" s="86">
        <f>'Raw Data'!CC61/10</f>
        <v>5.3</v>
      </c>
      <c r="CD60" s="86">
        <f>'Raw Data'!CD61/10</f>
        <v>5.7</v>
      </c>
      <c r="CE60" s="86">
        <f>'Raw Data'!CE61/10</f>
        <v>7.5</v>
      </c>
      <c r="CF60" s="86">
        <f>'Raw Data'!CF61/10</f>
        <v>6.4</v>
      </c>
      <c r="CG60" s="86">
        <f>'Raw Data'!CG61/100</f>
        <v>5.74</v>
      </c>
      <c r="CH60" s="86">
        <f>'Raw Data'!CH61/100</f>
        <v>5.85</v>
      </c>
      <c r="CI60" s="86">
        <f>'Raw Data'!CI61/100</f>
        <v>5.45</v>
      </c>
      <c r="CJ60" s="86">
        <f>'Raw Data'!CJ61/100</f>
        <v>5.91</v>
      </c>
      <c r="CK60" s="86">
        <f>'Raw Data'!CK61/100</f>
        <v>5.65</v>
      </c>
      <c r="CL60" s="86">
        <f>'Raw Data'!CL61/100</f>
        <v>5.55</v>
      </c>
      <c r="CM60" s="86">
        <f>'Raw Data'!CM61/100</f>
        <v>5.68</v>
      </c>
      <c r="CN60" s="86">
        <f>'Raw Data'!CN61/100</f>
        <v>5.73</v>
      </c>
      <c r="CO60" s="86">
        <f>'Raw Data'!CO61/100</f>
        <v>5.66</v>
      </c>
      <c r="CP60" s="86">
        <f>'Raw Data'!CP61/100</f>
        <v>5.62</v>
      </c>
      <c r="CQ60" s="86">
        <f>'Raw Data'!CQ61/100</f>
        <v>5.34</v>
      </c>
      <c r="CR60" s="86">
        <f>'Raw Data'!CR61/100</f>
        <v>5.56</v>
      </c>
      <c r="CS60" s="86">
        <f>'Raw Data'!CS61/100</f>
        <v>5.43</v>
      </c>
      <c r="CT60" s="86">
        <f>'Raw Data'!CT61/100</f>
        <v>5.53</v>
      </c>
      <c r="CU60" s="382"/>
    </row>
    <row r="61" spans="4:99" s="86" customFormat="1" x14ac:dyDescent="0.2">
      <c r="D61" s="348"/>
      <c r="E61" s="164"/>
      <c r="F61" s="394"/>
      <c r="G61" s="86">
        <f>'Raw Data'!G62</f>
        <v>21</v>
      </c>
      <c r="H61" s="86">
        <f>'Raw Data'!H62</f>
        <v>18</v>
      </c>
      <c r="I61" s="86">
        <f>'Raw Data'!I62</f>
        <v>21</v>
      </c>
      <c r="J61" s="86">
        <f>'Raw Data'!J62</f>
        <v>26</v>
      </c>
      <c r="K61" s="86">
        <f>'Raw Data'!K62</f>
        <v>16</v>
      </c>
      <c r="L61" s="86">
        <f>'Raw Data'!L62</f>
        <v>21</v>
      </c>
      <c r="M61" s="86">
        <f>'Raw Data'!M62</f>
        <v>16</v>
      </c>
      <c r="N61" s="86">
        <f>'Raw Data'!N62</f>
        <v>18</v>
      </c>
      <c r="O61" s="86">
        <f>'Raw Data'!O62</f>
        <v>20</v>
      </c>
      <c r="P61" s="86">
        <f>'Raw Data'!P62</f>
        <v>21</v>
      </c>
      <c r="Q61" s="86">
        <f>'Raw Data'!Q62</f>
        <v>24</v>
      </c>
      <c r="R61" s="86">
        <f>'Raw Data'!R62</f>
        <v>19</v>
      </c>
      <c r="S61" s="86">
        <f>'Raw Data'!S62</f>
        <v>25</v>
      </c>
      <c r="T61" s="86">
        <f>'Raw Data'!T62</f>
        <v>22</v>
      </c>
      <c r="U61" s="86">
        <f>'Raw Data'!U62</f>
        <v>19</v>
      </c>
      <c r="V61" s="86">
        <f>'Raw Data'!V62</f>
        <v>19</v>
      </c>
      <c r="W61" s="86">
        <f>'Raw Data'!W62</f>
        <v>23</v>
      </c>
      <c r="X61" s="86">
        <f>'Raw Data'!X62</f>
        <v>20</v>
      </c>
      <c r="Y61" s="86">
        <f>'Raw Data'!Y62</f>
        <v>15</v>
      </c>
      <c r="Z61" s="86">
        <f>'Raw Data'!Z62</f>
        <v>21</v>
      </c>
      <c r="AA61" s="86">
        <f>'Raw Data'!AA62/10</f>
        <v>18.7</v>
      </c>
      <c r="AB61" s="86">
        <f>'Raw Data'!AB62/10</f>
        <v>21.1</v>
      </c>
      <c r="AC61" s="86">
        <f>'Raw Data'!AC62/10</f>
        <v>18.7</v>
      </c>
      <c r="AD61" s="86">
        <f>'Raw Data'!AD62/10</f>
        <v>19.100000000000001</v>
      </c>
      <c r="AE61" s="86">
        <f>'Raw Data'!AE62/10</f>
        <v>20.9</v>
      </c>
      <c r="AF61" s="86">
        <f>'Raw Data'!AF62/10</f>
        <v>18.100000000000001</v>
      </c>
      <c r="AG61" s="86">
        <f>'Raw Data'!AG62/10</f>
        <v>16.2</v>
      </c>
      <c r="AH61" s="86">
        <f>'Raw Data'!AH62/10</f>
        <v>16.600000000000001</v>
      </c>
      <c r="AI61" s="86">
        <f>'Raw Data'!AI62/10</f>
        <v>18</v>
      </c>
      <c r="AJ61" s="86">
        <f>'Raw Data'!AJ62/10</f>
        <v>16.2</v>
      </c>
      <c r="AK61" s="86">
        <f>'Raw Data'!AK62/10</f>
        <v>15.5</v>
      </c>
      <c r="AL61" s="86">
        <f>'Raw Data'!AL62/10</f>
        <v>14.1</v>
      </c>
      <c r="AM61" s="86">
        <f>'Raw Data'!AM62/10</f>
        <v>15.5</v>
      </c>
      <c r="AN61" s="86">
        <f>'Raw Data'!AN62/10</f>
        <v>15.5</v>
      </c>
      <c r="AO61" s="86">
        <f>'Raw Data'!AO62/10</f>
        <v>14.1</v>
      </c>
      <c r="AP61" s="86">
        <f>'Raw Data'!AP62/10</f>
        <v>16.2</v>
      </c>
      <c r="AQ61" s="86">
        <f>'Raw Data'!AQ62/10</f>
        <v>12.7</v>
      </c>
      <c r="AR61" s="86">
        <f>'Raw Data'!AR62/10</f>
        <v>13.6</v>
      </c>
      <c r="AS61" s="86">
        <f>'Raw Data'!AS62/10</f>
        <v>13.1</v>
      </c>
      <c r="AT61" s="86">
        <f>'Raw Data'!AT62/10</f>
        <v>14.5</v>
      </c>
      <c r="AU61" s="86">
        <f>'Raw Data'!AU62/10</f>
        <v>13.7</v>
      </c>
      <c r="AV61" s="86">
        <f>'Raw Data'!AV62/10</f>
        <v>13.2</v>
      </c>
      <c r="AW61" s="86">
        <f>'Raw Data'!AW62/10</f>
        <v>15.5</v>
      </c>
      <c r="AX61" s="86">
        <f>'Raw Data'!AX62/10</f>
        <v>13.3</v>
      </c>
      <c r="AY61" s="86">
        <f>'Raw Data'!AY62/10</f>
        <v>13.1</v>
      </c>
      <c r="AZ61" s="86">
        <f>'Raw Data'!AZ62/10</f>
        <v>12.7</v>
      </c>
      <c r="BA61" s="86">
        <f>'Raw Data'!BA62/10</f>
        <v>12.6</v>
      </c>
      <c r="BB61" s="86">
        <f>'Raw Data'!BB62/10</f>
        <v>12.3</v>
      </c>
      <c r="BC61" s="86">
        <f>'Raw Data'!BC62/10</f>
        <v>12.5</v>
      </c>
      <c r="BD61" s="86">
        <f>'Raw Data'!BD62/10</f>
        <v>12.9</v>
      </c>
      <c r="BE61" s="86">
        <f>'Raw Data'!BE62/10</f>
        <v>12.1</v>
      </c>
      <c r="BF61" s="86">
        <f>'Raw Data'!BF62/10</f>
        <v>11.2</v>
      </c>
      <c r="BG61" s="86">
        <f>'Raw Data'!BG62/10</f>
        <v>10.1</v>
      </c>
      <c r="BH61" s="86">
        <f>'Raw Data'!BH62/10</f>
        <v>11.1</v>
      </c>
      <c r="BI61" s="86">
        <f>'Raw Data'!BI62/10</f>
        <v>11.6</v>
      </c>
      <c r="BJ61" s="86">
        <f>'Raw Data'!BJ62/10</f>
        <v>11.7</v>
      </c>
      <c r="BK61" s="86">
        <f>'Raw Data'!BK62/10</f>
        <v>11.3</v>
      </c>
      <c r="BL61" s="86">
        <f>'Raw Data'!BL62/10</f>
        <v>11.8</v>
      </c>
      <c r="BM61" s="86">
        <f>'Raw Data'!BM62/10</f>
        <v>11.4</v>
      </c>
      <c r="BN61" s="86">
        <f>'Raw Data'!BN62/10</f>
        <v>9.6999999999999993</v>
      </c>
      <c r="BO61" s="86">
        <f>'Raw Data'!BO62/10</f>
        <v>10.9</v>
      </c>
      <c r="BP61" s="86">
        <f>'Raw Data'!BP62/10</f>
        <v>10.1</v>
      </c>
      <c r="BQ61" s="86">
        <f>'Raw Data'!BQ62/10</f>
        <v>10.3</v>
      </c>
      <c r="BR61" s="86">
        <f>'Raw Data'!BR62/10</f>
        <v>9.5</v>
      </c>
      <c r="BS61" s="86">
        <f>'Raw Data'!BS62/10</f>
        <v>10.5</v>
      </c>
      <c r="BT61" s="86">
        <f>'Raw Data'!BT62/10</f>
        <v>10.5</v>
      </c>
      <c r="BU61" s="86">
        <f>'Raw Data'!BU62/10</f>
        <v>10</v>
      </c>
      <c r="BV61" s="86">
        <f>'Raw Data'!BV62/10</f>
        <v>10.1</v>
      </c>
      <c r="BW61" s="86">
        <f>'Raw Data'!BW62/10</f>
        <v>11.1</v>
      </c>
      <c r="BX61" s="86">
        <f>'Raw Data'!BX62/10</f>
        <v>10</v>
      </c>
      <c r="BY61" s="86">
        <f>'Raw Data'!BY62/10</f>
        <v>9.3000000000000007</v>
      </c>
      <c r="BZ61" s="86">
        <f>'Raw Data'!BZ62/10</f>
        <v>8.9</v>
      </c>
      <c r="CA61" s="86">
        <f>'Raw Data'!CA62/10</f>
        <v>9.3000000000000007</v>
      </c>
      <c r="CB61" s="86">
        <f>'Raw Data'!CB62/10</f>
        <v>9.6999999999999993</v>
      </c>
      <c r="CC61" s="86">
        <f>'Raw Data'!CC62/10</f>
        <v>10.9</v>
      </c>
      <c r="CD61" s="86">
        <f>'Raw Data'!CD62/10</f>
        <v>10.6</v>
      </c>
      <c r="CE61" s="86">
        <f>'Raw Data'!CE62/10</f>
        <v>9.3000000000000007</v>
      </c>
      <c r="CF61" s="86">
        <f>'Raw Data'!CF62/10</f>
        <v>9.5</v>
      </c>
      <c r="CG61" s="86">
        <f>'Raw Data'!CG62/100</f>
        <v>9.61</v>
      </c>
      <c r="CH61" s="86">
        <f>'Raw Data'!CH62/100</f>
        <v>8.61</v>
      </c>
      <c r="CI61" s="86">
        <f>'Raw Data'!CI62/100</f>
        <v>8.2899999999999991</v>
      </c>
      <c r="CJ61" s="86">
        <f>'Raw Data'!CJ62/100</f>
        <v>8.35</v>
      </c>
      <c r="CK61" s="86">
        <f>'Raw Data'!CK62/100</f>
        <v>7.83</v>
      </c>
      <c r="CL61" s="86">
        <f>'Raw Data'!CL62/100</f>
        <v>7.87</v>
      </c>
      <c r="CM61" s="86">
        <f>'Raw Data'!CM62/100</f>
        <v>7.73</v>
      </c>
      <c r="CN61" s="86">
        <f>'Raw Data'!CN62/100</f>
        <v>7.65</v>
      </c>
      <c r="CO61" s="86">
        <f>'Raw Data'!CO62/100</f>
        <v>7.22</v>
      </c>
      <c r="CP61" s="86">
        <f>'Raw Data'!CP62/100</f>
        <v>6.84</v>
      </c>
      <c r="CQ61" s="86">
        <f>'Raw Data'!CQ62/100</f>
        <v>7.14</v>
      </c>
      <c r="CR61" s="86">
        <f>'Raw Data'!CR62/100</f>
        <v>6.92</v>
      </c>
      <c r="CS61" s="86">
        <f>'Raw Data'!CS62/100</f>
        <v>7.45</v>
      </c>
      <c r="CT61" s="86">
        <f>'Raw Data'!CT62/100</f>
        <v>6.94</v>
      </c>
      <c r="CU61" s="382"/>
    </row>
    <row r="62" spans="4:99" s="86" customFormat="1" x14ac:dyDescent="0.2">
      <c r="D62" s="348"/>
      <c r="E62" s="164"/>
      <c r="F62" s="394"/>
      <c r="G62" s="86">
        <f>'Raw Data'!G63</f>
        <v>18</v>
      </c>
      <c r="H62" s="86">
        <f>'Raw Data'!H63</f>
        <v>14</v>
      </c>
      <c r="I62" s="86">
        <f>'Raw Data'!I63</f>
        <v>18</v>
      </c>
      <c r="J62" s="86">
        <f>'Raw Data'!J63</f>
        <v>19</v>
      </c>
      <c r="K62" s="86">
        <f>'Raw Data'!K63</f>
        <v>15</v>
      </c>
      <c r="L62" s="86">
        <f>'Raw Data'!L63</f>
        <v>14</v>
      </c>
      <c r="M62" s="86">
        <f>'Raw Data'!M63</f>
        <v>9</v>
      </c>
      <c r="N62" s="86">
        <f>'Raw Data'!N63</f>
        <v>15</v>
      </c>
      <c r="O62" s="86">
        <f>'Raw Data'!O63</f>
        <v>16</v>
      </c>
      <c r="P62" s="86">
        <f>'Raw Data'!P63</f>
        <v>15</v>
      </c>
      <c r="Q62" s="86">
        <f>'Raw Data'!Q63</f>
        <v>19</v>
      </c>
      <c r="R62" s="86">
        <f>'Raw Data'!R63</f>
        <v>18</v>
      </c>
      <c r="S62" s="86">
        <f>'Raw Data'!S63</f>
        <v>12</v>
      </c>
      <c r="T62" s="86">
        <f>'Raw Data'!T63</f>
        <v>17</v>
      </c>
      <c r="U62" s="86">
        <f>'Raw Data'!U63</f>
        <v>14</v>
      </c>
      <c r="V62" s="86">
        <f>'Raw Data'!V63</f>
        <v>14</v>
      </c>
      <c r="W62" s="86">
        <f>'Raw Data'!W63</f>
        <v>13</v>
      </c>
      <c r="X62" s="86">
        <f>'Raw Data'!X63</f>
        <v>15</v>
      </c>
      <c r="Y62" s="86">
        <f>'Raw Data'!Y63</f>
        <v>19</v>
      </c>
      <c r="Z62" s="86">
        <f>'Raw Data'!Z63</f>
        <v>13</v>
      </c>
      <c r="AA62" s="86">
        <f>'Raw Data'!AA63/10</f>
        <v>17.100000000000001</v>
      </c>
      <c r="AB62" s="86">
        <f>'Raw Data'!AB63/10</f>
        <v>13.9</v>
      </c>
      <c r="AC62" s="86">
        <f>'Raw Data'!AC63/10</f>
        <v>14.5</v>
      </c>
      <c r="AD62" s="86">
        <f>'Raw Data'!AD63/10</f>
        <v>13.5</v>
      </c>
      <c r="AE62" s="86">
        <f>'Raw Data'!AE63/10</f>
        <v>13.9</v>
      </c>
      <c r="AF62" s="86">
        <f>'Raw Data'!AF63/10</f>
        <v>14</v>
      </c>
      <c r="AG62" s="86">
        <f>'Raw Data'!AG63/10</f>
        <v>12.2</v>
      </c>
      <c r="AH62" s="86">
        <f>'Raw Data'!AH63/10</f>
        <v>12.9</v>
      </c>
      <c r="AI62" s="86">
        <f>'Raw Data'!AI63/10</f>
        <v>14.1</v>
      </c>
      <c r="AJ62" s="86">
        <f>'Raw Data'!AJ63/10</f>
        <v>11.4</v>
      </c>
      <c r="AK62" s="86">
        <f>'Raw Data'!AK63/10</f>
        <v>13.1</v>
      </c>
      <c r="AL62" s="86">
        <f>'Raw Data'!AL63/10</f>
        <v>11.3</v>
      </c>
      <c r="AM62" s="86">
        <f>'Raw Data'!AM63/10</f>
        <v>12.2</v>
      </c>
      <c r="AN62" s="86">
        <f>'Raw Data'!AN63/10</f>
        <v>11.9</v>
      </c>
      <c r="AO62" s="86">
        <f>'Raw Data'!AO63/10</f>
        <v>12</v>
      </c>
      <c r="AP62" s="86">
        <f>'Raw Data'!AP63/10</f>
        <v>11.3</v>
      </c>
      <c r="AQ62" s="86">
        <f>'Raw Data'!AQ63/10</f>
        <v>10.7</v>
      </c>
      <c r="AR62" s="86">
        <f>'Raw Data'!AR63/10</f>
        <v>11.2</v>
      </c>
      <c r="AS62" s="86">
        <f>'Raw Data'!AS63/10</f>
        <v>9.5</v>
      </c>
      <c r="AT62" s="86">
        <f>'Raw Data'!AT63/10</f>
        <v>10.7</v>
      </c>
      <c r="AU62" s="86">
        <f>'Raw Data'!AU63/10</f>
        <v>10.9</v>
      </c>
      <c r="AV62" s="86">
        <f>'Raw Data'!AV63/10</f>
        <v>9.5</v>
      </c>
      <c r="AW62" s="86">
        <f>'Raw Data'!AW63/10</f>
        <v>11.4</v>
      </c>
      <c r="AX62" s="86">
        <f>'Raw Data'!AX63/10</f>
        <v>10.4</v>
      </c>
      <c r="AY62" s="86">
        <f>'Raw Data'!AY63/10</f>
        <v>10</v>
      </c>
      <c r="AZ62" s="86">
        <f>'Raw Data'!AZ63/10</f>
        <v>9.1</v>
      </c>
      <c r="BA62" s="86">
        <f>'Raw Data'!BA63/10</f>
        <v>8.8000000000000007</v>
      </c>
      <c r="BB62" s="86">
        <f>'Raw Data'!BB63/10</f>
        <v>11.1</v>
      </c>
      <c r="BC62" s="86">
        <f>'Raw Data'!BC63/10</f>
        <v>8.8000000000000007</v>
      </c>
      <c r="BD62" s="86">
        <f>'Raw Data'!BD63/10</f>
        <v>9.6999999999999993</v>
      </c>
      <c r="BE62" s="86">
        <f>'Raw Data'!BE63/10</f>
        <v>9.6</v>
      </c>
      <c r="BF62" s="86">
        <f>'Raw Data'!BF63/10</f>
        <v>9.5</v>
      </c>
      <c r="BG62" s="86">
        <f>'Raw Data'!BG63/10</f>
        <v>8.9</v>
      </c>
      <c r="BH62" s="86">
        <f>'Raw Data'!BH63/10</f>
        <v>9</v>
      </c>
      <c r="BI62" s="86">
        <f>'Raw Data'!BI63/10</f>
        <v>8.6999999999999993</v>
      </c>
      <c r="BJ62" s="86">
        <f>'Raw Data'!BJ63/10</f>
        <v>8.6999999999999993</v>
      </c>
      <c r="BK62" s="86">
        <f>'Raw Data'!BK63/10</f>
        <v>8.1</v>
      </c>
      <c r="BL62" s="86">
        <f>'Raw Data'!BL63/10</f>
        <v>8.9</v>
      </c>
      <c r="BM62" s="86">
        <f>'Raw Data'!BM63/10</f>
        <v>9</v>
      </c>
      <c r="BN62" s="86">
        <f>'Raw Data'!BN63/10</f>
        <v>7.7</v>
      </c>
      <c r="BO62" s="86">
        <f>'Raw Data'!BO63/10</f>
        <v>8.1</v>
      </c>
      <c r="BP62" s="86">
        <f>'Raw Data'!BP63/10</f>
        <v>8.5</v>
      </c>
      <c r="BQ62" s="86">
        <f>'Raw Data'!BQ63/10</f>
        <v>9.1999999999999993</v>
      </c>
      <c r="BR62" s="86">
        <f>'Raw Data'!BR63/10</f>
        <v>9.6999999999999993</v>
      </c>
      <c r="BS62" s="86">
        <f>'Raw Data'!BS63/10</f>
        <v>9.4</v>
      </c>
      <c r="BT62" s="86">
        <f>'Raw Data'!BT63/10</f>
        <v>7.6</v>
      </c>
      <c r="BU62" s="86">
        <f>'Raw Data'!BU63/10</f>
        <v>8.6999999999999993</v>
      </c>
      <c r="BV62" s="86">
        <f>'Raw Data'!BV63/10</f>
        <v>9.8000000000000007</v>
      </c>
      <c r="BW62" s="86">
        <f>'Raw Data'!BW63/10</f>
        <v>9.5</v>
      </c>
      <c r="BX62" s="86">
        <f>'Raw Data'!BX63/10</f>
        <v>7.8</v>
      </c>
      <c r="BY62" s="86">
        <f>'Raw Data'!BY63/10</f>
        <v>7.6</v>
      </c>
      <c r="BZ62" s="86">
        <f>'Raw Data'!BZ63/10</f>
        <v>8.5</v>
      </c>
      <c r="CA62" s="86">
        <f>'Raw Data'!CA63/10</f>
        <v>5.6</v>
      </c>
      <c r="CB62" s="86">
        <f>'Raw Data'!CB63/10</f>
        <v>8.4</v>
      </c>
      <c r="CC62" s="86">
        <f>'Raw Data'!CC63/10</f>
        <v>7.9</v>
      </c>
      <c r="CD62" s="86">
        <f>'Raw Data'!CD63/10</f>
        <v>8.1</v>
      </c>
      <c r="CE62" s="86">
        <f>'Raw Data'!CE63/10</f>
        <v>7.5</v>
      </c>
      <c r="CF62" s="86">
        <f>'Raw Data'!CF63/10</f>
        <v>8.1</v>
      </c>
      <c r="CG62" s="86">
        <f>'Raw Data'!CG63/100</f>
        <v>7.54</v>
      </c>
      <c r="CH62" s="86">
        <f>'Raw Data'!CH63/100</f>
        <v>7.44</v>
      </c>
      <c r="CI62" s="86">
        <f>'Raw Data'!CI63/100</f>
        <v>6.99</v>
      </c>
      <c r="CJ62" s="86">
        <f>'Raw Data'!CJ63/100</f>
        <v>7.29</v>
      </c>
      <c r="CK62" s="86">
        <f>'Raw Data'!CK63/100</f>
        <v>6.98</v>
      </c>
      <c r="CL62" s="86">
        <f>'Raw Data'!CL63/100</f>
        <v>6.65</v>
      </c>
      <c r="CM62" s="86">
        <f>'Raw Data'!CM63/100</f>
        <v>6.14</v>
      </c>
      <c r="CN62" s="86">
        <f>'Raw Data'!CN63/100</f>
        <v>6.55</v>
      </c>
      <c r="CO62" s="86">
        <f>'Raw Data'!CO63/100</f>
        <v>6.09</v>
      </c>
      <c r="CP62" s="86">
        <f>'Raw Data'!CP63/100</f>
        <v>5.75</v>
      </c>
      <c r="CQ62" s="86">
        <f>'Raw Data'!CQ63/100</f>
        <v>6.25</v>
      </c>
      <c r="CR62" s="86">
        <f>'Raw Data'!CR63/100</f>
        <v>6.34</v>
      </c>
      <c r="CS62" s="86">
        <f>'Raw Data'!CS63/100</f>
        <v>5.86</v>
      </c>
      <c r="CT62" s="86">
        <f>'Raw Data'!CT63/100</f>
        <v>6</v>
      </c>
      <c r="CU62" s="382"/>
    </row>
    <row r="63" spans="4:99" s="86" customFormat="1" x14ac:dyDescent="0.2">
      <c r="D63" s="350"/>
      <c r="E63" s="381"/>
      <c r="F63" s="395"/>
      <c r="G63" s="87">
        <f>'Raw Data'!G64</f>
        <v>23</v>
      </c>
      <c r="H63" s="87">
        <f>'Raw Data'!H64</f>
        <v>18</v>
      </c>
      <c r="I63" s="87">
        <f>'Raw Data'!I64</f>
        <v>19</v>
      </c>
      <c r="J63" s="87">
        <f>'Raw Data'!J64</f>
        <v>20</v>
      </c>
      <c r="K63" s="87">
        <f>'Raw Data'!K64</f>
        <v>17</v>
      </c>
      <c r="L63" s="87">
        <f>'Raw Data'!L64</f>
        <v>18</v>
      </c>
      <c r="M63" s="87">
        <f>'Raw Data'!M64</f>
        <v>20</v>
      </c>
      <c r="N63" s="87">
        <f>'Raw Data'!N64</f>
        <v>17</v>
      </c>
      <c r="O63" s="87">
        <f>'Raw Data'!O64</f>
        <v>19</v>
      </c>
      <c r="P63" s="87">
        <f>'Raw Data'!P64</f>
        <v>17</v>
      </c>
      <c r="Q63" s="87">
        <f>'Raw Data'!Q64</f>
        <v>22</v>
      </c>
      <c r="R63" s="87">
        <f>'Raw Data'!R64</f>
        <v>18</v>
      </c>
      <c r="S63" s="87">
        <f>'Raw Data'!S64</f>
        <v>17</v>
      </c>
      <c r="T63" s="87">
        <f>'Raw Data'!T64</f>
        <v>18</v>
      </c>
      <c r="U63" s="87">
        <f>'Raw Data'!U64</f>
        <v>21</v>
      </c>
      <c r="V63" s="87">
        <f>'Raw Data'!V64</f>
        <v>18</v>
      </c>
      <c r="W63" s="87">
        <f>'Raw Data'!W64</f>
        <v>19</v>
      </c>
      <c r="X63" s="87">
        <f>'Raw Data'!X64</f>
        <v>14</v>
      </c>
      <c r="Y63" s="87">
        <f>'Raw Data'!Y64</f>
        <v>18</v>
      </c>
      <c r="Z63" s="87">
        <f>'Raw Data'!Z64</f>
        <v>25</v>
      </c>
      <c r="AA63" s="87">
        <f>'Raw Data'!AA64/10</f>
        <v>18.600000000000001</v>
      </c>
      <c r="AB63" s="87">
        <f>'Raw Data'!AB64/10</f>
        <v>17.399999999999999</v>
      </c>
      <c r="AC63" s="87">
        <f>'Raw Data'!AC64/10</f>
        <v>18.3</v>
      </c>
      <c r="AD63" s="87">
        <f>'Raw Data'!AD64/10</f>
        <v>16.899999999999999</v>
      </c>
      <c r="AE63" s="87">
        <f>'Raw Data'!AE64/10</f>
        <v>16</v>
      </c>
      <c r="AF63" s="87">
        <f>'Raw Data'!AF64/10</f>
        <v>16.100000000000001</v>
      </c>
      <c r="AG63" s="87">
        <f>'Raw Data'!AG64/10</f>
        <v>18.3</v>
      </c>
      <c r="AH63" s="87">
        <f>'Raw Data'!AH64/10</f>
        <v>17.3</v>
      </c>
      <c r="AI63" s="87">
        <f>'Raw Data'!AI64/10</f>
        <v>17</v>
      </c>
      <c r="AJ63" s="87">
        <f>'Raw Data'!AJ64/10</f>
        <v>16.7</v>
      </c>
      <c r="AK63" s="87">
        <f>'Raw Data'!AK64/10</f>
        <v>15.2</v>
      </c>
      <c r="AL63" s="87">
        <f>'Raw Data'!AL64/10</f>
        <v>15.3</v>
      </c>
      <c r="AM63" s="87">
        <f>'Raw Data'!AM64/10</f>
        <v>15</v>
      </c>
      <c r="AN63" s="87">
        <f>'Raw Data'!AN64/10</f>
        <v>14.6</v>
      </c>
      <c r="AO63" s="87">
        <f>'Raw Data'!AO64/10</f>
        <v>15.4</v>
      </c>
      <c r="AP63" s="87">
        <f>'Raw Data'!AP64/10</f>
        <v>12.9</v>
      </c>
      <c r="AQ63" s="87">
        <f>'Raw Data'!AQ64/10</f>
        <v>13.7</v>
      </c>
      <c r="AR63" s="87">
        <f>'Raw Data'!AR64/10</f>
        <v>14.1</v>
      </c>
      <c r="AS63" s="87">
        <f>'Raw Data'!AS64/10</f>
        <v>13.1</v>
      </c>
      <c r="AT63" s="87">
        <f>'Raw Data'!AT64/10</f>
        <v>11.2</v>
      </c>
      <c r="AU63" s="87">
        <f>'Raw Data'!AU64/10</f>
        <v>12.8</v>
      </c>
      <c r="AV63" s="87">
        <f>'Raw Data'!AV64/10</f>
        <v>11.3</v>
      </c>
      <c r="AW63" s="87">
        <f>'Raw Data'!AW64/10</f>
        <v>12.8</v>
      </c>
      <c r="AX63" s="87">
        <f>'Raw Data'!AX64/10</f>
        <v>12.5</v>
      </c>
      <c r="AY63" s="87">
        <f>'Raw Data'!AY64/10</f>
        <v>10.5</v>
      </c>
      <c r="AZ63" s="87">
        <f>'Raw Data'!AZ64/10</f>
        <v>12</v>
      </c>
      <c r="BA63" s="87">
        <f>'Raw Data'!BA64/10</f>
        <v>12.2</v>
      </c>
      <c r="BB63" s="87">
        <f>'Raw Data'!BB64/10</f>
        <v>11.6</v>
      </c>
      <c r="BC63" s="87">
        <f>'Raw Data'!BC64/10</f>
        <v>11.4</v>
      </c>
      <c r="BD63" s="87">
        <f>'Raw Data'!BD64/10</f>
        <v>12.4</v>
      </c>
      <c r="BE63" s="87">
        <f>'Raw Data'!BE64/10</f>
        <v>10.3</v>
      </c>
      <c r="BF63" s="87">
        <f>'Raw Data'!BF64/10</f>
        <v>11.2</v>
      </c>
      <c r="BG63" s="87">
        <f>'Raw Data'!BG64/10</f>
        <v>10.5</v>
      </c>
      <c r="BH63" s="87">
        <f>'Raw Data'!BH64/10</f>
        <v>11</v>
      </c>
      <c r="BI63" s="87">
        <f>'Raw Data'!BI64/10</f>
        <v>11.7</v>
      </c>
      <c r="BJ63" s="87">
        <f>'Raw Data'!BJ64/10</f>
        <v>10.7</v>
      </c>
      <c r="BK63" s="87">
        <f>'Raw Data'!BK64/10</f>
        <v>10.3</v>
      </c>
      <c r="BL63" s="87">
        <f>'Raw Data'!BL64/10</f>
        <v>10.7</v>
      </c>
      <c r="BM63" s="87">
        <f>'Raw Data'!BM64/10</f>
        <v>10.8</v>
      </c>
      <c r="BN63" s="87">
        <f>'Raw Data'!BN64/10</f>
        <v>12.9</v>
      </c>
      <c r="BO63" s="87">
        <f>'Raw Data'!BO64/10</f>
        <v>9.4</v>
      </c>
      <c r="BP63" s="87">
        <f>'Raw Data'!BP64/10</f>
        <v>10.7</v>
      </c>
      <c r="BQ63" s="87">
        <f>'Raw Data'!BQ64/10</f>
        <v>10.8</v>
      </c>
      <c r="BR63" s="87">
        <f>'Raw Data'!BR64/10</f>
        <v>9.6999999999999993</v>
      </c>
      <c r="BS63" s="87">
        <f>'Raw Data'!BS64/10</f>
        <v>9.4</v>
      </c>
      <c r="BT63" s="87">
        <f>'Raw Data'!BT64/10</f>
        <v>8.4</v>
      </c>
      <c r="BU63" s="87">
        <f>'Raw Data'!BU64/10</f>
        <v>8.9</v>
      </c>
      <c r="BV63" s="87">
        <f>'Raw Data'!BV64/10</f>
        <v>8.6</v>
      </c>
      <c r="BW63" s="87">
        <f>'Raw Data'!BW64/10</f>
        <v>9.8000000000000007</v>
      </c>
      <c r="BX63" s="87">
        <f>'Raw Data'!BX64/10</f>
        <v>9.1999999999999993</v>
      </c>
      <c r="BY63" s="87">
        <f>'Raw Data'!BY64/10</f>
        <v>8.8000000000000007</v>
      </c>
      <c r="BZ63" s="87">
        <f>'Raw Data'!BZ64/10</f>
        <v>8.1</v>
      </c>
      <c r="CA63" s="87">
        <f>'Raw Data'!CA64/10</f>
        <v>8.1999999999999993</v>
      </c>
      <c r="CB63" s="87">
        <f>'Raw Data'!CB64/10</f>
        <v>9.5</v>
      </c>
      <c r="CC63" s="87">
        <f>'Raw Data'!CC64/10</f>
        <v>10</v>
      </c>
      <c r="CD63" s="87">
        <f>'Raw Data'!CD64/10</f>
        <v>8.6</v>
      </c>
      <c r="CE63" s="87">
        <f>'Raw Data'!CE64/10</f>
        <v>8.5</v>
      </c>
      <c r="CF63" s="87">
        <f>'Raw Data'!CF64/10</f>
        <v>8.3000000000000007</v>
      </c>
      <c r="CG63" s="87">
        <f>'Raw Data'!CG64/100</f>
        <v>8.43</v>
      </c>
      <c r="CH63" s="87">
        <f>'Raw Data'!CH64/100</f>
        <v>8.1999999999999993</v>
      </c>
      <c r="CI63" s="87">
        <f>'Raw Data'!CI64/100</f>
        <v>7.55</v>
      </c>
      <c r="CJ63" s="87">
        <f>'Raw Data'!CJ64/100</f>
        <v>7.03</v>
      </c>
      <c r="CK63" s="87">
        <f>'Raw Data'!CK64/100</f>
        <v>7.28</v>
      </c>
      <c r="CL63" s="87">
        <f>'Raw Data'!CL64/100</f>
        <v>7.14</v>
      </c>
      <c r="CM63" s="87">
        <f>'Raw Data'!CM64/100</f>
        <v>6.86</v>
      </c>
      <c r="CN63" s="87">
        <f>'Raw Data'!CN64/100</f>
        <v>6.87</v>
      </c>
      <c r="CO63" s="87">
        <f>'Raw Data'!CO64/100</f>
        <v>6.35</v>
      </c>
      <c r="CP63" s="87">
        <f>'Raw Data'!CP64/100</f>
        <v>6.92</v>
      </c>
      <c r="CQ63" s="87">
        <f>'Raw Data'!CQ64/100</f>
        <v>6.53</v>
      </c>
      <c r="CR63" s="87">
        <f>'Raw Data'!CR64/100</f>
        <v>6.59</v>
      </c>
      <c r="CS63" s="87">
        <f>'Raw Data'!CS64/100</f>
        <v>6.64</v>
      </c>
      <c r="CT63" s="87">
        <f>'Raw Data'!CT64/100</f>
        <v>6.14</v>
      </c>
      <c r="CU63" s="382"/>
    </row>
    <row r="64" spans="4:99" s="86" customFormat="1" x14ac:dyDescent="0.2">
      <c r="D64" s="376"/>
      <c r="E64" s="164"/>
      <c r="F64" s="394"/>
      <c r="G64" s="83">
        <f>'Raw Data'!G65</f>
        <v>903</v>
      </c>
      <c r="H64" s="83">
        <f>'Raw Data'!H65</f>
        <v>933</v>
      </c>
      <c r="I64" s="83">
        <f>'Raw Data'!I65</f>
        <v>935</v>
      </c>
      <c r="J64" s="83">
        <f>'Raw Data'!J65</f>
        <v>876</v>
      </c>
      <c r="K64" s="83">
        <f>'Raw Data'!K65</f>
        <v>889</v>
      </c>
      <c r="L64" s="83">
        <f>'Raw Data'!L65</f>
        <v>916</v>
      </c>
      <c r="M64" s="83">
        <f>'Raw Data'!M65</f>
        <v>901</v>
      </c>
      <c r="N64" s="83">
        <f>'Raw Data'!N65</f>
        <v>888</v>
      </c>
      <c r="O64" s="83">
        <f>'Raw Data'!O65</f>
        <v>862</v>
      </c>
      <c r="P64" s="83">
        <f>'Raw Data'!P65</f>
        <v>878</v>
      </c>
      <c r="Q64" s="83">
        <f>'Raw Data'!Q65</f>
        <v>889</v>
      </c>
      <c r="R64" s="83">
        <f>'Raw Data'!R65</f>
        <v>894</v>
      </c>
      <c r="S64" s="83">
        <f>'Raw Data'!S65</f>
        <v>854</v>
      </c>
      <c r="T64" s="83">
        <f>'Raw Data'!T65</f>
        <v>868</v>
      </c>
      <c r="U64" s="83">
        <f>'Raw Data'!U65</f>
        <v>883</v>
      </c>
      <c r="V64" s="83">
        <f>'Raw Data'!V65</f>
        <v>888</v>
      </c>
      <c r="W64" s="83">
        <f>'Raw Data'!W65</f>
        <v>842</v>
      </c>
      <c r="X64" s="83">
        <f>'Raw Data'!X65</f>
        <v>867</v>
      </c>
      <c r="Y64" s="83">
        <f>'Raw Data'!Y65</f>
        <v>885</v>
      </c>
      <c r="Z64" s="83">
        <f>'Raw Data'!Z65</f>
        <v>873</v>
      </c>
      <c r="AA64" s="83">
        <f>'Raw Data'!AA65/10</f>
        <v>830.8</v>
      </c>
      <c r="AB64" s="83">
        <f>'Raw Data'!AB65/10</f>
        <v>788.7</v>
      </c>
      <c r="AC64" s="83">
        <f>'Raw Data'!AC65/10</f>
        <v>749.7</v>
      </c>
      <c r="AD64" s="83">
        <f>'Raw Data'!AD65/10</f>
        <v>708.8</v>
      </c>
      <c r="AE64" s="83">
        <f>'Raw Data'!AE65/10</f>
        <v>675.7</v>
      </c>
      <c r="AF64" s="83">
        <f>'Raw Data'!AF65/10</f>
        <v>637.4</v>
      </c>
      <c r="AG64" s="83">
        <f>'Raw Data'!AG65/10</f>
        <v>605.4</v>
      </c>
      <c r="AH64" s="83">
        <f>'Raw Data'!AH65/10</f>
        <v>565.29999999999995</v>
      </c>
      <c r="AI64" s="83">
        <f>'Raw Data'!AI65/10</f>
        <v>542.20000000000005</v>
      </c>
      <c r="AJ64" s="83">
        <f>'Raw Data'!AJ65/10</f>
        <v>523.79999999999995</v>
      </c>
      <c r="AK64" s="83">
        <f>'Raw Data'!AK65/10</f>
        <v>488.4</v>
      </c>
      <c r="AL64" s="83">
        <f>'Raw Data'!AL65/10</f>
        <v>477.7</v>
      </c>
      <c r="AM64" s="83">
        <f>'Raw Data'!AM65/10</f>
        <v>457</v>
      </c>
      <c r="AN64" s="83">
        <f>'Raw Data'!AN65/10</f>
        <v>438.4</v>
      </c>
      <c r="AO64" s="83">
        <f>'Raw Data'!AO65/10</f>
        <v>421.6</v>
      </c>
      <c r="AP64" s="83">
        <f>'Raw Data'!AP65/10</f>
        <v>403</v>
      </c>
      <c r="AQ64" s="83">
        <f>'Raw Data'!AQ65/10</f>
        <v>382.1</v>
      </c>
      <c r="AR64" s="83">
        <f>'Raw Data'!AR65/10</f>
        <v>376.7</v>
      </c>
      <c r="AS64" s="83">
        <f>'Raw Data'!AS65/10</f>
        <v>355.1</v>
      </c>
      <c r="AT64" s="83">
        <f>'Raw Data'!AT65/10</f>
        <v>345.1</v>
      </c>
      <c r="AU64" s="83">
        <f>'Raw Data'!AU65/10</f>
        <v>329.9</v>
      </c>
      <c r="AV64" s="83">
        <f>'Raw Data'!AV65/10</f>
        <v>320.10000000000002</v>
      </c>
      <c r="AW64" s="83">
        <f>'Raw Data'!AW65/10</f>
        <v>307.3</v>
      </c>
      <c r="AX64" s="83">
        <f>'Raw Data'!AX65/10</f>
        <v>294.7</v>
      </c>
      <c r="AY64" s="83">
        <f>'Raw Data'!AY65/10</f>
        <v>290.2</v>
      </c>
      <c r="AZ64" s="83">
        <f>'Raw Data'!AZ65/10</f>
        <v>275.89999999999998</v>
      </c>
      <c r="BA64" s="83">
        <f>'Raw Data'!BA65/10</f>
        <v>264.7</v>
      </c>
      <c r="BB64" s="83">
        <f>'Raw Data'!BB65/10</f>
        <v>261.10000000000002</v>
      </c>
      <c r="BC64" s="83">
        <f>'Raw Data'!BC65/10</f>
        <v>251.7</v>
      </c>
      <c r="BD64" s="83">
        <f>'Raw Data'!BD65/10</f>
        <v>250.2</v>
      </c>
      <c r="BE64" s="83">
        <f>'Raw Data'!BE65/10</f>
        <v>241.4</v>
      </c>
      <c r="BF64" s="83">
        <f>'Raw Data'!BF65/10</f>
        <v>232.1</v>
      </c>
      <c r="BG64" s="83">
        <f>'Raw Data'!BG65/10</f>
        <v>225.2</v>
      </c>
      <c r="BH64" s="83">
        <f>'Raw Data'!BH65/10</f>
        <v>215.2</v>
      </c>
      <c r="BI64" s="83">
        <f>'Raw Data'!BI65/10</f>
        <v>211.5</v>
      </c>
      <c r="BJ64" s="83">
        <f>'Raw Data'!BJ65/10</f>
        <v>204.9</v>
      </c>
      <c r="BK64" s="83">
        <f>'Raw Data'!BK65/10</f>
        <v>200.3</v>
      </c>
      <c r="BL64" s="83">
        <f>'Raw Data'!BL65/10</f>
        <v>192.1</v>
      </c>
      <c r="BM64" s="83">
        <f>'Raw Data'!BM65/10</f>
        <v>186.5</v>
      </c>
      <c r="BN64" s="83">
        <f>'Raw Data'!BN65/10</f>
        <v>185.2</v>
      </c>
      <c r="BO64" s="83">
        <f>'Raw Data'!BO65/10</f>
        <v>184.3</v>
      </c>
      <c r="BP64" s="83">
        <f>'Raw Data'!BP65/10</f>
        <v>180.4</v>
      </c>
      <c r="BQ64" s="83">
        <f>'Raw Data'!BQ65/10</f>
        <v>177.3</v>
      </c>
      <c r="BR64" s="83">
        <f>'Raw Data'!BR65/10</f>
        <v>171.5</v>
      </c>
      <c r="BS64" s="83">
        <f>'Raw Data'!BS65/10</f>
        <v>166.4</v>
      </c>
      <c r="BT64" s="83">
        <f>'Raw Data'!BT65/10</f>
        <v>162.69999999999999</v>
      </c>
      <c r="BU64" s="83">
        <f>'Raw Data'!BU65/10</f>
        <v>157</v>
      </c>
      <c r="BV64" s="83">
        <f>'Raw Data'!BV65/10</f>
        <v>156.4</v>
      </c>
      <c r="BW64" s="83">
        <f>'Raw Data'!BW65/10</f>
        <v>146</v>
      </c>
      <c r="BX64" s="83">
        <f>'Raw Data'!BX65/10</f>
        <v>149.30000000000001</v>
      </c>
      <c r="BY64" s="83">
        <f>'Raw Data'!BY65/10</f>
        <v>151.6</v>
      </c>
      <c r="BZ64" s="83">
        <f>'Raw Data'!BZ65/10</f>
        <v>144.19999999999999</v>
      </c>
      <c r="CA64" s="83">
        <f>'Raw Data'!CA65/10</f>
        <v>138</v>
      </c>
      <c r="CB64" s="83">
        <f>'Raw Data'!CB65/10</f>
        <v>140.30000000000001</v>
      </c>
      <c r="CC64" s="83">
        <f>'Raw Data'!CC65/10</f>
        <v>136.5</v>
      </c>
      <c r="CD64" s="83">
        <f>'Raw Data'!CD65/10</f>
        <v>131.80000000000001</v>
      </c>
      <c r="CE64" s="83">
        <f>'Raw Data'!CE65/10</f>
        <v>123.5</v>
      </c>
      <c r="CF64" s="83">
        <f>'Raw Data'!CF65/10</f>
        <v>131.30000000000001</v>
      </c>
      <c r="CG64" s="83">
        <f>'Raw Data'!CG65/100</f>
        <v>118.56</v>
      </c>
      <c r="CH64" s="83">
        <f>'Raw Data'!CH65/100</f>
        <v>101.89</v>
      </c>
      <c r="CI64" s="83">
        <f>'Raw Data'!CI65/100</f>
        <v>90.06</v>
      </c>
      <c r="CJ64" s="83">
        <f>'Raw Data'!CJ65/100</f>
        <v>80.75</v>
      </c>
      <c r="CK64" s="83">
        <f>'Raw Data'!CK65/100</f>
        <v>74.59</v>
      </c>
      <c r="CL64" s="83">
        <f>'Raw Data'!CL65/100</f>
        <v>65.13</v>
      </c>
      <c r="CM64" s="83">
        <f>'Raw Data'!CM65/100</f>
        <v>62.87</v>
      </c>
      <c r="CN64" s="83">
        <f>'Raw Data'!CN65/100</f>
        <v>58.33</v>
      </c>
      <c r="CO64" s="83">
        <f>'Raw Data'!CO65/100</f>
        <v>55.5</v>
      </c>
      <c r="CP64" s="83">
        <f>'Raw Data'!CP65/100</f>
        <v>51.9</v>
      </c>
      <c r="CQ64" s="83">
        <f>'Raw Data'!CQ65/100</f>
        <v>49.31</v>
      </c>
      <c r="CR64" s="83">
        <f>'Raw Data'!CR65/100</f>
        <v>47.75</v>
      </c>
      <c r="CS64" s="83">
        <f>'Raw Data'!CS65/100</f>
        <v>45.36</v>
      </c>
      <c r="CT64" s="83">
        <f>'Raw Data'!CT65/100</f>
        <v>43.7</v>
      </c>
      <c r="CU64" s="382"/>
    </row>
    <row r="65" spans="4:99" s="86" customFormat="1" x14ac:dyDescent="0.2">
      <c r="D65" s="376"/>
      <c r="E65" s="164"/>
      <c r="F65" s="394"/>
      <c r="G65" s="83">
        <f>'Raw Data'!G66</f>
        <v>1308</v>
      </c>
      <c r="H65" s="83">
        <f>'Raw Data'!H66</f>
        <v>1298</v>
      </c>
      <c r="I65" s="83">
        <f>'Raw Data'!I66</f>
        <v>1242</v>
      </c>
      <c r="J65" s="83">
        <f>'Raw Data'!J66</f>
        <v>1309</v>
      </c>
      <c r="K65" s="83">
        <f>'Raw Data'!K66</f>
        <v>1233</v>
      </c>
      <c r="L65" s="83">
        <f>'Raw Data'!L66</f>
        <v>1234</v>
      </c>
      <c r="M65" s="83">
        <f>'Raw Data'!M66</f>
        <v>1272</v>
      </c>
      <c r="N65" s="83">
        <f>'Raw Data'!N66</f>
        <v>1193</v>
      </c>
      <c r="O65" s="83">
        <f>'Raw Data'!O66</f>
        <v>1244</v>
      </c>
      <c r="P65" s="83">
        <f>'Raw Data'!P66</f>
        <v>1233</v>
      </c>
      <c r="Q65" s="83">
        <f>'Raw Data'!Q66</f>
        <v>1254</v>
      </c>
      <c r="R65" s="83">
        <f>'Raw Data'!R66</f>
        <v>1269</v>
      </c>
      <c r="S65" s="83">
        <f>'Raw Data'!S66</f>
        <v>1187</v>
      </c>
      <c r="T65" s="83">
        <f>'Raw Data'!T66</f>
        <v>1179</v>
      </c>
      <c r="U65" s="83">
        <f>'Raw Data'!U66</f>
        <v>1207</v>
      </c>
      <c r="V65" s="83">
        <f>'Raw Data'!V66</f>
        <v>1211</v>
      </c>
      <c r="W65" s="83">
        <f>'Raw Data'!W66</f>
        <v>1211</v>
      </c>
      <c r="X65" s="83">
        <f>'Raw Data'!X66</f>
        <v>1152</v>
      </c>
      <c r="Y65" s="83">
        <f>'Raw Data'!Y66</f>
        <v>1225</v>
      </c>
      <c r="Z65" s="83">
        <f>'Raw Data'!Z66</f>
        <v>1188</v>
      </c>
      <c r="AA65" s="83">
        <f>'Raw Data'!AA66/10</f>
        <v>1169.5999999999999</v>
      </c>
      <c r="AB65" s="83">
        <f>'Raw Data'!AB66/10</f>
        <v>1101.2</v>
      </c>
      <c r="AC65" s="83">
        <f>'Raw Data'!AC66/10</f>
        <v>1042.5</v>
      </c>
      <c r="AD65" s="83">
        <f>'Raw Data'!AD66/10</f>
        <v>989.3</v>
      </c>
      <c r="AE65" s="83">
        <f>'Raw Data'!AE66/10</f>
        <v>930.6</v>
      </c>
      <c r="AF65" s="83">
        <f>'Raw Data'!AF66/10</f>
        <v>890.9</v>
      </c>
      <c r="AG65" s="83">
        <f>'Raw Data'!AG66/10</f>
        <v>850.5</v>
      </c>
      <c r="AH65" s="83">
        <f>'Raw Data'!AH66/10</f>
        <v>802.9</v>
      </c>
      <c r="AI65" s="83">
        <f>'Raw Data'!AI66/10</f>
        <v>756.5</v>
      </c>
      <c r="AJ65" s="83">
        <f>'Raw Data'!AJ66/10</f>
        <v>726.4</v>
      </c>
      <c r="AK65" s="83">
        <f>'Raw Data'!AK66/10</f>
        <v>695.8</v>
      </c>
      <c r="AL65" s="83">
        <f>'Raw Data'!AL66/10</f>
        <v>664.9</v>
      </c>
      <c r="AM65" s="83">
        <f>'Raw Data'!AM66/10</f>
        <v>646</v>
      </c>
      <c r="AN65" s="83">
        <f>'Raw Data'!AN66/10</f>
        <v>604.1</v>
      </c>
      <c r="AO65" s="83">
        <f>'Raw Data'!AO66/10</f>
        <v>584</v>
      </c>
      <c r="AP65" s="83">
        <f>'Raw Data'!AP66/10</f>
        <v>557.79999999999995</v>
      </c>
      <c r="AQ65" s="83">
        <f>'Raw Data'!AQ66/10</f>
        <v>537.70000000000005</v>
      </c>
      <c r="AR65" s="83">
        <f>'Raw Data'!AR66/10</f>
        <v>506.5</v>
      </c>
      <c r="AS65" s="83">
        <f>'Raw Data'!AS66/10</f>
        <v>494.8</v>
      </c>
      <c r="AT65" s="83">
        <f>'Raw Data'!AT66/10</f>
        <v>473.6</v>
      </c>
      <c r="AU65" s="83">
        <f>'Raw Data'!AU66/10</f>
        <v>458.5</v>
      </c>
      <c r="AV65" s="83">
        <f>'Raw Data'!AV66/10</f>
        <v>440.4</v>
      </c>
      <c r="AW65" s="83">
        <f>'Raw Data'!AW66/10</f>
        <v>425.9</v>
      </c>
      <c r="AX65" s="83">
        <f>'Raw Data'!AX66/10</f>
        <v>409.5</v>
      </c>
      <c r="AY65" s="83">
        <f>'Raw Data'!AY66/10</f>
        <v>393.8</v>
      </c>
      <c r="AZ65" s="83">
        <f>'Raw Data'!AZ66/10</f>
        <v>385.8</v>
      </c>
      <c r="BA65" s="83">
        <f>'Raw Data'!BA66/10</f>
        <v>372.9</v>
      </c>
      <c r="BB65" s="83">
        <f>'Raw Data'!BB66/10</f>
        <v>368.5</v>
      </c>
      <c r="BC65" s="83">
        <f>'Raw Data'!BC66/10</f>
        <v>358.6</v>
      </c>
      <c r="BD65" s="83">
        <f>'Raw Data'!BD66/10</f>
        <v>342.7</v>
      </c>
      <c r="BE65" s="83">
        <f>'Raw Data'!BE66/10</f>
        <v>330.1</v>
      </c>
      <c r="BF65" s="83">
        <f>'Raw Data'!BF66/10</f>
        <v>319.8</v>
      </c>
      <c r="BG65" s="83">
        <f>'Raw Data'!BG66/10</f>
        <v>320.39999999999998</v>
      </c>
      <c r="BH65" s="83">
        <f>'Raw Data'!BH66/10</f>
        <v>312.8</v>
      </c>
      <c r="BI65" s="83">
        <f>'Raw Data'!BI66/10</f>
        <v>298.7</v>
      </c>
      <c r="BJ65" s="83">
        <f>'Raw Data'!BJ66/10</f>
        <v>289.39999999999998</v>
      </c>
      <c r="BK65" s="83">
        <f>'Raw Data'!BK66/10</f>
        <v>282.3</v>
      </c>
      <c r="BL65" s="83">
        <f>'Raw Data'!BL66/10</f>
        <v>283.7</v>
      </c>
      <c r="BM65" s="83">
        <f>'Raw Data'!BM66/10</f>
        <v>276.2</v>
      </c>
      <c r="BN65" s="83">
        <f>'Raw Data'!BN66/10</f>
        <v>269.89999999999998</v>
      </c>
      <c r="BO65" s="83">
        <f>'Raw Data'!BO66/10</f>
        <v>254.4</v>
      </c>
      <c r="BP65" s="83">
        <f>'Raw Data'!BP66/10</f>
        <v>253.1</v>
      </c>
      <c r="BQ65" s="83">
        <f>'Raw Data'!BQ66/10</f>
        <v>250.3</v>
      </c>
      <c r="BR65" s="83">
        <f>'Raw Data'!BR66/10</f>
        <v>242.3</v>
      </c>
      <c r="BS65" s="83">
        <f>'Raw Data'!BS66/10</f>
        <v>234.3</v>
      </c>
      <c r="BT65" s="83">
        <f>'Raw Data'!BT66/10</f>
        <v>231.1</v>
      </c>
      <c r="BU65" s="83">
        <f>'Raw Data'!BU66/10</f>
        <v>230.9</v>
      </c>
      <c r="BV65" s="83">
        <f>'Raw Data'!BV66/10</f>
        <v>221</v>
      </c>
      <c r="BW65" s="83">
        <f>'Raw Data'!BW66/10</f>
        <v>211.5</v>
      </c>
      <c r="BX65" s="83">
        <f>'Raw Data'!BX66/10</f>
        <v>212.4</v>
      </c>
      <c r="BY65" s="83">
        <f>'Raw Data'!BY66/10</f>
        <v>203.1</v>
      </c>
      <c r="BZ65" s="83">
        <f>'Raw Data'!BZ66/10</f>
        <v>201.3</v>
      </c>
      <c r="CA65" s="83">
        <f>'Raw Data'!CA66/10</f>
        <v>201.6</v>
      </c>
      <c r="CB65" s="83">
        <f>'Raw Data'!CB66/10</f>
        <v>195.9</v>
      </c>
      <c r="CC65" s="83">
        <f>'Raw Data'!CC66/10</f>
        <v>191.4</v>
      </c>
      <c r="CD65" s="83">
        <f>'Raw Data'!CD66/10</f>
        <v>188.9</v>
      </c>
      <c r="CE65" s="83">
        <f>'Raw Data'!CE66/10</f>
        <v>182.3</v>
      </c>
      <c r="CF65" s="83">
        <f>'Raw Data'!CF66/10</f>
        <v>187.6</v>
      </c>
      <c r="CG65" s="83">
        <f>'Raw Data'!CG66/100</f>
        <v>170.83</v>
      </c>
      <c r="CH65" s="83">
        <f>'Raw Data'!CH66/100</f>
        <v>147.78</v>
      </c>
      <c r="CI65" s="83">
        <f>'Raw Data'!CI66/100</f>
        <v>130.56</v>
      </c>
      <c r="CJ65" s="83">
        <f>'Raw Data'!CJ66/100</f>
        <v>116.52</v>
      </c>
      <c r="CK65" s="83">
        <f>'Raw Data'!CK66/100</f>
        <v>107.23</v>
      </c>
      <c r="CL65" s="83">
        <f>'Raw Data'!CL66/100</f>
        <v>99.37</v>
      </c>
      <c r="CM65" s="83">
        <f>'Raw Data'!CM66/100</f>
        <v>92.82</v>
      </c>
      <c r="CN65" s="83">
        <f>'Raw Data'!CN66/100</f>
        <v>86.76</v>
      </c>
      <c r="CO65" s="83">
        <f>'Raw Data'!CO66/100</f>
        <v>81.5</v>
      </c>
      <c r="CP65" s="83">
        <f>'Raw Data'!CP66/100</f>
        <v>76.8</v>
      </c>
      <c r="CQ65" s="83">
        <f>'Raw Data'!CQ66/100</f>
        <v>74.09</v>
      </c>
      <c r="CR65" s="83">
        <f>'Raw Data'!CR66/100</f>
        <v>69.39</v>
      </c>
      <c r="CS65" s="83">
        <f>'Raw Data'!CS66/100</f>
        <v>66.819999999999993</v>
      </c>
      <c r="CT65" s="83">
        <f>'Raw Data'!CT66/100</f>
        <v>65.02</v>
      </c>
      <c r="CU65" s="382"/>
    </row>
    <row r="66" spans="4:99" s="86" customFormat="1" x14ac:dyDescent="0.2">
      <c r="D66" s="376"/>
      <c r="E66" s="164"/>
      <c r="F66" s="394"/>
      <c r="G66" s="83">
        <f>'Raw Data'!G67</f>
        <v>855</v>
      </c>
      <c r="H66" s="83">
        <f>'Raw Data'!H67</f>
        <v>831</v>
      </c>
      <c r="I66" s="83">
        <f>'Raw Data'!I67</f>
        <v>860</v>
      </c>
      <c r="J66" s="83">
        <f>'Raw Data'!J67</f>
        <v>897</v>
      </c>
      <c r="K66" s="83">
        <f>'Raw Data'!K67</f>
        <v>880</v>
      </c>
      <c r="L66" s="83">
        <f>'Raw Data'!L67</f>
        <v>842</v>
      </c>
      <c r="M66" s="83">
        <f>'Raw Data'!M67</f>
        <v>851</v>
      </c>
      <c r="N66" s="83">
        <f>'Raw Data'!N67</f>
        <v>824</v>
      </c>
      <c r="O66" s="83">
        <f>'Raw Data'!O67</f>
        <v>837</v>
      </c>
      <c r="P66" s="83">
        <f>'Raw Data'!P67</f>
        <v>829</v>
      </c>
      <c r="Q66" s="83">
        <f>'Raw Data'!Q67</f>
        <v>832</v>
      </c>
      <c r="R66" s="83">
        <f>'Raw Data'!R67</f>
        <v>831</v>
      </c>
      <c r="S66" s="83">
        <f>'Raw Data'!S67</f>
        <v>786</v>
      </c>
      <c r="T66" s="83">
        <f>'Raw Data'!T67</f>
        <v>795</v>
      </c>
      <c r="U66" s="83">
        <f>'Raw Data'!U67</f>
        <v>837</v>
      </c>
      <c r="V66" s="83">
        <f>'Raw Data'!V67</f>
        <v>836</v>
      </c>
      <c r="W66" s="83">
        <f>'Raw Data'!W67</f>
        <v>820</v>
      </c>
      <c r="X66" s="83">
        <f>'Raw Data'!X67</f>
        <v>794</v>
      </c>
      <c r="Y66" s="83">
        <f>'Raw Data'!Y67</f>
        <v>817</v>
      </c>
      <c r="Z66" s="83">
        <f>'Raw Data'!Z67</f>
        <v>814</v>
      </c>
      <c r="AA66" s="83">
        <f>'Raw Data'!AA67/10</f>
        <v>781.1</v>
      </c>
      <c r="AB66" s="83">
        <f>'Raw Data'!AB67/10</f>
        <v>741.5</v>
      </c>
      <c r="AC66" s="83">
        <f>'Raw Data'!AC67/10</f>
        <v>694.9</v>
      </c>
      <c r="AD66" s="83">
        <f>'Raw Data'!AD67/10</f>
        <v>670.1</v>
      </c>
      <c r="AE66" s="83">
        <f>'Raw Data'!AE67/10</f>
        <v>632</v>
      </c>
      <c r="AF66" s="83">
        <f>'Raw Data'!AF67/10</f>
        <v>599.29999999999995</v>
      </c>
      <c r="AG66" s="83">
        <f>'Raw Data'!AG67/10</f>
        <v>560.29999999999995</v>
      </c>
      <c r="AH66" s="83">
        <f>'Raw Data'!AH67/10</f>
        <v>537</v>
      </c>
      <c r="AI66" s="83">
        <f>'Raw Data'!AI67/10</f>
        <v>508.7</v>
      </c>
      <c r="AJ66" s="83">
        <f>'Raw Data'!AJ67/10</f>
        <v>489.5</v>
      </c>
      <c r="AK66" s="83">
        <f>'Raw Data'!AK67/10</f>
        <v>463.9</v>
      </c>
      <c r="AL66" s="83">
        <f>'Raw Data'!AL67/10</f>
        <v>445.1</v>
      </c>
      <c r="AM66" s="83">
        <f>'Raw Data'!AM67/10</f>
        <v>427.9</v>
      </c>
      <c r="AN66" s="83">
        <f>'Raw Data'!AN67/10</f>
        <v>413.6</v>
      </c>
      <c r="AO66" s="83">
        <f>'Raw Data'!AO67/10</f>
        <v>395</v>
      </c>
      <c r="AP66" s="83">
        <f>'Raw Data'!AP67/10</f>
        <v>373.6</v>
      </c>
      <c r="AQ66" s="83">
        <f>'Raw Data'!AQ67/10</f>
        <v>358.4</v>
      </c>
      <c r="AR66" s="83">
        <f>'Raw Data'!AR67/10</f>
        <v>345.5</v>
      </c>
      <c r="AS66" s="83">
        <f>'Raw Data'!AS67/10</f>
        <v>333.5</v>
      </c>
      <c r="AT66" s="83">
        <f>'Raw Data'!AT67/10</f>
        <v>327.60000000000002</v>
      </c>
      <c r="AU66" s="83">
        <f>'Raw Data'!AU67/10</f>
        <v>308.8</v>
      </c>
      <c r="AV66" s="83">
        <f>'Raw Data'!AV67/10</f>
        <v>294.2</v>
      </c>
      <c r="AW66" s="83">
        <f>'Raw Data'!AW67/10</f>
        <v>296.2</v>
      </c>
      <c r="AX66" s="83">
        <f>'Raw Data'!AX67/10</f>
        <v>286.2</v>
      </c>
      <c r="AY66" s="83">
        <f>'Raw Data'!AY67/10</f>
        <v>270</v>
      </c>
      <c r="AZ66" s="83">
        <f>'Raw Data'!AZ67/10</f>
        <v>260.39999999999998</v>
      </c>
      <c r="BA66" s="83">
        <f>'Raw Data'!BA67/10</f>
        <v>248.1</v>
      </c>
      <c r="BB66" s="83">
        <f>'Raw Data'!BB67/10</f>
        <v>241.1</v>
      </c>
      <c r="BC66" s="83">
        <f>'Raw Data'!BC67/10</f>
        <v>239.1</v>
      </c>
      <c r="BD66" s="83">
        <f>'Raw Data'!BD67/10</f>
        <v>232.1</v>
      </c>
      <c r="BE66" s="83">
        <f>'Raw Data'!BE67/10</f>
        <v>218.7</v>
      </c>
      <c r="BF66" s="83">
        <f>'Raw Data'!BF67/10</f>
        <v>217.8</v>
      </c>
      <c r="BG66" s="83">
        <f>'Raw Data'!BG67/10</f>
        <v>211.8</v>
      </c>
      <c r="BH66" s="83">
        <f>'Raw Data'!BH67/10</f>
        <v>198.5</v>
      </c>
      <c r="BI66" s="83">
        <f>'Raw Data'!BI67/10</f>
        <v>201.9</v>
      </c>
      <c r="BJ66" s="83">
        <f>'Raw Data'!BJ67/10</f>
        <v>198.2</v>
      </c>
      <c r="BK66" s="83">
        <f>'Raw Data'!BK67/10</f>
        <v>192.9</v>
      </c>
      <c r="BL66" s="83">
        <f>'Raw Data'!BL67/10</f>
        <v>183.1</v>
      </c>
      <c r="BM66" s="83">
        <f>'Raw Data'!BM67/10</f>
        <v>182.5</v>
      </c>
      <c r="BN66" s="83">
        <f>'Raw Data'!BN67/10</f>
        <v>174.6</v>
      </c>
      <c r="BO66" s="83">
        <f>'Raw Data'!BO67/10</f>
        <v>169.8</v>
      </c>
      <c r="BP66" s="83">
        <f>'Raw Data'!BP67/10</f>
        <v>165.3</v>
      </c>
      <c r="BQ66" s="83">
        <f>'Raw Data'!BQ67/10</f>
        <v>164.3</v>
      </c>
      <c r="BR66" s="83">
        <f>'Raw Data'!BR67/10</f>
        <v>157.30000000000001</v>
      </c>
      <c r="BS66" s="83">
        <f>'Raw Data'!BS67/10</f>
        <v>159.80000000000001</v>
      </c>
      <c r="BT66" s="83">
        <f>'Raw Data'!BT67/10</f>
        <v>154.6</v>
      </c>
      <c r="BU66" s="83">
        <f>'Raw Data'!BU67/10</f>
        <v>148.30000000000001</v>
      </c>
      <c r="BV66" s="83">
        <f>'Raw Data'!BV67/10</f>
        <v>147.9</v>
      </c>
      <c r="BW66" s="83">
        <f>'Raw Data'!BW67/10</f>
        <v>152</v>
      </c>
      <c r="BX66" s="83">
        <f>'Raw Data'!BX67/10</f>
        <v>144.4</v>
      </c>
      <c r="BY66" s="83">
        <f>'Raw Data'!BY67/10</f>
        <v>141.30000000000001</v>
      </c>
      <c r="BZ66" s="83">
        <f>'Raw Data'!BZ67/10</f>
        <v>137.80000000000001</v>
      </c>
      <c r="CA66" s="83">
        <f>'Raw Data'!CA67/10</f>
        <v>139.9</v>
      </c>
      <c r="CB66" s="83">
        <f>'Raw Data'!CB67/10</f>
        <v>134.6</v>
      </c>
      <c r="CC66" s="83">
        <f>'Raw Data'!CC67/10</f>
        <v>131.9</v>
      </c>
      <c r="CD66" s="83">
        <f>'Raw Data'!CD67/10</f>
        <v>129.30000000000001</v>
      </c>
      <c r="CE66" s="83">
        <f>'Raw Data'!CE67/10</f>
        <v>126.3</v>
      </c>
      <c r="CF66" s="83">
        <f>'Raw Data'!CF67/10</f>
        <v>125.5</v>
      </c>
      <c r="CG66" s="83">
        <f>'Raw Data'!CG67/100</f>
        <v>115.35</v>
      </c>
      <c r="CH66" s="83">
        <f>'Raw Data'!CH67/100</f>
        <v>99.17</v>
      </c>
      <c r="CI66" s="83">
        <f>'Raw Data'!CI67/100</f>
        <v>88.51</v>
      </c>
      <c r="CJ66" s="83">
        <f>'Raw Data'!CJ67/100</f>
        <v>80.180000000000007</v>
      </c>
      <c r="CK66" s="83">
        <f>'Raw Data'!CK67/100</f>
        <v>72.709999999999994</v>
      </c>
      <c r="CL66" s="83">
        <f>'Raw Data'!CL67/100</f>
        <v>67.55</v>
      </c>
      <c r="CM66" s="83">
        <f>'Raw Data'!CM67/100</f>
        <v>62.59</v>
      </c>
      <c r="CN66" s="83">
        <f>'Raw Data'!CN67/100</f>
        <v>59.69</v>
      </c>
      <c r="CO66" s="83">
        <f>'Raw Data'!CO67/100</f>
        <v>55.91</v>
      </c>
      <c r="CP66" s="83">
        <f>'Raw Data'!CP67/100</f>
        <v>53.14</v>
      </c>
      <c r="CQ66" s="83">
        <f>'Raw Data'!CQ67/100</f>
        <v>50.5</v>
      </c>
      <c r="CR66" s="83">
        <f>'Raw Data'!CR67/100</f>
        <v>48.29</v>
      </c>
      <c r="CS66" s="83">
        <f>'Raw Data'!CS67/100</f>
        <v>46.41</v>
      </c>
      <c r="CT66" s="83">
        <f>'Raw Data'!CT67/100</f>
        <v>44.54</v>
      </c>
      <c r="CU66" s="382"/>
    </row>
    <row r="67" spans="4:99" s="86" customFormat="1" x14ac:dyDescent="0.2">
      <c r="D67" s="376"/>
      <c r="E67" s="164"/>
      <c r="F67" s="394"/>
      <c r="G67" s="83">
        <f>'Raw Data'!G68</f>
        <v>1352</v>
      </c>
      <c r="H67" s="83">
        <f>'Raw Data'!H68</f>
        <v>1384</v>
      </c>
      <c r="I67" s="83">
        <f>'Raw Data'!I68</f>
        <v>1368</v>
      </c>
      <c r="J67" s="83">
        <f>'Raw Data'!J68</f>
        <v>1383</v>
      </c>
      <c r="K67" s="83">
        <f>'Raw Data'!K68</f>
        <v>1291</v>
      </c>
      <c r="L67" s="83">
        <f>'Raw Data'!L68</f>
        <v>1341</v>
      </c>
      <c r="M67" s="83">
        <f>'Raw Data'!M68</f>
        <v>1316</v>
      </c>
      <c r="N67" s="83">
        <f>'Raw Data'!N68</f>
        <v>1337</v>
      </c>
      <c r="O67" s="83">
        <f>'Raw Data'!O68</f>
        <v>1331</v>
      </c>
      <c r="P67" s="83">
        <f>'Raw Data'!P68</f>
        <v>1341</v>
      </c>
      <c r="Q67" s="83">
        <f>'Raw Data'!Q68</f>
        <v>1301</v>
      </c>
      <c r="R67" s="83">
        <f>'Raw Data'!R68</f>
        <v>1303</v>
      </c>
      <c r="S67" s="83">
        <f>'Raw Data'!S68</f>
        <v>1313</v>
      </c>
      <c r="T67" s="83">
        <f>'Raw Data'!T68</f>
        <v>1311</v>
      </c>
      <c r="U67" s="83">
        <f>'Raw Data'!U68</f>
        <v>1296</v>
      </c>
      <c r="V67" s="83">
        <f>'Raw Data'!V68</f>
        <v>1285</v>
      </c>
      <c r="W67" s="83">
        <f>'Raw Data'!W68</f>
        <v>1314</v>
      </c>
      <c r="X67" s="83">
        <f>'Raw Data'!X68</f>
        <v>1351</v>
      </c>
      <c r="Y67" s="83">
        <f>'Raw Data'!Y68</f>
        <v>1243</v>
      </c>
      <c r="Z67" s="83">
        <f>'Raw Data'!Z68</f>
        <v>1288</v>
      </c>
      <c r="AA67" s="83">
        <f>'Raw Data'!AA68/10</f>
        <v>1258</v>
      </c>
      <c r="AB67" s="83">
        <f>'Raw Data'!AB68/10</f>
        <v>1173.3</v>
      </c>
      <c r="AC67" s="83">
        <f>'Raw Data'!AC68/10</f>
        <v>1135.9000000000001</v>
      </c>
      <c r="AD67" s="83">
        <f>'Raw Data'!AD68/10</f>
        <v>1059.9000000000001</v>
      </c>
      <c r="AE67" s="83">
        <f>'Raw Data'!AE68/10</f>
        <v>1005</v>
      </c>
      <c r="AF67" s="83">
        <f>'Raw Data'!AF68/10</f>
        <v>967.1</v>
      </c>
      <c r="AG67" s="83">
        <f>'Raw Data'!AG68/10</f>
        <v>909.7</v>
      </c>
      <c r="AH67" s="83">
        <f>'Raw Data'!AH68/10</f>
        <v>868.7</v>
      </c>
      <c r="AI67" s="83">
        <f>'Raw Data'!AI68/10</f>
        <v>833.8</v>
      </c>
      <c r="AJ67" s="83">
        <f>'Raw Data'!AJ68/10</f>
        <v>797.4</v>
      </c>
      <c r="AK67" s="83">
        <f>'Raw Data'!AK68/10</f>
        <v>752.8</v>
      </c>
      <c r="AL67" s="83">
        <f>'Raw Data'!AL68/10</f>
        <v>725</v>
      </c>
      <c r="AM67" s="83">
        <f>'Raw Data'!AM68/10</f>
        <v>686.7</v>
      </c>
      <c r="AN67" s="83">
        <f>'Raw Data'!AN68/10</f>
        <v>664.2</v>
      </c>
      <c r="AO67" s="83">
        <f>'Raw Data'!AO68/10</f>
        <v>635.79999999999995</v>
      </c>
      <c r="AP67" s="83">
        <f>'Raw Data'!AP68/10</f>
        <v>617.70000000000005</v>
      </c>
      <c r="AQ67" s="83">
        <f>'Raw Data'!AQ68/10</f>
        <v>593.5</v>
      </c>
      <c r="AR67" s="83">
        <f>'Raw Data'!AR68/10</f>
        <v>565.1</v>
      </c>
      <c r="AS67" s="83">
        <f>'Raw Data'!AS68/10</f>
        <v>541.70000000000005</v>
      </c>
      <c r="AT67" s="83">
        <f>'Raw Data'!AT68/10</f>
        <v>518.9</v>
      </c>
      <c r="AU67" s="83">
        <f>'Raw Data'!AU68/10</f>
        <v>503.2</v>
      </c>
      <c r="AV67" s="83">
        <f>'Raw Data'!AV68/10</f>
        <v>499.1</v>
      </c>
      <c r="AW67" s="83">
        <f>'Raw Data'!AW68/10</f>
        <v>471.1</v>
      </c>
      <c r="AX67" s="83">
        <f>'Raw Data'!AX68/10</f>
        <v>458.4</v>
      </c>
      <c r="AY67" s="83">
        <f>'Raw Data'!AY68/10</f>
        <v>432.2</v>
      </c>
      <c r="AZ67" s="83">
        <f>'Raw Data'!AZ68/10</f>
        <v>420.8</v>
      </c>
      <c r="BA67" s="83">
        <f>'Raw Data'!BA68/10</f>
        <v>416</v>
      </c>
      <c r="BB67" s="83">
        <f>'Raw Data'!BB68/10</f>
        <v>408</v>
      </c>
      <c r="BC67" s="83">
        <f>'Raw Data'!BC68/10</f>
        <v>397.4</v>
      </c>
      <c r="BD67" s="83">
        <f>'Raw Data'!BD68/10</f>
        <v>380.4</v>
      </c>
      <c r="BE67" s="83">
        <f>'Raw Data'!BE68/10</f>
        <v>378.7</v>
      </c>
      <c r="BF67" s="83">
        <f>'Raw Data'!BF68/10</f>
        <v>365.4</v>
      </c>
      <c r="BG67" s="83">
        <f>'Raw Data'!BG68/10</f>
        <v>353.6</v>
      </c>
      <c r="BH67" s="83">
        <f>'Raw Data'!BH68/10</f>
        <v>345.6</v>
      </c>
      <c r="BI67" s="83">
        <f>'Raw Data'!BI68/10</f>
        <v>336.4</v>
      </c>
      <c r="BJ67" s="83">
        <f>'Raw Data'!BJ68/10</f>
        <v>326.10000000000002</v>
      </c>
      <c r="BK67" s="83">
        <f>'Raw Data'!BK68/10</f>
        <v>321.39999999999998</v>
      </c>
      <c r="BL67" s="83">
        <f>'Raw Data'!BL68/10</f>
        <v>308.89999999999998</v>
      </c>
      <c r="BM67" s="83">
        <f>'Raw Data'!BM68/10</f>
        <v>300.89999999999998</v>
      </c>
      <c r="BN67" s="83">
        <f>'Raw Data'!BN68/10</f>
        <v>286.5</v>
      </c>
      <c r="BO67" s="83">
        <f>'Raw Data'!BO68/10</f>
        <v>289.5</v>
      </c>
      <c r="BP67" s="83">
        <f>'Raw Data'!BP68/10</f>
        <v>278.8</v>
      </c>
      <c r="BQ67" s="83">
        <f>'Raw Data'!BQ68/10</f>
        <v>273.3</v>
      </c>
      <c r="BR67" s="83">
        <f>'Raw Data'!BR68/10</f>
        <v>273.10000000000002</v>
      </c>
      <c r="BS67" s="83">
        <f>'Raw Data'!BS68/10</f>
        <v>261.89999999999998</v>
      </c>
      <c r="BT67" s="83">
        <f>'Raw Data'!BT68/10</f>
        <v>258</v>
      </c>
      <c r="BU67" s="83">
        <f>'Raw Data'!BU68/10</f>
        <v>250.6</v>
      </c>
      <c r="BV67" s="83">
        <f>'Raw Data'!BV68/10</f>
        <v>247</v>
      </c>
      <c r="BW67" s="83">
        <f>'Raw Data'!BW68/10</f>
        <v>244.2</v>
      </c>
      <c r="BX67" s="83">
        <f>'Raw Data'!BX68/10</f>
        <v>241.2</v>
      </c>
      <c r="BY67" s="83">
        <f>'Raw Data'!BY68/10</f>
        <v>238.5</v>
      </c>
      <c r="BZ67" s="83">
        <f>'Raw Data'!BZ68/10</f>
        <v>234.1</v>
      </c>
      <c r="CA67" s="83">
        <f>'Raw Data'!CA68/10</f>
        <v>228.4</v>
      </c>
      <c r="CB67" s="83">
        <f>'Raw Data'!CB68/10</f>
        <v>225.9</v>
      </c>
      <c r="CC67" s="83">
        <f>'Raw Data'!CC68/10</f>
        <v>218.3</v>
      </c>
      <c r="CD67" s="83">
        <f>'Raw Data'!CD68/10</f>
        <v>215.6</v>
      </c>
      <c r="CE67" s="83">
        <f>'Raw Data'!CE68/10</f>
        <v>205.8</v>
      </c>
      <c r="CF67" s="83">
        <f>'Raw Data'!CF68/10</f>
        <v>209</v>
      </c>
      <c r="CG67" s="83">
        <f>'Raw Data'!CG68/100</f>
        <v>193.34</v>
      </c>
      <c r="CH67" s="83">
        <f>'Raw Data'!CH68/100</f>
        <v>168.1</v>
      </c>
      <c r="CI67" s="83">
        <f>'Raw Data'!CI68/100</f>
        <v>147.82</v>
      </c>
      <c r="CJ67" s="83">
        <f>'Raw Data'!CJ68/100</f>
        <v>134.25</v>
      </c>
      <c r="CK67" s="83">
        <f>'Raw Data'!CK68/100</f>
        <v>123.6</v>
      </c>
      <c r="CL67" s="83">
        <f>'Raw Data'!CL68/100</f>
        <v>113.39</v>
      </c>
      <c r="CM67" s="83">
        <f>'Raw Data'!CM68/100</f>
        <v>106.25</v>
      </c>
      <c r="CN67" s="83">
        <f>'Raw Data'!CN68/100</f>
        <v>99.02</v>
      </c>
      <c r="CO67" s="83">
        <f>'Raw Data'!CO68/100</f>
        <v>93.54</v>
      </c>
      <c r="CP67" s="83">
        <f>'Raw Data'!CP68/100</f>
        <v>87.64</v>
      </c>
      <c r="CQ67" s="83">
        <f>'Raw Data'!CQ68/100</f>
        <v>84.43</v>
      </c>
      <c r="CR67" s="83">
        <f>'Raw Data'!CR68/100</f>
        <v>80.14</v>
      </c>
      <c r="CS67" s="83">
        <f>'Raw Data'!CS68/100</f>
        <v>76.02</v>
      </c>
      <c r="CT67" s="83">
        <f>'Raw Data'!CT68/100</f>
        <v>74.78</v>
      </c>
      <c r="CU67" s="382"/>
    </row>
    <row r="68" spans="4:99" s="86" customFormat="1" x14ac:dyDescent="0.2">
      <c r="D68" s="376"/>
      <c r="E68" s="164"/>
      <c r="F68" s="394"/>
      <c r="G68" s="83">
        <f>'Raw Data'!G69</f>
        <v>1859</v>
      </c>
      <c r="H68" s="83">
        <f>'Raw Data'!H69</f>
        <v>1866</v>
      </c>
      <c r="I68" s="83">
        <f>'Raw Data'!I69</f>
        <v>1919</v>
      </c>
      <c r="J68" s="83">
        <f>'Raw Data'!J69</f>
        <v>1919</v>
      </c>
      <c r="K68" s="83">
        <f>'Raw Data'!K69</f>
        <v>1895</v>
      </c>
      <c r="L68" s="83">
        <f>'Raw Data'!L69</f>
        <v>1928</v>
      </c>
      <c r="M68" s="83">
        <f>'Raw Data'!M69</f>
        <v>1811</v>
      </c>
      <c r="N68" s="83">
        <f>'Raw Data'!N69</f>
        <v>1897</v>
      </c>
      <c r="O68" s="83">
        <f>'Raw Data'!O69</f>
        <v>1820</v>
      </c>
      <c r="P68" s="83">
        <f>'Raw Data'!P69</f>
        <v>1856</v>
      </c>
      <c r="Q68" s="83">
        <f>'Raw Data'!Q69</f>
        <v>1839</v>
      </c>
      <c r="R68" s="83">
        <f>'Raw Data'!R69</f>
        <v>1820</v>
      </c>
      <c r="S68" s="83">
        <f>'Raw Data'!S69</f>
        <v>1820</v>
      </c>
      <c r="T68" s="83">
        <f>'Raw Data'!T69</f>
        <v>1763</v>
      </c>
      <c r="U68" s="83">
        <f>'Raw Data'!U69</f>
        <v>1813</v>
      </c>
      <c r="V68" s="83">
        <f>'Raw Data'!V69</f>
        <v>1763</v>
      </c>
      <c r="W68" s="83">
        <f>'Raw Data'!W69</f>
        <v>1806</v>
      </c>
      <c r="X68" s="83">
        <f>'Raw Data'!X69</f>
        <v>1760</v>
      </c>
      <c r="Y68" s="83">
        <f>'Raw Data'!Y69</f>
        <v>1728</v>
      </c>
      <c r="Z68" s="83">
        <f>'Raw Data'!Z69</f>
        <v>1762</v>
      </c>
      <c r="AA68" s="83">
        <f>'Raw Data'!AA69/10</f>
        <v>1719.1</v>
      </c>
      <c r="AB68" s="83">
        <f>'Raw Data'!AB69/10</f>
        <v>1626.6</v>
      </c>
      <c r="AC68" s="83">
        <f>'Raw Data'!AC69/10</f>
        <v>1558</v>
      </c>
      <c r="AD68" s="83">
        <f>'Raw Data'!AD69/10</f>
        <v>1474.8</v>
      </c>
      <c r="AE68" s="83">
        <f>'Raw Data'!AE69/10</f>
        <v>1409.1</v>
      </c>
      <c r="AF68" s="83">
        <f>'Raw Data'!AF69/10</f>
        <v>1326.4</v>
      </c>
      <c r="AG68" s="83">
        <f>'Raw Data'!AG69/10</f>
        <v>1251.7</v>
      </c>
      <c r="AH68" s="83">
        <f>'Raw Data'!AH69/10</f>
        <v>1186.8</v>
      </c>
      <c r="AI68" s="83">
        <f>'Raw Data'!AI69/10</f>
        <v>1135</v>
      </c>
      <c r="AJ68" s="83">
        <f>'Raw Data'!AJ69/10</f>
        <v>1084.3</v>
      </c>
      <c r="AK68" s="83">
        <f>'Raw Data'!AK69/10</f>
        <v>1039.9000000000001</v>
      </c>
      <c r="AL68" s="83">
        <f>'Raw Data'!AL69/10</f>
        <v>990.8</v>
      </c>
      <c r="AM68" s="83">
        <f>'Raw Data'!AM69/10</f>
        <v>942.2</v>
      </c>
      <c r="AN68" s="83">
        <f>'Raw Data'!AN69/10</f>
        <v>897.5</v>
      </c>
      <c r="AO68" s="83">
        <f>'Raw Data'!AO69/10</f>
        <v>876.5</v>
      </c>
      <c r="AP68" s="83">
        <f>'Raw Data'!AP69/10</f>
        <v>831</v>
      </c>
      <c r="AQ68" s="83">
        <f>'Raw Data'!AQ69/10</f>
        <v>794.1</v>
      </c>
      <c r="AR68" s="83">
        <f>'Raw Data'!AR69/10</f>
        <v>769</v>
      </c>
      <c r="AS68" s="83">
        <f>'Raw Data'!AS69/10</f>
        <v>746.2</v>
      </c>
      <c r="AT68" s="83">
        <f>'Raw Data'!AT69/10</f>
        <v>706.5</v>
      </c>
      <c r="AU68" s="83">
        <f>'Raw Data'!AU69/10</f>
        <v>690.4</v>
      </c>
      <c r="AV68" s="83">
        <f>'Raw Data'!AV69/10</f>
        <v>658.4</v>
      </c>
      <c r="AW68" s="83">
        <f>'Raw Data'!AW69/10</f>
        <v>633.9</v>
      </c>
      <c r="AX68" s="83">
        <f>'Raw Data'!AX69/10</f>
        <v>608.6</v>
      </c>
      <c r="AY68" s="83">
        <f>'Raw Data'!AY69/10</f>
        <v>601.6</v>
      </c>
      <c r="AZ68" s="83">
        <f>'Raw Data'!AZ69/10</f>
        <v>574.9</v>
      </c>
      <c r="BA68" s="83">
        <f>'Raw Data'!BA69/10</f>
        <v>551.4</v>
      </c>
      <c r="BB68" s="83">
        <f>'Raw Data'!BB69/10</f>
        <v>538.79999999999995</v>
      </c>
      <c r="BC68" s="83">
        <f>'Raw Data'!BC69/10</f>
        <v>526.20000000000005</v>
      </c>
      <c r="BD68" s="83">
        <f>'Raw Data'!BD69/10</f>
        <v>497</v>
      </c>
      <c r="BE68" s="83">
        <f>'Raw Data'!BE69/10</f>
        <v>497.4</v>
      </c>
      <c r="BF68" s="83">
        <f>'Raw Data'!BF69/10</f>
        <v>475.7</v>
      </c>
      <c r="BG68" s="83">
        <f>'Raw Data'!BG69/10</f>
        <v>463</v>
      </c>
      <c r="BH68" s="83">
        <f>'Raw Data'!BH69/10</f>
        <v>447</v>
      </c>
      <c r="BI68" s="83">
        <f>'Raw Data'!BI69/10</f>
        <v>444.4</v>
      </c>
      <c r="BJ68" s="83">
        <f>'Raw Data'!BJ69/10</f>
        <v>420.9</v>
      </c>
      <c r="BK68" s="83">
        <f>'Raw Data'!BK69/10</f>
        <v>417.5</v>
      </c>
      <c r="BL68" s="83">
        <f>'Raw Data'!BL69/10</f>
        <v>393.3</v>
      </c>
      <c r="BM68" s="83">
        <f>'Raw Data'!BM69/10</f>
        <v>391.3</v>
      </c>
      <c r="BN68" s="83">
        <f>'Raw Data'!BN69/10</f>
        <v>386.3</v>
      </c>
      <c r="BO68" s="83">
        <f>'Raw Data'!BO69/10</f>
        <v>372.9</v>
      </c>
      <c r="BP68" s="83">
        <f>'Raw Data'!BP69/10</f>
        <v>370.8</v>
      </c>
      <c r="BQ68" s="83">
        <f>'Raw Data'!BQ69/10</f>
        <v>362.6</v>
      </c>
      <c r="BR68" s="83">
        <f>'Raw Data'!BR69/10</f>
        <v>353.7</v>
      </c>
      <c r="BS68" s="83">
        <f>'Raw Data'!BS69/10</f>
        <v>340.1</v>
      </c>
      <c r="BT68" s="83">
        <f>'Raw Data'!BT69/10</f>
        <v>332.8</v>
      </c>
      <c r="BU68" s="83">
        <f>'Raw Data'!BU69/10</f>
        <v>331.2</v>
      </c>
      <c r="BV68" s="83">
        <f>'Raw Data'!BV69/10</f>
        <v>321.89999999999998</v>
      </c>
      <c r="BW68" s="83">
        <f>'Raw Data'!BW69/10</f>
        <v>315.2</v>
      </c>
      <c r="BX68" s="83">
        <f>'Raw Data'!BX69/10</f>
        <v>315.10000000000002</v>
      </c>
      <c r="BY68" s="83">
        <f>'Raw Data'!BY69/10</f>
        <v>304.10000000000002</v>
      </c>
      <c r="BZ68" s="83">
        <f>'Raw Data'!BZ69/10</f>
        <v>298.60000000000002</v>
      </c>
      <c r="CA68" s="83">
        <f>'Raw Data'!CA69/10</f>
        <v>289.7</v>
      </c>
      <c r="CB68" s="83">
        <f>'Raw Data'!CB69/10</f>
        <v>286</v>
      </c>
      <c r="CC68" s="83">
        <f>'Raw Data'!CC69/10</f>
        <v>286.8</v>
      </c>
      <c r="CD68" s="83">
        <f>'Raw Data'!CD69/10</f>
        <v>273.7</v>
      </c>
      <c r="CE68" s="83">
        <f>'Raw Data'!CE69/10</f>
        <v>270.5</v>
      </c>
      <c r="CF68" s="83">
        <f>'Raw Data'!CF69/10</f>
        <v>266</v>
      </c>
      <c r="CG68" s="83">
        <f>'Raw Data'!CG69/100</f>
        <v>242.69</v>
      </c>
      <c r="CH68" s="83">
        <f>'Raw Data'!CH69/100</f>
        <v>209.39</v>
      </c>
      <c r="CI68" s="83">
        <f>'Raw Data'!CI69/100</f>
        <v>186.56</v>
      </c>
      <c r="CJ68" s="83">
        <f>'Raw Data'!CJ69/100</f>
        <v>165.79</v>
      </c>
      <c r="CK68" s="83">
        <f>'Raw Data'!CK69/100</f>
        <v>150.78</v>
      </c>
      <c r="CL68" s="83">
        <f>'Raw Data'!CL69/100</f>
        <v>136.87</v>
      </c>
      <c r="CM68" s="83">
        <f>'Raw Data'!CM69/100</f>
        <v>127.55</v>
      </c>
      <c r="CN68" s="83">
        <f>'Raw Data'!CN69/100</f>
        <v>118.07</v>
      </c>
      <c r="CO68" s="83">
        <f>'Raw Data'!CO69/100</f>
        <v>112.16</v>
      </c>
      <c r="CP68" s="83">
        <f>'Raw Data'!CP69/100</f>
        <v>104.46</v>
      </c>
      <c r="CQ68" s="83">
        <f>'Raw Data'!CQ69/100</f>
        <v>100.76</v>
      </c>
      <c r="CR68" s="83">
        <f>'Raw Data'!CR69/100</f>
        <v>96.34</v>
      </c>
      <c r="CS68" s="83">
        <f>'Raw Data'!CS69/100</f>
        <v>90.59</v>
      </c>
      <c r="CT68" s="83">
        <f>'Raw Data'!CT69/100</f>
        <v>86.48</v>
      </c>
      <c r="CU68" s="382"/>
    </row>
    <row r="69" spans="4:99" s="86" customFormat="1" x14ac:dyDescent="0.2">
      <c r="D69" s="376"/>
      <c r="E69" s="164"/>
      <c r="F69" s="394"/>
      <c r="G69" s="83">
        <f>'Raw Data'!G70</f>
        <v>1636</v>
      </c>
      <c r="H69" s="83">
        <f>'Raw Data'!H70</f>
        <v>1648</v>
      </c>
      <c r="I69" s="83">
        <f>'Raw Data'!I70</f>
        <v>1626</v>
      </c>
      <c r="J69" s="83">
        <f>'Raw Data'!J70</f>
        <v>1590</v>
      </c>
      <c r="K69" s="83">
        <f>'Raw Data'!K70</f>
        <v>1674</v>
      </c>
      <c r="L69" s="83">
        <f>'Raw Data'!L70</f>
        <v>1624</v>
      </c>
      <c r="M69" s="83">
        <f>'Raw Data'!M70</f>
        <v>1539</v>
      </c>
      <c r="N69" s="83">
        <f>'Raw Data'!N70</f>
        <v>1588</v>
      </c>
      <c r="O69" s="83">
        <f>'Raw Data'!O70</f>
        <v>1588</v>
      </c>
      <c r="P69" s="83">
        <f>'Raw Data'!P70</f>
        <v>1574</v>
      </c>
      <c r="Q69" s="83">
        <f>'Raw Data'!Q70</f>
        <v>1555</v>
      </c>
      <c r="R69" s="83">
        <f>'Raw Data'!R70</f>
        <v>1549</v>
      </c>
      <c r="S69" s="83">
        <f>'Raw Data'!S70</f>
        <v>1583</v>
      </c>
      <c r="T69" s="83">
        <f>'Raw Data'!T70</f>
        <v>1487</v>
      </c>
      <c r="U69" s="83">
        <f>'Raw Data'!U70</f>
        <v>1525</v>
      </c>
      <c r="V69" s="83">
        <f>'Raw Data'!V70</f>
        <v>1515</v>
      </c>
      <c r="W69" s="83">
        <f>'Raw Data'!W70</f>
        <v>1506</v>
      </c>
      <c r="X69" s="83">
        <f>'Raw Data'!X70</f>
        <v>1513</v>
      </c>
      <c r="Y69" s="83">
        <f>'Raw Data'!Y70</f>
        <v>1484</v>
      </c>
      <c r="Z69" s="83">
        <f>'Raw Data'!Z70</f>
        <v>1418</v>
      </c>
      <c r="AA69" s="83">
        <f>'Raw Data'!AA70/10</f>
        <v>1476.7</v>
      </c>
      <c r="AB69" s="83">
        <f>'Raw Data'!AB70/10</f>
        <v>1395.7</v>
      </c>
      <c r="AC69" s="83">
        <f>'Raw Data'!AC70/10</f>
        <v>1350.8</v>
      </c>
      <c r="AD69" s="83">
        <f>'Raw Data'!AD70/10</f>
        <v>1280.4000000000001</v>
      </c>
      <c r="AE69" s="83">
        <f>'Raw Data'!AE70/10</f>
        <v>1204.2</v>
      </c>
      <c r="AF69" s="83">
        <f>'Raw Data'!AF70/10</f>
        <v>1136.3</v>
      </c>
      <c r="AG69" s="83">
        <f>'Raw Data'!AG70/10</f>
        <v>1096.8</v>
      </c>
      <c r="AH69" s="83">
        <f>'Raw Data'!AH70/10</f>
        <v>1047.5999999999999</v>
      </c>
      <c r="AI69" s="83">
        <f>'Raw Data'!AI70/10</f>
        <v>999.5</v>
      </c>
      <c r="AJ69" s="83">
        <f>'Raw Data'!AJ70/10</f>
        <v>949.8</v>
      </c>
      <c r="AK69" s="83">
        <f>'Raw Data'!AK70/10</f>
        <v>902.3</v>
      </c>
      <c r="AL69" s="83">
        <f>'Raw Data'!AL70/10</f>
        <v>869.7</v>
      </c>
      <c r="AM69" s="83">
        <f>'Raw Data'!AM70/10</f>
        <v>825.1</v>
      </c>
      <c r="AN69" s="83">
        <f>'Raw Data'!AN70/10</f>
        <v>791.9</v>
      </c>
      <c r="AO69" s="83">
        <f>'Raw Data'!AO70/10</f>
        <v>777</v>
      </c>
      <c r="AP69" s="83">
        <f>'Raw Data'!AP70/10</f>
        <v>746.9</v>
      </c>
      <c r="AQ69" s="83">
        <f>'Raw Data'!AQ70/10</f>
        <v>710.6</v>
      </c>
      <c r="AR69" s="83">
        <f>'Raw Data'!AR70/10</f>
        <v>681</v>
      </c>
      <c r="AS69" s="83">
        <f>'Raw Data'!AS70/10</f>
        <v>666</v>
      </c>
      <c r="AT69" s="83">
        <f>'Raw Data'!AT70/10</f>
        <v>639.20000000000005</v>
      </c>
      <c r="AU69" s="83">
        <f>'Raw Data'!AU70/10</f>
        <v>610.5</v>
      </c>
      <c r="AV69" s="83">
        <f>'Raw Data'!AV70/10</f>
        <v>596.1</v>
      </c>
      <c r="AW69" s="83">
        <f>'Raw Data'!AW70/10</f>
        <v>579.70000000000005</v>
      </c>
      <c r="AX69" s="83">
        <f>'Raw Data'!AX70/10</f>
        <v>565</v>
      </c>
      <c r="AY69" s="83">
        <f>'Raw Data'!AY70/10</f>
        <v>554.1</v>
      </c>
      <c r="AZ69" s="83">
        <f>'Raw Data'!AZ70/10</f>
        <v>521.20000000000005</v>
      </c>
      <c r="BA69" s="83">
        <f>'Raw Data'!BA70/10</f>
        <v>510.2</v>
      </c>
      <c r="BB69" s="83">
        <f>'Raw Data'!BB70/10</f>
        <v>503.5</v>
      </c>
      <c r="BC69" s="83">
        <f>'Raw Data'!BC70/10</f>
        <v>481.4</v>
      </c>
      <c r="BD69" s="83">
        <f>'Raw Data'!BD70/10</f>
        <v>455.6</v>
      </c>
      <c r="BE69" s="83">
        <f>'Raw Data'!BE70/10</f>
        <v>456.2</v>
      </c>
      <c r="BF69" s="83">
        <f>'Raw Data'!BF70/10</f>
        <v>437.7</v>
      </c>
      <c r="BG69" s="83">
        <f>'Raw Data'!BG70/10</f>
        <v>423.5</v>
      </c>
      <c r="BH69" s="83">
        <f>'Raw Data'!BH70/10</f>
        <v>420.8</v>
      </c>
      <c r="BI69" s="83">
        <f>'Raw Data'!BI70/10</f>
        <v>408.8</v>
      </c>
      <c r="BJ69" s="83">
        <f>'Raw Data'!BJ70/10</f>
        <v>396.5</v>
      </c>
      <c r="BK69" s="83">
        <f>'Raw Data'!BK70/10</f>
        <v>398</v>
      </c>
      <c r="BL69" s="83">
        <f>'Raw Data'!BL70/10</f>
        <v>388.7</v>
      </c>
      <c r="BM69" s="83">
        <f>'Raw Data'!BM70/10</f>
        <v>354.7</v>
      </c>
      <c r="BN69" s="83">
        <f>'Raw Data'!BN70/10</f>
        <v>366.1</v>
      </c>
      <c r="BO69" s="83">
        <f>'Raw Data'!BO70/10</f>
        <v>361.5</v>
      </c>
      <c r="BP69" s="83">
        <f>'Raw Data'!BP70/10</f>
        <v>352.2</v>
      </c>
      <c r="BQ69" s="83">
        <f>'Raw Data'!BQ70/10</f>
        <v>341.5</v>
      </c>
      <c r="BR69" s="83">
        <f>'Raw Data'!BR70/10</f>
        <v>339</v>
      </c>
      <c r="BS69" s="83">
        <f>'Raw Data'!BS70/10</f>
        <v>334.5</v>
      </c>
      <c r="BT69" s="83">
        <f>'Raw Data'!BT70/10</f>
        <v>325.2</v>
      </c>
      <c r="BU69" s="83">
        <f>'Raw Data'!BU70/10</f>
        <v>315.2</v>
      </c>
      <c r="BV69" s="83">
        <f>'Raw Data'!BV70/10</f>
        <v>314.39999999999998</v>
      </c>
      <c r="BW69" s="83">
        <f>'Raw Data'!BW70/10</f>
        <v>315.2</v>
      </c>
      <c r="BX69" s="83">
        <f>'Raw Data'!BX70/10</f>
        <v>302.5</v>
      </c>
      <c r="BY69" s="83">
        <f>'Raw Data'!BY70/10</f>
        <v>298.8</v>
      </c>
      <c r="BZ69" s="83">
        <f>'Raw Data'!BZ70/10</f>
        <v>291.7</v>
      </c>
      <c r="CA69" s="83">
        <f>'Raw Data'!CA70/10</f>
        <v>279.10000000000002</v>
      </c>
      <c r="CB69" s="83">
        <f>'Raw Data'!CB70/10</f>
        <v>278</v>
      </c>
      <c r="CC69" s="83">
        <f>'Raw Data'!CC70/10</f>
        <v>278</v>
      </c>
      <c r="CD69" s="83">
        <f>'Raw Data'!CD70/10</f>
        <v>275.39999999999998</v>
      </c>
      <c r="CE69" s="83">
        <f>'Raw Data'!CE70/10</f>
        <v>267.89999999999998</v>
      </c>
      <c r="CF69" s="83">
        <f>'Raw Data'!CF70/10</f>
        <v>263</v>
      </c>
      <c r="CG69" s="83">
        <f>'Raw Data'!CG70/100</f>
        <v>244.02</v>
      </c>
      <c r="CH69" s="83">
        <f>'Raw Data'!CH70/100</f>
        <v>215.45</v>
      </c>
      <c r="CI69" s="83">
        <f>'Raw Data'!CI70/100</f>
        <v>194.31</v>
      </c>
      <c r="CJ69" s="83">
        <f>'Raw Data'!CJ70/100</f>
        <v>174.62</v>
      </c>
      <c r="CK69" s="83">
        <f>'Raw Data'!CK70/100</f>
        <v>159.71</v>
      </c>
      <c r="CL69" s="83">
        <f>'Raw Data'!CL70/100</f>
        <v>149.24</v>
      </c>
      <c r="CM69" s="83">
        <f>'Raw Data'!CM70/100</f>
        <v>139.74</v>
      </c>
      <c r="CN69" s="83">
        <f>'Raw Data'!CN70/100</f>
        <v>132.82</v>
      </c>
      <c r="CO69" s="83">
        <f>'Raw Data'!CO70/100</f>
        <v>124.98</v>
      </c>
      <c r="CP69" s="83">
        <f>'Raw Data'!CP70/100</f>
        <v>120.06</v>
      </c>
      <c r="CQ69" s="83">
        <f>'Raw Data'!CQ70/100</f>
        <v>111.11</v>
      </c>
      <c r="CR69" s="83">
        <f>'Raw Data'!CR70/100</f>
        <v>108.64</v>
      </c>
      <c r="CS69" s="83">
        <f>'Raw Data'!CS70/100</f>
        <v>105.32</v>
      </c>
      <c r="CT69" s="83">
        <f>'Raw Data'!CT70/100</f>
        <v>102.19</v>
      </c>
      <c r="CU69" s="382"/>
    </row>
    <row r="70" spans="4:99" s="86" customFormat="1" x14ac:dyDescent="0.2">
      <c r="D70" s="376"/>
      <c r="E70" s="164"/>
      <c r="F70" s="394"/>
      <c r="G70" s="83">
        <f>'Raw Data'!G71</f>
        <v>4180</v>
      </c>
      <c r="H70" s="83">
        <f>'Raw Data'!H71</f>
        <v>4056</v>
      </c>
      <c r="I70" s="83">
        <f>'Raw Data'!I71</f>
        <v>4172</v>
      </c>
      <c r="J70" s="83">
        <f>'Raw Data'!J71</f>
        <v>4192</v>
      </c>
      <c r="K70" s="83">
        <f>'Raw Data'!K71</f>
        <v>4015</v>
      </c>
      <c r="L70" s="83">
        <f>'Raw Data'!L71</f>
        <v>4087</v>
      </c>
      <c r="M70" s="83">
        <f>'Raw Data'!M71</f>
        <v>4132</v>
      </c>
      <c r="N70" s="83">
        <f>'Raw Data'!N71</f>
        <v>3944</v>
      </c>
      <c r="O70" s="83">
        <f>'Raw Data'!O71</f>
        <v>3937</v>
      </c>
      <c r="P70" s="83">
        <f>'Raw Data'!P71</f>
        <v>3949</v>
      </c>
      <c r="Q70" s="83">
        <f>'Raw Data'!Q71</f>
        <v>4080</v>
      </c>
      <c r="R70" s="83">
        <f>'Raw Data'!R71</f>
        <v>4037</v>
      </c>
      <c r="S70" s="83">
        <f>'Raw Data'!S71</f>
        <v>3976</v>
      </c>
      <c r="T70" s="83">
        <f>'Raw Data'!T71</f>
        <v>3935</v>
      </c>
      <c r="U70" s="83">
        <f>'Raw Data'!U71</f>
        <v>3914</v>
      </c>
      <c r="V70" s="83">
        <f>'Raw Data'!V71</f>
        <v>3863</v>
      </c>
      <c r="W70" s="83">
        <f>'Raw Data'!W71</f>
        <v>3893</v>
      </c>
      <c r="X70" s="83">
        <f>'Raw Data'!X71</f>
        <v>3899</v>
      </c>
      <c r="Y70" s="83">
        <f>'Raw Data'!Y71</f>
        <v>3877</v>
      </c>
      <c r="Z70" s="83">
        <f>'Raw Data'!Z71</f>
        <v>3831</v>
      </c>
      <c r="AA70" s="83">
        <f>'Raw Data'!AA71/10</f>
        <v>3734.1</v>
      </c>
      <c r="AB70" s="83">
        <f>'Raw Data'!AB71/10</f>
        <v>3549.3</v>
      </c>
      <c r="AC70" s="83">
        <f>'Raw Data'!AC71/10</f>
        <v>3356.6</v>
      </c>
      <c r="AD70" s="83">
        <f>'Raw Data'!AD71/10</f>
        <v>3224.8</v>
      </c>
      <c r="AE70" s="83">
        <f>'Raw Data'!AE71/10</f>
        <v>3034.6</v>
      </c>
      <c r="AF70" s="83">
        <f>'Raw Data'!AF71/10</f>
        <v>2882.8</v>
      </c>
      <c r="AG70" s="83">
        <f>'Raw Data'!AG71/10</f>
        <v>2752.5</v>
      </c>
      <c r="AH70" s="83">
        <f>'Raw Data'!AH71/10</f>
        <v>2592</v>
      </c>
      <c r="AI70" s="83">
        <f>'Raw Data'!AI71/10</f>
        <v>2482</v>
      </c>
      <c r="AJ70" s="83">
        <f>'Raw Data'!AJ71/10</f>
        <v>2362.9</v>
      </c>
      <c r="AK70" s="83">
        <f>'Raw Data'!AK71/10</f>
        <v>2247</v>
      </c>
      <c r="AL70" s="83">
        <f>'Raw Data'!AL71/10</f>
        <v>2131.5</v>
      </c>
      <c r="AM70" s="83">
        <f>'Raw Data'!AM71/10</f>
        <v>2043.7</v>
      </c>
      <c r="AN70" s="83">
        <f>'Raw Data'!AN71/10</f>
        <v>1946.6</v>
      </c>
      <c r="AO70" s="83">
        <f>'Raw Data'!AO71/10</f>
        <v>1866.9</v>
      </c>
      <c r="AP70" s="83">
        <f>'Raw Data'!AP71/10</f>
        <v>1817.9</v>
      </c>
      <c r="AQ70" s="83">
        <f>'Raw Data'!AQ71/10</f>
        <v>1728.2</v>
      </c>
      <c r="AR70" s="83">
        <f>'Raw Data'!AR71/10</f>
        <v>1664</v>
      </c>
      <c r="AS70" s="83">
        <f>'Raw Data'!AS71/10</f>
        <v>1591.3</v>
      </c>
      <c r="AT70" s="83">
        <f>'Raw Data'!AT71/10</f>
        <v>1524.5</v>
      </c>
      <c r="AU70" s="83">
        <f>'Raw Data'!AU71/10</f>
        <v>1483.1</v>
      </c>
      <c r="AV70" s="83">
        <f>'Raw Data'!AV71/10</f>
        <v>1441.2</v>
      </c>
      <c r="AW70" s="83">
        <f>'Raw Data'!AW71/10</f>
        <v>1375.3</v>
      </c>
      <c r="AX70" s="83">
        <f>'Raw Data'!AX71/10</f>
        <v>1319.6</v>
      </c>
      <c r="AY70" s="83">
        <f>'Raw Data'!AY71/10</f>
        <v>1278.5</v>
      </c>
      <c r="AZ70" s="83">
        <f>'Raw Data'!AZ71/10</f>
        <v>1251.3</v>
      </c>
      <c r="BA70" s="83">
        <f>'Raw Data'!BA71/10</f>
        <v>1181.5</v>
      </c>
      <c r="BB70" s="83">
        <f>'Raw Data'!BB71/10</f>
        <v>1165.3</v>
      </c>
      <c r="BC70" s="83">
        <f>'Raw Data'!BC71/10</f>
        <v>1136.9000000000001</v>
      </c>
      <c r="BD70" s="83">
        <f>'Raw Data'!BD71/10</f>
        <v>1097.5</v>
      </c>
      <c r="BE70" s="83">
        <f>'Raw Data'!BE71/10</f>
        <v>1065.4000000000001</v>
      </c>
      <c r="BF70" s="83">
        <f>'Raw Data'!BF71/10</f>
        <v>1022.7</v>
      </c>
      <c r="BG70" s="83">
        <f>'Raw Data'!BG71/10</f>
        <v>983.4</v>
      </c>
      <c r="BH70" s="83">
        <f>'Raw Data'!BH71/10</f>
        <v>972.3</v>
      </c>
      <c r="BI70" s="83">
        <f>'Raw Data'!BI71/10</f>
        <v>944.4</v>
      </c>
      <c r="BJ70" s="83">
        <f>'Raw Data'!BJ71/10</f>
        <v>935.8</v>
      </c>
      <c r="BK70" s="83">
        <f>'Raw Data'!BK71/10</f>
        <v>896.1</v>
      </c>
      <c r="BL70" s="83">
        <f>'Raw Data'!BL71/10</f>
        <v>877.1</v>
      </c>
      <c r="BM70" s="83">
        <f>'Raw Data'!BM71/10</f>
        <v>850.4</v>
      </c>
      <c r="BN70" s="83">
        <f>'Raw Data'!BN71/10</f>
        <v>836.1</v>
      </c>
      <c r="BO70" s="83">
        <f>'Raw Data'!BO71/10</f>
        <v>809.2</v>
      </c>
      <c r="BP70" s="83">
        <f>'Raw Data'!BP71/10</f>
        <v>787</v>
      </c>
      <c r="BQ70" s="83">
        <f>'Raw Data'!BQ71/10</f>
        <v>772.3</v>
      </c>
      <c r="BR70" s="83">
        <f>'Raw Data'!BR71/10</f>
        <v>751.5</v>
      </c>
      <c r="BS70" s="83">
        <f>'Raw Data'!BS71/10</f>
        <v>742.5</v>
      </c>
      <c r="BT70" s="83">
        <f>'Raw Data'!BT71/10</f>
        <v>712.1</v>
      </c>
      <c r="BU70" s="83">
        <f>'Raw Data'!BU71/10</f>
        <v>707.1</v>
      </c>
      <c r="BV70" s="83">
        <f>'Raw Data'!BV71/10</f>
        <v>672.8</v>
      </c>
      <c r="BW70" s="83">
        <f>'Raw Data'!BW71/10</f>
        <v>682.4</v>
      </c>
      <c r="BX70" s="83">
        <f>'Raw Data'!BX71/10</f>
        <v>660.1</v>
      </c>
      <c r="BY70" s="83">
        <f>'Raw Data'!BY71/10</f>
        <v>642</v>
      </c>
      <c r="BZ70" s="83">
        <f>'Raw Data'!BZ71/10</f>
        <v>638.5</v>
      </c>
      <c r="CA70" s="83">
        <f>'Raw Data'!CA71/10</f>
        <v>623.1</v>
      </c>
      <c r="CB70" s="83">
        <f>'Raw Data'!CB71/10</f>
        <v>610.29999999999995</v>
      </c>
      <c r="CC70" s="83">
        <f>'Raw Data'!CC71/10</f>
        <v>602.1</v>
      </c>
      <c r="CD70" s="83">
        <f>'Raw Data'!CD71/10</f>
        <v>583.4</v>
      </c>
      <c r="CE70" s="83">
        <f>'Raw Data'!CE71/10</f>
        <v>582.70000000000005</v>
      </c>
      <c r="CF70" s="83">
        <f>'Raw Data'!CF71/10</f>
        <v>571.5</v>
      </c>
      <c r="CG70" s="83">
        <f>'Raw Data'!CG71/100</f>
        <v>514.5</v>
      </c>
      <c r="CH70" s="83">
        <f>'Raw Data'!CH71/100</f>
        <v>443.94</v>
      </c>
      <c r="CI70" s="83">
        <f>'Raw Data'!CI71/100</f>
        <v>386.06</v>
      </c>
      <c r="CJ70" s="83">
        <f>'Raw Data'!CJ71/100</f>
        <v>342.83</v>
      </c>
      <c r="CK70" s="83">
        <f>'Raw Data'!CK71/100</f>
        <v>313.44</v>
      </c>
      <c r="CL70" s="83">
        <f>'Raw Data'!CL71/100</f>
        <v>286.68</v>
      </c>
      <c r="CM70" s="83">
        <f>'Raw Data'!CM71/100</f>
        <v>262.77999999999997</v>
      </c>
      <c r="CN70" s="83">
        <f>'Raw Data'!CN71/100</f>
        <v>243.01</v>
      </c>
      <c r="CO70" s="83">
        <f>'Raw Data'!CO71/100</f>
        <v>228.93</v>
      </c>
      <c r="CP70" s="83">
        <f>'Raw Data'!CP71/100</f>
        <v>213.02</v>
      </c>
      <c r="CQ70" s="83">
        <f>'Raw Data'!CQ71/100</f>
        <v>199.6</v>
      </c>
      <c r="CR70" s="83">
        <f>'Raw Data'!CR71/100</f>
        <v>190.38</v>
      </c>
      <c r="CS70" s="83">
        <f>'Raw Data'!CS71/100</f>
        <v>181.55</v>
      </c>
      <c r="CT70" s="83">
        <f>'Raw Data'!CT71/100</f>
        <v>173.07</v>
      </c>
      <c r="CU70" s="382"/>
    </row>
    <row r="71" spans="4:99" s="86" customFormat="1" x14ac:dyDescent="0.2">
      <c r="D71" s="376"/>
      <c r="E71" s="164"/>
      <c r="F71" s="394"/>
      <c r="G71" s="83">
        <f>'Raw Data'!G72</f>
        <v>1891</v>
      </c>
      <c r="H71" s="83">
        <f>'Raw Data'!H72</f>
        <v>1881</v>
      </c>
      <c r="I71" s="83">
        <f>'Raw Data'!I72</f>
        <v>1842</v>
      </c>
      <c r="J71" s="83">
        <f>'Raw Data'!J72</f>
        <v>1911</v>
      </c>
      <c r="K71" s="83">
        <f>'Raw Data'!K72</f>
        <v>1863</v>
      </c>
      <c r="L71" s="83">
        <f>'Raw Data'!L72</f>
        <v>1896</v>
      </c>
      <c r="M71" s="83">
        <f>'Raw Data'!M72</f>
        <v>1860</v>
      </c>
      <c r="N71" s="83">
        <f>'Raw Data'!N72</f>
        <v>1868</v>
      </c>
      <c r="O71" s="83">
        <f>'Raw Data'!O72</f>
        <v>1876</v>
      </c>
      <c r="P71" s="83">
        <f>'Raw Data'!P72</f>
        <v>1807</v>
      </c>
      <c r="Q71" s="83">
        <f>'Raw Data'!Q72</f>
        <v>1813</v>
      </c>
      <c r="R71" s="83">
        <f>'Raw Data'!R72</f>
        <v>1797</v>
      </c>
      <c r="S71" s="83">
        <f>'Raw Data'!S72</f>
        <v>1823</v>
      </c>
      <c r="T71" s="83">
        <f>'Raw Data'!T72</f>
        <v>1875</v>
      </c>
      <c r="U71" s="83">
        <f>'Raw Data'!U72</f>
        <v>1779</v>
      </c>
      <c r="V71" s="83">
        <f>'Raw Data'!V72</f>
        <v>1830</v>
      </c>
      <c r="W71" s="83">
        <f>'Raw Data'!W72</f>
        <v>1808</v>
      </c>
      <c r="X71" s="83">
        <f>'Raw Data'!X72</f>
        <v>1834</v>
      </c>
      <c r="Y71" s="83">
        <f>'Raw Data'!Y72</f>
        <v>1784</v>
      </c>
      <c r="Z71" s="83">
        <f>'Raw Data'!Z72</f>
        <v>1809</v>
      </c>
      <c r="AA71" s="83">
        <f>'Raw Data'!AA72/10</f>
        <v>1735.1</v>
      </c>
      <c r="AB71" s="83">
        <f>'Raw Data'!AB72/10</f>
        <v>1675.7</v>
      </c>
      <c r="AC71" s="83">
        <f>'Raw Data'!AC72/10</f>
        <v>1591.2</v>
      </c>
      <c r="AD71" s="83">
        <f>'Raw Data'!AD72/10</f>
        <v>1515.7</v>
      </c>
      <c r="AE71" s="83">
        <f>'Raw Data'!AE72/10</f>
        <v>1444.6</v>
      </c>
      <c r="AF71" s="83">
        <f>'Raw Data'!AF72/10</f>
        <v>1380.6</v>
      </c>
      <c r="AG71" s="83">
        <f>'Raw Data'!AG72/10</f>
        <v>1302.4000000000001</v>
      </c>
      <c r="AH71" s="83">
        <f>'Raw Data'!AH72/10</f>
        <v>1241.5999999999999</v>
      </c>
      <c r="AI71" s="83">
        <f>'Raw Data'!AI72/10</f>
        <v>1196.4000000000001</v>
      </c>
      <c r="AJ71" s="83">
        <f>'Raw Data'!AJ72/10</f>
        <v>1145</v>
      </c>
      <c r="AK71" s="83">
        <f>'Raw Data'!AK72/10</f>
        <v>1098.7</v>
      </c>
      <c r="AL71" s="83">
        <f>'Raw Data'!AL72/10</f>
        <v>1055.8</v>
      </c>
      <c r="AM71" s="83">
        <f>'Raw Data'!AM72/10</f>
        <v>1012.2</v>
      </c>
      <c r="AN71" s="83">
        <f>'Raw Data'!AN72/10</f>
        <v>977</v>
      </c>
      <c r="AO71" s="83">
        <f>'Raw Data'!AO72/10</f>
        <v>936.3</v>
      </c>
      <c r="AP71" s="83">
        <f>'Raw Data'!AP72/10</f>
        <v>909.3</v>
      </c>
      <c r="AQ71" s="83">
        <f>'Raw Data'!AQ72/10</f>
        <v>863.8</v>
      </c>
      <c r="AR71" s="83">
        <f>'Raw Data'!AR72/10</f>
        <v>849.9</v>
      </c>
      <c r="AS71" s="83">
        <f>'Raw Data'!AS72/10</f>
        <v>817.7</v>
      </c>
      <c r="AT71" s="83">
        <f>'Raw Data'!AT72/10</f>
        <v>776.6</v>
      </c>
      <c r="AU71" s="83">
        <f>'Raw Data'!AU72/10</f>
        <v>758.9</v>
      </c>
      <c r="AV71" s="83">
        <f>'Raw Data'!AV72/10</f>
        <v>742</v>
      </c>
      <c r="AW71" s="83">
        <f>'Raw Data'!AW72/10</f>
        <v>712.4</v>
      </c>
      <c r="AX71" s="83">
        <f>'Raw Data'!AX72/10</f>
        <v>691.8</v>
      </c>
      <c r="AY71" s="83">
        <f>'Raw Data'!AY72/10</f>
        <v>667.6</v>
      </c>
      <c r="AZ71" s="83">
        <f>'Raw Data'!AZ72/10</f>
        <v>654.6</v>
      </c>
      <c r="BA71" s="83">
        <f>'Raw Data'!BA72/10</f>
        <v>631.5</v>
      </c>
      <c r="BB71" s="83">
        <f>'Raw Data'!BB72/10</f>
        <v>623.6</v>
      </c>
      <c r="BC71" s="83">
        <f>'Raw Data'!BC72/10</f>
        <v>597.29999999999995</v>
      </c>
      <c r="BD71" s="83">
        <f>'Raw Data'!BD72/10</f>
        <v>578</v>
      </c>
      <c r="BE71" s="83">
        <f>'Raw Data'!BE72/10</f>
        <v>570.70000000000005</v>
      </c>
      <c r="BF71" s="83">
        <f>'Raw Data'!BF72/10</f>
        <v>559.1</v>
      </c>
      <c r="BG71" s="83">
        <f>'Raw Data'!BG72/10</f>
        <v>544.6</v>
      </c>
      <c r="BH71" s="83">
        <f>'Raw Data'!BH72/10</f>
        <v>531.6</v>
      </c>
      <c r="BI71" s="83">
        <f>'Raw Data'!BI72/10</f>
        <v>512.70000000000005</v>
      </c>
      <c r="BJ71" s="83">
        <f>'Raw Data'!BJ72/10</f>
        <v>512.5</v>
      </c>
      <c r="BK71" s="83">
        <f>'Raw Data'!BK72/10</f>
        <v>502.6</v>
      </c>
      <c r="BL71" s="83">
        <f>'Raw Data'!BL72/10</f>
        <v>485.3</v>
      </c>
      <c r="BM71" s="83">
        <f>'Raw Data'!BM72/10</f>
        <v>477.1</v>
      </c>
      <c r="BN71" s="83">
        <f>'Raw Data'!BN72/10</f>
        <v>467.6</v>
      </c>
      <c r="BO71" s="83">
        <f>'Raw Data'!BO72/10</f>
        <v>460</v>
      </c>
      <c r="BP71" s="83">
        <f>'Raw Data'!BP72/10</f>
        <v>449.1</v>
      </c>
      <c r="BQ71" s="83">
        <f>'Raw Data'!BQ72/10</f>
        <v>441.7</v>
      </c>
      <c r="BR71" s="83">
        <f>'Raw Data'!BR72/10</f>
        <v>429.4</v>
      </c>
      <c r="BS71" s="83">
        <f>'Raw Data'!BS72/10</f>
        <v>427.3</v>
      </c>
      <c r="BT71" s="83">
        <f>'Raw Data'!BT72/10</f>
        <v>428.6</v>
      </c>
      <c r="BU71" s="83">
        <f>'Raw Data'!BU72/10</f>
        <v>402.2</v>
      </c>
      <c r="BV71" s="83">
        <f>'Raw Data'!BV72/10</f>
        <v>405.8</v>
      </c>
      <c r="BW71" s="83">
        <f>'Raw Data'!BW72/10</f>
        <v>403.9</v>
      </c>
      <c r="BX71" s="83">
        <f>'Raw Data'!BX72/10</f>
        <v>398</v>
      </c>
      <c r="BY71" s="83">
        <f>'Raw Data'!BY72/10</f>
        <v>388.2</v>
      </c>
      <c r="BZ71" s="83">
        <f>'Raw Data'!BZ72/10</f>
        <v>374.2</v>
      </c>
      <c r="CA71" s="83">
        <f>'Raw Data'!CA72/10</f>
        <v>385.1</v>
      </c>
      <c r="CB71" s="83">
        <f>'Raw Data'!CB72/10</f>
        <v>372.7</v>
      </c>
      <c r="CC71" s="83">
        <f>'Raw Data'!CC72/10</f>
        <v>356.3</v>
      </c>
      <c r="CD71" s="83">
        <f>'Raw Data'!CD72/10</f>
        <v>357.1</v>
      </c>
      <c r="CE71" s="83">
        <f>'Raw Data'!CE72/10</f>
        <v>359.1</v>
      </c>
      <c r="CF71" s="83">
        <f>'Raw Data'!CF72/10</f>
        <v>348.5</v>
      </c>
      <c r="CG71" s="83">
        <f>'Raw Data'!CG72/100</f>
        <v>322.64999999999998</v>
      </c>
      <c r="CH71" s="83">
        <f>'Raw Data'!CH72/100</f>
        <v>287.32</v>
      </c>
      <c r="CI71" s="83">
        <f>'Raw Data'!CI72/100</f>
        <v>261.99</v>
      </c>
      <c r="CJ71" s="83">
        <f>'Raw Data'!CJ72/100</f>
        <v>237.76</v>
      </c>
      <c r="CK71" s="83">
        <f>'Raw Data'!CK72/100</f>
        <v>222.05</v>
      </c>
      <c r="CL71" s="83">
        <f>'Raw Data'!CL72/100</f>
        <v>207.85</v>
      </c>
      <c r="CM71" s="83">
        <f>'Raw Data'!CM72/100</f>
        <v>195.99</v>
      </c>
      <c r="CN71" s="83">
        <f>'Raw Data'!CN72/100</f>
        <v>185.1</v>
      </c>
      <c r="CO71" s="83">
        <f>'Raw Data'!CO72/100</f>
        <v>177.35</v>
      </c>
      <c r="CP71" s="83">
        <f>'Raw Data'!CP72/100</f>
        <v>169.5</v>
      </c>
      <c r="CQ71" s="83">
        <f>'Raw Data'!CQ72/100</f>
        <v>163.16999999999999</v>
      </c>
      <c r="CR71" s="83">
        <f>'Raw Data'!CR72/100</f>
        <v>155.41999999999999</v>
      </c>
      <c r="CS71" s="83">
        <f>'Raw Data'!CS72/100</f>
        <v>150.06</v>
      </c>
      <c r="CT71" s="83">
        <f>'Raw Data'!CT72/100</f>
        <v>145.53</v>
      </c>
      <c r="CU71" s="382"/>
    </row>
    <row r="72" spans="4:99" s="86" customFormat="1" x14ac:dyDescent="0.2">
      <c r="D72" s="376"/>
      <c r="E72" s="164"/>
      <c r="F72" s="394"/>
      <c r="G72" s="83">
        <f>'Raw Data'!G73</f>
        <v>42</v>
      </c>
      <c r="H72" s="83">
        <f>'Raw Data'!H73</f>
        <v>44</v>
      </c>
      <c r="I72" s="83">
        <f>'Raw Data'!I73</f>
        <v>52</v>
      </c>
      <c r="J72" s="83">
        <f>'Raw Data'!J73</f>
        <v>37</v>
      </c>
      <c r="K72" s="83">
        <f>'Raw Data'!K73</f>
        <v>41</v>
      </c>
      <c r="L72" s="83">
        <f>'Raw Data'!L73</f>
        <v>42</v>
      </c>
      <c r="M72" s="83">
        <f>'Raw Data'!M73</f>
        <v>44</v>
      </c>
      <c r="N72" s="83">
        <f>'Raw Data'!N73</f>
        <v>42</v>
      </c>
      <c r="O72" s="83">
        <f>'Raw Data'!O73</f>
        <v>45</v>
      </c>
      <c r="P72" s="83">
        <f>'Raw Data'!P73</f>
        <v>49</v>
      </c>
      <c r="Q72" s="83">
        <f>'Raw Data'!Q73</f>
        <v>50</v>
      </c>
      <c r="R72" s="83">
        <f>'Raw Data'!R73</f>
        <v>41</v>
      </c>
      <c r="S72" s="83">
        <f>'Raw Data'!S73</f>
        <v>52</v>
      </c>
      <c r="T72" s="83">
        <f>'Raw Data'!T73</f>
        <v>48</v>
      </c>
      <c r="U72" s="83">
        <f>'Raw Data'!U73</f>
        <v>41</v>
      </c>
      <c r="V72" s="83">
        <f>'Raw Data'!V73</f>
        <v>46</v>
      </c>
      <c r="W72" s="83">
        <f>'Raw Data'!W73</f>
        <v>48</v>
      </c>
      <c r="X72" s="83">
        <f>'Raw Data'!X73</f>
        <v>49</v>
      </c>
      <c r="Y72" s="83">
        <f>'Raw Data'!Y73</f>
        <v>35</v>
      </c>
      <c r="Z72" s="83">
        <f>'Raw Data'!Z73</f>
        <v>48</v>
      </c>
      <c r="AA72" s="83">
        <f>'Raw Data'!AA73/10</f>
        <v>48.3</v>
      </c>
      <c r="AB72" s="83">
        <f>'Raw Data'!AB73/10</f>
        <v>49</v>
      </c>
      <c r="AC72" s="83">
        <f>'Raw Data'!AC73/10</f>
        <v>49.5</v>
      </c>
      <c r="AD72" s="83">
        <f>'Raw Data'!AD73/10</f>
        <v>47.9</v>
      </c>
      <c r="AE72" s="83">
        <f>'Raw Data'!AE73/10</f>
        <v>47.3</v>
      </c>
      <c r="AF72" s="83">
        <f>'Raw Data'!AF73/10</f>
        <v>48.9</v>
      </c>
      <c r="AG72" s="83">
        <f>'Raw Data'!AG73/10</f>
        <v>50</v>
      </c>
      <c r="AH72" s="83">
        <f>'Raw Data'!AH73/10</f>
        <v>46.3</v>
      </c>
      <c r="AI72" s="83">
        <f>'Raw Data'!AI73/10</f>
        <v>48.7</v>
      </c>
      <c r="AJ72" s="83">
        <f>'Raw Data'!AJ73/10</f>
        <v>47.1</v>
      </c>
      <c r="AK72" s="83">
        <f>'Raw Data'!AK73/10</f>
        <v>48.6</v>
      </c>
      <c r="AL72" s="83">
        <f>'Raw Data'!AL73/10</f>
        <v>46.2</v>
      </c>
      <c r="AM72" s="83">
        <f>'Raw Data'!AM73/10</f>
        <v>44.3</v>
      </c>
      <c r="AN72" s="83">
        <f>'Raw Data'!AN73/10</f>
        <v>46.6</v>
      </c>
      <c r="AO72" s="83">
        <f>'Raw Data'!AO73/10</f>
        <v>48.6</v>
      </c>
      <c r="AP72" s="83">
        <f>'Raw Data'!AP73/10</f>
        <v>42.8</v>
      </c>
      <c r="AQ72" s="83">
        <f>'Raw Data'!AQ73/10</f>
        <v>46.6</v>
      </c>
      <c r="AR72" s="83">
        <f>'Raw Data'!AR73/10</f>
        <v>43</v>
      </c>
      <c r="AS72" s="83">
        <f>'Raw Data'!AS73/10</f>
        <v>43.7</v>
      </c>
      <c r="AT72" s="83">
        <f>'Raw Data'!AT73/10</f>
        <v>43.7</v>
      </c>
      <c r="AU72" s="83">
        <f>'Raw Data'!AU73/10</f>
        <v>41.6</v>
      </c>
      <c r="AV72" s="83">
        <f>'Raw Data'!AV73/10</f>
        <v>41.9</v>
      </c>
      <c r="AW72" s="83">
        <f>'Raw Data'!AW73/10</f>
        <v>42.2</v>
      </c>
      <c r="AX72" s="83">
        <f>'Raw Data'!AX73/10</f>
        <v>43.5</v>
      </c>
      <c r="AY72" s="83">
        <f>'Raw Data'!AY73/10</f>
        <v>43.1</v>
      </c>
      <c r="AZ72" s="83">
        <f>'Raw Data'!AZ73/10</f>
        <v>40.700000000000003</v>
      </c>
      <c r="BA72" s="83">
        <f>'Raw Data'!BA73/10</f>
        <v>42.1</v>
      </c>
      <c r="BB72" s="83">
        <f>'Raw Data'!BB73/10</f>
        <v>42.6</v>
      </c>
      <c r="BC72" s="83">
        <f>'Raw Data'!BC73/10</f>
        <v>39.5</v>
      </c>
      <c r="BD72" s="83">
        <f>'Raw Data'!BD73/10</f>
        <v>42.6</v>
      </c>
      <c r="BE72" s="83">
        <f>'Raw Data'!BE73/10</f>
        <v>40.799999999999997</v>
      </c>
      <c r="BF72" s="83">
        <f>'Raw Data'!BF73/10</f>
        <v>42.5</v>
      </c>
      <c r="BG72" s="83">
        <f>'Raw Data'!BG73/10</f>
        <v>41.8</v>
      </c>
      <c r="BH72" s="83">
        <f>'Raw Data'!BH73/10</f>
        <v>39.700000000000003</v>
      </c>
      <c r="BI72" s="83">
        <f>'Raw Data'!BI73/10</f>
        <v>41.2</v>
      </c>
      <c r="BJ72" s="83">
        <f>'Raw Data'!BJ73/10</f>
        <v>38.6</v>
      </c>
      <c r="BK72" s="83">
        <f>'Raw Data'!BK73/10</f>
        <v>41.7</v>
      </c>
      <c r="BL72" s="83">
        <f>'Raw Data'!BL73/10</f>
        <v>40.4</v>
      </c>
      <c r="BM72" s="83">
        <f>'Raw Data'!BM73/10</f>
        <v>42.5</v>
      </c>
      <c r="BN72" s="83">
        <f>'Raw Data'!BN73/10</f>
        <v>37.4</v>
      </c>
      <c r="BO72" s="83">
        <f>'Raw Data'!BO73/10</f>
        <v>41.9</v>
      </c>
      <c r="BP72" s="83">
        <f>'Raw Data'!BP73/10</f>
        <v>40.299999999999997</v>
      </c>
      <c r="BQ72" s="83">
        <f>'Raw Data'!BQ73/10</f>
        <v>39.700000000000003</v>
      </c>
      <c r="BR72" s="83">
        <f>'Raw Data'!BR73/10</f>
        <v>39.200000000000003</v>
      </c>
      <c r="BS72" s="83">
        <f>'Raw Data'!BS73/10</f>
        <v>37</v>
      </c>
      <c r="BT72" s="83">
        <f>'Raw Data'!BT73/10</f>
        <v>41.2</v>
      </c>
      <c r="BU72" s="83">
        <f>'Raw Data'!BU73/10</f>
        <v>43.6</v>
      </c>
      <c r="BV72" s="83">
        <f>'Raw Data'!BV73/10</f>
        <v>42.4</v>
      </c>
      <c r="BW72" s="83">
        <f>'Raw Data'!BW73/10</f>
        <v>40.9</v>
      </c>
      <c r="BX72" s="83">
        <f>'Raw Data'!BX73/10</f>
        <v>37</v>
      </c>
      <c r="BY72" s="83">
        <f>'Raw Data'!BY73/10</f>
        <v>37.700000000000003</v>
      </c>
      <c r="BZ72" s="83">
        <f>'Raw Data'!BZ73/10</f>
        <v>38.799999999999997</v>
      </c>
      <c r="CA72" s="83">
        <f>'Raw Data'!CA73/10</f>
        <v>36.5</v>
      </c>
      <c r="CB72" s="83">
        <f>'Raw Data'!CB73/10</f>
        <v>39.4</v>
      </c>
      <c r="CC72" s="83">
        <f>'Raw Data'!CC73/10</f>
        <v>39.200000000000003</v>
      </c>
      <c r="CD72" s="83">
        <f>'Raw Data'!CD73/10</f>
        <v>37.799999999999997</v>
      </c>
      <c r="CE72" s="83">
        <f>'Raw Data'!CE73/10</f>
        <v>39.5</v>
      </c>
      <c r="CF72" s="83">
        <f>'Raw Data'!CF73/10</f>
        <v>36.799999999999997</v>
      </c>
      <c r="CG72" s="83">
        <f>'Raw Data'!CG73/100</f>
        <v>38.49</v>
      </c>
      <c r="CH72" s="83">
        <f>'Raw Data'!CH73/100</f>
        <v>36.520000000000003</v>
      </c>
      <c r="CI72" s="83">
        <f>'Raw Data'!CI73/100</f>
        <v>36.14</v>
      </c>
      <c r="CJ72" s="83">
        <f>'Raw Data'!CJ73/100</f>
        <v>36.549999999999997</v>
      </c>
      <c r="CK72" s="83">
        <f>'Raw Data'!CK73/100</f>
        <v>35.43</v>
      </c>
      <c r="CL72" s="83">
        <f>'Raw Data'!CL73/100</f>
        <v>35.450000000000003</v>
      </c>
      <c r="CM72" s="83">
        <f>'Raw Data'!CM73/100</f>
        <v>35.31</v>
      </c>
      <c r="CN72" s="83">
        <f>'Raw Data'!CN73/100</f>
        <v>34.380000000000003</v>
      </c>
      <c r="CO72" s="83">
        <f>'Raw Data'!CO73/100</f>
        <v>34.409999999999997</v>
      </c>
      <c r="CP72" s="83">
        <f>'Raw Data'!CP73/100</f>
        <v>34.380000000000003</v>
      </c>
      <c r="CQ72" s="83">
        <f>'Raw Data'!CQ73/100</f>
        <v>33.75</v>
      </c>
      <c r="CR72" s="83">
        <f>'Raw Data'!CR73/100</f>
        <v>32.76</v>
      </c>
      <c r="CS72" s="83">
        <f>'Raw Data'!CS73/100</f>
        <v>32.950000000000003</v>
      </c>
      <c r="CT72" s="83">
        <f>'Raw Data'!CT73/100</f>
        <v>32.47</v>
      </c>
      <c r="CU72" s="382"/>
    </row>
    <row r="73" spans="4:99" s="86" customFormat="1" x14ac:dyDescent="0.2">
      <c r="D73" s="376"/>
      <c r="E73" s="164"/>
      <c r="F73" s="394"/>
      <c r="G73" s="83">
        <f>'Raw Data'!G74</f>
        <v>1781</v>
      </c>
      <c r="H73" s="83">
        <f>'Raw Data'!H74</f>
        <v>1745</v>
      </c>
      <c r="I73" s="83">
        <f>'Raw Data'!I74</f>
        <v>2047</v>
      </c>
      <c r="J73" s="83">
        <f>'Raw Data'!J74</f>
        <v>1747</v>
      </c>
      <c r="K73" s="83">
        <f>'Raw Data'!K74</f>
        <v>1771</v>
      </c>
      <c r="L73" s="83">
        <f>'Raw Data'!L74</f>
        <v>1839</v>
      </c>
      <c r="M73" s="83">
        <f>'Raw Data'!M74</f>
        <v>1798</v>
      </c>
      <c r="N73" s="83">
        <f>'Raw Data'!N74</f>
        <v>1718</v>
      </c>
      <c r="O73" s="83">
        <f>'Raw Data'!O74</f>
        <v>1781</v>
      </c>
      <c r="P73" s="83">
        <f>'Raw Data'!P74</f>
        <v>1757</v>
      </c>
      <c r="Q73" s="83">
        <f>'Raw Data'!Q74</f>
        <v>1727</v>
      </c>
      <c r="R73" s="83">
        <f>'Raw Data'!R74</f>
        <v>1777</v>
      </c>
      <c r="S73" s="83">
        <f>'Raw Data'!S74</f>
        <v>1675</v>
      </c>
      <c r="T73" s="83">
        <f>'Raw Data'!T74</f>
        <v>1697</v>
      </c>
      <c r="U73" s="83">
        <f>'Raw Data'!U74</f>
        <v>1727</v>
      </c>
      <c r="V73" s="83">
        <f>'Raw Data'!V74</f>
        <v>1685</v>
      </c>
      <c r="W73" s="83">
        <f>'Raw Data'!W74</f>
        <v>1636</v>
      </c>
      <c r="X73" s="83">
        <f>'Raw Data'!X74</f>
        <v>1715</v>
      </c>
      <c r="Y73" s="83">
        <f>'Raw Data'!Y74</f>
        <v>1701</v>
      </c>
      <c r="Z73" s="83">
        <f>'Raw Data'!Z74</f>
        <v>1612</v>
      </c>
      <c r="AA73" s="83">
        <f>'Raw Data'!AA74/10</f>
        <v>1614.2</v>
      </c>
      <c r="AB73" s="83">
        <f>'Raw Data'!AB74/10</f>
        <v>1543.9</v>
      </c>
      <c r="AC73" s="83">
        <f>'Raw Data'!AC74/10</f>
        <v>1474.1</v>
      </c>
      <c r="AD73" s="83">
        <f>'Raw Data'!AD74/10</f>
        <v>1404.9</v>
      </c>
      <c r="AE73" s="83">
        <f>'Raw Data'!AE74/10</f>
        <v>1337.8</v>
      </c>
      <c r="AF73" s="83">
        <f>'Raw Data'!AF74/10</f>
        <v>1268.7</v>
      </c>
      <c r="AG73" s="83">
        <f>'Raw Data'!AG74/10</f>
        <v>1189.3</v>
      </c>
      <c r="AH73" s="83">
        <f>'Raw Data'!AH74/10</f>
        <v>1142.7</v>
      </c>
      <c r="AI73" s="83">
        <f>'Raw Data'!AI74/10</f>
        <v>1073.5999999999999</v>
      </c>
      <c r="AJ73" s="83">
        <f>'Raw Data'!AJ74/10</f>
        <v>1044.5</v>
      </c>
      <c r="AK73" s="83">
        <f>'Raw Data'!AK74/10</f>
        <v>986.7</v>
      </c>
      <c r="AL73" s="83">
        <f>'Raw Data'!AL74/10</f>
        <v>923.4</v>
      </c>
      <c r="AM73" s="83">
        <f>'Raw Data'!AM74/10</f>
        <v>907.2</v>
      </c>
      <c r="AN73" s="83">
        <f>'Raw Data'!AN74/10</f>
        <v>858</v>
      </c>
      <c r="AO73" s="83">
        <f>'Raw Data'!AO74/10</f>
        <v>837.9</v>
      </c>
      <c r="AP73" s="83">
        <f>'Raw Data'!AP74/10</f>
        <v>809.1</v>
      </c>
      <c r="AQ73" s="83">
        <f>'Raw Data'!AQ74/10</f>
        <v>764.2</v>
      </c>
      <c r="AR73" s="83">
        <f>'Raw Data'!AR74/10</f>
        <v>734.2</v>
      </c>
      <c r="AS73" s="83">
        <f>'Raw Data'!AS74/10</f>
        <v>718.9</v>
      </c>
      <c r="AT73" s="83">
        <f>'Raw Data'!AT74/10</f>
        <v>681.7</v>
      </c>
      <c r="AU73" s="83">
        <f>'Raw Data'!AU74/10</f>
        <v>664</v>
      </c>
      <c r="AV73" s="83">
        <f>'Raw Data'!AV74/10</f>
        <v>634.29999999999995</v>
      </c>
      <c r="AW73" s="83">
        <f>'Raw Data'!AW74/10</f>
        <v>595</v>
      </c>
      <c r="AX73" s="83">
        <f>'Raw Data'!AX74/10</f>
        <v>577</v>
      </c>
      <c r="AY73" s="83">
        <f>'Raw Data'!AY74/10</f>
        <v>581.79999999999995</v>
      </c>
      <c r="AZ73" s="83">
        <f>'Raw Data'!AZ74/10</f>
        <v>554.6</v>
      </c>
      <c r="BA73" s="83">
        <f>'Raw Data'!BA74/10</f>
        <v>544.1</v>
      </c>
      <c r="BB73" s="83">
        <f>'Raw Data'!BB74/10</f>
        <v>521.70000000000005</v>
      </c>
      <c r="BC73" s="83">
        <f>'Raw Data'!BC74/10</f>
        <v>509.6</v>
      </c>
      <c r="BD73" s="83">
        <f>'Raw Data'!BD74/10</f>
        <v>491.3</v>
      </c>
      <c r="BE73" s="83">
        <f>'Raw Data'!BE74/10</f>
        <v>477.2</v>
      </c>
      <c r="BF73" s="83">
        <f>'Raw Data'!BF74/10</f>
        <v>462</v>
      </c>
      <c r="BG73" s="83">
        <f>'Raw Data'!BG74/10</f>
        <v>464.5</v>
      </c>
      <c r="BH73" s="83">
        <f>'Raw Data'!BH74/10</f>
        <v>436.5</v>
      </c>
      <c r="BI73" s="83">
        <f>'Raw Data'!BI74/10</f>
        <v>430</v>
      </c>
      <c r="BJ73" s="83">
        <f>'Raw Data'!BJ74/10</f>
        <v>418.7</v>
      </c>
      <c r="BK73" s="83">
        <f>'Raw Data'!BK74/10</f>
        <v>411.2</v>
      </c>
      <c r="BL73" s="83">
        <f>'Raw Data'!BL74/10</f>
        <v>401</v>
      </c>
      <c r="BM73" s="83">
        <f>'Raw Data'!BM74/10</f>
        <v>389.3</v>
      </c>
      <c r="BN73" s="83">
        <f>'Raw Data'!BN74/10</f>
        <v>373.2</v>
      </c>
      <c r="BO73" s="83">
        <f>'Raw Data'!BO74/10</f>
        <v>370.9</v>
      </c>
      <c r="BP73" s="83">
        <f>'Raw Data'!BP74/10</f>
        <v>369.1</v>
      </c>
      <c r="BQ73" s="83">
        <f>'Raw Data'!BQ74/10</f>
        <v>353.4</v>
      </c>
      <c r="BR73" s="83">
        <f>'Raw Data'!BR74/10</f>
        <v>342.8</v>
      </c>
      <c r="BS73" s="83">
        <f>'Raw Data'!BS74/10</f>
        <v>345.9</v>
      </c>
      <c r="BT73" s="83">
        <f>'Raw Data'!BT74/10</f>
        <v>333.8</v>
      </c>
      <c r="BU73" s="83">
        <f>'Raw Data'!BU74/10</f>
        <v>321.2</v>
      </c>
      <c r="BV73" s="83">
        <f>'Raw Data'!BV74/10</f>
        <v>316.89999999999998</v>
      </c>
      <c r="BW73" s="83">
        <f>'Raw Data'!BW74/10</f>
        <v>306.3</v>
      </c>
      <c r="BX73" s="83">
        <f>'Raw Data'!BX74/10</f>
        <v>307.2</v>
      </c>
      <c r="BY73" s="83">
        <f>'Raw Data'!BY74/10</f>
        <v>305.3</v>
      </c>
      <c r="BZ73" s="83">
        <f>'Raw Data'!BZ74/10</f>
        <v>298.60000000000002</v>
      </c>
      <c r="CA73" s="83">
        <f>'Raw Data'!CA74/10</f>
        <v>290.8</v>
      </c>
      <c r="CB73" s="83">
        <f>'Raw Data'!CB74/10</f>
        <v>280.5</v>
      </c>
      <c r="CC73" s="83">
        <f>'Raw Data'!CC74/10</f>
        <v>285.60000000000002</v>
      </c>
      <c r="CD73" s="83">
        <f>'Raw Data'!CD74/10</f>
        <v>274.5</v>
      </c>
      <c r="CE73" s="83">
        <f>'Raw Data'!CE74/10</f>
        <v>272.2</v>
      </c>
      <c r="CF73" s="83">
        <f>'Raw Data'!CF74/10</f>
        <v>272.5</v>
      </c>
      <c r="CG73" s="83">
        <f>'Raw Data'!CG74/100</f>
        <v>244.74</v>
      </c>
      <c r="CH73" s="83">
        <f>'Raw Data'!CH74/100</f>
        <v>210.79</v>
      </c>
      <c r="CI73" s="83">
        <f>'Raw Data'!CI74/100</f>
        <v>187.38</v>
      </c>
      <c r="CJ73" s="83">
        <f>'Raw Data'!CJ74/100</f>
        <v>170.16</v>
      </c>
      <c r="CK73" s="83">
        <f>'Raw Data'!CK74/100</f>
        <v>154.51</v>
      </c>
      <c r="CL73" s="83">
        <f>'Raw Data'!CL74/100</f>
        <v>143.16</v>
      </c>
      <c r="CM73" s="83">
        <f>'Raw Data'!CM74/100</f>
        <v>130.19</v>
      </c>
      <c r="CN73" s="83">
        <f>'Raw Data'!CN74/100</f>
        <v>126.13</v>
      </c>
      <c r="CO73" s="83">
        <f>'Raw Data'!CO74/100</f>
        <v>117.31</v>
      </c>
      <c r="CP73" s="83">
        <f>'Raw Data'!CP74/100</f>
        <v>112.53</v>
      </c>
      <c r="CQ73" s="83">
        <f>'Raw Data'!CQ74/100</f>
        <v>106.39</v>
      </c>
      <c r="CR73" s="83">
        <f>'Raw Data'!CR74/100</f>
        <v>101.18</v>
      </c>
      <c r="CS73" s="83">
        <f>'Raw Data'!CS74/100</f>
        <v>97.34</v>
      </c>
      <c r="CT73" s="83">
        <f>'Raw Data'!CT74/100</f>
        <v>93.39</v>
      </c>
      <c r="CU73" s="382"/>
    </row>
    <row r="74" spans="4:99" s="86" customFormat="1" x14ac:dyDescent="0.2">
      <c r="D74" s="376"/>
      <c r="E74" s="164"/>
      <c r="F74" s="394"/>
      <c r="G74" s="83">
        <f>'Raw Data'!G75</f>
        <v>1227</v>
      </c>
      <c r="H74" s="83">
        <f>'Raw Data'!H75</f>
        <v>1179</v>
      </c>
      <c r="I74" s="83">
        <f>'Raw Data'!I75</f>
        <v>1237</v>
      </c>
      <c r="J74" s="83">
        <f>'Raw Data'!J75</f>
        <v>1253</v>
      </c>
      <c r="K74" s="83">
        <f>'Raw Data'!K75</f>
        <v>1196</v>
      </c>
      <c r="L74" s="83">
        <f>'Raw Data'!L75</f>
        <v>1208</v>
      </c>
      <c r="M74" s="83">
        <f>'Raw Data'!M75</f>
        <v>1194</v>
      </c>
      <c r="N74" s="83">
        <f>'Raw Data'!N75</f>
        <v>1239</v>
      </c>
      <c r="O74" s="83">
        <f>'Raw Data'!O75</f>
        <v>1194</v>
      </c>
      <c r="P74" s="83">
        <f>'Raw Data'!P75</f>
        <v>1149</v>
      </c>
      <c r="Q74" s="83">
        <f>'Raw Data'!Q75</f>
        <v>1184</v>
      </c>
      <c r="R74" s="83">
        <f>'Raw Data'!R75</f>
        <v>1170</v>
      </c>
      <c r="S74" s="83">
        <f>'Raw Data'!S75</f>
        <v>1172</v>
      </c>
      <c r="T74" s="83">
        <f>'Raw Data'!T75</f>
        <v>1148</v>
      </c>
      <c r="U74" s="83">
        <f>'Raw Data'!U75</f>
        <v>1131</v>
      </c>
      <c r="V74" s="83">
        <f>'Raw Data'!V75</f>
        <v>1157</v>
      </c>
      <c r="W74" s="83">
        <f>'Raw Data'!W75</f>
        <v>1151</v>
      </c>
      <c r="X74" s="83">
        <f>'Raw Data'!X75</f>
        <v>1152</v>
      </c>
      <c r="Y74" s="83">
        <f>'Raw Data'!Y75</f>
        <v>1161</v>
      </c>
      <c r="Z74" s="83">
        <f>'Raw Data'!Z75</f>
        <v>1118</v>
      </c>
      <c r="AA74" s="83">
        <f>'Raw Data'!AA75/10</f>
        <v>1101.5</v>
      </c>
      <c r="AB74" s="83">
        <f>'Raw Data'!AB75/10</f>
        <v>1061</v>
      </c>
      <c r="AC74" s="83">
        <f>'Raw Data'!AC75/10</f>
        <v>1004</v>
      </c>
      <c r="AD74" s="83">
        <f>'Raw Data'!AD75/10</f>
        <v>946.3</v>
      </c>
      <c r="AE74" s="83">
        <f>'Raw Data'!AE75/10</f>
        <v>888.8</v>
      </c>
      <c r="AF74" s="83">
        <f>'Raw Data'!AF75/10</f>
        <v>864.9</v>
      </c>
      <c r="AG74" s="83">
        <f>'Raw Data'!AG75/10</f>
        <v>820.7</v>
      </c>
      <c r="AH74" s="83">
        <f>'Raw Data'!AH75/10</f>
        <v>781.4</v>
      </c>
      <c r="AI74" s="83">
        <f>'Raw Data'!AI75/10</f>
        <v>740.8</v>
      </c>
      <c r="AJ74" s="83">
        <f>'Raw Data'!AJ75/10</f>
        <v>712.1</v>
      </c>
      <c r="AK74" s="83">
        <f>'Raw Data'!AK75/10</f>
        <v>690.7</v>
      </c>
      <c r="AL74" s="83">
        <f>'Raw Data'!AL75/10</f>
        <v>641.79999999999995</v>
      </c>
      <c r="AM74" s="83">
        <f>'Raw Data'!AM75/10</f>
        <v>625.5</v>
      </c>
      <c r="AN74" s="83">
        <f>'Raw Data'!AN75/10</f>
        <v>593</v>
      </c>
      <c r="AO74" s="83">
        <f>'Raw Data'!AO75/10</f>
        <v>562.5</v>
      </c>
      <c r="AP74" s="83">
        <f>'Raw Data'!AP75/10</f>
        <v>543.5</v>
      </c>
      <c r="AQ74" s="83">
        <f>'Raw Data'!AQ75/10</f>
        <v>535.70000000000005</v>
      </c>
      <c r="AR74" s="83">
        <f>'Raw Data'!AR75/10</f>
        <v>501.8</v>
      </c>
      <c r="AS74" s="83">
        <f>'Raw Data'!AS75/10</f>
        <v>493</v>
      </c>
      <c r="AT74" s="83">
        <f>'Raw Data'!AT75/10</f>
        <v>468.8</v>
      </c>
      <c r="AU74" s="83">
        <f>'Raw Data'!AU75/10</f>
        <v>457.7</v>
      </c>
      <c r="AV74" s="83">
        <f>'Raw Data'!AV75/10</f>
        <v>436.9</v>
      </c>
      <c r="AW74" s="83">
        <f>'Raw Data'!AW75/10</f>
        <v>426.8</v>
      </c>
      <c r="AX74" s="83">
        <f>'Raw Data'!AX75/10</f>
        <v>411.7</v>
      </c>
      <c r="AY74" s="83">
        <f>'Raw Data'!AY75/10</f>
        <v>395.7</v>
      </c>
      <c r="AZ74" s="83">
        <f>'Raw Data'!AZ75/10</f>
        <v>391.6</v>
      </c>
      <c r="BA74" s="83">
        <f>'Raw Data'!BA75/10</f>
        <v>366.7</v>
      </c>
      <c r="BB74" s="83">
        <f>'Raw Data'!BB75/10</f>
        <v>359</v>
      </c>
      <c r="BC74" s="83">
        <f>'Raw Data'!BC75/10</f>
        <v>349</v>
      </c>
      <c r="BD74" s="83">
        <f>'Raw Data'!BD75/10</f>
        <v>335.6</v>
      </c>
      <c r="BE74" s="83">
        <f>'Raw Data'!BE75/10</f>
        <v>325.89999999999998</v>
      </c>
      <c r="BF74" s="83">
        <f>'Raw Data'!BF75/10</f>
        <v>326.5</v>
      </c>
      <c r="BG74" s="83">
        <f>'Raw Data'!BG75/10</f>
        <v>308.7</v>
      </c>
      <c r="BH74" s="83">
        <f>'Raw Data'!BH75/10</f>
        <v>306.2</v>
      </c>
      <c r="BI74" s="83">
        <f>'Raw Data'!BI75/10</f>
        <v>296.2</v>
      </c>
      <c r="BJ74" s="83">
        <f>'Raw Data'!BJ75/10</f>
        <v>289</v>
      </c>
      <c r="BK74" s="83">
        <f>'Raw Data'!BK75/10</f>
        <v>276.2</v>
      </c>
      <c r="BL74" s="83">
        <f>'Raw Data'!BL75/10</f>
        <v>272.7</v>
      </c>
      <c r="BM74" s="83">
        <f>'Raw Data'!BM75/10</f>
        <v>272.7</v>
      </c>
      <c r="BN74" s="83">
        <f>'Raw Data'!BN75/10</f>
        <v>257.3</v>
      </c>
      <c r="BO74" s="83">
        <f>'Raw Data'!BO75/10</f>
        <v>258.7</v>
      </c>
      <c r="BP74" s="83">
        <f>'Raw Data'!BP75/10</f>
        <v>251.4</v>
      </c>
      <c r="BQ74" s="83">
        <f>'Raw Data'!BQ75/10</f>
        <v>251.4</v>
      </c>
      <c r="BR74" s="83">
        <f>'Raw Data'!BR75/10</f>
        <v>243</v>
      </c>
      <c r="BS74" s="83">
        <f>'Raw Data'!BS75/10</f>
        <v>241.2</v>
      </c>
      <c r="BT74" s="83">
        <f>'Raw Data'!BT75/10</f>
        <v>229.7</v>
      </c>
      <c r="BU74" s="83">
        <f>'Raw Data'!BU75/10</f>
        <v>229.1</v>
      </c>
      <c r="BV74" s="83">
        <f>'Raw Data'!BV75/10</f>
        <v>224.1</v>
      </c>
      <c r="BW74" s="83">
        <f>'Raw Data'!BW75/10</f>
        <v>218.4</v>
      </c>
      <c r="BX74" s="83">
        <f>'Raw Data'!BX75/10</f>
        <v>214.3</v>
      </c>
      <c r="BY74" s="83">
        <f>'Raw Data'!BY75/10</f>
        <v>209.8</v>
      </c>
      <c r="BZ74" s="83">
        <f>'Raw Data'!BZ75/10</f>
        <v>206.2</v>
      </c>
      <c r="CA74" s="83">
        <f>'Raw Data'!CA75/10</f>
        <v>205.6</v>
      </c>
      <c r="CB74" s="83">
        <f>'Raw Data'!CB75/10</f>
        <v>201.5</v>
      </c>
      <c r="CC74" s="83">
        <f>'Raw Data'!CC75/10</f>
        <v>197.4</v>
      </c>
      <c r="CD74" s="83">
        <f>'Raw Data'!CD75/10</f>
        <v>194.4</v>
      </c>
      <c r="CE74" s="83">
        <f>'Raw Data'!CE75/10</f>
        <v>185.7</v>
      </c>
      <c r="CF74" s="83">
        <f>'Raw Data'!CF75/10</f>
        <v>188.2</v>
      </c>
      <c r="CG74" s="83">
        <f>'Raw Data'!CG75/100</f>
        <v>173.39</v>
      </c>
      <c r="CH74" s="83">
        <f>'Raw Data'!CH75/100</f>
        <v>151.38</v>
      </c>
      <c r="CI74" s="83">
        <f>'Raw Data'!CI75/100</f>
        <v>131.78</v>
      </c>
      <c r="CJ74" s="83">
        <f>'Raw Data'!CJ75/100</f>
        <v>120.04</v>
      </c>
      <c r="CK74" s="83">
        <f>'Raw Data'!CK75/100</f>
        <v>111.84</v>
      </c>
      <c r="CL74" s="83">
        <f>'Raw Data'!CL75/100</f>
        <v>102.88</v>
      </c>
      <c r="CM74" s="83">
        <f>'Raw Data'!CM75/100</f>
        <v>97.59</v>
      </c>
      <c r="CN74" s="83">
        <f>'Raw Data'!CN75/100</f>
        <v>90.38</v>
      </c>
      <c r="CO74" s="83">
        <f>'Raw Data'!CO75/100</f>
        <v>85.71</v>
      </c>
      <c r="CP74" s="83">
        <f>'Raw Data'!CP75/100</f>
        <v>81.569999999999993</v>
      </c>
      <c r="CQ74" s="83">
        <f>'Raw Data'!CQ75/100</f>
        <v>76.010000000000005</v>
      </c>
      <c r="CR74" s="83">
        <f>'Raw Data'!CR75/100</f>
        <v>75.209999999999994</v>
      </c>
      <c r="CS74" s="83">
        <f>'Raw Data'!CS75/100</f>
        <v>71.069999999999993</v>
      </c>
      <c r="CT74" s="83">
        <f>'Raw Data'!CT75/100</f>
        <v>68.86</v>
      </c>
      <c r="CU74" s="382"/>
    </row>
    <row r="75" spans="4:99" s="86" customFormat="1" x14ac:dyDescent="0.2">
      <c r="D75" s="376"/>
      <c r="E75" s="381"/>
      <c r="F75" s="395"/>
      <c r="G75" s="83">
        <f>'Raw Data'!G76</f>
        <v>1841</v>
      </c>
      <c r="H75" s="83">
        <f>'Raw Data'!H76</f>
        <v>1810</v>
      </c>
      <c r="I75" s="83">
        <f>'Raw Data'!I76</f>
        <v>1812</v>
      </c>
      <c r="J75" s="83">
        <f>'Raw Data'!J76</f>
        <v>1813</v>
      </c>
      <c r="K75" s="83">
        <f>'Raw Data'!K76</f>
        <v>1653</v>
      </c>
      <c r="L75" s="83">
        <f>'Raw Data'!L76</f>
        <v>1805</v>
      </c>
      <c r="M75" s="83">
        <f>'Raw Data'!M76</f>
        <v>1823</v>
      </c>
      <c r="N75" s="83">
        <f>'Raw Data'!N76</f>
        <v>1744</v>
      </c>
      <c r="O75" s="83">
        <f>'Raw Data'!O76</f>
        <v>1736</v>
      </c>
      <c r="P75" s="83">
        <f>'Raw Data'!P76</f>
        <v>1812</v>
      </c>
      <c r="Q75" s="83">
        <f>'Raw Data'!Q76</f>
        <v>1735</v>
      </c>
      <c r="R75" s="83">
        <f>'Raw Data'!R76</f>
        <v>1862</v>
      </c>
      <c r="S75" s="83">
        <f>'Raw Data'!S76</f>
        <v>1752</v>
      </c>
      <c r="T75" s="83">
        <f>'Raw Data'!T76</f>
        <v>1760</v>
      </c>
      <c r="U75" s="83">
        <f>'Raw Data'!U76</f>
        <v>1697</v>
      </c>
      <c r="V75" s="83">
        <f>'Raw Data'!V76</f>
        <v>1707</v>
      </c>
      <c r="W75" s="83">
        <f>'Raw Data'!W76</f>
        <v>1675</v>
      </c>
      <c r="X75" s="83">
        <f>'Raw Data'!X76</f>
        <v>1639</v>
      </c>
      <c r="Y75" s="83">
        <f>'Raw Data'!Y76</f>
        <v>1723</v>
      </c>
      <c r="Z75" s="83">
        <f>'Raw Data'!Z76</f>
        <v>1697</v>
      </c>
      <c r="AA75" s="83">
        <f>'Raw Data'!AA76/10</f>
        <v>1667.3</v>
      </c>
      <c r="AB75" s="83">
        <f>'Raw Data'!AB76/10</f>
        <v>1583.9</v>
      </c>
      <c r="AC75" s="83">
        <f>'Raw Data'!AC76/10</f>
        <v>1500.6</v>
      </c>
      <c r="AD75" s="83">
        <f>'Raw Data'!AD76/10</f>
        <v>1429.1</v>
      </c>
      <c r="AE75" s="83">
        <f>'Raw Data'!AE76/10</f>
        <v>1355.1</v>
      </c>
      <c r="AF75" s="83">
        <f>'Raw Data'!AF76/10</f>
        <v>1287.3</v>
      </c>
      <c r="AG75" s="83">
        <f>'Raw Data'!AG76/10</f>
        <v>1225.4000000000001</v>
      </c>
      <c r="AH75" s="83">
        <f>'Raw Data'!AH76/10</f>
        <v>1163.2</v>
      </c>
      <c r="AI75" s="83">
        <f>'Raw Data'!AI76/10</f>
        <v>1101.5</v>
      </c>
      <c r="AJ75" s="83">
        <f>'Raw Data'!AJ76/10</f>
        <v>1048.3</v>
      </c>
      <c r="AK75" s="83">
        <f>'Raw Data'!AK76/10</f>
        <v>1020.7</v>
      </c>
      <c r="AL75" s="83">
        <f>'Raw Data'!AL76/10</f>
        <v>972.6</v>
      </c>
      <c r="AM75" s="83">
        <f>'Raw Data'!AM76/10</f>
        <v>919.3</v>
      </c>
      <c r="AN75" s="83">
        <f>'Raw Data'!AN76/10</f>
        <v>883.9</v>
      </c>
      <c r="AO75" s="83">
        <f>'Raw Data'!AO76/10</f>
        <v>853.3</v>
      </c>
      <c r="AP75" s="83">
        <f>'Raw Data'!AP76/10</f>
        <v>818.3</v>
      </c>
      <c r="AQ75" s="83">
        <f>'Raw Data'!AQ76/10</f>
        <v>784.8</v>
      </c>
      <c r="AR75" s="83">
        <f>'Raw Data'!AR76/10</f>
        <v>760.8</v>
      </c>
      <c r="AS75" s="83">
        <f>'Raw Data'!AS76/10</f>
        <v>729.9</v>
      </c>
      <c r="AT75" s="83">
        <f>'Raw Data'!AT76/10</f>
        <v>714.4</v>
      </c>
      <c r="AU75" s="83">
        <f>'Raw Data'!AU76/10</f>
        <v>688.1</v>
      </c>
      <c r="AV75" s="83">
        <f>'Raw Data'!AV76/10</f>
        <v>659.2</v>
      </c>
      <c r="AW75" s="83">
        <f>'Raw Data'!AW76/10</f>
        <v>638</v>
      </c>
      <c r="AX75" s="83">
        <f>'Raw Data'!AX76/10</f>
        <v>620.9</v>
      </c>
      <c r="AY75" s="83">
        <f>'Raw Data'!AY76/10</f>
        <v>599.9</v>
      </c>
      <c r="AZ75" s="83">
        <f>'Raw Data'!AZ76/10</f>
        <v>573.9</v>
      </c>
      <c r="BA75" s="83">
        <f>'Raw Data'!BA76/10</f>
        <v>564.4</v>
      </c>
      <c r="BB75" s="83">
        <f>'Raw Data'!BB76/10</f>
        <v>548.6</v>
      </c>
      <c r="BC75" s="83">
        <f>'Raw Data'!BC76/10</f>
        <v>526.6</v>
      </c>
      <c r="BD75" s="83">
        <f>'Raw Data'!BD76/10</f>
        <v>495.3</v>
      </c>
      <c r="BE75" s="83">
        <f>'Raw Data'!BE76/10</f>
        <v>501.1</v>
      </c>
      <c r="BF75" s="83">
        <f>'Raw Data'!BF76/10</f>
        <v>496.5</v>
      </c>
      <c r="BG75" s="83">
        <f>'Raw Data'!BG76/10</f>
        <v>473.7</v>
      </c>
      <c r="BH75" s="83">
        <f>'Raw Data'!BH76/10</f>
        <v>465.7</v>
      </c>
      <c r="BI75" s="83">
        <f>'Raw Data'!BI76/10</f>
        <v>452.5</v>
      </c>
      <c r="BJ75" s="83">
        <f>'Raw Data'!BJ76/10</f>
        <v>437.7</v>
      </c>
      <c r="BK75" s="83">
        <f>'Raw Data'!BK76/10</f>
        <v>427.9</v>
      </c>
      <c r="BL75" s="83">
        <f>'Raw Data'!BL76/10</f>
        <v>420.2</v>
      </c>
      <c r="BM75" s="83">
        <f>'Raw Data'!BM76/10</f>
        <v>404.7</v>
      </c>
      <c r="BN75" s="83">
        <f>'Raw Data'!BN76/10</f>
        <v>399.5</v>
      </c>
      <c r="BO75" s="83">
        <f>'Raw Data'!BO76/10</f>
        <v>392.6</v>
      </c>
      <c r="BP75" s="83">
        <f>'Raw Data'!BP76/10</f>
        <v>379.7</v>
      </c>
      <c r="BQ75" s="83">
        <f>'Raw Data'!BQ76/10</f>
        <v>379</v>
      </c>
      <c r="BR75" s="83">
        <f>'Raw Data'!BR76/10</f>
        <v>369.9</v>
      </c>
      <c r="BS75" s="83">
        <f>'Raw Data'!BS76/10</f>
        <v>361.8</v>
      </c>
      <c r="BT75" s="83">
        <f>'Raw Data'!BT76/10</f>
        <v>355.3</v>
      </c>
      <c r="BU75" s="83">
        <f>'Raw Data'!BU76/10</f>
        <v>351.8</v>
      </c>
      <c r="BV75" s="83">
        <f>'Raw Data'!BV76/10</f>
        <v>344</v>
      </c>
      <c r="BW75" s="83">
        <f>'Raw Data'!BW76/10</f>
        <v>339.6</v>
      </c>
      <c r="BX75" s="83">
        <f>'Raw Data'!BX76/10</f>
        <v>327.9</v>
      </c>
      <c r="BY75" s="83">
        <f>'Raw Data'!BY76/10</f>
        <v>326.60000000000002</v>
      </c>
      <c r="BZ75" s="83">
        <f>'Raw Data'!BZ76/10</f>
        <v>318.3</v>
      </c>
      <c r="CA75" s="83">
        <f>'Raw Data'!CA76/10</f>
        <v>312.89999999999998</v>
      </c>
      <c r="CB75" s="83">
        <f>'Raw Data'!CB76/10</f>
        <v>306.39999999999998</v>
      </c>
      <c r="CC75" s="83">
        <f>'Raw Data'!CC76/10</f>
        <v>301.2</v>
      </c>
      <c r="CD75" s="83">
        <f>'Raw Data'!CD76/10</f>
        <v>293.89999999999998</v>
      </c>
      <c r="CE75" s="83">
        <f>'Raw Data'!CE76/10</f>
        <v>293.3</v>
      </c>
      <c r="CF75" s="83">
        <f>'Raw Data'!CF76/10</f>
        <v>283.39999999999998</v>
      </c>
      <c r="CG75" s="83">
        <f>'Raw Data'!CG76/100</f>
        <v>262.52999999999997</v>
      </c>
      <c r="CH75" s="83">
        <f>'Raw Data'!CH76/100</f>
        <v>229.01</v>
      </c>
      <c r="CI75" s="83">
        <f>'Raw Data'!CI76/100</f>
        <v>205.73</v>
      </c>
      <c r="CJ75" s="83">
        <f>'Raw Data'!CJ76/100</f>
        <v>185.85</v>
      </c>
      <c r="CK75" s="83">
        <f>'Raw Data'!CK76/100</f>
        <v>170.9</v>
      </c>
      <c r="CL75" s="83">
        <f>'Raw Data'!CL76/100</f>
        <v>158.5</v>
      </c>
      <c r="CM75" s="83">
        <f>'Raw Data'!CM76/100</f>
        <v>148.94</v>
      </c>
      <c r="CN75" s="83">
        <f>'Raw Data'!CN76/100</f>
        <v>139.19</v>
      </c>
      <c r="CO75" s="83">
        <f>'Raw Data'!CO76/100</f>
        <v>132.06</v>
      </c>
      <c r="CP75" s="83">
        <f>'Raw Data'!CP76/100</f>
        <v>124.9</v>
      </c>
      <c r="CQ75" s="83">
        <f>'Raw Data'!CQ76/100</f>
        <v>120.01</v>
      </c>
      <c r="CR75" s="83">
        <f>'Raw Data'!CR76/100</f>
        <v>114.46</v>
      </c>
      <c r="CS75" s="83">
        <f>'Raw Data'!CS76/100</f>
        <v>108.97</v>
      </c>
      <c r="CT75" s="83">
        <f>'Raw Data'!CT76/100</f>
        <v>104.28</v>
      </c>
      <c r="CU75" s="382"/>
    </row>
    <row r="76" spans="4:99" s="86" customFormat="1" x14ac:dyDescent="0.2">
      <c r="D76" s="377"/>
      <c r="E76" s="164"/>
      <c r="F76" s="394"/>
      <c r="G76" s="85">
        <f>'Raw Data'!G77</f>
        <v>2034</v>
      </c>
      <c r="H76" s="85">
        <f>'Raw Data'!H77</f>
        <v>2019</v>
      </c>
      <c r="I76" s="85">
        <f>'Raw Data'!I77</f>
        <v>2026</v>
      </c>
      <c r="J76" s="85">
        <f>'Raw Data'!J77</f>
        <v>2056</v>
      </c>
      <c r="K76" s="85">
        <f>'Raw Data'!K77</f>
        <v>2049</v>
      </c>
      <c r="L76" s="85">
        <f>'Raw Data'!L77</f>
        <v>2011</v>
      </c>
      <c r="M76" s="85">
        <f>'Raw Data'!M77</f>
        <v>1973</v>
      </c>
      <c r="N76" s="85">
        <f>'Raw Data'!N77</f>
        <v>1947</v>
      </c>
      <c r="O76" s="85">
        <f>'Raw Data'!O77</f>
        <v>1985</v>
      </c>
      <c r="P76" s="85">
        <f>'Raw Data'!P77</f>
        <v>1987</v>
      </c>
      <c r="Q76" s="85">
        <f>'Raw Data'!Q77</f>
        <v>1959</v>
      </c>
      <c r="R76" s="85">
        <f>'Raw Data'!R77</f>
        <v>1987</v>
      </c>
      <c r="S76" s="85">
        <f>'Raw Data'!S77</f>
        <v>1902</v>
      </c>
      <c r="T76" s="85">
        <f>'Raw Data'!T77</f>
        <v>1956</v>
      </c>
      <c r="U76" s="85">
        <f>'Raw Data'!U77</f>
        <v>1976</v>
      </c>
      <c r="V76" s="85">
        <f>'Raw Data'!V77</f>
        <v>1906</v>
      </c>
      <c r="W76" s="85">
        <f>'Raw Data'!W77</f>
        <v>1981</v>
      </c>
      <c r="X76" s="85">
        <f>'Raw Data'!X77</f>
        <v>1954</v>
      </c>
      <c r="Y76" s="85">
        <f>'Raw Data'!Y77</f>
        <v>1980</v>
      </c>
      <c r="Z76" s="85">
        <f>'Raw Data'!Z77</f>
        <v>1867</v>
      </c>
      <c r="AA76" s="85">
        <f>'Raw Data'!AA77/10</f>
        <v>1889.3</v>
      </c>
      <c r="AB76" s="85">
        <f>'Raw Data'!AB77/10</f>
        <v>1818</v>
      </c>
      <c r="AC76" s="85">
        <f>'Raw Data'!AC77/10</f>
        <v>1731.4</v>
      </c>
      <c r="AD76" s="85">
        <f>'Raw Data'!AD77/10</f>
        <v>1643.5</v>
      </c>
      <c r="AE76" s="85">
        <f>'Raw Data'!AE77/10</f>
        <v>1577.2</v>
      </c>
      <c r="AF76" s="85">
        <f>'Raw Data'!AF77/10</f>
        <v>1503.6</v>
      </c>
      <c r="AG76" s="85">
        <f>'Raw Data'!AG77/10</f>
        <v>1427.9</v>
      </c>
      <c r="AH76" s="85">
        <f>'Raw Data'!AH77/10</f>
        <v>1373.5</v>
      </c>
      <c r="AI76" s="85">
        <f>'Raw Data'!AI77/10</f>
        <v>1335</v>
      </c>
      <c r="AJ76" s="85">
        <f>'Raw Data'!AJ77/10</f>
        <v>1259.7</v>
      </c>
      <c r="AK76" s="85">
        <f>'Raw Data'!AK77/10</f>
        <v>1215.4000000000001</v>
      </c>
      <c r="AL76" s="85">
        <f>'Raw Data'!AL77/10</f>
        <v>1162.8</v>
      </c>
      <c r="AM76" s="85">
        <f>'Raw Data'!AM77/10</f>
        <v>1099.5999999999999</v>
      </c>
      <c r="AN76" s="85">
        <f>'Raw Data'!AN77/10</f>
        <v>1080.5999999999999</v>
      </c>
      <c r="AO76" s="85">
        <f>'Raw Data'!AO77/10</f>
        <v>1025.5999999999999</v>
      </c>
      <c r="AP76" s="85">
        <f>'Raw Data'!AP77/10</f>
        <v>994.4</v>
      </c>
      <c r="AQ76" s="85">
        <f>'Raw Data'!AQ77/10</f>
        <v>957.7</v>
      </c>
      <c r="AR76" s="85">
        <f>'Raw Data'!AR77/10</f>
        <v>937.4</v>
      </c>
      <c r="AS76" s="85">
        <f>'Raw Data'!AS77/10</f>
        <v>893.1</v>
      </c>
      <c r="AT76" s="85">
        <f>'Raw Data'!AT77/10</f>
        <v>873.8</v>
      </c>
      <c r="AU76" s="85">
        <f>'Raw Data'!AU77/10</f>
        <v>843.2</v>
      </c>
      <c r="AV76" s="85">
        <f>'Raw Data'!AV77/10</f>
        <v>804.7</v>
      </c>
      <c r="AW76" s="85">
        <f>'Raw Data'!AW77/10</f>
        <v>782</v>
      </c>
      <c r="AX76" s="85">
        <f>'Raw Data'!AX77/10</f>
        <v>772.9</v>
      </c>
      <c r="AY76" s="85">
        <f>'Raw Data'!AY77/10</f>
        <v>737</v>
      </c>
      <c r="AZ76" s="85">
        <f>'Raw Data'!AZ77/10</f>
        <v>711</v>
      </c>
      <c r="BA76" s="85">
        <f>'Raw Data'!BA77/10</f>
        <v>695.9</v>
      </c>
      <c r="BB76" s="85">
        <f>'Raw Data'!BB77/10</f>
        <v>682.2</v>
      </c>
      <c r="BC76" s="85">
        <f>'Raw Data'!BC77/10</f>
        <v>675.5</v>
      </c>
      <c r="BD76" s="85">
        <f>'Raw Data'!BD77/10</f>
        <v>636.4</v>
      </c>
      <c r="BE76" s="85">
        <f>'Raw Data'!BE77/10</f>
        <v>609.20000000000005</v>
      </c>
      <c r="BF76" s="85">
        <f>'Raw Data'!BF77/10</f>
        <v>609.29999999999995</v>
      </c>
      <c r="BG76" s="85">
        <f>'Raw Data'!BG77/10</f>
        <v>597.4</v>
      </c>
      <c r="BH76" s="85">
        <f>'Raw Data'!BH77/10</f>
        <v>580.4</v>
      </c>
      <c r="BI76" s="85">
        <f>'Raw Data'!BI77/10</f>
        <v>554.4</v>
      </c>
      <c r="BJ76" s="85">
        <f>'Raw Data'!BJ77/10</f>
        <v>556.6</v>
      </c>
      <c r="BK76" s="85">
        <f>'Raw Data'!BK77/10</f>
        <v>543.6</v>
      </c>
      <c r="BL76" s="85">
        <f>'Raw Data'!BL77/10</f>
        <v>525.9</v>
      </c>
      <c r="BM76" s="85">
        <f>'Raw Data'!BM77/10</f>
        <v>527.1</v>
      </c>
      <c r="BN76" s="85">
        <f>'Raw Data'!BN77/10</f>
        <v>505.6</v>
      </c>
      <c r="BO76" s="85">
        <f>'Raw Data'!BO77/10</f>
        <v>505.8</v>
      </c>
      <c r="BP76" s="85">
        <f>'Raw Data'!BP77/10</f>
        <v>490.3</v>
      </c>
      <c r="BQ76" s="85">
        <f>'Raw Data'!BQ77/10</f>
        <v>471.7</v>
      </c>
      <c r="BR76" s="85">
        <f>'Raw Data'!BR77/10</f>
        <v>466.7</v>
      </c>
      <c r="BS76" s="85">
        <f>'Raw Data'!BS77/10</f>
        <v>455.6</v>
      </c>
      <c r="BT76" s="85">
        <f>'Raw Data'!BT77/10</f>
        <v>455.8</v>
      </c>
      <c r="BU76" s="85">
        <f>'Raw Data'!BU77/10</f>
        <v>439.9</v>
      </c>
      <c r="BV76" s="85">
        <f>'Raw Data'!BV77/10</f>
        <v>437.7</v>
      </c>
      <c r="BW76" s="85">
        <f>'Raw Data'!BW77/10</f>
        <v>426.8</v>
      </c>
      <c r="BX76" s="85">
        <f>'Raw Data'!BX77/10</f>
        <v>421.9</v>
      </c>
      <c r="BY76" s="85">
        <f>'Raw Data'!BY77/10</f>
        <v>414.2</v>
      </c>
      <c r="BZ76" s="85">
        <f>'Raw Data'!BZ77/10</f>
        <v>402.3</v>
      </c>
      <c r="CA76" s="85">
        <f>'Raw Data'!CA77/10</f>
        <v>399</v>
      </c>
      <c r="CB76" s="85">
        <f>'Raw Data'!CB77/10</f>
        <v>380.6</v>
      </c>
      <c r="CC76" s="85">
        <f>'Raw Data'!CC77/10</f>
        <v>379.7</v>
      </c>
      <c r="CD76" s="85">
        <f>'Raw Data'!CD77/10</f>
        <v>374.8</v>
      </c>
      <c r="CE76" s="85">
        <f>'Raw Data'!CE77/10</f>
        <v>373.4</v>
      </c>
      <c r="CF76" s="85">
        <f>'Raw Data'!CF77/10</f>
        <v>365.5</v>
      </c>
      <c r="CG76" s="85">
        <f>'Raw Data'!CG77/100</f>
        <v>334.18</v>
      </c>
      <c r="CH76" s="85">
        <f>'Raw Data'!CH77/100</f>
        <v>291.23</v>
      </c>
      <c r="CI76" s="85">
        <f>'Raw Data'!CI77/100</f>
        <v>260.56</v>
      </c>
      <c r="CJ76" s="85">
        <f>'Raw Data'!CJ77/100</f>
        <v>234.96</v>
      </c>
      <c r="CK76" s="85">
        <f>'Raw Data'!CK77/100</f>
        <v>213.48</v>
      </c>
      <c r="CL76" s="85">
        <f>'Raw Data'!CL77/100</f>
        <v>197.84</v>
      </c>
      <c r="CM76" s="85">
        <f>'Raw Data'!CM77/100</f>
        <v>185.38</v>
      </c>
      <c r="CN76" s="85">
        <f>'Raw Data'!CN77/100</f>
        <v>172.55</v>
      </c>
      <c r="CO76" s="85">
        <f>'Raw Data'!CO77/100</f>
        <v>160.63</v>
      </c>
      <c r="CP76" s="85">
        <f>'Raw Data'!CP77/100</f>
        <v>152.97</v>
      </c>
      <c r="CQ76" s="85">
        <f>'Raw Data'!CQ77/100</f>
        <v>146.08000000000001</v>
      </c>
      <c r="CR76" s="85">
        <f>'Raw Data'!CR77/100</f>
        <v>138.61000000000001</v>
      </c>
      <c r="CS76" s="85">
        <f>'Raw Data'!CS77/100</f>
        <v>133.12</v>
      </c>
      <c r="CT76" s="85">
        <f>'Raw Data'!CT77/100</f>
        <v>127.02</v>
      </c>
      <c r="CU76" s="382"/>
    </row>
    <row r="77" spans="4:99" s="86" customFormat="1" x14ac:dyDescent="0.2">
      <c r="D77" s="375"/>
      <c r="E77" s="164"/>
      <c r="F77" s="394"/>
      <c r="G77" s="86">
        <f>'Raw Data'!G78</f>
        <v>1438</v>
      </c>
      <c r="H77" s="86">
        <f>'Raw Data'!H78</f>
        <v>1476</v>
      </c>
      <c r="I77" s="86">
        <f>'Raw Data'!I78</f>
        <v>1444</v>
      </c>
      <c r="J77" s="86">
        <f>'Raw Data'!J78</f>
        <v>1493</v>
      </c>
      <c r="K77" s="86">
        <f>'Raw Data'!K78</f>
        <v>1484</v>
      </c>
      <c r="L77" s="86">
        <f>'Raw Data'!L78</f>
        <v>1428</v>
      </c>
      <c r="M77" s="86">
        <f>'Raw Data'!M78</f>
        <v>1464</v>
      </c>
      <c r="N77" s="86">
        <f>'Raw Data'!N78</f>
        <v>1477</v>
      </c>
      <c r="O77" s="86">
        <f>'Raw Data'!O78</f>
        <v>1435</v>
      </c>
      <c r="P77" s="86">
        <f>'Raw Data'!P78</f>
        <v>1452</v>
      </c>
      <c r="Q77" s="86">
        <f>'Raw Data'!Q78</f>
        <v>1445</v>
      </c>
      <c r="R77" s="86">
        <f>'Raw Data'!R78</f>
        <v>1445</v>
      </c>
      <c r="S77" s="86">
        <f>'Raw Data'!S78</f>
        <v>1413</v>
      </c>
      <c r="T77" s="86">
        <f>'Raw Data'!T78</f>
        <v>1387</v>
      </c>
      <c r="U77" s="86">
        <f>'Raw Data'!U78</f>
        <v>1452</v>
      </c>
      <c r="V77" s="86">
        <f>'Raw Data'!V78</f>
        <v>1368</v>
      </c>
      <c r="W77" s="86">
        <f>'Raw Data'!W78</f>
        <v>1429</v>
      </c>
      <c r="X77" s="86">
        <f>'Raw Data'!X78</f>
        <v>1393</v>
      </c>
      <c r="Y77" s="86">
        <f>'Raw Data'!Y78</f>
        <v>1421</v>
      </c>
      <c r="Z77" s="86">
        <f>'Raw Data'!Z78</f>
        <v>1422</v>
      </c>
      <c r="AA77" s="86">
        <f>'Raw Data'!AA78/10</f>
        <v>1385.1</v>
      </c>
      <c r="AB77" s="86">
        <f>'Raw Data'!AB78/10</f>
        <v>1324.8</v>
      </c>
      <c r="AC77" s="86">
        <f>'Raw Data'!AC78/10</f>
        <v>1274.9000000000001</v>
      </c>
      <c r="AD77" s="86">
        <f>'Raw Data'!AD78/10</f>
        <v>1229.5999999999999</v>
      </c>
      <c r="AE77" s="86">
        <f>'Raw Data'!AE78/10</f>
        <v>1172.9000000000001</v>
      </c>
      <c r="AF77" s="86">
        <f>'Raw Data'!AF78/10</f>
        <v>1129.5</v>
      </c>
      <c r="AG77" s="86">
        <f>'Raw Data'!AG78/10</f>
        <v>1068.8</v>
      </c>
      <c r="AH77" s="86">
        <f>'Raw Data'!AH78/10</f>
        <v>1034.9000000000001</v>
      </c>
      <c r="AI77" s="86">
        <f>'Raw Data'!AI78/10</f>
        <v>985.3</v>
      </c>
      <c r="AJ77" s="86">
        <f>'Raw Data'!AJ78/10</f>
        <v>931.4</v>
      </c>
      <c r="AK77" s="86">
        <f>'Raw Data'!AK78/10</f>
        <v>906.9</v>
      </c>
      <c r="AL77" s="86">
        <f>'Raw Data'!AL78/10</f>
        <v>868.4</v>
      </c>
      <c r="AM77" s="86">
        <f>'Raw Data'!AM78/10</f>
        <v>836.1</v>
      </c>
      <c r="AN77" s="86">
        <f>'Raw Data'!AN78/10</f>
        <v>812.5</v>
      </c>
      <c r="AO77" s="86">
        <f>'Raw Data'!AO78/10</f>
        <v>758.9</v>
      </c>
      <c r="AP77" s="86">
        <f>'Raw Data'!AP78/10</f>
        <v>740.1</v>
      </c>
      <c r="AQ77" s="86">
        <f>'Raw Data'!AQ78/10</f>
        <v>718.4</v>
      </c>
      <c r="AR77" s="86">
        <f>'Raw Data'!AR78/10</f>
        <v>683.3</v>
      </c>
      <c r="AS77" s="86">
        <f>'Raw Data'!AS78/10</f>
        <v>668.2</v>
      </c>
      <c r="AT77" s="86">
        <f>'Raw Data'!AT78/10</f>
        <v>643.9</v>
      </c>
      <c r="AU77" s="86">
        <f>'Raw Data'!AU78/10</f>
        <v>644.6</v>
      </c>
      <c r="AV77" s="86">
        <f>'Raw Data'!AV78/10</f>
        <v>615</v>
      </c>
      <c r="AW77" s="86">
        <f>'Raw Data'!AW78/10</f>
        <v>594.4</v>
      </c>
      <c r="AX77" s="86">
        <f>'Raw Data'!AX78/10</f>
        <v>588.29999999999995</v>
      </c>
      <c r="AY77" s="86">
        <f>'Raw Data'!AY78/10</f>
        <v>568.29999999999995</v>
      </c>
      <c r="AZ77" s="86">
        <f>'Raw Data'!AZ78/10</f>
        <v>551.4</v>
      </c>
      <c r="BA77" s="86">
        <f>'Raw Data'!BA78/10</f>
        <v>537.1</v>
      </c>
      <c r="BB77" s="86">
        <f>'Raw Data'!BB78/10</f>
        <v>522</v>
      </c>
      <c r="BC77" s="86">
        <f>'Raw Data'!BC78/10</f>
        <v>503.8</v>
      </c>
      <c r="BD77" s="86">
        <f>'Raw Data'!BD78/10</f>
        <v>490.7</v>
      </c>
      <c r="BE77" s="86">
        <f>'Raw Data'!BE78/10</f>
        <v>475.8</v>
      </c>
      <c r="BF77" s="86">
        <f>'Raw Data'!BF78/10</f>
        <v>474.3</v>
      </c>
      <c r="BG77" s="86">
        <f>'Raw Data'!BG78/10</f>
        <v>452.5</v>
      </c>
      <c r="BH77" s="86">
        <f>'Raw Data'!BH78/10</f>
        <v>443</v>
      </c>
      <c r="BI77" s="86">
        <f>'Raw Data'!BI78/10</f>
        <v>450.5</v>
      </c>
      <c r="BJ77" s="86">
        <f>'Raw Data'!BJ78/10</f>
        <v>427.8</v>
      </c>
      <c r="BK77" s="86">
        <f>'Raw Data'!BK78/10</f>
        <v>412.9</v>
      </c>
      <c r="BL77" s="86">
        <f>'Raw Data'!BL78/10</f>
        <v>399.5</v>
      </c>
      <c r="BM77" s="86">
        <f>'Raw Data'!BM78/10</f>
        <v>398.8</v>
      </c>
      <c r="BN77" s="86">
        <f>'Raw Data'!BN78/10</f>
        <v>382.2</v>
      </c>
      <c r="BO77" s="86">
        <f>'Raw Data'!BO78/10</f>
        <v>386.4</v>
      </c>
      <c r="BP77" s="86">
        <f>'Raw Data'!BP78/10</f>
        <v>370.8</v>
      </c>
      <c r="BQ77" s="86">
        <f>'Raw Data'!BQ78/10</f>
        <v>364.1</v>
      </c>
      <c r="BR77" s="86">
        <f>'Raw Data'!BR78/10</f>
        <v>364.5</v>
      </c>
      <c r="BS77" s="86">
        <f>'Raw Data'!BS78/10</f>
        <v>363</v>
      </c>
      <c r="BT77" s="86">
        <f>'Raw Data'!BT78/10</f>
        <v>348.3</v>
      </c>
      <c r="BU77" s="86">
        <f>'Raw Data'!BU78/10</f>
        <v>345.7</v>
      </c>
      <c r="BV77" s="86">
        <f>'Raw Data'!BV78/10</f>
        <v>335.9</v>
      </c>
      <c r="BW77" s="86">
        <f>'Raw Data'!BW78/10</f>
        <v>328.7</v>
      </c>
      <c r="BX77" s="86">
        <f>'Raw Data'!BX78/10</f>
        <v>322.3</v>
      </c>
      <c r="BY77" s="86">
        <f>'Raw Data'!BY78/10</f>
        <v>321</v>
      </c>
      <c r="BZ77" s="86">
        <f>'Raw Data'!BZ78/10</f>
        <v>307.60000000000002</v>
      </c>
      <c r="CA77" s="86">
        <f>'Raw Data'!CA78/10</f>
        <v>308.89999999999998</v>
      </c>
      <c r="CB77" s="86">
        <f>'Raw Data'!CB78/10</f>
        <v>304.5</v>
      </c>
      <c r="CC77" s="86">
        <f>'Raw Data'!CC78/10</f>
        <v>296.60000000000002</v>
      </c>
      <c r="CD77" s="86">
        <f>'Raw Data'!CD78/10</f>
        <v>295.5</v>
      </c>
      <c r="CE77" s="86">
        <f>'Raw Data'!CE78/10</f>
        <v>294.60000000000002</v>
      </c>
      <c r="CF77" s="86">
        <f>'Raw Data'!CF78/10</f>
        <v>287.2</v>
      </c>
      <c r="CG77" s="86">
        <f>'Raw Data'!CG78/100</f>
        <v>266.25</v>
      </c>
      <c r="CH77" s="86">
        <f>'Raw Data'!CH78/100</f>
        <v>236.5</v>
      </c>
      <c r="CI77" s="86">
        <f>'Raw Data'!CI78/100</f>
        <v>213.35</v>
      </c>
      <c r="CJ77" s="86">
        <f>'Raw Data'!CJ78/100</f>
        <v>194.03</v>
      </c>
      <c r="CK77" s="86">
        <f>'Raw Data'!CK78/100</f>
        <v>178.68</v>
      </c>
      <c r="CL77" s="86">
        <f>'Raw Data'!CL78/100</f>
        <v>167.87</v>
      </c>
      <c r="CM77" s="86">
        <f>'Raw Data'!CM78/100</f>
        <v>155.29</v>
      </c>
      <c r="CN77" s="86">
        <f>'Raw Data'!CN78/100</f>
        <v>145.28</v>
      </c>
      <c r="CO77" s="86">
        <f>'Raw Data'!CO78/100</f>
        <v>139.13</v>
      </c>
      <c r="CP77" s="86">
        <f>'Raw Data'!CP78/100</f>
        <v>131.59</v>
      </c>
      <c r="CQ77" s="86">
        <f>'Raw Data'!CQ78/100</f>
        <v>127.19</v>
      </c>
      <c r="CR77" s="86">
        <f>'Raw Data'!CR78/100</f>
        <v>122.19</v>
      </c>
      <c r="CS77" s="86">
        <f>'Raw Data'!CS78/100</f>
        <v>118.65</v>
      </c>
      <c r="CT77" s="86">
        <f>'Raw Data'!CT78/100</f>
        <v>114.24</v>
      </c>
      <c r="CU77" s="382"/>
    </row>
    <row r="78" spans="4:99" s="86" customFormat="1" x14ac:dyDescent="0.2">
      <c r="D78" s="375"/>
      <c r="E78" s="164"/>
      <c r="F78" s="394"/>
      <c r="G78" s="86">
        <f>'Raw Data'!G79</f>
        <v>912</v>
      </c>
      <c r="H78" s="86">
        <f>'Raw Data'!H79</f>
        <v>895</v>
      </c>
      <c r="I78" s="86">
        <f>'Raw Data'!I79</f>
        <v>966</v>
      </c>
      <c r="J78" s="86">
        <f>'Raw Data'!J79</f>
        <v>946</v>
      </c>
      <c r="K78" s="86">
        <f>'Raw Data'!K79</f>
        <v>918</v>
      </c>
      <c r="L78" s="86">
        <f>'Raw Data'!L79</f>
        <v>905</v>
      </c>
      <c r="M78" s="86">
        <f>'Raw Data'!M79</f>
        <v>910</v>
      </c>
      <c r="N78" s="86">
        <f>'Raw Data'!N79</f>
        <v>966</v>
      </c>
      <c r="O78" s="86">
        <f>'Raw Data'!O79</f>
        <v>978</v>
      </c>
      <c r="P78" s="86">
        <f>'Raw Data'!P79</f>
        <v>926</v>
      </c>
      <c r="Q78" s="86">
        <f>'Raw Data'!Q79</f>
        <v>930</v>
      </c>
      <c r="R78" s="86">
        <f>'Raw Data'!R79</f>
        <v>904</v>
      </c>
      <c r="S78" s="86">
        <f>'Raw Data'!S79</f>
        <v>914</v>
      </c>
      <c r="T78" s="86">
        <f>'Raw Data'!T79</f>
        <v>890</v>
      </c>
      <c r="U78" s="86">
        <f>'Raw Data'!U79</f>
        <v>910</v>
      </c>
      <c r="V78" s="86">
        <f>'Raw Data'!V79</f>
        <v>894</v>
      </c>
      <c r="W78" s="86">
        <f>'Raw Data'!W79</f>
        <v>879</v>
      </c>
      <c r="X78" s="86">
        <f>'Raw Data'!X79</f>
        <v>879</v>
      </c>
      <c r="Y78" s="86">
        <f>'Raw Data'!Y79</f>
        <v>887</v>
      </c>
      <c r="Z78" s="86">
        <f>'Raw Data'!Z79</f>
        <v>929</v>
      </c>
      <c r="AA78" s="86">
        <f>'Raw Data'!AA79/10</f>
        <v>882.3</v>
      </c>
      <c r="AB78" s="86">
        <f>'Raw Data'!AB79/10</f>
        <v>870.3</v>
      </c>
      <c r="AC78" s="86">
        <f>'Raw Data'!AC79/10</f>
        <v>812.7</v>
      </c>
      <c r="AD78" s="86">
        <f>'Raw Data'!AD79/10</f>
        <v>773.1</v>
      </c>
      <c r="AE78" s="86">
        <f>'Raw Data'!AE79/10</f>
        <v>748.5</v>
      </c>
      <c r="AF78" s="86">
        <f>'Raw Data'!AF79/10</f>
        <v>706</v>
      </c>
      <c r="AG78" s="86">
        <f>'Raw Data'!AG79/10</f>
        <v>667.6</v>
      </c>
      <c r="AH78" s="86">
        <f>'Raw Data'!AH79/10</f>
        <v>648.70000000000005</v>
      </c>
      <c r="AI78" s="86">
        <f>'Raw Data'!AI79/10</f>
        <v>622.6</v>
      </c>
      <c r="AJ78" s="86">
        <f>'Raw Data'!AJ79/10</f>
        <v>597.5</v>
      </c>
      <c r="AK78" s="86">
        <f>'Raw Data'!AK79/10</f>
        <v>561</v>
      </c>
      <c r="AL78" s="86">
        <f>'Raw Data'!AL79/10</f>
        <v>540.4</v>
      </c>
      <c r="AM78" s="86">
        <f>'Raw Data'!AM79/10</f>
        <v>521.1</v>
      </c>
      <c r="AN78" s="86">
        <f>'Raw Data'!AN79/10</f>
        <v>501.9</v>
      </c>
      <c r="AO78" s="86">
        <f>'Raw Data'!AO79/10</f>
        <v>491.1</v>
      </c>
      <c r="AP78" s="86">
        <f>'Raw Data'!AP79/10</f>
        <v>467.7</v>
      </c>
      <c r="AQ78" s="86">
        <f>'Raw Data'!AQ79/10</f>
        <v>454.7</v>
      </c>
      <c r="AR78" s="86">
        <f>'Raw Data'!AR79/10</f>
        <v>432.1</v>
      </c>
      <c r="AS78" s="86">
        <f>'Raw Data'!AS79/10</f>
        <v>419.7</v>
      </c>
      <c r="AT78" s="86">
        <f>'Raw Data'!AT79/10</f>
        <v>395.1</v>
      </c>
      <c r="AU78" s="86">
        <f>'Raw Data'!AU79/10</f>
        <v>395</v>
      </c>
      <c r="AV78" s="86">
        <f>'Raw Data'!AV79/10</f>
        <v>384.3</v>
      </c>
      <c r="AW78" s="86">
        <f>'Raw Data'!AW79/10</f>
        <v>360.5</v>
      </c>
      <c r="AX78" s="86">
        <f>'Raw Data'!AX79/10</f>
        <v>352.3</v>
      </c>
      <c r="AY78" s="86">
        <f>'Raw Data'!AY79/10</f>
        <v>348.3</v>
      </c>
      <c r="AZ78" s="86">
        <f>'Raw Data'!AZ79/10</f>
        <v>340.6</v>
      </c>
      <c r="BA78" s="86">
        <f>'Raw Data'!BA79/10</f>
        <v>329.3</v>
      </c>
      <c r="BB78" s="86">
        <f>'Raw Data'!BB79/10</f>
        <v>326.10000000000002</v>
      </c>
      <c r="BC78" s="86">
        <f>'Raw Data'!BC79/10</f>
        <v>306</v>
      </c>
      <c r="BD78" s="86">
        <f>'Raw Data'!BD79/10</f>
        <v>332.7</v>
      </c>
      <c r="BE78" s="86">
        <f>'Raw Data'!BE79/10</f>
        <v>288.5</v>
      </c>
      <c r="BF78" s="86">
        <f>'Raw Data'!BF79/10</f>
        <v>287.10000000000002</v>
      </c>
      <c r="BG78" s="86">
        <f>'Raw Data'!BG79/10</f>
        <v>279.2</v>
      </c>
      <c r="BH78" s="86">
        <f>'Raw Data'!BH79/10</f>
        <v>282.7</v>
      </c>
      <c r="BI78" s="86">
        <f>'Raw Data'!BI79/10</f>
        <v>261</v>
      </c>
      <c r="BJ78" s="86">
        <f>'Raw Data'!BJ79/10</f>
        <v>261.60000000000002</v>
      </c>
      <c r="BK78" s="86">
        <f>'Raw Data'!BK79/10</f>
        <v>253.3</v>
      </c>
      <c r="BL78" s="86">
        <f>'Raw Data'!BL79/10</f>
        <v>246</v>
      </c>
      <c r="BM78" s="86">
        <f>'Raw Data'!BM79/10</f>
        <v>245.4</v>
      </c>
      <c r="BN78" s="86">
        <f>'Raw Data'!BN79/10</f>
        <v>237.1</v>
      </c>
      <c r="BO78" s="86">
        <f>'Raw Data'!BO79/10</f>
        <v>233.9</v>
      </c>
      <c r="BP78" s="86">
        <f>'Raw Data'!BP79/10</f>
        <v>226.8</v>
      </c>
      <c r="BQ78" s="86">
        <f>'Raw Data'!BQ79/10</f>
        <v>227.6</v>
      </c>
      <c r="BR78" s="86">
        <f>'Raw Data'!BR79/10</f>
        <v>220.3</v>
      </c>
      <c r="BS78" s="86">
        <f>'Raw Data'!BS79/10</f>
        <v>210.4</v>
      </c>
      <c r="BT78" s="86">
        <f>'Raw Data'!BT79/10</f>
        <v>212.2</v>
      </c>
      <c r="BU78" s="86">
        <f>'Raw Data'!BU79/10</f>
        <v>213.3</v>
      </c>
      <c r="BV78" s="86">
        <f>'Raw Data'!BV79/10</f>
        <v>205.5</v>
      </c>
      <c r="BW78" s="86">
        <f>'Raw Data'!BW79/10</f>
        <v>202.5</v>
      </c>
      <c r="BX78" s="86">
        <f>'Raw Data'!BX79/10</f>
        <v>203</v>
      </c>
      <c r="BY78" s="86">
        <f>'Raw Data'!BY79/10</f>
        <v>196.1</v>
      </c>
      <c r="BZ78" s="86">
        <f>'Raw Data'!BZ79/10</f>
        <v>188.5</v>
      </c>
      <c r="CA78" s="86">
        <f>'Raw Data'!CA79/10</f>
        <v>190</v>
      </c>
      <c r="CB78" s="86">
        <f>'Raw Data'!CB79/10</f>
        <v>182</v>
      </c>
      <c r="CC78" s="86">
        <f>'Raw Data'!CC79/10</f>
        <v>179.6</v>
      </c>
      <c r="CD78" s="86">
        <f>'Raw Data'!CD79/10</f>
        <v>179.6</v>
      </c>
      <c r="CE78" s="86">
        <f>'Raw Data'!CE79/10</f>
        <v>176.8</v>
      </c>
      <c r="CF78" s="86">
        <f>'Raw Data'!CF79/10</f>
        <v>177.5</v>
      </c>
      <c r="CG78" s="86">
        <f>'Raw Data'!CG79/100</f>
        <v>160.08000000000001</v>
      </c>
      <c r="CH78" s="86">
        <f>'Raw Data'!CH79/100</f>
        <v>139.16</v>
      </c>
      <c r="CI78" s="86">
        <f>'Raw Data'!CI79/100</f>
        <v>125.68</v>
      </c>
      <c r="CJ78" s="86">
        <f>'Raw Data'!CJ79/100</f>
        <v>114.41</v>
      </c>
      <c r="CK78" s="86">
        <f>'Raw Data'!CK79/100</f>
        <v>107.29</v>
      </c>
      <c r="CL78" s="86">
        <f>'Raw Data'!CL79/100</f>
        <v>97.93</v>
      </c>
      <c r="CM78" s="86">
        <f>'Raw Data'!CM79/100</f>
        <v>91.33</v>
      </c>
      <c r="CN78" s="86">
        <f>'Raw Data'!CN79/100</f>
        <v>86.41</v>
      </c>
      <c r="CO78" s="86">
        <f>'Raw Data'!CO79/100</f>
        <v>81.400000000000006</v>
      </c>
      <c r="CP78" s="86">
        <f>'Raw Data'!CP79/100</f>
        <v>79.010000000000005</v>
      </c>
      <c r="CQ78" s="86">
        <f>'Raw Data'!CQ79/100</f>
        <v>74.63</v>
      </c>
      <c r="CR78" s="86">
        <f>'Raw Data'!CR79/100</f>
        <v>72.48</v>
      </c>
      <c r="CS78" s="86">
        <f>'Raw Data'!CS79/100</f>
        <v>69.83</v>
      </c>
      <c r="CT78" s="86">
        <f>'Raw Data'!CT79/100</f>
        <v>67.87</v>
      </c>
      <c r="CU78" s="382"/>
    </row>
    <row r="79" spans="4:99" s="86" customFormat="1" x14ac:dyDescent="0.2">
      <c r="D79" s="375"/>
      <c r="E79" s="164"/>
      <c r="F79" s="394"/>
      <c r="G79" s="86">
        <f>'Raw Data'!G80</f>
        <v>1325</v>
      </c>
      <c r="H79" s="86">
        <f>'Raw Data'!H80</f>
        <v>1330</v>
      </c>
      <c r="I79" s="86">
        <f>'Raw Data'!I80</f>
        <v>1301</v>
      </c>
      <c r="J79" s="86">
        <f>'Raw Data'!J80</f>
        <v>1304</v>
      </c>
      <c r="K79" s="86">
        <f>'Raw Data'!K80</f>
        <v>1308</v>
      </c>
      <c r="L79" s="86">
        <f>'Raw Data'!L80</f>
        <v>1322</v>
      </c>
      <c r="M79" s="86">
        <f>'Raw Data'!M80</f>
        <v>1283</v>
      </c>
      <c r="N79" s="86">
        <f>'Raw Data'!N80</f>
        <v>1326</v>
      </c>
      <c r="O79" s="86">
        <f>'Raw Data'!O80</f>
        <v>1287</v>
      </c>
      <c r="P79" s="86">
        <f>'Raw Data'!P80</f>
        <v>1282</v>
      </c>
      <c r="Q79" s="86">
        <f>'Raw Data'!Q80</f>
        <v>1248</v>
      </c>
      <c r="R79" s="86">
        <f>'Raw Data'!R80</f>
        <v>1277</v>
      </c>
      <c r="S79" s="86">
        <f>'Raw Data'!S80</f>
        <v>1263</v>
      </c>
      <c r="T79" s="86">
        <f>'Raw Data'!T80</f>
        <v>1259</v>
      </c>
      <c r="U79" s="86">
        <f>'Raw Data'!U80</f>
        <v>1277</v>
      </c>
      <c r="V79" s="86">
        <f>'Raw Data'!V80</f>
        <v>1275</v>
      </c>
      <c r="W79" s="86">
        <f>'Raw Data'!W80</f>
        <v>1241</v>
      </c>
      <c r="X79" s="86">
        <f>'Raw Data'!X80</f>
        <v>1255</v>
      </c>
      <c r="Y79" s="86">
        <f>'Raw Data'!Y80</f>
        <v>1286</v>
      </c>
      <c r="Z79" s="86">
        <f>'Raw Data'!Z80</f>
        <v>1315</v>
      </c>
      <c r="AA79" s="86">
        <f>'Raw Data'!AA80/10</f>
        <v>1236.2</v>
      </c>
      <c r="AB79" s="86">
        <f>'Raw Data'!AB80/10</f>
        <v>1185.2</v>
      </c>
      <c r="AC79" s="86">
        <f>'Raw Data'!AC80/10</f>
        <v>1130.8</v>
      </c>
      <c r="AD79" s="86">
        <f>'Raw Data'!AD80/10</f>
        <v>1089.2</v>
      </c>
      <c r="AE79" s="86">
        <f>'Raw Data'!AE80/10</f>
        <v>1040.5</v>
      </c>
      <c r="AF79" s="86">
        <f>'Raw Data'!AF80/10</f>
        <v>987.1</v>
      </c>
      <c r="AG79" s="86">
        <f>'Raw Data'!AG80/10</f>
        <v>946.4</v>
      </c>
      <c r="AH79" s="86">
        <f>'Raw Data'!AH80/10</f>
        <v>901.6</v>
      </c>
      <c r="AI79" s="86">
        <f>'Raw Data'!AI80/10</f>
        <v>862.4</v>
      </c>
      <c r="AJ79" s="86">
        <f>'Raw Data'!AJ80/10</f>
        <v>848.9</v>
      </c>
      <c r="AK79" s="86">
        <f>'Raw Data'!AK80/10</f>
        <v>800.7</v>
      </c>
      <c r="AL79" s="86">
        <f>'Raw Data'!AL80/10</f>
        <v>751.9</v>
      </c>
      <c r="AM79" s="86">
        <f>'Raw Data'!AM80/10</f>
        <v>747</v>
      </c>
      <c r="AN79" s="86">
        <f>'Raw Data'!AN80/10</f>
        <v>715.1</v>
      </c>
      <c r="AO79" s="86">
        <f>'Raw Data'!AO80/10</f>
        <v>689.2</v>
      </c>
      <c r="AP79" s="86">
        <f>'Raw Data'!AP80/10</f>
        <v>658.7</v>
      </c>
      <c r="AQ79" s="86">
        <f>'Raw Data'!AQ80/10</f>
        <v>626.6</v>
      </c>
      <c r="AR79" s="86">
        <f>'Raw Data'!AR80/10</f>
        <v>608.20000000000005</v>
      </c>
      <c r="AS79" s="86">
        <f>'Raw Data'!AS80/10</f>
        <v>580.79999999999995</v>
      </c>
      <c r="AT79" s="86">
        <f>'Raw Data'!AT80/10</f>
        <v>579.9</v>
      </c>
      <c r="AU79" s="86">
        <f>'Raw Data'!AU80/10</f>
        <v>556.79999999999995</v>
      </c>
      <c r="AV79" s="86">
        <f>'Raw Data'!AV80/10</f>
        <v>538.70000000000005</v>
      </c>
      <c r="AW79" s="86">
        <f>'Raw Data'!AW80/10</f>
        <v>513.4</v>
      </c>
      <c r="AX79" s="86">
        <f>'Raw Data'!AX80/10</f>
        <v>495.6</v>
      </c>
      <c r="AY79" s="86">
        <f>'Raw Data'!AY80/10</f>
        <v>488.1</v>
      </c>
      <c r="AZ79" s="86">
        <f>'Raw Data'!AZ80/10</f>
        <v>465.4</v>
      </c>
      <c r="BA79" s="86">
        <f>'Raw Data'!BA80/10</f>
        <v>461.6</v>
      </c>
      <c r="BB79" s="86">
        <f>'Raw Data'!BB80/10</f>
        <v>440.2</v>
      </c>
      <c r="BC79" s="86">
        <f>'Raw Data'!BC80/10</f>
        <v>420.5</v>
      </c>
      <c r="BD79" s="86">
        <f>'Raw Data'!BD80/10</f>
        <v>420.8</v>
      </c>
      <c r="BE79" s="86">
        <f>'Raw Data'!BE80/10</f>
        <v>415.5</v>
      </c>
      <c r="BF79" s="86">
        <f>'Raw Data'!BF80/10</f>
        <v>403.2</v>
      </c>
      <c r="BG79" s="86">
        <f>'Raw Data'!BG80/10</f>
        <v>392</v>
      </c>
      <c r="BH79" s="86">
        <f>'Raw Data'!BH80/10</f>
        <v>378.3</v>
      </c>
      <c r="BI79" s="86">
        <f>'Raw Data'!BI80/10</f>
        <v>376.5</v>
      </c>
      <c r="BJ79" s="86">
        <f>'Raw Data'!BJ80/10</f>
        <v>364.4</v>
      </c>
      <c r="BK79" s="86">
        <f>'Raw Data'!BK80/10</f>
        <v>358</v>
      </c>
      <c r="BL79" s="86">
        <f>'Raw Data'!BL80/10</f>
        <v>352.4</v>
      </c>
      <c r="BM79" s="86">
        <f>'Raw Data'!BM80/10</f>
        <v>348</v>
      </c>
      <c r="BN79" s="86">
        <f>'Raw Data'!BN80/10</f>
        <v>332.6</v>
      </c>
      <c r="BO79" s="86">
        <f>'Raw Data'!BO80/10</f>
        <v>321.7</v>
      </c>
      <c r="BP79" s="86">
        <f>'Raw Data'!BP80/10</f>
        <v>318.39999999999998</v>
      </c>
      <c r="BQ79" s="86">
        <f>'Raw Data'!BQ80/10</f>
        <v>308.8</v>
      </c>
      <c r="BR79" s="86">
        <f>'Raw Data'!BR80/10</f>
        <v>303.5</v>
      </c>
      <c r="BS79" s="86">
        <f>'Raw Data'!BS80/10</f>
        <v>301.5</v>
      </c>
      <c r="BT79" s="86">
        <f>'Raw Data'!BT80/10</f>
        <v>293.10000000000002</v>
      </c>
      <c r="BU79" s="86">
        <f>'Raw Data'!BU80/10</f>
        <v>284.89999999999998</v>
      </c>
      <c r="BV79" s="86">
        <f>'Raw Data'!BV80/10</f>
        <v>290.39999999999998</v>
      </c>
      <c r="BW79" s="86">
        <f>'Raw Data'!BW80/10</f>
        <v>281.2</v>
      </c>
      <c r="BX79" s="86">
        <f>'Raw Data'!BX80/10</f>
        <v>274.60000000000002</v>
      </c>
      <c r="BY79" s="86">
        <f>'Raw Data'!BY80/10</f>
        <v>271.39999999999998</v>
      </c>
      <c r="BZ79" s="86">
        <f>'Raw Data'!BZ80/10</f>
        <v>266.2</v>
      </c>
      <c r="CA79" s="86">
        <f>'Raw Data'!CA80/10</f>
        <v>257.5</v>
      </c>
      <c r="CB79" s="86">
        <f>'Raw Data'!CB80/10</f>
        <v>250.4</v>
      </c>
      <c r="CC79" s="86">
        <f>'Raw Data'!CC80/10</f>
        <v>249.3</v>
      </c>
      <c r="CD79" s="86">
        <f>'Raw Data'!CD80/10</f>
        <v>241</v>
      </c>
      <c r="CE79" s="86">
        <f>'Raw Data'!CE80/10</f>
        <v>248.1</v>
      </c>
      <c r="CF79" s="86">
        <f>'Raw Data'!CF80/10</f>
        <v>238.8</v>
      </c>
      <c r="CG79" s="86">
        <f>'Raw Data'!CG80/100</f>
        <v>221.66</v>
      </c>
      <c r="CH79" s="86">
        <f>'Raw Data'!CH80/100</f>
        <v>194.33</v>
      </c>
      <c r="CI79" s="86">
        <f>'Raw Data'!CI80/100</f>
        <v>173.59</v>
      </c>
      <c r="CJ79" s="86">
        <f>'Raw Data'!CJ80/100</f>
        <v>158.68</v>
      </c>
      <c r="CK79" s="86">
        <f>'Raw Data'!CK80/100</f>
        <v>142.96</v>
      </c>
      <c r="CL79" s="86">
        <f>'Raw Data'!CL80/100</f>
        <v>133.06</v>
      </c>
      <c r="CM79" s="86">
        <f>'Raw Data'!CM80/100</f>
        <v>123.62</v>
      </c>
      <c r="CN79" s="86">
        <f>'Raw Data'!CN80/100</f>
        <v>118.26</v>
      </c>
      <c r="CO79" s="86">
        <f>'Raw Data'!CO80/100</f>
        <v>112.04</v>
      </c>
      <c r="CP79" s="86">
        <f>'Raw Data'!CP80/100</f>
        <v>105.19</v>
      </c>
      <c r="CQ79" s="86">
        <f>'Raw Data'!CQ80/100</f>
        <v>101.07</v>
      </c>
      <c r="CR79" s="86">
        <f>'Raw Data'!CR80/100</f>
        <v>96.45</v>
      </c>
      <c r="CS79" s="86">
        <f>'Raw Data'!CS80/100</f>
        <v>91.16</v>
      </c>
      <c r="CT79" s="86">
        <f>'Raw Data'!CT80/100</f>
        <v>89.57</v>
      </c>
      <c r="CU79" s="382"/>
    </row>
    <row r="80" spans="4:99" s="345" customFormat="1" x14ac:dyDescent="0.2">
      <c r="D80" s="378"/>
      <c r="E80" s="164"/>
      <c r="F80" s="394"/>
      <c r="G80" s="345">
        <f>'Raw Data'!G81</f>
        <v>1543</v>
      </c>
      <c r="H80" s="345">
        <f>'Raw Data'!H81</f>
        <v>1599</v>
      </c>
      <c r="I80" s="345">
        <f>'Raw Data'!I81</f>
        <v>1601</v>
      </c>
      <c r="J80" s="345">
        <f>'Raw Data'!J81</f>
        <v>1561</v>
      </c>
      <c r="K80" s="345">
        <f>'Raw Data'!K81</f>
        <v>1547</v>
      </c>
      <c r="L80" s="345">
        <f>'Raw Data'!L81</f>
        <v>1569</v>
      </c>
      <c r="M80" s="345">
        <f>'Raw Data'!M81</f>
        <v>1570</v>
      </c>
      <c r="N80" s="345">
        <f>'Raw Data'!N81</f>
        <v>1555</v>
      </c>
      <c r="O80" s="345">
        <f>'Raw Data'!O81</f>
        <v>1791</v>
      </c>
      <c r="P80" s="345">
        <f>'Raw Data'!P81</f>
        <v>1539</v>
      </c>
      <c r="Q80" s="345">
        <f>'Raw Data'!Q81</f>
        <v>1551</v>
      </c>
      <c r="R80" s="345">
        <f>'Raw Data'!R81</f>
        <v>1570</v>
      </c>
      <c r="S80" s="345">
        <f>'Raw Data'!S81</f>
        <v>1477</v>
      </c>
      <c r="T80" s="345">
        <f>'Raw Data'!T81</f>
        <v>1503</v>
      </c>
      <c r="U80" s="345">
        <f>'Raw Data'!U81</f>
        <v>1485</v>
      </c>
      <c r="V80" s="345">
        <f>'Raw Data'!V81</f>
        <v>1511</v>
      </c>
      <c r="W80" s="345">
        <f>'Raw Data'!W81</f>
        <v>1523</v>
      </c>
      <c r="X80" s="345">
        <f>'Raw Data'!X81</f>
        <v>1556</v>
      </c>
      <c r="Y80" s="345">
        <f>'Raw Data'!Y81</f>
        <v>1513</v>
      </c>
      <c r="Z80" s="345">
        <f>'Raw Data'!Z81</f>
        <v>1532</v>
      </c>
      <c r="AA80" s="345">
        <f>'Raw Data'!AA81/10</f>
        <v>1463.4</v>
      </c>
      <c r="AB80" s="345">
        <f>'Raw Data'!AB81/10</f>
        <v>1400.6</v>
      </c>
      <c r="AC80" s="345">
        <f>'Raw Data'!AC81/10</f>
        <v>1342.6</v>
      </c>
      <c r="AD80" s="345">
        <f>'Raw Data'!AD81/10</f>
        <v>1278.8</v>
      </c>
      <c r="AE80" s="345">
        <f>'Raw Data'!AE81/10</f>
        <v>1238.9000000000001</v>
      </c>
      <c r="AF80" s="345">
        <f>'Raw Data'!AF81/10</f>
        <v>1165.2</v>
      </c>
      <c r="AG80" s="345">
        <f>'Raw Data'!AG81/10</f>
        <v>1122.5</v>
      </c>
      <c r="AH80" s="345">
        <f>'Raw Data'!AH81/10</f>
        <v>1066.7</v>
      </c>
      <c r="AI80" s="345">
        <f>'Raw Data'!AI81/10</f>
        <v>1027.4000000000001</v>
      </c>
      <c r="AJ80" s="345">
        <f>'Raw Data'!AJ81/10</f>
        <v>972.6</v>
      </c>
      <c r="AK80" s="345">
        <f>'Raw Data'!AK81/10</f>
        <v>934.5</v>
      </c>
      <c r="AL80" s="345">
        <f>'Raw Data'!AL81/10</f>
        <v>896.1</v>
      </c>
      <c r="AM80" s="345">
        <f>'Raw Data'!AM81/10</f>
        <v>861.9</v>
      </c>
      <c r="AN80" s="345">
        <f>'Raw Data'!AN81/10</f>
        <v>828.5</v>
      </c>
      <c r="AO80" s="345">
        <f>'Raw Data'!AO81/10</f>
        <v>782.7</v>
      </c>
      <c r="AP80" s="345">
        <f>'Raw Data'!AP81/10</f>
        <v>752.6</v>
      </c>
      <c r="AQ80" s="345">
        <f>'Raw Data'!AQ81/10</f>
        <v>729.9</v>
      </c>
      <c r="AR80" s="345">
        <f>'Raw Data'!AR81/10</f>
        <v>700.8</v>
      </c>
      <c r="AS80" s="345">
        <f>'Raw Data'!AS81/10</f>
        <v>678</v>
      </c>
      <c r="AT80" s="345">
        <f>'Raw Data'!AT81/10</f>
        <v>662.9</v>
      </c>
      <c r="AU80" s="345">
        <f>'Raw Data'!AU81/10</f>
        <v>634.1</v>
      </c>
      <c r="AV80" s="345">
        <f>'Raw Data'!AV81/10</f>
        <v>610.79999999999995</v>
      </c>
      <c r="AW80" s="345">
        <f>'Raw Data'!AW81/10</f>
        <v>594.29999999999995</v>
      </c>
      <c r="AX80" s="345">
        <f>'Raw Data'!AX81/10</f>
        <v>576.5</v>
      </c>
      <c r="AY80" s="345">
        <f>'Raw Data'!AY81/10</f>
        <v>556.9</v>
      </c>
      <c r="AZ80" s="345">
        <f>'Raw Data'!AZ81/10</f>
        <v>533.20000000000005</v>
      </c>
      <c r="BA80" s="345">
        <f>'Raw Data'!BA81/10</f>
        <v>530.29999999999995</v>
      </c>
      <c r="BB80" s="345">
        <f>'Raw Data'!BB81/10</f>
        <v>512.9</v>
      </c>
      <c r="BC80" s="345">
        <f>'Raw Data'!BC81/10</f>
        <v>506</v>
      </c>
      <c r="BD80" s="345">
        <f>'Raw Data'!BD81/10</f>
        <v>479.9</v>
      </c>
      <c r="BE80" s="345">
        <f>'Raw Data'!BE81/10</f>
        <v>468.7</v>
      </c>
      <c r="BF80" s="345">
        <f>'Raw Data'!BF81/10</f>
        <v>464</v>
      </c>
      <c r="BG80" s="345">
        <f>'Raw Data'!BG81/10</f>
        <v>442.3</v>
      </c>
      <c r="BH80" s="345">
        <f>'Raw Data'!BH81/10</f>
        <v>432.7</v>
      </c>
      <c r="BI80" s="345">
        <f>'Raw Data'!BI81/10</f>
        <v>426.5</v>
      </c>
      <c r="BJ80" s="345">
        <f>'Raw Data'!BJ81/10</f>
        <v>408.7</v>
      </c>
      <c r="BK80" s="345">
        <f>'Raw Data'!BK81/10</f>
        <v>396.1</v>
      </c>
      <c r="BL80" s="345">
        <f>'Raw Data'!BL81/10</f>
        <v>392</v>
      </c>
      <c r="BM80" s="345">
        <f>'Raw Data'!BM81/10</f>
        <v>382.5</v>
      </c>
      <c r="BN80" s="345">
        <f>'Raw Data'!BN81/10</f>
        <v>369.5</v>
      </c>
      <c r="BO80" s="345">
        <f>'Raw Data'!BO81/10</f>
        <v>364.9</v>
      </c>
      <c r="BP80" s="345">
        <f>'Raw Data'!BP81/10</f>
        <v>353</v>
      </c>
      <c r="BQ80" s="345">
        <f>'Raw Data'!BQ81/10</f>
        <v>348.8</v>
      </c>
      <c r="BR80" s="345">
        <f>'Raw Data'!BR81/10</f>
        <v>339.9</v>
      </c>
      <c r="BS80" s="345">
        <f>'Raw Data'!BS81/10</f>
        <v>332</v>
      </c>
      <c r="BT80" s="345">
        <f>'Raw Data'!BT81/10</f>
        <v>320.60000000000002</v>
      </c>
      <c r="BU80" s="345">
        <f>'Raw Data'!BU81/10</f>
        <v>324.5</v>
      </c>
      <c r="BV80" s="345">
        <f>'Raw Data'!BV81/10</f>
        <v>314</v>
      </c>
      <c r="BW80" s="345">
        <f>'Raw Data'!BW81/10</f>
        <v>306.60000000000002</v>
      </c>
      <c r="BX80" s="345">
        <f>'Raw Data'!BX81/10</f>
        <v>301.60000000000002</v>
      </c>
      <c r="BY80" s="345">
        <f>'Raw Data'!BY81/10</f>
        <v>301.5</v>
      </c>
      <c r="BZ80" s="345">
        <f>'Raw Data'!BZ81/10</f>
        <v>300.7</v>
      </c>
      <c r="CA80" s="345">
        <f>'Raw Data'!CA81/10</f>
        <v>280.5</v>
      </c>
      <c r="CB80" s="345">
        <f>'Raw Data'!CB81/10</f>
        <v>281.39999999999998</v>
      </c>
      <c r="CC80" s="345">
        <f>'Raw Data'!CC81/10</f>
        <v>278.2</v>
      </c>
      <c r="CD80" s="345">
        <f>'Raw Data'!CD81/10</f>
        <v>275.7</v>
      </c>
      <c r="CE80" s="345">
        <f>'Raw Data'!CE81/10</f>
        <v>267.60000000000002</v>
      </c>
      <c r="CF80" s="345">
        <f>'Raw Data'!CF81/10</f>
        <v>265.60000000000002</v>
      </c>
      <c r="CG80" s="345">
        <f>'Raw Data'!CG81/100</f>
        <v>241.05</v>
      </c>
      <c r="CH80" s="345">
        <f>'Raw Data'!CH81/100</f>
        <v>206.85</v>
      </c>
      <c r="CI80" s="345">
        <f>'Raw Data'!CI81/100</f>
        <v>184.01</v>
      </c>
      <c r="CJ80" s="345">
        <f>'Raw Data'!CJ81/100</f>
        <v>163.75</v>
      </c>
      <c r="CK80" s="345">
        <f>'Raw Data'!CK81/100</f>
        <v>150.41999999999999</v>
      </c>
      <c r="CL80" s="345">
        <f>'Raw Data'!CL81/100</f>
        <v>137.96</v>
      </c>
      <c r="CM80" s="345">
        <f>'Raw Data'!CM81/100</f>
        <v>126.86</v>
      </c>
      <c r="CN80" s="345">
        <f>'Raw Data'!CN81/100</f>
        <v>119</v>
      </c>
      <c r="CO80" s="345">
        <f>'Raw Data'!CO81/100</f>
        <v>112.61</v>
      </c>
      <c r="CP80" s="345">
        <f>'Raw Data'!CP81/100</f>
        <v>105.52</v>
      </c>
      <c r="CQ80" s="345">
        <f>'Raw Data'!CQ81/100</f>
        <v>100.91</v>
      </c>
      <c r="CR80" s="345">
        <f>'Raw Data'!CR81/100</f>
        <v>93.82</v>
      </c>
      <c r="CS80" s="345">
        <f>'Raw Data'!CS81/100</f>
        <v>92.01</v>
      </c>
      <c r="CT80" s="345">
        <f>'Raw Data'!CT81/100</f>
        <v>86.75</v>
      </c>
      <c r="CU80" s="383"/>
    </row>
    <row r="81" spans="4:99" s="86" customFormat="1" x14ac:dyDescent="0.2">
      <c r="D81" s="375"/>
      <c r="E81" s="164"/>
      <c r="F81" s="394"/>
      <c r="G81" s="86">
        <f>'Raw Data'!G82</f>
        <v>1313</v>
      </c>
      <c r="H81" s="86">
        <f>'Raw Data'!H82</f>
        <v>1276</v>
      </c>
      <c r="I81" s="86">
        <f>'Raw Data'!I82</f>
        <v>1291</v>
      </c>
      <c r="J81" s="86">
        <f>'Raw Data'!J82</f>
        <v>1336</v>
      </c>
      <c r="K81" s="86">
        <f>'Raw Data'!K82</f>
        <v>1263</v>
      </c>
      <c r="L81" s="86">
        <f>'Raw Data'!L82</f>
        <v>1337</v>
      </c>
      <c r="M81" s="86">
        <f>'Raw Data'!M82</f>
        <v>1283</v>
      </c>
      <c r="N81" s="86">
        <f>'Raw Data'!N82</f>
        <v>1302</v>
      </c>
      <c r="O81" s="86">
        <f>'Raw Data'!O82</f>
        <v>1291</v>
      </c>
      <c r="P81" s="86">
        <f>'Raw Data'!P82</f>
        <v>1236</v>
      </c>
      <c r="Q81" s="86">
        <f>'Raw Data'!Q82</f>
        <v>1294</v>
      </c>
      <c r="R81" s="86">
        <f>'Raw Data'!R82</f>
        <v>1287</v>
      </c>
      <c r="S81" s="86">
        <f>'Raw Data'!S82</f>
        <v>1306</v>
      </c>
      <c r="T81" s="86">
        <f>'Raw Data'!T82</f>
        <v>1237</v>
      </c>
      <c r="U81" s="86">
        <f>'Raw Data'!U82</f>
        <v>1299</v>
      </c>
      <c r="V81" s="86">
        <f>'Raw Data'!V82</f>
        <v>1245</v>
      </c>
      <c r="W81" s="86">
        <f>'Raw Data'!W82</f>
        <v>1284</v>
      </c>
      <c r="X81" s="86">
        <f>'Raw Data'!X82</f>
        <v>1248</v>
      </c>
      <c r="Y81" s="86">
        <f>'Raw Data'!Y82</f>
        <v>1208</v>
      </c>
      <c r="Z81" s="86">
        <f>'Raw Data'!Z82</f>
        <v>1220</v>
      </c>
      <c r="AA81" s="86">
        <f>'Raw Data'!AA82/10</f>
        <v>1215.9000000000001</v>
      </c>
      <c r="AB81" s="86">
        <f>'Raw Data'!AB82/10</f>
        <v>1171.5</v>
      </c>
      <c r="AC81" s="86">
        <f>'Raw Data'!AC82/10</f>
        <v>1122.3</v>
      </c>
      <c r="AD81" s="86">
        <f>'Raw Data'!AD82/10</f>
        <v>1079.3</v>
      </c>
      <c r="AE81" s="86">
        <f>'Raw Data'!AE82/10</f>
        <v>1014.4</v>
      </c>
      <c r="AF81" s="86">
        <f>'Raw Data'!AF82/10</f>
        <v>981.8</v>
      </c>
      <c r="AG81" s="86">
        <f>'Raw Data'!AG82/10</f>
        <v>930.7</v>
      </c>
      <c r="AH81" s="86">
        <f>'Raw Data'!AH82/10</f>
        <v>895.5</v>
      </c>
      <c r="AI81" s="86">
        <f>'Raw Data'!AI82/10</f>
        <v>855.3</v>
      </c>
      <c r="AJ81" s="86">
        <f>'Raw Data'!AJ82/10</f>
        <v>820</v>
      </c>
      <c r="AK81" s="86">
        <f>'Raw Data'!AK82/10</f>
        <v>789.5</v>
      </c>
      <c r="AL81" s="86">
        <f>'Raw Data'!AL82/10</f>
        <v>758</v>
      </c>
      <c r="AM81" s="86">
        <f>'Raw Data'!AM82/10</f>
        <v>721.7</v>
      </c>
      <c r="AN81" s="86">
        <f>'Raw Data'!AN82/10</f>
        <v>706.2</v>
      </c>
      <c r="AO81" s="86">
        <f>'Raw Data'!AO82/10</f>
        <v>676.4</v>
      </c>
      <c r="AP81" s="86">
        <f>'Raw Data'!AP82/10</f>
        <v>645</v>
      </c>
      <c r="AQ81" s="86">
        <f>'Raw Data'!AQ82/10</f>
        <v>621.5</v>
      </c>
      <c r="AR81" s="86">
        <f>'Raw Data'!AR82/10</f>
        <v>611.4</v>
      </c>
      <c r="AS81" s="86">
        <f>'Raw Data'!AS82/10</f>
        <v>596.4</v>
      </c>
      <c r="AT81" s="86">
        <f>'Raw Data'!AT82/10</f>
        <v>566.6</v>
      </c>
      <c r="AU81" s="86">
        <f>'Raw Data'!AU82/10</f>
        <v>542.5</v>
      </c>
      <c r="AV81" s="86">
        <f>'Raw Data'!AV82/10</f>
        <v>529.70000000000005</v>
      </c>
      <c r="AW81" s="86">
        <f>'Raw Data'!AW82/10</f>
        <v>520.6</v>
      </c>
      <c r="AX81" s="86">
        <f>'Raw Data'!AX82/10</f>
        <v>496</v>
      </c>
      <c r="AY81" s="86">
        <f>'Raw Data'!AY82/10</f>
        <v>484.1</v>
      </c>
      <c r="AZ81" s="86">
        <f>'Raw Data'!AZ82/10</f>
        <v>476.2</v>
      </c>
      <c r="BA81" s="86">
        <f>'Raw Data'!BA82/10</f>
        <v>461.9</v>
      </c>
      <c r="BB81" s="86">
        <f>'Raw Data'!BB82/10</f>
        <v>455.6</v>
      </c>
      <c r="BC81" s="86">
        <f>'Raw Data'!BC82/10</f>
        <v>444.6</v>
      </c>
      <c r="BD81" s="86">
        <f>'Raw Data'!BD82/10</f>
        <v>415.5</v>
      </c>
      <c r="BE81" s="86">
        <f>'Raw Data'!BE82/10</f>
        <v>409.5</v>
      </c>
      <c r="BF81" s="86">
        <f>'Raw Data'!BF82/10</f>
        <v>402.8</v>
      </c>
      <c r="BG81" s="86">
        <f>'Raw Data'!BG82/10</f>
        <v>397.3</v>
      </c>
      <c r="BH81" s="86">
        <f>'Raw Data'!BH82/10</f>
        <v>382.6</v>
      </c>
      <c r="BI81" s="86">
        <f>'Raw Data'!BI82/10</f>
        <v>377.7</v>
      </c>
      <c r="BJ81" s="86">
        <f>'Raw Data'!BJ82/10</f>
        <v>369.4</v>
      </c>
      <c r="BK81" s="86">
        <f>'Raw Data'!BK82/10</f>
        <v>361.5</v>
      </c>
      <c r="BL81" s="86">
        <f>'Raw Data'!BL82/10</f>
        <v>359.4</v>
      </c>
      <c r="BM81" s="86">
        <f>'Raw Data'!BM82/10</f>
        <v>342.2</v>
      </c>
      <c r="BN81" s="86">
        <f>'Raw Data'!BN82/10</f>
        <v>339.2</v>
      </c>
      <c r="BO81" s="86">
        <f>'Raw Data'!BO82/10</f>
        <v>331.6</v>
      </c>
      <c r="BP81" s="86">
        <f>'Raw Data'!BP82/10</f>
        <v>321</v>
      </c>
      <c r="BQ81" s="86">
        <f>'Raw Data'!BQ82/10</f>
        <v>319.60000000000002</v>
      </c>
      <c r="BR81" s="86">
        <f>'Raw Data'!BR82/10</f>
        <v>309.8</v>
      </c>
      <c r="BS81" s="86">
        <f>'Raw Data'!BS82/10</f>
        <v>300.5</v>
      </c>
      <c r="BT81" s="86">
        <f>'Raw Data'!BT82/10</f>
        <v>297.60000000000002</v>
      </c>
      <c r="BU81" s="86">
        <f>'Raw Data'!BU82/10</f>
        <v>291.5</v>
      </c>
      <c r="BV81" s="86">
        <f>'Raw Data'!BV82/10</f>
        <v>282.39999999999998</v>
      </c>
      <c r="BW81" s="86">
        <f>'Raw Data'!BW82/10</f>
        <v>279.8</v>
      </c>
      <c r="BX81" s="86">
        <f>'Raw Data'!BX82/10</f>
        <v>282.3</v>
      </c>
      <c r="BY81" s="86">
        <f>'Raw Data'!BY82/10</f>
        <v>268</v>
      </c>
      <c r="BZ81" s="86">
        <f>'Raw Data'!BZ82/10</f>
        <v>272</v>
      </c>
      <c r="CA81" s="86">
        <f>'Raw Data'!CA82/10</f>
        <v>271.60000000000002</v>
      </c>
      <c r="CB81" s="86">
        <f>'Raw Data'!CB82/10</f>
        <v>263.7</v>
      </c>
      <c r="CC81" s="86">
        <f>'Raw Data'!CC82/10</f>
        <v>260.39999999999998</v>
      </c>
      <c r="CD81" s="86">
        <f>'Raw Data'!CD82/10</f>
        <v>254.5</v>
      </c>
      <c r="CE81" s="86">
        <f>'Raw Data'!CE82/10</f>
        <v>253.4</v>
      </c>
      <c r="CF81" s="86">
        <f>'Raw Data'!CF82/10</f>
        <v>246.7</v>
      </c>
      <c r="CG81" s="86">
        <f>'Raw Data'!CG82/100</f>
        <v>226.36</v>
      </c>
      <c r="CH81" s="86">
        <f>'Raw Data'!CH82/100</f>
        <v>200.04</v>
      </c>
      <c r="CI81" s="86">
        <f>'Raw Data'!CI82/100</f>
        <v>180.82</v>
      </c>
      <c r="CJ81" s="86">
        <f>'Raw Data'!CJ82/100</f>
        <v>161.66999999999999</v>
      </c>
      <c r="CK81" s="86">
        <f>'Raw Data'!CK82/100</f>
        <v>150.12</v>
      </c>
      <c r="CL81" s="86">
        <f>'Raw Data'!CL82/100</f>
        <v>137.37</v>
      </c>
      <c r="CM81" s="86">
        <f>'Raw Data'!CM82/100</f>
        <v>129.44</v>
      </c>
      <c r="CN81" s="86">
        <f>'Raw Data'!CN82/100</f>
        <v>122.03</v>
      </c>
      <c r="CO81" s="86">
        <f>'Raw Data'!CO82/100</f>
        <v>115.39</v>
      </c>
      <c r="CP81" s="86">
        <f>'Raw Data'!CP82/100</f>
        <v>109.63</v>
      </c>
      <c r="CQ81" s="86">
        <f>'Raw Data'!CQ82/100</f>
        <v>104.14</v>
      </c>
      <c r="CR81" s="86">
        <f>'Raw Data'!CR82/100</f>
        <v>100.71</v>
      </c>
      <c r="CS81" s="86">
        <f>'Raw Data'!CS82/100</f>
        <v>95.62</v>
      </c>
      <c r="CT81" s="86">
        <f>'Raw Data'!CT82/100</f>
        <v>92.86</v>
      </c>
      <c r="CU81" s="382"/>
    </row>
    <row r="82" spans="4:99" s="86" customFormat="1" x14ac:dyDescent="0.2">
      <c r="D82" s="375"/>
      <c r="E82" s="164"/>
      <c r="F82" s="394"/>
      <c r="G82" s="86">
        <f>'Raw Data'!G83</f>
        <v>2614</v>
      </c>
      <c r="H82" s="86">
        <f>'Raw Data'!H83</f>
        <v>2595</v>
      </c>
      <c r="I82" s="86">
        <f>'Raw Data'!I83</f>
        <v>2654</v>
      </c>
      <c r="J82" s="86">
        <f>'Raw Data'!J83</f>
        <v>2707</v>
      </c>
      <c r="K82" s="86">
        <f>'Raw Data'!K83</f>
        <v>2608</v>
      </c>
      <c r="L82" s="86">
        <f>'Raw Data'!L83</f>
        <v>2612</v>
      </c>
      <c r="M82" s="86">
        <f>'Raw Data'!M83</f>
        <v>2569</v>
      </c>
      <c r="N82" s="86">
        <f>'Raw Data'!N83</f>
        <v>2599</v>
      </c>
      <c r="O82" s="86">
        <f>'Raw Data'!O83</f>
        <v>2675</v>
      </c>
      <c r="P82" s="86">
        <f>'Raw Data'!P83</f>
        <v>2591</v>
      </c>
      <c r="Q82" s="86">
        <f>'Raw Data'!Q83</f>
        <v>2508</v>
      </c>
      <c r="R82" s="86">
        <f>'Raw Data'!R83</f>
        <v>2814</v>
      </c>
      <c r="S82" s="86">
        <f>'Raw Data'!S83</f>
        <v>2814</v>
      </c>
      <c r="T82" s="86">
        <f>'Raw Data'!T83</f>
        <v>2620</v>
      </c>
      <c r="U82" s="86">
        <f>'Raw Data'!U83</f>
        <v>2619</v>
      </c>
      <c r="V82" s="86">
        <f>'Raw Data'!V83</f>
        <v>2558</v>
      </c>
      <c r="W82" s="86">
        <f>'Raw Data'!W83</f>
        <v>2625</v>
      </c>
      <c r="X82" s="86">
        <f>'Raw Data'!X83</f>
        <v>2484</v>
      </c>
      <c r="Y82" s="86">
        <f>'Raw Data'!Y83</f>
        <v>2488</v>
      </c>
      <c r="Z82" s="86">
        <f>'Raw Data'!Z83</f>
        <v>2509</v>
      </c>
      <c r="AA82" s="86">
        <f>'Raw Data'!AA83/10</f>
        <v>2481.6999999999998</v>
      </c>
      <c r="AB82" s="86">
        <f>'Raw Data'!AB83/10</f>
        <v>2376.3000000000002</v>
      </c>
      <c r="AC82" s="86">
        <f>'Raw Data'!AC83/10</f>
        <v>2252.9</v>
      </c>
      <c r="AD82" s="86">
        <f>'Raw Data'!AD83/10</f>
        <v>2168.3000000000002</v>
      </c>
      <c r="AE82" s="86">
        <f>'Raw Data'!AE83/10</f>
        <v>2054.5</v>
      </c>
      <c r="AF82" s="86">
        <f>'Raw Data'!AF83/10</f>
        <v>1975.9</v>
      </c>
      <c r="AG82" s="86">
        <f>'Raw Data'!AG83/10</f>
        <v>1873.8</v>
      </c>
      <c r="AH82" s="86">
        <f>'Raw Data'!AH83/10</f>
        <v>1755.6</v>
      </c>
      <c r="AI82" s="86">
        <f>'Raw Data'!AI83/10</f>
        <v>1698.8</v>
      </c>
      <c r="AJ82" s="86">
        <f>'Raw Data'!AJ83/10</f>
        <v>1617</v>
      </c>
      <c r="AK82" s="86">
        <f>'Raw Data'!AK83/10</f>
        <v>1545</v>
      </c>
      <c r="AL82" s="86">
        <f>'Raw Data'!AL83/10</f>
        <v>1483</v>
      </c>
      <c r="AM82" s="86">
        <f>'Raw Data'!AM83/10</f>
        <v>1416.4</v>
      </c>
      <c r="AN82" s="86">
        <f>'Raw Data'!AN83/10</f>
        <v>1347</v>
      </c>
      <c r="AO82" s="86">
        <f>'Raw Data'!AO83/10</f>
        <v>1311.7</v>
      </c>
      <c r="AP82" s="86">
        <f>'Raw Data'!AP83/10</f>
        <v>1261.7</v>
      </c>
      <c r="AQ82" s="86">
        <f>'Raw Data'!AQ83/10</f>
        <v>1217.9000000000001</v>
      </c>
      <c r="AR82" s="86">
        <f>'Raw Data'!AR83/10</f>
        <v>1171.8</v>
      </c>
      <c r="AS82" s="86">
        <f>'Raw Data'!AS83/10</f>
        <v>1120.7</v>
      </c>
      <c r="AT82" s="86">
        <f>'Raw Data'!AT83/10</f>
        <v>1083.7</v>
      </c>
      <c r="AU82" s="86">
        <f>'Raw Data'!AU83/10</f>
        <v>1049.7</v>
      </c>
      <c r="AV82" s="86">
        <f>'Raw Data'!AV83/10</f>
        <v>1010.4</v>
      </c>
      <c r="AW82" s="86">
        <f>'Raw Data'!AW83/10</f>
        <v>979.8</v>
      </c>
      <c r="AX82" s="86">
        <f>'Raw Data'!AX83/10</f>
        <v>946.7</v>
      </c>
      <c r="AY82" s="86">
        <f>'Raw Data'!AY83/10</f>
        <v>927.3</v>
      </c>
      <c r="AZ82" s="86">
        <f>'Raw Data'!AZ83/10</f>
        <v>856.2</v>
      </c>
      <c r="BA82" s="86">
        <f>'Raw Data'!BA83/10</f>
        <v>858</v>
      </c>
      <c r="BB82" s="86">
        <f>'Raw Data'!BB83/10</f>
        <v>844.9</v>
      </c>
      <c r="BC82" s="86">
        <f>'Raw Data'!BC83/10</f>
        <v>804.4</v>
      </c>
      <c r="BD82" s="86">
        <f>'Raw Data'!BD83/10</f>
        <v>789.6</v>
      </c>
      <c r="BE82" s="86">
        <f>'Raw Data'!BE83/10</f>
        <v>764.2</v>
      </c>
      <c r="BF82" s="86">
        <f>'Raw Data'!BF83/10</f>
        <v>738</v>
      </c>
      <c r="BG82" s="86">
        <f>'Raw Data'!BG83/10</f>
        <v>720</v>
      </c>
      <c r="BH82" s="86">
        <f>'Raw Data'!BH83/10</f>
        <v>696.3</v>
      </c>
      <c r="BI82" s="86">
        <f>'Raw Data'!BI83/10</f>
        <v>680.2</v>
      </c>
      <c r="BJ82" s="86">
        <f>'Raw Data'!BJ83/10</f>
        <v>671.4</v>
      </c>
      <c r="BK82" s="86">
        <f>'Raw Data'!BK83/10</f>
        <v>665.7</v>
      </c>
      <c r="BL82" s="86">
        <f>'Raw Data'!BL83/10</f>
        <v>637.5</v>
      </c>
      <c r="BM82" s="86">
        <f>'Raw Data'!BM83/10</f>
        <v>646</v>
      </c>
      <c r="BN82" s="86">
        <f>'Raw Data'!BN83/10</f>
        <v>606.1</v>
      </c>
      <c r="BO82" s="86">
        <f>'Raw Data'!BO83/10</f>
        <v>586</v>
      </c>
      <c r="BP82" s="86">
        <f>'Raw Data'!BP83/10</f>
        <v>580.9</v>
      </c>
      <c r="BQ82" s="86">
        <f>'Raw Data'!BQ83/10</f>
        <v>564.4</v>
      </c>
      <c r="BR82" s="86">
        <f>'Raw Data'!BR83/10</f>
        <v>542.5</v>
      </c>
      <c r="BS82" s="86">
        <f>'Raw Data'!BS83/10</f>
        <v>531.79999999999995</v>
      </c>
      <c r="BT82" s="86">
        <f>'Raw Data'!BT83/10</f>
        <v>525.4</v>
      </c>
      <c r="BU82" s="86">
        <f>'Raw Data'!BU83/10</f>
        <v>513.4</v>
      </c>
      <c r="BV82" s="86">
        <f>'Raw Data'!BV83/10</f>
        <v>507.5</v>
      </c>
      <c r="BW82" s="86">
        <f>'Raw Data'!BW83/10</f>
        <v>500.6</v>
      </c>
      <c r="BX82" s="86">
        <f>'Raw Data'!BX83/10</f>
        <v>479.2</v>
      </c>
      <c r="BY82" s="86">
        <f>'Raw Data'!BY83/10</f>
        <v>479</v>
      </c>
      <c r="BZ82" s="86">
        <f>'Raw Data'!BZ83/10</f>
        <v>470.6</v>
      </c>
      <c r="CA82" s="86">
        <f>'Raw Data'!CA83/10</f>
        <v>455.6</v>
      </c>
      <c r="CB82" s="86">
        <f>'Raw Data'!CB83/10</f>
        <v>449.8</v>
      </c>
      <c r="CC82" s="86">
        <f>'Raw Data'!CC83/10</f>
        <v>448.4</v>
      </c>
      <c r="CD82" s="86">
        <f>'Raw Data'!CD83/10</f>
        <v>430.6</v>
      </c>
      <c r="CE82" s="86">
        <f>'Raw Data'!CE83/10</f>
        <v>429.1</v>
      </c>
      <c r="CF82" s="86">
        <f>'Raw Data'!CF83/10</f>
        <v>417.5</v>
      </c>
      <c r="CG82" s="86">
        <f>'Raw Data'!CG83/100</f>
        <v>380.66</v>
      </c>
      <c r="CH82" s="86">
        <f>'Raw Data'!CH83/100</f>
        <v>326.12</v>
      </c>
      <c r="CI82" s="86">
        <f>'Raw Data'!CI83/100</f>
        <v>287.45</v>
      </c>
      <c r="CJ82" s="86">
        <f>'Raw Data'!CJ83/100</f>
        <v>254.78</v>
      </c>
      <c r="CK82" s="86">
        <f>'Raw Data'!CK83/100</f>
        <v>229.7</v>
      </c>
      <c r="CL82" s="86">
        <f>'Raw Data'!CL83/100</f>
        <v>210.77</v>
      </c>
      <c r="CM82" s="86">
        <f>'Raw Data'!CM83/100</f>
        <v>194.77</v>
      </c>
      <c r="CN82" s="86">
        <f>'Raw Data'!CN83/100</f>
        <v>181.06</v>
      </c>
      <c r="CO82" s="86">
        <f>'Raw Data'!CO83/100</f>
        <v>167.97</v>
      </c>
      <c r="CP82" s="86">
        <f>'Raw Data'!CP83/100</f>
        <v>157.38</v>
      </c>
      <c r="CQ82" s="86">
        <f>'Raw Data'!CQ83/100</f>
        <v>148.25</v>
      </c>
      <c r="CR82" s="86">
        <f>'Raw Data'!CR83/100</f>
        <v>138.83000000000001</v>
      </c>
      <c r="CS82" s="86">
        <f>'Raw Data'!CS83/100</f>
        <v>134.29</v>
      </c>
      <c r="CT82" s="86">
        <f>'Raw Data'!CT83/100</f>
        <v>126.57</v>
      </c>
      <c r="CU82" s="382"/>
    </row>
    <row r="83" spans="4:99" s="86" customFormat="1" x14ac:dyDescent="0.2">
      <c r="D83" s="375"/>
      <c r="E83" s="164"/>
      <c r="F83" s="394"/>
      <c r="G83" s="86">
        <f>'Raw Data'!G84</f>
        <v>1315</v>
      </c>
      <c r="H83" s="86">
        <f>'Raw Data'!H84</f>
        <v>1325</v>
      </c>
      <c r="I83" s="86">
        <f>'Raw Data'!I84</f>
        <v>1378</v>
      </c>
      <c r="J83" s="86">
        <f>'Raw Data'!J84</f>
        <v>1374</v>
      </c>
      <c r="K83" s="86">
        <f>'Raw Data'!K84</f>
        <v>1321</v>
      </c>
      <c r="L83" s="86">
        <f>'Raw Data'!L84</f>
        <v>1297</v>
      </c>
      <c r="M83" s="86">
        <f>'Raw Data'!M84</f>
        <v>1297</v>
      </c>
      <c r="N83" s="86">
        <f>'Raw Data'!N84</f>
        <v>1306</v>
      </c>
      <c r="O83" s="86">
        <f>'Raw Data'!O84</f>
        <v>1312</v>
      </c>
      <c r="P83" s="86">
        <f>'Raw Data'!P84</f>
        <v>1266</v>
      </c>
      <c r="Q83" s="86">
        <f>'Raw Data'!Q84</f>
        <v>1284</v>
      </c>
      <c r="R83" s="86">
        <f>'Raw Data'!R84</f>
        <v>1283</v>
      </c>
      <c r="S83" s="86">
        <f>'Raw Data'!S84</f>
        <v>1294</v>
      </c>
      <c r="T83" s="86">
        <f>'Raw Data'!T84</f>
        <v>1250</v>
      </c>
      <c r="U83" s="86">
        <f>'Raw Data'!U84</f>
        <v>1297</v>
      </c>
      <c r="V83" s="86">
        <f>'Raw Data'!V84</f>
        <v>1284</v>
      </c>
      <c r="W83" s="86">
        <f>'Raw Data'!W84</f>
        <v>1305</v>
      </c>
      <c r="X83" s="86">
        <f>'Raw Data'!X84</f>
        <v>1274</v>
      </c>
      <c r="Y83" s="86">
        <f>'Raw Data'!Y84</f>
        <v>1246</v>
      </c>
      <c r="Z83" s="86">
        <f>'Raw Data'!Z84</f>
        <v>1246</v>
      </c>
      <c r="AA83" s="86">
        <f>'Raw Data'!AA84/10</f>
        <v>1235.9000000000001</v>
      </c>
      <c r="AB83" s="86">
        <f>'Raw Data'!AB84/10</f>
        <v>1184.5</v>
      </c>
      <c r="AC83" s="86">
        <f>'Raw Data'!AC84/10</f>
        <v>1129.2</v>
      </c>
      <c r="AD83" s="86">
        <f>'Raw Data'!AD84/10</f>
        <v>1102.5999999999999</v>
      </c>
      <c r="AE83" s="86">
        <f>'Raw Data'!AE84/10</f>
        <v>1055.2</v>
      </c>
      <c r="AF83" s="86">
        <f>'Raw Data'!AF84/10</f>
        <v>991</v>
      </c>
      <c r="AG83" s="86">
        <f>'Raw Data'!AG84/10</f>
        <v>954.6</v>
      </c>
      <c r="AH83" s="86">
        <f>'Raw Data'!AH84/10</f>
        <v>899.6</v>
      </c>
      <c r="AI83" s="86">
        <f>'Raw Data'!AI84/10</f>
        <v>880.6</v>
      </c>
      <c r="AJ83" s="86">
        <f>'Raw Data'!AJ84/10</f>
        <v>852.9</v>
      </c>
      <c r="AK83" s="86">
        <f>'Raw Data'!AK84/10</f>
        <v>808.3</v>
      </c>
      <c r="AL83" s="86">
        <f>'Raw Data'!AL84/10</f>
        <v>784.7</v>
      </c>
      <c r="AM83" s="86">
        <f>'Raw Data'!AM84/10</f>
        <v>754.2</v>
      </c>
      <c r="AN83" s="86">
        <f>'Raw Data'!AN84/10</f>
        <v>726.2</v>
      </c>
      <c r="AO83" s="86">
        <f>'Raw Data'!AO84/10</f>
        <v>717.1</v>
      </c>
      <c r="AP83" s="86">
        <f>'Raw Data'!AP84/10</f>
        <v>678.1</v>
      </c>
      <c r="AQ83" s="86">
        <f>'Raw Data'!AQ84/10</f>
        <v>651.9</v>
      </c>
      <c r="AR83" s="86">
        <f>'Raw Data'!AR84/10</f>
        <v>632.70000000000005</v>
      </c>
      <c r="AS83" s="86">
        <f>'Raw Data'!AS84/10</f>
        <v>603</v>
      </c>
      <c r="AT83" s="86">
        <f>'Raw Data'!AT84/10</f>
        <v>587.79999999999995</v>
      </c>
      <c r="AU83" s="86">
        <f>'Raw Data'!AU84/10</f>
        <v>574.79999999999995</v>
      </c>
      <c r="AV83" s="86">
        <f>'Raw Data'!AV84/10</f>
        <v>560.29999999999995</v>
      </c>
      <c r="AW83" s="86">
        <f>'Raw Data'!AW84/10</f>
        <v>536.5</v>
      </c>
      <c r="AX83" s="86">
        <f>'Raw Data'!AX84/10</f>
        <v>513.5</v>
      </c>
      <c r="AY83" s="86">
        <f>'Raw Data'!AY84/10</f>
        <v>511.2</v>
      </c>
      <c r="AZ83" s="86">
        <f>'Raw Data'!AZ84/10</f>
        <v>500</v>
      </c>
      <c r="BA83" s="86">
        <f>'Raw Data'!BA84/10</f>
        <v>484.2</v>
      </c>
      <c r="BB83" s="86">
        <f>'Raw Data'!BB84/10</f>
        <v>474.1</v>
      </c>
      <c r="BC83" s="86">
        <f>'Raw Data'!BC84/10</f>
        <v>454.8</v>
      </c>
      <c r="BD83" s="86">
        <f>'Raw Data'!BD84/10</f>
        <v>447.3</v>
      </c>
      <c r="BE83" s="86">
        <f>'Raw Data'!BE84/10</f>
        <v>445.8</v>
      </c>
      <c r="BF83" s="86">
        <f>'Raw Data'!BF84/10</f>
        <v>430.1</v>
      </c>
      <c r="BG83" s="86">
        <f>'Raw Data'!BG84/10</f>
        <v>422.5</v>
      </c>
      <c r="BH83" s="86">
        <f>'Raw Data'!BH84/10</f>
        <v>406.4</v>
      </c>
      <c r="BI83" s="86">
        <f>'Raw Data'!BI84/10</f>
        <v>395.1</v>
      </c>
      <c r="BJ83" s="86">
        <f>'Raw Data'!BJ84/10</f>
        <v>389.3</v>
      </c>
      <c r="BK83" s="86">
        <f>'Raw Data'!BK84/10</f>
        <v>389.1</v>
      </c>
      <c r="BL83" s="86">
        <f>'Raw Data'!BL84/10</f>
        <v>371</v>
      </c>
      <c r="BM83" s="86">
        <f>'Raw Data'!BM84/10</f>
        <v>364.8</v>
      </c>
      <c r="BN83" s="86">
        <f>'Raw Data'!BN84/10</f>
        <v>359.4</v>
      </c>
      <c r="BO83" s="86">
        <f>'Raw Data'!BO84/10</f>
        <v>355</v>
      </c>
      <c r="BP83" s="86">
        <f>'Raw Data'!BP84/10</f>
        <v>339.9</v>
      </c>
      <c r="BQ83" s="86">
        <f>'Raw Data'!BQ84/10</f>
        <v>339.9</v>
      </c>
      <c r="BR83" s="86">
        <f>'Raw Data'!BR84/10</f>
        <v>331.4</v>
      </c>
      <c r="BS83" s="86">
        <f>'Raw Data'!BS84/10</f>
        <v>328.3</v>
      </c>
      <c r="BT83" s="86">
        <f>'Raw Data'!BT84/10</f>
        <v>320.8</v>
      </c>
      <c r="BU83" s="86">
        <f>'Raw Data'!BU84/10</f>
        <v>314.2</v>
      </c>
      <c r="BV83" s="86">
        <f>'Raw Data'!BV84/10</f>
        <v>304.2</v>
      </c>
      <c r="BW83" s="86">
        <f>'Raw Data'!BW84/10</f>
        <v>295.8</v>
      </c>
      <c r="BX83" s="86">
        <f>'Raw Data'!BX84/10</f>
        <v>307.10000000000002</v>
      </c>
      <c r="BY83" s="86">
        <f>'Raw Data'!BY84/10</f>
        <v>290.7</v>
      </c>
      <c r="BZ83" s="86">
        <f>'Raw Data'!BZ84/10</f>
        <v>290.60000000000002</v>
      </c>
      <c r="CA83" s="86">
        <f>'Raw Data'!CA84/10</f>
        <v>279.3</v>
      </c>
      <c r="CB83" s="86">
        <f>'Raw Data'!CB84/10</f>
        <v>272.39999999999998</v>
      </c>
      <c r="CC83" s="86">
        <f>'Raw Data'!CC84/10</f>
        <v>279.89999999999998</v>
      </c>
      <c r="CD83" s="86">
        <f>'Raw Data'!CD84/10</f>
        <v>270.2</v>
      </c>
      <c r="CE83" s="86">
        <f>'Raw Data'!CE84/10</f>
        <v>260.8</v>
      </c>
      <c r="CF83" s="86">
        <f>'Raw Data'!CF84/10</f>
        <v>270.39999999999998</v>
      </c>
      <c r="CG83" s="86">
        <f>'Raw Data'!CG84/100</f>
        <v>243.19</v>
      </c>
      <c r="CH83" s="86">
        <f>'Raw Data'!CH84/100</f>
        <v>217.05</v>
      </c>
      <c r="CI83" s="86">
        <f>'Raw Data'!CI84/100</f>
        <v>194.29</v>
      </c>
      <c r="CJ83" s="86">
        <f>'Raw Data'!CJ84/100</f>
        <v>179.23</v>
      </c>
      <c r="CK83" s="86">
        <f>'Raw Data'!CK84/100</f>
        <v>166.47</v>
      </c>
      <c r="CL83" s="86">
        <f>'Raw Data'!CL84/100</f>
        <v>153.77000000000001</v>
      </c>
      <c r="CM83" s="86">
        <f>'Raw Data'!CM84/100</f>
        <v>143.08000000000001</v>
      </c>
      <c r="CN83" s="86">
        <f>'Raw Data'!CN84/100</f>
        <v>137.35</v>
      </c>
      <c r="CO83" s="86">
        <f>'Raw Data'!CO84/100</f>
        <v>129.46</v>
      </c>
      <c r="CP83" s="86">
        <f>'Raw Data'!CP84/100</f>
        <v>122.86</v>
      </c>
      <c r="CQ83" s="86">
        <f>'Raw Data'!CQ84/100</f>
        <v>117.55</v>
      </c>
      <c r="CR83" s="86">
        <f>'Raw Data'!CR84/100</f>
        <v>112.72</v>
      </c>
      <c r="CS83" s="86">
        <f>'Raw Data'!CS84/100</f>
        <v>106.93</v>
      </c>
      <c r="CT83" s="86">
        <f>'Raw Data'!CT84/100</f>
        <v>104.25</v>
      </c>
      <c r="CU83" s="382"/>
    </row>
    <row r="84" spans="4:99" s="86" customFormat="1" x14ac:dyDescent="0.2">
      <c r="D84" s="375"/>
      <c r="E84" s="164"/>
      <c r="F84" s="394"/>
      <c r="G84" s="86">
        <f>'Raw Data'!G85</f>
        <v>53</v>
      </c>
      <c r="H84" s="86">
        <f>'Raw Data'!H85</f>
        <v>64</v>
      </c>
      <c r="I84" s="86">
        <f>'Raw Data'!I85</f>
        <v>53</v>
      </c>
      <c r="J84" s="86">
        <f>'Raw Data'!J85</f>
        <v>60</v>
      </c>
      <c r="K84" s="86">
        <f>'Raw Data'!K85</f>
        <v>50</v>
      </c>
      <c r="L84" s="86">
        <f>'Raw Data'!L85</f>
        <v>50</v>
      </c>
      <c r="M84" s="86">
        <f>'Raw Data'!M85</f>
        <v>53</v>
      </c>
      <c r="N84" s="86">
        <f>'Raw Data'!N85</f>
        <v>61</v>
      </c>
      <c r="O84" s="86">
        <f>'Raw Data'!O85</f>
        <v>54</v>
      </c>
      <c r="P84" s="86">
        <f>'Raw Data'!P85</f>
        <v>62</v>
      </c>
      <c r="Q84" s="86">
        <f>'Raw Data'!Q85</f>
        <v>62</v>
      </c>
      <c r="R84" s="86">
        <f>'Raw Data'!R85</f>
        <v>53</v>
      </c>
      <c r="S84" s="86">
        <f>'Raw Data'!S85</f>
        <v>60</v>
      </c>
      <c r="T84" s="86">
        <f>'Raw Data'!T85</f>
        <v>55</v>
      </c>
      <c r="U84" s="86">
        <f>'Raw Data'!U85</f>
        <v>66</v>
      </c>
      <c r="V84" s="86">
        <f>'Raw Data'!V85</f>
        <v>55</v>
      </c>
      <c r="W84" s="86">
        <f>'Raw Data'!W85</f>
        <v>53</v>
      </c>
      <c r="X84" s="86">
        <f>'Raw Data'!X85</f>
        <v>63</v>
      </c>
      <c r="Y84" s="86">
        <f>'Raw Data'!Y85</f>
        <v>57</v>
      </c>
      <c r="Z84" s="86">
        <f>'Raw Data'!Z85</f>
        <v>44</v>
      </c>
      <c r="AA84" s="86">
        <f>'Raw Data'!AA85/10</f>
        <v>57.2</v>
      </c>
      <c r="AB84" s="86">
        <f>'Raw Data'!AB85/10</f>
        <v>56.4</v>
      </c>
      <c r="AC84" s="86">
        <f>'Raw Data'!AC85/10</f>
        <v>56.9</v>
      </c>
      <c r="AD84" s="86">
        <f>'Raw Data'!AD85/10</f>
        <v>54.3</v>
      </c>
      <c r="AE84" s="86">
        <f>'Raw Data'!AE85/10</f>
        <v>57.3</v>
      </c>
      <c r="AF84" s="86">
        <f>'Raw Data'!AF85/10</f>
        <v>59.6</v>
      </c>
      <c r="AG84" s="86">
        <f>'Raw Data'!AG85/10</f>
        <v>53.6</v>
      </c>
      <c r="AH84" s="86">
        <f>'Raw Data'!AH85/10</f>
        <v>50</v>
      </c>
      <c r="AI84" s="86">
        <f>'Raw Data'!AI85/10</f>
        <v>51.7</v>
      </c>
      <c r="AJ84" s="86">
        <f>'Raw Data'!AJ85/10</f>
        <v>48.5</v>
      </c>
      <c r="AK84" s="86">
        <f>'Raw Data'!AK85/10</f>
        <v>49.5</v>
      </c>
      <c r="AL84" s="86">
        <f>'Raw Data'!AL85/10</f>
        <v>50</v>
      </c>
      <c r="AM84" s="86">
        <f>'Raw Data'!AM85/10</f>
        <v>48.1</v>
      </c>
      <c r="AN84" s="86">
        <f>'Raw Data'!AN85/10</f>
        <v>48.1</v>
      </c>
      <c r="AO84" s="86">
        <f>'Raw Data'!AO85/10</f>
        <v>47</v>
      </c>
      <c r="AP84" s="86">
        <f>'Raw Data'!AP85/10</f>
        <v>44.4</v>
      </c>
      <c r="AQ84" s="86">
        <f>'Raw Data'!AQ85/10</f>
        <v>44.4</v>
      </c>
      <c r="AR84" s="86">
        <f>'Raw Data'!AR85/10</f>
        <v>47.2</v>
      </c>
      <c r="AS84" s="86">
        <f>'Raw Data'!AS85/10</f>
        <v>48.1</v>
      </c>
      <c r="AT84" s="86">
        <f>'Raw Data'!AT85/10</f>
        <v>46.2</v>
      </c>
      <c r="AU84" s="86">
        <f>'Raw Data'!AU85/10</f>
        <v>47</v>
      </c>
      <c r="AV84" s="86">
        <f>'Raw Data'!AV85/10</f>
        <v>45.1</v>
      </c>
      <c r="AW84" s="86">
        <f>'Raw Data'!AW85/10</f>
        <v>44.5</v>
      </c>
      <c r="AX84" s="86">
        <f>'Raw Data'!AX85/10</f>
        <v>44.3</v>
      </c>
      <c r="AY84" s="86">
        <f>'Raw Data'!AY85/10</f>
        <v>44.1</v>
      </c>
      <c r="AZ84" s="86">
        <f>'Raw Data'!AZ85/10</f>
        <v>40.9</v>
      </c>
      <c r="BA84" s="86">
        <f>'Raw Data'!BA85/10</f>
        <v>43.1</v>
      </c>
      <c r="BB84" s="86">
        <f>'Raw Data'!BB85/10</f>
        <v>41</v>
      </c>
      <c r="BC84" s="86">
        <f>'Raw Data'!BC85/10</f>
        <v>40.200000000000003</v>
      </c>
      <c r="BD84" s="86">
        <f>'Raw Data'!BD85/10</f>
        <v>39.700000000000003</v>
      </c>
      <c r="BE84" s="86">
        <f>'Raw Data'!BE85/10</f>
        <v>41</v>
      </c>
      <c r="BF84" s="86">
        <f>'Raw Data'!BF85/10</f>
        <v>39.799999999999997</v>
      </c>
      <c r="BG84" s="86">
        <f>'Raw Data'!BG85/10</f>
        <v>39.4</v>
      </c>
      <c r="BH84" s="86">
        <f>'Raw Data'!BH85/10</f>
        <v>39.700000000000003</v>
      </c>
      <c r="BI84" s="86">
        <f>'Raw Data'!BI85/10</f>
        <v>40</v>
      </c>
      <c r="BJ84" s="86">
        <f>'Raw Data'!BJ85/10</f>
        <v>38.4</v>
      </c>
      <c r="BK84" s="86">
        <f>'Raw Data'!BK85/10</f>
        <v>37.299999999999997</v>
      </c>
      <c r="BL84" s="86">
        <f>'Raw Data'!BL85/10</f>
        <v>37.9</v>
      </c>
      <c r="BM84" s="86">
        <f>'Raw Data'!BM85/10</f>
        <v>39.799999999999997</v>
      </c>
      <c r="BN84" s="86">
        <f>'Raw Data'!BN85/10</f>
        <v>36.200000000000003</v>
      </c>
      <c r="BO84" s="86">
        <f>'Raw Data'!BO85/10</f>
        <v>36.700000000000003</v>
      </c>
      <c r="BP84" s="86">
        <f>'Raw Data'!BP85/10</f>
        <v>36.799999999999997</v>
      </c>
      <c r="BQ84" s="86">
        <f>'Raw Data'!BQ85/10</f>
        <v>37.299999999999997</v>
      </c>
      <c r="BR84" s="86">
        <f>'Raw Data'!BR85/10</f>
        <v>37.9</v>
      </c>
      <c r="BS84" s="86">
        <f>'Raw Data'!BS85/10</f>
        <v>36.700000000000003</v>
      </c>
      <c r="BT84" s="86">
        <f>'Raw Data'!BT85/10</f>
        <v>37.799999999999997</v>
      </c>
      <c r="BU84" s="86">
        <f>'Raw Data'!BU85/10</f>
        <v>36.200000000000003</v>
      </c>
      <c r="BV84" s="86">
        <f>'Raw Data'!BV85/10</f>
        <v>40.5</v>
      </c>
      <c r="BW84" s="86">
        <f>'Raw Data'!BW85/10</f>
        <v>36.799999999999997</v>
      </c>
      <c r="BX84" s="86">
        <f>'Raw Data'!BX85/10</f>
        <v>37.9</v>
      </c>
      <c r="BY84" s="86">
        <f>'Raw Data'!BY85/10</f>
        <v>36.799999999999997</v>
      </c>
      <c r="BZ84" s="86">
        <f>'Raw Data'!BZ85/10</f>
        <v>33.799999999999997</v>
      </c>
      <c r="CA84" s="86">
        <f>'Raw Data'!CA85/10</f>
        <v>34.9</v>
      </c>
      <c r="CB84" s="86">
        <f>'Raw Data'!CB85/10</f>
        <v>36.700000000000003</v>
      </c>
      <c r="CC84" s="86">
        <f>'Raw Data'!CC85/10</f>
        <v>35.9</v>
      </c>
      <c r="CD84" s="86">
        <f>'Raw Data'!CD85/10</f>
        <v>36.1</v>
      </c>
      <c r="CE84" s="86">
        <f>'Raw Data'!CE85/10</f>
        <v>33.700000000000003</v>
      </c>
      <c r="CF84" s="86">
        <f>'Raw Data'!CF85/10</f>
        <v>33.799999999999997</v>
      </c>
      <c r="CG84" s="86">
        <f>'Raw Data'!CG85/100</f>
        <v>33.869999999999997</v>
      </c>
      <c r="CH84" s="86">
        <f>'Raw Data'!CH85/100</f>
        <v>32.79</v>
      </c>
      <c r="CI84" s="86">
        <f>'Raw Data'!CI85/100</f>
        <v>32.659999999999997</v>
      </c>
      <c r="CJ84" s="86">
        <f>'Raw Data'!CJ85/100</f>
        <v>31.71</v>
      </c>
      <c r="CK84" s="86">
        <f>'Raw Data'!CK85/100</f>
        <v>31.09</v>
      </c>
      <c r="CL84" s="86">
        <f>'Raw Data'!CL85/100</f>
        <v>30.14</v>
      </c>
      <c r="CM84" s="86">
        <f>'Raw Data'!CM85/100</f>
        <v>29.55</v>
      </c>
      <c r="CN84" s="86">
        <f>'Raw Data'!CN85/100</f>
        <v>29.48</v>
      </c>
      <c r="CO84" s="86">
        <f>'Raw Data'!CO85/100</f>
        <v>29.55</v>
      </c>
      <c r="CP84" s="86">
        <f>'Raw Data'!CP85/100</f>
        <v>28.68</v>
      </c>
      <c r="CQ84" s="86">
        <f>'Raw Data'!CQ85/100</f>
        <v>28.65</v>
      </c>
      <c r="CR84" s="86">
        <f>'Raw Data'!CR85/100</f>
        <v>27.84</v>
      </c>
      <c r="CS84" s="86">
        <f>'Raw Data'!CS85/100</f>
        <v>27.98</v>
      </c>
      <c r="CT84" s="86">
        <f>'Raw Data'!CT85/100</f>
        <v>27.65</v>
      </c>
      <c r="CU84" s="382"/>
    </row>
    <row r="85" spans="4:99" s="86" customFormat="1" x14ac:dyDescent="0.2">
      <c r="D85" s="375"/>
      <c r="E85" s="164"/>
      <c r="F85" s="394"/>
      <c r="G85" s="86">
        <f>'Raw Data'!G86</f>
        <v>1157</v>
      </c>
      <c r="H85" s="86">
        <f>'Raw Data'!H86</f>
        <v>1184</v>
      </c>
      <c r="I85" s="86">
        <f>'Raw Data'!I86</f>
        <v>1107</v>
      </c>
      <c r="J85" s="86">
        <f>'Raw Data'!J86</f>
        <v>1186</v>
      </c>
      <c r="K85" s="86">
        <f>'Raw Data'!K86</f>
        <v>1183</v>
      </c>
      <c r="L85" s="86">
        <f>'Raw Data'!L86</f>
        <v>1172</v>
      </c>
      <c r="M85" s="86">
        <f>'Raw Data'!M86</f>
        <v>1166</v>
      </c>
      <c r="N85" s="86">
        <f>'Raw Data'!N86</f>
        <v>1168</v>
      </c>
      <c r="O85" s="86">
        <f>'Raw Data'!O86</f>
        <v>1179</v>
      </c>
      <c r="P85" s="86">
        <f>'Raw Data'!P86</f>
        <v>1197</v>
      </c>
      <c r="Q85" s="86">
        <f>'Raw Data'!Q86</f>
        <v>1190</v>
      </c>
      <c r="R85" s="86">
        <f>'Raw Data'!R86</f>
        <v>1178</v>
      </c>
      <c r="S85" s="86">
        <f>'Raw Data'!S86</f>
        <v>1154</v>
      </c>
      <c r="T85" s="86">
        <f>'Raw Data'!T86</f>
        <v>1154</v>
      </c>
      <c r="U85" s="86">
        <f>'Raw Data'!U86</f>
        <v>1153</v>
      </c>
      <c r="V85" s="86">
        <f>'Raw Data'!V86</f>
        <v>1151</v>
      </c>
      <c r="W85" s="86">
        <f>'Raw Data'!W86</f>
        <v>1119</v>
      </c>
      <c r="X85" s="86">
        <f>'Raw Data'!X86</f>
        <v>1126</v>
      </c>
      <c r="Y85" s="86">
        <f>'Raw Data'!Y86</f>
        <v>1082</v>
      </c>
      <c r="Z85" s="86">
        <f>'Raw Data'!Z86</f>
        <v>1126</v>
      </c>
      <c r="AA85" s="86">
        <f>'Raw Data'!AA86/10</f>
        <v>1101.5</v>
      </c>
      <c r="AB85" s="86">
        <f>'Raw Data'!AB86/10</f>
        <v>1064.8</v>
      </c>
      <c r="AC85" s="86">
        <f>'Raw Data'!AC86/10</f>
        <v>1023.9</v>
      </c>
      <c r="AD85" s="86">
        <f>'Raw Data'!AD86/10</f>
        <v>969</v>
      </c>
      <c r="AE85" s="86">
        <f>'Raw Data'!AE86/10</f>
        <v>933</v>
      </c>
      <c r="AF85" s="86">
        <f>'Raw Data'!AF86/10</f>
        <v>874.7</v>
      </c>
      <c r="AG85" s="86">
        <f>'Raw Data'!AG86/10</f>
        <v>848.9</v>
      </c>
      <c r="AH85" s="86">
        <f>'Raw Data'!AH86/10</f>
        <v>804.1</v>
      </c>
      <c r="AI85" s="86">
        <f>'Raw Data'!AI86/10</f>
        <v>762.2</v>
      </c>
      <c r="AJ85" s="86">
        <f>'Raw Data'!AJ86/10</f>
        <v>731.8</v>
      </c>
      <c r="AK85" s="86">
        <f>'Raw Data'!AK86/10</f>
        <v>705.7</v>
      </c>
      <c r="AL85" s="86">
        <f>'Raw Data'!AL86/10</f>
        <v>680.1</v>
      </c>
      <c r="AM85" s="86">
        <f>'Raw Data'!AM86/10</f>
        <v>646.4</v>
      </c>
      <c r="AN85" s="86">
        <f>'Raw Data'!AN86/10</f>
        <v>615.20000000000005</v>
      </c>
      <c r="AO85" s="86">
        <f>'Raw Data'!AO86/10</f>
        <v>595.70000000000005</v>
      </c>
      <c r="AP85" s="86">
        <f>'Raw Data'!AP86/10</f>
        <v>575.9</v>
      </c>
      <c r="AQ85" s="86">
        <f>'Raw Data'!AQ86/10</f>
        <v>563.6</v>
      </c>
      <c r="AR85" s="86">
        <f>'Raw Data'!AR86/10</f>
        <v>537.29999999999995</v>
      </c>
      <c r="AS85" s="86">
        <f>'Raw Data'!AS86/10</f>
        <v>513.29999999999995</v>
      </c>
      <c r="AT85" s="86">
        <f>'Raw Data'!AT86/10</f>
        <v>496.1</v>
      </c>
      <c r="AU85" s="86">
        <f>'Raw Data'!AU86/10</f>
        <v>478.5</v>
      </c>
      <c r="AV85" s="86">
        <f>'Raw Data'!AV86/10</f>
        <v>465.2</v>
      </c>
      <c r="AW85" s="86">
        <f>'Raw Data'!AW86/10</f>
        <v>462</v>
      </c>
      <c r="AX85" s="86">
        <f>'Raw Data'!AX86/10</f>
        <v>444.3</v>
      </c>
      <c r="AY85" s="86">
        <f>'Raw Data'!AY86/10</f>
        <v>423.4</v>
      </c>
      <c r="AZ85" s="86">
        <f>'Raw Data'!AZ86/10</f>
        <v>422.3</v>
      </c>
      <c r="BA85" s="86">
        <f>'Raw Data'!BA86/10</f>
        <v>397.2</v>
      </c>
      <c r="BB85" s="86">
        <f>'Raw Data'!BB86/10</f>
        <v>387.2</v>
      </c>
      <c r="BC85" s="86">
        <f>'Raw Data'!BC86/10</f>
        <v>376.4</v>
      </c>
      <c r="BD85" s="86">
        <f>'Raw Data'!BD86/10</f>
        <v>369.2</v>
      </c>
      <c r="BE85" s="86">
        <f>'Raw Data'!BE86/10</f>
        <v>349.6</v>
      </c>
      <c r="BF85" s="86">
        <f>'Raw Data'!BF86/10</f>
        <v>348.6</v>
      </c>
      <c r="BG85" s="86">
        <f>'Raw Data'!BG86/10</f>
        <v>341.3</v>
      </c>
      <c r="BH85" s="86">
        <f>'Raw Data'!BH86/10</f>
        <v>334.1</v>
      </c>
      <c r="BI85" s="86">
        <f>'Raw Data'!BI86/10</f>
        <v>319.10000000000002</v>
      </c>
      <c r="BJ85" s="86">
        <f>'Raw Data'!BJ86/10</f>
        <v>309.7</v>
      </c>
      <c r="BK85" s="86">
        <f>'Raw Data'!BK86/10</f>
        <v>305.2</v>
      </c>
      <c r="BL85" s="86">
        <f>'Raw Data'!BL86/10</f>
        <v>297.60000000000002</v>
      </c>
      <c r="BM85" s="86">
        <f>'Raw Data'!BM86/10</f>
        <v>289.10000000000002</v>
      </c>
      <c r="BN85" s="86">
        <f>'Raw Data'!BN86/10</f>
        <v>288.8</v>
      </c>
      <c r="BO85" s="86">
        <f>'Raw Data'!BO86/10</f>
        <v>280.89999999999998</v>
      </c>
      <c r="BP85" s="86">
        <f>'Raw Data'!BP86/10</f>
        <v>267.89999999999998</v>
      </c>
      <c r="BQ85" s="86">
        <f>'Raw Data'!BQ86/10</f>
        <v>268.3</v>
      </c>
      <c r="BR85" s="86">
        <f>'Raw Data'!BR86/10</f>
        <v>266.3</v>
      </c>
      <c r="BS85" s="86">
        <f>'Raw Data'!BS86/10</f>
        <v>258.89999999999998</v>
      </c>
      <c r="BT85" s="86">
        <f>'Raw Data'!BT86/10</f>
        <v>252.3</v>
      </c>
      <c r="BU85" s="86">
        <f>'Raw Data'!BU86/10</f>
        <v>246.8</v>
      </c>
      <c r="BV85" s="86">
        <f>'Raw Data'!BV86/10</f>
        <v>239.1</v>
      </c>
      <c r="BW85" s="86">
        <f>'Raw Data'!BW86/10</f>
        <v>238.5</v>
      </c>
      <c r="BX85" s="86">
        <f>'Raw Data'!BX86/10</f>
        <v>229.9</v>
      </c>
      <c r="BY85" s="86">
        <f>'Raw Data'!BY86/10</f>
        <v>227.5</v>
      </c>
      <c r="BZ85" s="86">
        <f>'Raw Data'!BZ86/10</f>
        <v>230.5</v>
      </c>
      <c r="CA85" s="86">
        <f>'Raw Data'!CA86/10</f>
        <v>218</v>
      </c>
      <c r="CB85" s="86">
        <f>'Raw Data'!CB86/10</f>
        <v>211.8</v>
      </c>
      <c r="CC85" s="86">
        <f>'Raw Data'!CC86/10</f>
        <v>210.6</v>
      </c>
      <c r="CD85" s="86">
        <f>'Raw Data'!CD86/10</f>
        <v>209.5</v>
      </c>
      <c r="CE85" s="86">
        <f>'Raw Data'!CE86/10</f>
        <v>200.1</v>
      </c>
      <c r="CF85" s="86">
        <f>'Raw Data'!CF86/10</f>
        <v>206.2</v>
      </c>
      <c r="CG85" s="86">
        <f>'Raw Data'!CG86/100</f>
        <v>185.33</v>
      </c>
      <c r="CH85" s="86">
        <f>'Raw Data'!CH86/100</f>
        <v>160.47999999999999</v>
      </c>
      <c r="CI85" s="86">
        <f>'Raw Data'!CI86/100</f>
        <v>143.49</v>
      </c>
      <c r="CJ85" s="86">
        <f>'Raw Data'!CJ86/100</f>
        <v>130.25</v>
      </c>
      <c r="CK85" s="86">
        <f>'Raw Data'!CK86/100</f>
        <v>116.27</v>
      </c>
      <c r="CL85" s="86">
        <f>'Raw Data'!CL86/100</f>
        <v>108.69</v>
      </c>
      <c r="CM85" s="86">
        <f>'Raw Data'!CM86/100</f>
        <v>101.88</v>
      </c>
      <c r="CN85" s="86">
        <f>'Raw Data'!CN86/100</f>
        <v>94.1</v>
      </c>
      <c r="CO85" s="86">
        <f>'Raw Data'!CO86/100</f>
        <v>90.73</v>
      </c>
      <c r="CP85" s="86">
        <f>'Raw Data'!CP86/100</f>
        <v>84.89</v>
      </c>
      <c r="CQ85" s="86">
        <f>'Raw Data'!CQ86/100</f>
        <v>79.28</v>
      </c>
      <c r="CR85" s="86">
        <f>'Raw Data'!CR86/100</f>
        <v>76.94</v>
      </c>
      <c r="CS85" s="86">
        <f>'Raw Data'!CS86/100</f>
        <v>74.37</v>
      </c>
      <c r="CT85" s="86">
        <f>'Raw Data'!CT86/100</f>
        <v>70.5</v>
      </c>
      <c r="CU85" s="382"/>
    </row>
    <row r="86" spans="4:99" s="86" customFormat="1" x14ac:dyDescent="0.2">
      <c r="D86" s="375"/>
      <c r="E86" s="164"/>
      <c r="F86" s="394"/>
      <c r="G86" s="86">
        <f>'Raw Data'!G87</f>
        <v>826</v>
      </c>
      <c r="H86" s="86">
        <f>'Raw Data'!H87</f>
        <v>808</v>
      </c>
      <c r="I86" s="86">
        <f>'Raw Data'!I87</f>
        <v>803</v>
      </c>
      <c r="J86" s="86">
        <f>'Raw Data'!J87</f>
        <v>796</v>
      </c>
      <c r="K86" s="86">
        <f>'Raw Data'!K87</f>
        <v>802</v>
      </c>
      <c r="L86" s="86">
        <f>'Raw Data'!L87</f>
        <v>778</v>
      </c>
      <c r="M86" s="86">
        <f>'Raw Data'!M87</f>
        <v>811</v>
      </c>
      <c r="N86" s="86">
        <f>'Raw Data'!N87</f>
        <v>840</v>
      </c>
      <c r="O86" s="86">
        <f>'Raw Data'!O87</f>
        <v>820</v>
      </c>
      <c r="P86" s="86">
        <f>'Raw Data'!P87</f>
        <v>802</v>
      </c>
      <c r="Q86" s="86">
        <f>'Raw Data'!Q87</f>
        <v>818</v>
      </c>
      <c r="R86" s="86">
        <f>'Raw Data'!R87</f>
        <v>827</v>
      </c>
      <c r="S86" s="86">
        <f>'Raw Data'!S87</f>
        <v>807</v>
      </c>
      <c r="T86" s="86">
        <f>'Raw Data'!T87</f>
        <v>793</v>
      </c>
      <c r="U86" s="86">
        <f>'Raw Data'!U87</f>
        <v>805</v>
      </c>
      <c r="V86" s="86">
        <f>'Raw Data'!V87</f>
        <v>816</v>
      </c>
      <c r="W86" s="86">
        <f>'Raw Data'!W87</f>
        <v>804</v>
      </c>
      <c r="X86" s="86">
        <f>'Raw Data'!X87</f>
        <v>781</v>
      </c>
      <c r="Y86" s="86">
        <f>'Raw Data'!Y87</f>
        <v>774</v>
      </c>
      <c r="Z86" s="86">
        <f>'Raw Data'!Z87</f>
        <v>791</v>
      </c>
      <c r="AA86" s="86">
        <f>'Raw Data'!AA87/10</f>
        <v>767.6</v>
      </c>
      <c r="AB86" s="86">
        <f>'Raw Data'!AB87/10</f>
        <v>733.2</v>
      </c>
      <c r="AC86" s="86">
        <f>'Raw Data'!AC87/10</f>
        <v>719.6</v>
      </c>
      <c r="AD86" s="86">
        <f>'Raw Data'!AD87/10</f>
        <v>681</v>
      </c>
      <c r="AE86" s="86">
        <f>'Raw Data'!AE87/10</f>
        <v>642.79999999999995</v>
      </c>
      <c r="AF86" s="86">
        <f>'Raw Data'!AF87/10</f>
        <v>613.29999999999995</v>
      </c>
      <c r="AG86" s="86">
        <f>'Raw Data'!AG87/10</f>
        <v>585.20000000000005</v>
      </c>
      <c r="AH86" s="86">
        <f>'Raw Data'!AH87/10</f>
        <v>556.20000000000005</v>
      </c>
      <c r="AI86" s="86">
        <f>'Raw Data'!AI87/10</f>
        <v>534.20000000000005</v>
      </c>
      <c r="AJ86" s="86">
        <f>'Raw Data'!AJ87/10</f>
        <v>520.4</v>
      </c>
      <c r="AK86" s="86">
        <f>'Raw Data'!AK87/10</f>
        <v>489.6</v>
      </c>
      <c r="AL86" s="86">
        <f>'Raw Data'!AL87/10</f>
        <v>469.6</v>
      </c>
      <c r="AM86" s="86">
        <f>'Raw Data'!AM87/10</f>
        <v>456.4</v>
      </c>
      <c r="AN86" s="86">
        <f>'Raw Data'!AN87/10</f>
        <v>429.2</v>
      </c>
      <c r="AO86" s="86">
        <f>'Raw Data'!AO87/10</f>
        <v>417.8</v>
      </c>
      <c r="AP86" s="86">
        <f>'Raw Data'!AP87/10</f>
        <v>396.6</v>
      </c>
      <c r="AQ86" s="86">
        <f>'Raw Data'!AQ87/10</f>
        <v>389.6</v>
      </c>
      <c r="AR86" s="86">
        <f>'Raw Data'!AR87/10</f>
        <v>371.6</v>
      </c>
      <c r="AS86" s="86">
        <f>'Raw Data'!AS87/10</f>
        <v>363.5</v>
      </c>
      <c r="AT86" s="86">
        <f>'Raw Data'!AT87/10</f>
        <v>358.3</v>
      </c>
      <c r="AU86" s="86">
        <f>'Raw Data'!AU87/10</f>
        <v>342.5</v>
      </c>
      <c r="AV86" s="86">
        <f>'Raw Data'!AV87/10</f>
        <v>319.8</v>
      </c>
      <c r="AW86" s="86">
        <f>'Raw Data'!AW87/10</f>
        <v>324.60000000000002</v>
      </c>
      <c r="AX86" s="86">
        <f>'Raw Data'!AX87/10</f>
        <v>303.89999999999998</v>
      </c>
      <c r="AY86" s="86">
        <f>'Raw Data'!AY87/10</f>
        <v>300.7</v>
      </c>
      <c r="AZ86" s="86">
        <f>'Raw Data'!AZ87/10</f>
        <v>291.3</v>
      </c>
      <c r="BA86" s="86">
        <f>'Raw Data'!BA87/10</f>
        <v>286.10000000000002</v>
      </c>
      <c r="BB86" s="86">
        <f>'Raw Data'!BB87/10</f>
        <v>271.39999999999998</v>
      </c>
      <c r="BC86" s="86">
        <f>'Raw Data'!BC87/10</f>
        <v>265.5</v>
      </c>
      <c r="BD86" s="86">
        <f>'Raw Data'!BD87/10</f>
        <v>254.3</v>
      </c>
      <c r="BE86" s="86">
        <f>'Raw Data'!BE87/10</f>
        <v>259.7</v>
      </c>
      <c r="BF86" s="86">
        <f>'Raw Data'!BF87/10</f>
        <v>252.3</v>
      </c>
      <c r="BG86" s="86">
        <f>'Raw Data'!BG87/10</f>
        <v>237.4</v>
      </c>
      <c r="BH86" s="86">
        <f>'Raw Data'!BH87/10</f>
        <v>236</v>
      </c>
      <c r="BI86" s="86">
        <f>'Raw Data'!BI87/10</f>
        <v>225.3</v>
      </c>
      <c r="BJ86" s="86">
        <f>'Raw Data'!BJ87/10</f>
        <v>230.1</v>
      </c>
      <c r="BK86" s="86">
        <f>'Raw Data'!BK87/10</f>
        <v>220.9</v>
      </c>
      <c r="BL86" s="86">
        <f>'Raw Data'!BL87/10</f>
        <v>212.5</v>
      </c>
      <c r="BM86" s="86">
        <f>'Raw Data'!BM87/10</f>
        <v>208.7</v>
      </c>
      <c r="BN86" s="86">
        <f>'Raw Data'!BN87/10</f>
        <v>206</v>
      </c>
      <c r="BO86" s="86">
        <f>'Raw Data'!BO87/10</f>
        <v>199.1</v>
      </c>
      <c r="BP86" s="86">
        <f>'Raw Data'!BP87/10</f>
        <v>195.7</v>
      </c>
      <c r="BQ86" s="86">
        <f>'Raw Data'!BQ87/10</f>
        <v>194.2</v>
      </c>
      <c r="BR86" s="86">
        <f>'Raw Data'!BR87/10</f>
        <v>189.5</v>
      </c>
      <c r="BS86" s="86">
        <f>'Raw Data'!BS87/10</f>
        <v>187.8</v>
      </c>
      <c r="BT86" s="86">
        <f>'Raw Data'!BT87/10</f>
        <v>186</v>
      </c>
      <c r="BU86" s="86">
        <f>'Raw Data'!BU87/10</f>
        <v>178.6</v>
      </c>
      <c r="BV86" s="86">
        <f>'Raw Data'!BV87/10</f>
        <v>172.4</v>
      </c>
      <c r="BW86" s="86">
        <f>'Raw Data'!BW87/10</f>
        <v>168.5</v>
      </c>
      <c r="BX86" s="86">
        <f>'Raw Data'!BX87/10</f>
        <v>167.2</v>
      </c>
      <c r="BY86" s="86">
        <f>'Raw Data'!BY87/10</f>
        <v>160.30000000000001</v>
      </c>
      <c r="BZ86" s="86">
        <f>'Raw Data'!BZ87/10</f>
        <v>165</v>
      </c>
      <c r="CA86" s="86">
        <f>'Raw Data'!CA87/10</f>
        <v>159.4</v>
      </c>
      <c r="CB86" s="86">
        <f>'Raw Data'!CB87/10</f>
        <v>155.5</v>
      </c>
      <c r="CC86" s="86">
        <f>'Raw Data'!CC87/10</f>
        <v>150.19999999999999</v>
      </c>
      <c r="CD86" s="86">
        <f>'Raw Data'!CD87/10</f>
        <v>146</v>
      </c>
      <c r="CE86" s="86">
        <f>'Raw Data'!CE87/10</f>
        <v>146.30000000000001</v>
      </c>
      <c r="CF86" s="86">
        <f>'Raw Data'!CF87/10</f>
        <v>145.80000000000001</v>
      </c>
      <c r="CG86" s="86">
        <f>'Raw Data'!CG87/100</f>
        <v>135.30000000000001</v>
      </c>
      <c r="CH86" s="86">
        <f>'Raw Data'!CH87/100</f>
        <v>116.77</v>
      </c>
      <c r="CI86" s="86">
        <f>'Raw Data'!CI87/100</f>
        <v>105.98</v>
      </c>
      <c r="CJ86" s="86">
        <f>'Raw Data'!CJ87/100</f>
        <v>95.17</v>
      </c>
      <c r="CK86" s="86">
        <f>'Raw Data'!CK87/100</f>
        <v>87.68</v>
      </c>
      <c r="CL86" s="86">
        <f>'Raw Data'!CL87/100</f>
        <v>81.099999999999994</v>
      </c>
      <c r="CM86" s="86">
        <f>'Raw Data'!CM87/100</f>
        <v>75.680000000000007</v>
      </c>
      <c r="CN86" s="86">
        <f>'Raw Data'!CN87/100</f>
        <v>71.28</v>
      </c>
      <c r="CO86" s="86">
        <f>'Raw Data'!CO87/100</f>
        <v>67.09</v>
      </c>
      <c r="CP86" s="86">
        <f>'Raw Data'!CP87/100</f>
        <v>64.28</v>
      </c>
      <c r="CQ86" s="86">
        <f>'Raw Data'!CQ87/100</f>
        <v>60.75</v>
      </c>
      <c r="CR86" s="86">
        <f>'Raw Data'!CR87/100</f>
        <v>58.46</v>
      </c>
      <c r="CS86" s="86">
        <f>'Raw Data'!CS87/100</f>
        <v>56.12</v>
      </c>
      <c r="CT86" s="86">
        <f>'Raw Data'!CT87/100</f>
        <v>54.24</v>
      </c>
      <c r="CU86" s="382"/>
    </row>
    <row r="87" spans="4:99" s="86" customFormat="1" x14ac:dyDescent="0.2">
      <c r="D87" s="379"/>
      <c r="E87" s="381"/>
      <c r="F87" s="395"/>
      <c r="G87" s="87">
        <f>'Raw Data'!G88</f>
        <v>1198</v>
      </c>
      <c r="H87" s="87">
        <f>'Raw Data'!H88</f>
        <v>1197</v>
      </c>
      <c r="I87" s="87">
        <f>'Raw Data'!I88</f>
        <v>1183</v>
      </c>
      <c r="J87" s="87">
        <f>'Raw Data'!J88</f>
        <v>1208</v>
      </c>
      <c r="K87" s="87">
        <f>'Raw Data'!K88</f>
        <v>1134</v>
      </c>
      <c r="L87" s="87">
        <f>'Raw Data'!L88</f>
        <v>1196</v>
      </c>
      <c r="M87" s="87">
        <f>'Raw Data'!M88</f>
        <v>1223</v>
      </c>
      <c r="N87" s="87">
        <f>'Raw Data'!N88</f>
        <v>1198</v>
      </c>
      <c r="O87" s="87">
        <f>'Raw Data'!O88</f>
        <v>1171</v>
      </c>
      <c r="P87" s="87">
        <f>'Raw Data'!P88</f>
        <v>1166</v>
      </c>
      <c r="Q87" s="87">
        <f>'Raw Data'!Q88</f>
        <v>1180</v>
      </c>
      <c r="R87" s="87">
        <f>'Raw Data'!R88</f>
        <v>1164</v>
      </c>
      <c r="S87" s="87">
        <f>'Raw Data'!S88</f>
        <v>1135</v>
      </c>
      <c r="T87" s="87">
        <f>'Raw Data'!T88</f>
        <v>1144</v>
      </c>
      <c r="U87" s="87">
        <f>'Raw Data'!U88</f>
        <v>1122</v>
      </c>
      <c r="V87" s="87">
        <f>'Raw Data'!V88</f>
        <v>1151</v>
      </c>
      <c r="W87" s="87">
        <f>'Raw Data'!W88</f>
        <v>1131</v>
      </c>
      <c r="X87" s="87">
        <f>'Raw Data'!X88</f>
        <v>1107</v>
      </c>
      <c r="Y87" s="87">
        <f>'Raw Data'!Y88</f>
        <v>1095</v>
      </c>
      <c r="Z87" s="87">
        <f>'Raw Data'!Z88</f>
        <v>1122</v>
      </c>
      <c r="AA87" s="87">
        <f>'Raw Data'!AA88/10</f>
        <v>1104.4000000000001</v>
      </c>
      <c r="AB87" s="87">
        <f>'Raw Data'!AB88/10</f>
        <v>1073.9000000000001</v>
      </c>
      <c r="AC87" s="87">
        <f>'Raw Data'!AC88/10</f>
        <v>1019.7</v>
      </c>
      <c r="AD87" s="87">
        <f>'Raw Data'!AD88/10</f>
        <v>989.5</v>
      </c>
      <c r="AE87" s="87">
        <f>'Raw Data'!AE88/10</f>
        <v>932.6</v>
      </c>
      <c r="AF87" s="87">
        <f>'Raw Data'!AF88/10</f>
        <v>877.7</v>
      </c>
      <c r="AG87" s="87">
        <f>'Raw Data'!AG88/10</f>
        <v>853</v>
      </c>
      <c r="AH87" s="87">
        <f>'Raw Data'!AH88/10</f>
        <v>803.2</v>
      </c>
      <c r="AI87" s="87">
        <f>'Raw Data'!AI88/10</f>
        <v>777</v>
      </c>
      <c r="AJ87" s="87">
        <f>'Raw Data'!AJ88/10</f>
        <v>745</v>
      </c>
      <c r="AK87" s="87">
        <f>'Raw Data'!AK88/10</f>
        <v>715.5</v>
      </c>
      <c r="AL87" s="87">
        <f>'Raw Data'!AL88/10</f>
        <v>673.3</v>
      </c>
      <c r="AM87" s="87">
        <f>'Raw Data'!AM88/10</f>
        <v>669.1</v>
      </c>
      <c r="AN87" s="87">
        <f>'Raw Data'!AN88/10</f>
        <v>630</v>
      </c>
      <c r="AO87" s="87">
        <f>'Raw Data'!AO88/10</f>
        <v>598.9</v>
      </c>
      <c r="AP87" s="87">
        <f>'Raw Data'!AP88/10</f>
        <v>588.29999999999995</v>
      </c>
      <c r="AQ87" s="87">
        <f>'Raw Data'!AQ88/10</f>
        <v>563.9</v>
      </c>
      <c r="AR87" s="87">
        <f>'Raw Data'!AR88/10</f>
        <v>552.9</v>
      </c>
      <c r="AS87" s="87">
        <f>'Raw Data'!AS88/10</f>
        <v>502.1</v>
      </c>
      <c r="AT87" s="87">
        <f>'Raw Data'!AT88/10</f>
        <v>509.8</v>
      </c>
      <c r="AU87" s="87">
        <f>'Raw Data'!AU88/10</f>
        <v>497.5</v>
      </c>
      <c r="AV87" s="87">
        <f>'Raw Data'!AV88/10</f>
        <v>475.3</v>
      </c>
      <c r="AW87" s="87">
        <f>'Raw Data'!AW88/10</f>
        <v>463.4</v>
      </c>
      <c r="AX87" s="87">
        <f>'Raw Data'!AX88/10</f>
        <v>449</v>
      </c>
      <c r="AY87" s="87">
        <f>'Raw Data'!AY88/10</f>
        <v>433.2</v>
      </c>
      <c r="AZ87" s="87">
        <f>'Raw Data'!AZ88/10</f>
        <v>425.1</v>
      </c>
      <c r="BA87" s="87">
        <f>'Raw Data'!BA88/10</f>
        <v>410.8</v>
      </c>
      <c r="BB87" s="87">
        <f>'Raw Data'!BB88/10</f>
        <v>403.9</v>
      </c>
      <c r="BC87" s="87">
        <f>'Raw Data'!BC88/10</f>
        <v>386.7</v>
      </c>
      <c r="BD87" s="87">
        <f>'Raw Data'!BD88/10</f>
        <v>375.1</v>
      </c>
      <c r="BE87" s="87">
        <f>'Raw Data'!BE88/10</f>
        <v>360.4</v>
      </c>
      <c r="BF87" s="87">
        <f>'Raw Data'!BF88/10</f>
        <v>363</v>
      </c>
      <c r="BG87" s="87">
        <f>'Raw Data'!BG88/10</f>
        <v>344.6</v>
      </c>
      <c r="BH87" s="87">
        <f>'Raw Data'!BH88/10</f>
        <v>345.9</v>
      </c>
      <c r="BI87" s="87">
        <f>'Raw Data'!BI88/10</f>
        <v>328.8</v>
      </c>
      <c r="BJ87" s="87">
        <f>'Raw Data'!BJ88/10</f>
        <v>325.8</v>
      </c>
      <c r="BK87" s="87">
        <f>'Raw Data'!BK88/10</f>
        <v>317</v>
      </c>
      <c r="BL87" s="87">
        <f>'Raw Data'!BL88/10</f>
        <v>314</v>
      </c>
      <c r="BM87" s="87">
        <f>'Raw Data'!BM88/10</f>
        <v>306.89999999999998</v>
      </c>
      <c r="BN87" s="87">
        <f>'Raw Data'!BN88/10</f>
        <v>301.8</v>
      </c>
      <c r="BO87" s="87">
        <f>'Raw Data'!BO88/10</f>
        <v>295.5</v>
      </c>
      <c r="BP87" s="87">
        <f>'Raw Data'!BP88/10</f>
        <v>279.60000000000002</v>
      </c>
      <c r="BQ87" s="87">
        <f>'Raw Data'!BQ88/10</f>
        <v>283.10000000000002</v>
      </c>
      <c r="BR87" s="87">
        <f>'Raw Data'!BR88/10</f>
        <v>267.8</v>
      </c>
      <c r="BS87" s="87">
        <f>'Raw Data'!BS88/10</f>
        <v>268.39999999999998</v>
      </c>
      <c r="BT87" s="87">
        <f>'Raw Data'!BT88/10</f>
        <v>261.89999999999998</v>
      </c>
      <c r="BU87" s="87">
        <f>'Raw Data'!BU88/10</f>
        <v>255.4</v>
      </c>
      <c r="BV87" s="87">
        <f>'Raw Data'!BV88/10</f>
        <v>258.8</v>
      </c>
      <c r="BW87" s="87">
        <f>'Raw Data'!BW88/10</f>
        <v>244.9</v>
      </c>
      <c r="BX87" s="87">
        <f>'Raw Data'!BX88/10</f>
        <v>239.4</v>
      </c>
      <c r="BY87" s="87">
        <f>'Raw Data'!BY88/10</f>
        <v>242.9</v>
      </c>
      <c r="BZ87" s="87">
        <f>'Raw Data'!BZ88/10</f>
        <v>236.3</v>
      </c>
      <c r="CA87" s="87">
        <f>'Raw Data'!CA88/10</f>
        <v>229.8</v>
      </c>
      <c r="CB87" s="87">
        <f>'Raw Data'!CB88/10</f>
        <v>231.8</v>
      </c>
      <c r="CC87" s="87">
        <f>'Raw Data'!CC88/10</f>
        <v>222.5</v>
      </c>
      <c r="CD87" s="87">
        <f>'Raw Data'!CD88/10</f>
        <v>225.9</v>
      </c>
      <c r="CE87" s="87">
        <f>'Raw Data'!CE88/10</f>
        <v>210.9</v>
      </c>
      <c r="CF87" s="87">
        <f>'Raw Data'!CF88/10</f>
        <v>215.8</v>
      </c>
      <c r="CG87" s="87">
        <f>'Raw Data'!CG88/100</f>
        <v>197.61</v>
      </c>
      <c r="CH87" s="87">
        <f>'Raw Data'!CH88/100</f>
        <v>172.35</v>
      </c>
      <c r="CI87" s="87">
        <f>'Raw Data'!CI88/100</f>
        <v>154.11000000000001</v>
      </c>
      <c r="CJ87" s="87">
        <f>'Raw Data'!CJ88/100</f>
        <v>137.66</v>
      </c>
      <c r="CK87" s="87">
        <f>'Raw Data'!CK88/100</f>
        <v>126.81</v>
      </c>
      <c r="CL87" s="87">
        <f>'Raw Data'!CL88/100</f>
        <v>117.91</v>
      </c>
      <c r="CM87" s="87">
        <f>'Raw Data'!CM88/100</f>
        <v>109.51</v>
      </c>
      <c r="CN87" s="87">
        <f>'Raw Data'!CN88/100</f>
        <v>101.2</v>
      </c>
      <c r="CO87" s="87">
        <f>'Raw Data'!CO88/100</f>
        <v>95.95</v>
      </c>
      <c r="CP87" s="87">
        <f>'Raw Data'!CP88/100</f>
        <v>91.96</v>
      </c>
      <c r="CQ87" s="87">
        <f>'Raw Data'!CQ88/100</f>
        <v>87.03</v>
      </c>
      <c r="CR87" s="87">
        <f>'Raw Data'!CR88/100</f>
        <v>83.27</v>
      </c>
      <c r="CS87" s="87">
        <f>'Raw Data'!CS88/100</f>
        <v>79.36</v>
      </c>
      <c r="CT87" s="87">
        <f>'Raw Data'!CT88/100</f>
        <v>77.540000000000006</v>
      </c>
      <c r="CU87" s="382"/>
    </row>
    <row r="88" spans="4:99" s="86" customFormat="1" x14ac:dyDescent="0.2">
      <c r="D88" s="376"/>
      <c r="E88" s="164"/>
      <c r="F88" s="394"/>
      <c r="G88" s="83">
        <f>'Raw Data'!G89</f>
        <v>1303</v>
      </c>
      <c r="H88" s="83">
        <f>'Raw Data'!H89</f>
        <v>1331</v>
      </c>
      <c r="I88" s="83">
        <f>'Raw Data'!I89</f>
        <v>1325</v>
      </c>
      <c r="J88" s="83">
        <f>'Raw Data'!J89</f>
        <v>1316</v>
      </c>
      <c r="K88" s="83">
        <f>'Raw Data'!K89</f>
        <v>1291</v>
      </c>
      <c r="L88" s="83">
        <f>'Raw Data'!L89</f>
        <v>1329</v>
      </c>
      <c r="M88" s="83">
        <f>'Raw Data'!M89</f>
        <v>1276</v>
      </c>
      <c r="N88" s="83">
        <f>'Raw Data'!N89</f>
        <v>1315</v>
      </c>
      <c r="O88" s="83">
        <f>'Raw Data'!O89</f>
        <v>1259</v>
      </c>
      <c r="P88" s="83">
        <f>'Raw Data'!P89</f>
        <v>1295</v>
      </c>
      <c r="Q88" s="83">
        <f>'Raw Data'!Q89</f>
        <v>1255</v>
      </c>
      <c r="R88" s="83">
        <f>'Raw Data'!R89</f>
        <v>1212</v>
      </c>
      <c r="S88" s="83">
        <f>'Raw Data'!S89</f>
        <v>1222</v>
      </c>
      <c r="T88" s="83">
        <f>'Raw Data'!T89</f>
        <v>1239</v>
      </c>
      <c r="U88" s="83">
        <f>'Raw Data'!U89</f>
        <v>1217</v>
      </c>
      <c r="V88" s="83">
        <f>'Raw Data'!V89</f>
        <v>1217</v>
      </c>
      <c r="W88" s="83">
        <f>'Raw Data'!W89</f>
        <v>1232</v>
      </c>
      <c r="X88" s="83">
        <f>'Raw Data'!X89</f>
        <v>1195</v>
      </c>
      <c r="Y88" s="83">
        <f>'Raw Data'!Y89</f>
        <v>1205</v>
      </c>
      <c r="Z88" s="83">
        <f>'Raw Data'!Z89</f>
        <v>1177</v>
      </c>
      <c r="AA88" s="83">
        <f>'Raw Data'!AA89/10</f>
        <v>1178</v>
      </c>
      <c r="AB88" s="83">
        <f>'Raw Data'!AB89/10</f>
        <v>1117.2</v>
      </c>
      <c r="AC88" s="83">
        <f>'Raw Data'!AC89/10</f>
        <v>1047.2</v>
      </c>
      <c r="AD88" s="83">
        <f>'Raw Data'!AD89/10</f>
        <v>969.8</v>
      </c>
      <c r="AE88" s="83">
        <f>'Raw Data'!AE89/10</f>
        <v>916.5</v>
      </c>
      <c r="AF88" s="83">
        <f>'Raw Data'!AF89/10</f>
        <v>861</v>
      </c>
      <c r="AG88" s="83">
        <f>'Raw Data'!AG89/10</f>
        <v>820.5</v>
      </c>
      <c r="AH88" s="83">
        <f>'Raw Data'!AH89/10</f>
        <v>785.6</v>
      </c>
      <c r="AI88" s="83">
        <f>'Raw Data'!AI89/10</f>
        <v>727.6</v>
      </c>
      <c r="AJ88" s="83">
        <f>'Raw Data'!AJ89/10</f>
        <v>699.1</v>
      </c>
      <c r="AK88" s="83">
        <f>'Raw Data'!AK89/10</f>
        <v>661</v>
      </c>
      <c r="AL88" s="83">
        <f>'Raw Data'!AL89/10</f>
        <v>619.70000000000005</v>
      </c>
      <c r="AM88" s="83">
        <f>'Raw Data'!AM89/10</f>
        <v>600.5</v>
      </c>
      <c r="AN88" s="83">
        <f>'Raw Data'!AN89/10</f>
        <v>573.5</v>
      </c>
      <c r="AO88" s="83">
        <f>'Raw Data'!AO89/10</f>
        <v>550.1</v>
      </c>
      <c r="AP88" s="83">
        <f>'Raw Data'!AP89/10</f>
        <v>524.4</v>
      </c>
      <c r="AQ88" s="83">
        <f>'Raw Data'!AQ89/10</f>
        <v>510.8</v>
      </c>
      <c r="AR88" s="83">
        <f>'Raw Data'!AR89/10</f>
        <v>479.5</v>
      </c>
      <c r="AS88" s="83">
        <f>'Raw Data'!AS89/10</f>
        <v>470</v>
      </c>
      <c r="AT88" s="83">
        <f>'Raw Data'!AT89/10</f>
        <v>444.5</v>
      </c>
      <c r="AU88" s="83">
        <f>'Raw Data'!AU89/10</f>
        <v>434.7</v>
      </c>
      <c r="AV88" s="83">
        <f>'Raw Data'!AV89/10</f>
        <v>421.8</v>
      </c>
      <c r="AW88" s="83">
        <f>'Raw Data'!AW89/10</f>
        <v>401.3</v>
      </c>
      <c r="AX88" s="83">
        <f>'Raw Data'!AX89/10</f>
        <v>396</v>
      </c>
      <c r="AY88" s="83">
        <f>'Raw Data'!AY89/10</f>
        <v>387.6</v>
      </c>
      <c r="AZ88" s="83">
        <f>'Raw Data'!AZ89/10</f>
        <v>364.6</v>
      </c>
      <c r="BA88" s="83">
        <f>'Raw Data'!BA89/10</f>
        <v>359.8</v>
      </c>
      <c r="BB88" s="83">
        <f>'Raw Data'!BB89/10</f>
        <v>350.9</v>
      </c>
      <c r="BC88" s="83">
        <f>'Raw Data'!BC89/10</f>
        <v>337.4</v>
      </c>
      <c r="BD88" s="83">
        <f>'Raw Data'!BD89/10</f>
        <v>328.1</v>
      </c>
      <c r="BE88" s="83">
        <f>'Raw Data'!BE89/10</f>
        <v>313.8</v>
      </c>
      <c r="BF88" s="83">
        <f>'Raw Data'!BF89/10</f>
        <v>311.8</v>
      </c>
      <c r="BG88" s="83">
        <f>'Raw Data'!BG89/10</f>
        <v>308.3</v>
      </c>
      <c r="BH88" s="83">
        <f>'Raw Data'!BH89/10</f>
        <v>296.7</v>
      </c>
      <c r="BI88" s="83">
        <f>'Raw Data'!BI89/10</f>
        <v>283.89999999999998</v>
      </c>
      <c r="BJ88" s="83">
        <f>'Raw Data'!BJ89/10</f>
        <v>290.39999999999998</v>
      </c>
      <c r="BK88" s="83">
        <f>'Raw Data'!BK89/10</f>
        <v>280.5</v>
      </c>
      <c r="BL88" s="83">
        <f>'Raw Data'!BL89/10</f>
        <v>268.7</v>
      </c>
      <c r="BM88" s="83">
        <f>'Raw Data'!BM89/10</f>
        <v>265.3</v>
      </c>
      <c r="BN88" s="83">
        <f>'Raw Data'!BN89/10</f>
        <v>261.60000000000002</v>
      </c>
      <c r="BO88" s="83">
        <f>'Raw Data'!BO89/10</f>
        <v>256.10000000000002</v>
      </c>
      <c r="BP88" s="83">
        <f>'Raw Data'!BP89/10</f>
        <v>251</v>
      </c>
      <c r="BQ88" s="83">
        <f>'Raw Data'!BQ89/10</f>
        <v>242.7</v>
      </c>
      <c r="BR88" s="83">
        <f>'Raw Data'!BR89/10</f>
        <v>242.7</v>
      </c>
      <c r="BS88" s="83">
        <f>'Raw Data'!BS89/10</f>
        <v>234.5</v>
      </c>
      <c r="BT88" s="83">
        <f>'Raw Data'!BT89/10</f>
        <v>234.3</v>
      </c>
      <c r="BU88" s="83">
        <f>'Raw Data'!BU89/10</f>
        <v>227.8</v>
      </c>
      <c r="BV88" s="83">
        <f>'Raw Data'!BV89/10</f>
        <v>218.4</v>
      </c>
      <c r="BW88" s="83">
        <f>'Raw Data'!BW89/10</f>
        <v>216.5</v>
      </c>
      <c r="BX88" s="83">
        <f>'Raw Data'!BX89/10</f>
        <v>220.7</v>
      </c>
      <c r="BY88" s="83">
        <f>'Raw Data'!BY89/10</f>
        <v>211.6</v>
      </c>
      <c r="BZ88" s="83">
        <f>'Raw Data'!BZ89/10</f>
        <v>208.5</v>
      </c>
      <c r="CA88" s="83">
        <f>'Raw Data'!CA89/10</f>
        <v>202</v>
      </c>
      <c r="CB88" s="83">
        <f>'Raw Data'!CB89/10</f>
        <v>203.9</v>
      </c>
      <c r="CC88" s="83">
        <f>'Raw Data'!CC89/10</f>
        <v>199.2</v>
      </c>
      <c r="CD88" s="83">
        <f>'Raw Data'!CD89/10</f>
        <v>196.5</v>
      </c>
      <c r="CE88" s="83">
        <f>'Raw Data'!CE89/10</f>
        <v>200.1</v>
      </c>
      <c r="CF88" s="83">
        <f>'Raw Data'!CF89/10</f>
        <v>185.9</v>
      </c>
      <c r="CG88" s="83">
        <f>'Raw Data'!CG89/100</f>
        <v>178.04</v>
      </c>
      <c r="CH88" s="83">
        <f>'Raw Data'!CH89/100</f>
        <v>159.47</v>
      </c>
      <c r="CI88" s="83">
        <f>'Raw Data'!CI89/100</f>
        <v>144.66999999999999</v>
      </c>
      <c r="CJ88" s="83">
        <f>'Raw Data'!CJ89/100</f>
        <v>132.97</v>
      </c>
      <c r="CK88" s="83">
        <f>'Raw Data'!CK89/100</f>
        <v>124.57</v>
      </c>
      <c r="CL88" s="83">
        <f>'Raw Data'!CL89/100</f>
        <v>117.37</v>
      </c>
      <c r="CM88" s="83">
        <f>'Raw Data'!CM89/100</f>
        <v>109.13</v>
      </c>
      <c r="CN88" s="83">
        <f>'Raw Data'!CN89/100</f>
        <v>104.89</v>
      </c>
      <c r="CO88" s="83">
        <f>'Raw Data'!CO89/100</f>
        <v>100.59</v>
      </c>
      <c r="CP88" s="83">
        <f>'Raw Data'!CP89/100</f>
        <v>96.83</v>
      </c>
      <c r="CQ88" s="83">
        <f>'Raw Data'!CQ89/100</f>
        <v>91.75</v>
      </c>
      <c r="CR88" s="83">
        <f>'Raw Data'!CR89/100</f>
        <v>91.1</v>
      </c>
      <c r="CS88" s="83">
        <f>'Raw Data'!CS89/100</f>
        <v>87.28</v>
      </c>
      <c r="CT88" s="83">
        <f>'Raw Data'!CT89/100</f>
        <v>85.84</v>
      </c>
      <c r="CU88" s="382"/>
    </row>
    <row r="89" spans="4:99" s="86" customFormat="1" x14ac:dyDescent="0.2">
      <c r="D89" s="376"/>
      <c r="E89" s="164"/>
      <c r="F89" s="394"/>
      <c r="G89" s="83">
        <f>'Raw Data'!G90</f>
        <v>982</v>
      </c>
      <c r="H89" s="83">
        <f>'Raw Data'!H90</f>
        <v>1019</v>
      </c>
      <c r="I89" s="83">
        <f>'Raw Data'!I90</f>
        <v>1050</v>
      </c>
      <c r="J89" s="83">
        <f>'Raw Data'!J90</f>
        <v>979</v>
      </c>
      <c r="K89" s="83">
        <f>'Raw Data'!K90</f>
        <v>1021</v>
      </c>
      <c r="L89" s="83">
        <f>'Raw Data'!L90</f>
        <v>1011</v>
      </c>
      <c r="M89" s="83">
        <f>'Raw Data'!M90</f>
        <v>1018</v>
      </c>
      <c r="N89" s="83">
        <f>'Raw Data'!N90</f>
        <v>997</v>
      </c>
      <c r="O89" s="83">
        <f>'Raw Data'!O90</f>
        <v>1022</v>
      </c>
      <c r="P89" s="83">
        <f>'Raw Data'!P90</f>
        <v>1005</v>
      </c>
      <c r="Q89" s="83">
        <f>'Raw Data'!Q90</f>
        <v>986</v>
      </c>
      <c r="R89" s="83">
        <f>'Raw Data'!R90</f>
        <v>949</v>
      </c>
      <c r="S89" s="83">
        <f>'Raw Data'!S90</f>
        <v>1019</v>
      </c>
      <c r="T89" s="83">
        <f>'Raw Data'!T90</f>
        <v>962</v>
      </c>
      <c r="U89" s="83">
        <f>'Raw Data'!U90</f>
        <v>972</v>
      </c>
      <c r="V89" s="83">
        <f>'Raw Data'!V90</f>
        <v>963</v>
      </c>
      <c r="W89" s="83">
        <f>'Raw Data'!W90</f>
        <v>941</v>
      </c>
      <c r="X89" s="83">
        <f>'Raw Data'!X90</f>
        <v>968</v>
      </c>
      <c r="Y89" s="83">
        <f>'Raw Data'!Y90</f>
        <v>925</v>
      </c>
      <c r="Z89" s="83">
        <f>'Raw Data'!Z90</f>
        <v>977</v>
      </c>
      <c r="AA89" s="83">
        <f>'Raw Data'!AA90/10</f>
        <v>908.5</v>
      </c>
      <c r="AB89" s="83">
        <f>'Raw Data'!AB90/10</f>
        <v>875.8</v>
      </c>
      <c r="AC89" s="83">
        <f>'Raw Data'!AC90/10</f>
        <v>817.1</v>
      </c>
      <c r="AD89" s="83">
        <f>'Raw Data'!AD90/10</f>
        <v>780.6</v>
      </c>
      <c r="AE89" s="83">
        <f>'Raw Data'!AE90/10</f>
        <v>737.3</v>
      </c>
      <c r="AF89" s="83">
        <f>'Raw Data'!AF90/10</f>
        <v>690</v>
      </c>
      <c r="AG89" s="83">
        <f>'Raw Data'!AG90/10</f>
        <v>651.6</v>
      </c>
      <c r="AH89" s="83">
        <f>'Raw Data'!AH90/10</f>
        <v>633.70000000000005</v>
      </c>
      <c r="AI89" s="83">
        <f>'Raw Data'!AI90/10</f>
        <v>594.79999999999995</v>
      </c>
      <c r="AJ89" s="83">
        <f>'Raw Data'!AJ90/10</f>
        <v>568.5</v>
      </c>
      <c r="AK89" s="83">
        <f>'Raw Data'!AK90/10</f>
        <v>532.6</v>
      </c>
      <c r="AL89" s="83">
        <f>'Raw Data'!AL90/10</f>
        <v>511.2</v>
      </c>
      <c r="AM89" s="83">
        <f>'Raw Data'!AM90/10</f>
        <v>482.8</v>
      </c>
      <c r="AN89" s="83">
        <f>'Raw Data'!AN90/10</f>
        <v>476.6</v>
      </c>
      <c r="AO89" s="83">
        <f>'Raw Data'!AO90/10</f>
        <v>450.2</v>
      </c>
      <c r="AP89" s="83">
        <f>'Raw Data'!AP90/10</f>
        <v>432.3</v>
      </c>
      <c r="AQ89" s="83">
        <f>'Raw Data'!AQ90/10</f>
        <v>423.2</v>
      </c>
      <c r="AR89" s="83">
        <f>'Raw Data'!AR90/10</f>
        <v>398.7</v>
      </c>
      <c r="AS89" s="83">
        <f>'Raw Data'!AS90/10</f>
        <v>388.5</v>
      </c>
      <c r="AT89" s="83">
        <f>'Raw Data'!AT90/10</f>
        <v>375.2</v>
      </c>
      <c r="AU89" s="83">
        <f>'Raw Data'!AU90/10</f>
        <v>362.4</v>
      </c>
      <c r="AV89" s="83">
        <f>'Raw Data'!AV90/10</f>
        <v>351.8</v>
      </c>
      <c r="AW89" s="83">
        <f>'Raw Data'!AW90/10</f>
        <v>341.7</v>
      </c>
      <c r="AX89" s="83">
        <f>'Raw Data'!AX90/10</f>
        <v>325.5</v>
      </c>
      <c r="AY89" s="83">
        <f>'Raw Data'!AY90/10</f>
        <v>316.3</v>
      </c>
      <c r="AZ89" s="83">
        <f>'Raw Data'!AZ90/10</f>
        <v>303.5</v>
      </c>
      <c r="BA89" s="83">
        <f>'Raw Data'!BA90/10</f>
        <v>300.5</v>
      </c>
      <c r="BB89" s="83">
        <f>'Raw Data'!BB90/10</f>
        <v>289.10000000000002</v>
      </c>
      <c r="BC89" s="83">
        <f>'Raw Data'!BC90/10</f>
        <v>287.8</v>
      </c>
      <c r="BD89" s="83">
        <f>'Raw Data'!BD90/10</f>
        <v>284.8</v>
      </c>
      <c r="BE89" s="83">
        <f>'Raw Data'!BE90/10</f>
        <v>279</v>
      </c>
      <c r="BF89" s="83">
        <f>'Raw Data'!BF90/10</f>
        <v>264.89999999999998</v>
      </c>
      <c r="BG89" s="83">
        <f>'Raw Data'!BG90/10</f>
        <v>264.89999999999998</v>
      </c>
      <c r="BH89" s="83">
        <f>'Raw Data'!BH90/10</f>
        <v>249.9</v>
      </c>
      <c r="BI89" s="83">
        <f>'Raw Data'!BI90/10</f>
        <v>252</v>
      </c>
      <c r="BJ89" s="83">
        <f>'Raw Data'!BJ90/10</f>
        <v>243</v>
      </c>
      <c r="BK89" s="83">
        <f>'Raw Data'!BK90/10</f>
        <v>229.4</v>
      </c>
      <c r="BL89" s="83">
        <f>'Raw Data'!BL90/10</f>
        <v>228.2</v>
      </c>
      <c r="BM89" s="83">
        <f>'Raw Data'!BM90/10</f>
        <v>231.8</v>
      </c>
      <c r="BN89" s="83">
        <f>'Raw Data'!BN90/10</f>
        <v>230.9</v>
      </c>
      <c r="BO89" s="83">
        <f>'Raw Data'!BO90/10</f>
        <v>216.1</v>
      </c>
      <c r="BP89" s="83">
        <f>'Raw Data'!BP90/10</f>
        <v>220.2</v>
      </c>
      <c r="BQ89" s="83">
        <f>'Raw Data'!BQ90/10</f>
        <v>207</v>
      </c>
      <c r="BR89" s="83">
        <f>'Raw Data'!BR90/10</f>
        <v>213.3</v>
      </c>
      <c r="BS89" s="83">
        <f>'Raw Data'!BS90/10</f>
        <v>206.5</v>
      </c>
      <c r="BT89" s="83">
        <f>'Raw Data'!BT90/10</f>
        <v>197.1</v>
      </c>
      <c r="BU89" s="83">
        <f>'Raw Data'!BU90/10</f>
        <v>199.5</v>
      </c>
      <c r="BV89" s="83">
        <f>'Raw Data'!BV90/10</f>
        <v>193.3</v>
      </c>
      <c r="BW89" s="83">
        <f>'Raw Data'!BW90/10</f>
        <v>193.7</v>
      </c>
      <c r="BX89" s="83">
        <f>'Raw Data'!BX90/10</f>
        <v>187.7</v>
      </c>
      <c r="BY89" s="83">
        <f>'Raw Data'!BY90/10</f>
        <v>185.6</v>
      </c>
      <c r="BZ89" s="83">
        <f>'Raw Data'!BZ90/10</f>
        <v>183.2</v>
      </c>
      <c r="CA89" s="83">
        <f>'Raw Data'!CA90/10</f>
        <v>177.8</v>
      </c>
      <c r="CB89" s="83">
        <f>'Raw Data'!CB90/10</f>
        <v>174.2</v>
      </c>
      <c r="CC89" s="83">
        <f>'Raw Data'!CC90/10</f>
        <v>177.3</v>
      </c>
      <c r="CD89" s="83">
        <f>'Raw Data'!CD90/10</f>
        <v>175.9</v>
      </c>
      <c r="CE89" s="83">
        <f>'Raw Data'!CE90/10</f>
        <v>172.1</v>
      </c>
      <c r="CF89" s="83">
        <f>'Raw Data'!CF90/10</f>
        <v>175.6</v>
      </c>
      <c r="CG89" s="83">
        <f>'Raw Data'!CG90/100</f>
        <v>158.66999999999999</v>
      </c>
      <c r="CH89" s="83">
        <f>'Raw Data'!CH90/100</f>
        <v>143.87</v>
      </c>
      <c r="CI89" s="83">
        <f>'Raw Data'!CI90/100</f>
        <v>130.51</v>
      </c>
      <c r="CJ89" s="83">
        <f>'Raw Data'!CJ90/100</f>
        <v>121.51</v>
      </c>
      <c r="CK89" s="83">
        <f>'Raw Data'!CK90/100</f>
        <v>115.06</v>
      </c>
      <c r="CL89" s="83">
        <f>'Raw Data'!CL90/100</f>
        <v>107.23</v>
      </c>
      <c r="CM89" s="83">
        <f>'Raw Data'!CM90/100</f>
        <v>102.24</v>
      </c>
      <c r="CN89" s="83">
        <f>'Raw Data'!CN90/100</f>
        <v>100.3</v>
      </c>
      <c r="CO89" s="83">
        <f>'Raw Data'!CO90/100</f>
        <v>95.7</v>
      </c>
      <c r="CP89" s="83">
        <f>'Raw Data'!CP90/100</f>
        <v>91.85</v>
      </c>
      <c r="CQ89" s="83">
        <f>'Raw Data'!CQ90/100</f>
        <v>88.47</v>
      </c>
      <c r="CR89" s="83">
        <f>'Raw Data'!CR90/100</f>
        <v>85.64</v>
      </c>
      <c r="CS89" s="83">
        <f>'Raw Data'!CS90/100</f>
        <v>83.27</v>
      </c>
      <c r="CT89" s="83">
        <f>'Raw Data'!CT90/100</f>
        <v>80.28</v>
      </c>
      <c r="CU89" s="382"/>
    </row>
    <row r="90" spans="4:99" s="86" customFormat="1" x14ac:dyDescent="0.2">
      <c r="D90" s="376"/>
      <c r="E90" s="164"/>
      <c r="F90" s="394"/>
      <c r="G90" s="83">
        <f>'Raw Data'!G91</f>
        <v>664</v>
      </c>
      <c r="H90" s="83">
        <f>'Raw Data'!H91</f>
        <v>657</v>
      </c>
      <c r="I90" s="83">
        <f>'Raw Data'!I91</f>
        <v>674</v>
      </c>
      <c r="J90" s="83">
        <f>'Raw Data'!J91</f>
        <v>671</v>
      </c>
      <c r="K90" s="83">
        <f>'Raw Data'!K91</f>
        <v>640</v>
      </c>
      <c r="L90" s="83">
        <f>'Raw Data'!L91</f>
        <v>673</v>
      </c>
      <c r="M90" s="83">
        <f>'Raw Data'!M91</f>
        <v>670</v>
      </c>
      <c r="N90" s="83">
        <f>'Raw Data'!N91</f>
        <v>646</v>
      </c>
      <c r="O90" s="83">
        <f>'Raw Data'!O91</f>
        <v>631</v>
      </c>
      <c r="P90" s="83">
        <f>'Raw Data'!P91</f>
        <v>636</v>
      </c>
      <c r="Q90" s="83">
        <f>'Raw Data'!Q91</f>
        <v>675</v>
      </c>
      <c r="R90" s="83">
        <f>'Raw Data'!R91</f>
        <v>647</v>
      </c>
      <c r="S90" s="83">
        <f>'Raw Data'!S91</f>
        <v>637</v>
      </c>
      <c r="T90" s="83">
        <f>'Raw Data'!T91</f>
        <v>632</v>
      </c>
      <c r="U90" s="83">
        <f>'Raw Data'!U91</f>
        <v>626</v>
      </c>
      <c r="V90" s="83">
        <f>'Raw Data'!V91</f>
        <v>629</v>
      </c>
      <c r="W90" s="83">
        <f>'Raw Data'!W91</f>
        <v>612</v>
      </c>
      <c r="X90" s="83">
        <f>'Raw Data'!X91</f>
        <v>621</v>
      </c>
      <c r="Y90" s="83">
        <f>'Raw Data'!Y91</f>
        <v>588</v>
      </c>
      <c r="Z90" s="83">
        <f>'Raw Data'!Z91</f>
        <v>613</v>
      </c>
      <c r="AA90" s="83">
        <f>'Raw Data'!AA91/10</f>
        <v>615.70000000000005</v>
      </c>
      <c r="AB90" s="83">
        <f>'Raw Data'!AB91/10</f>
        <v>559.29999999999995</v>
      </c>
      <c r="AC90" s="83">
        <f>'Raw Data'!AC91/10</f>
        <v>540.5</v>
      </c>
      <c r="AD90" s="83">
        <f>'Raw Data'!AD91/10</f>
        <v>499.5</v>
      </c>
      <c r="AE90" s="83">
        <f>'Raw Data'!AE91/10</f>
        <v>483.8</v>
      </c>
      <c r="AF90" s="83">
        <f>'Raw Data'!AF91/10</f>
        <v>457.4</v>
      </c>
      <c r="AG90" s="83">
        <f>'Raw Data'!AG91/10</f>
        <v>418.8</v>
      </c>
      <c r="AH90" s="83">
        <f>'Raw Data'!AH91/10</f>
        <v>406.8</v>
      </c>
      <c r="AI90" s="83">
        <f>'Raw Data'!AI91/10</f>
        <v>385.8</v>
      </c>
      <c r="AJ90" s="83">
        <f>'Raw Data'!AJ91/10</f>
        <v>365.7</v>
      </c>
      <c r="AK90" s="83">
        <f>'Raw Data'!AK91/10</f>
        <v>350.1</v>
      </c>
      <c r="AL90" s="83">
        <f>'Raw Data'!AL91/10</f>
        <v>334.5</v>
      </c>
      <c r="AM90" s="83">
        <f>'Raw Data'!AM91/10</f>
        <v>323.7</v>
      </c>
      <c r="AN90" s="83">
        <f>'Raw Data'!AN91/10</f>
        <v>303.8</v>
      </c>
      <c r="AO90" s="83">
        <f>'Raw Data'!AO91/10</f>
        <v>289</v>
      </c>
      <c r="AP90" s="83">
        <f>'Raw Data'!AP91/10</f>
        <v>277.5</v>
      </c>
      <c r="AQ90" s="83">
        <f>'Raw Data'!AQ91/10</f>
        <v>273.8</v>
      </c>
      <c r="AR90" s="83">
        <f>'Raw Data'!AR91/10</f>
        <v>256.39999999999998</v>
      </c>
      <c r="AS90" s="83">
        <f>'Raw Data'!AS91/10</f>
        <v>250.3</v>
      </c>
      <c r="AT90" s="83">
        <f>'Raw Data'!AT91/10</f>
        <v>236.8</v>
      </c>
      <c r="AU90" s="83">
        <f>'Raw Data'!AU91/10</f>
        <v>239.2</v>
      </c>
      <c r="AV90" s="83">
        <f>'Raw Data'!AV91/10</f>
        <v>228.6</v>
      </c>
      <c r="AW90" s="83">
        <f>'Raw Data'!AW91/10</f>
        <v>222.4</v>
      </c>
      <c r="AX90" s="83">
        <f>'Raw Data'!AX91/10</f>
        <v>219.4</v>
      </c>
      <c r="AY90" s="83">
        <f>'Raw Data'!AY91/10</f>
        <v>203.3</v>
      </c>
      <c r="AZ90" s="83">
        <f>'Raw Data'!AZ91/10</f>
        <v>204.4</v>
      </c>
      <c r="BA90" s="83">
        <f>'Raw Data'!BA91/10</f>
        <v>194.7</v>
      </c>
      <c r="BB90" s="83">
        <f>'Raw Data'!BB91/10</f>
        <v>195.3</v>
      </c>
      <c r="BC90" s="83">
        <f>'Raw Data'!BC91/10</f>
        <v>185.9</v>
      </c>
      <c r="BD90" s="83">
        <f>'Raw Data'!BD91/10</f>
        <v>175.7</v>
      </c>
      <c r="BE90" s="83">
        <f>'Raw Data'!BE91/10</f>
        <v>171.3</v>
      </c>
      <c r="BF90" s="83">
        <f>'Raw Data'!BF91/10</f>
        <v>168.4</v>
      </c>
      <c r="BG90" s="83">
        <f>'Raw Data'!BG91/10</f>
        <v>167.2</v>
      </c>
      <c r="BH90" s="83">
        <f>'Raw Data'!BH91/10</f>
        <v>160.30000000000001</v>
      </c>
      <c r="BI90" s="83">
        <f>'Raw Data'!BI91/10</f>
        <v>158.6</v>
      </c>
      <c r="BJ90" s="83">
        <f>'Raw Data'!BJ91/10</f>
        <v>155</v>
      </c>
      <c r="BK90" s="83">
        <f>'Raw Data'!BK91/10</f>
        <v>146</v>
      </c>
      <c r="BL90" s="83">
        <f>'Raw Data'!BL91/10</f>
        <v>145.19999999999999</v>
      </c>
      <c r="BM90" s="83">
        <f>'Raw Data'!BM91/10</f>
        <v>142</v>
      </c>
      <c r="BN90" s="83">
        <f>'Raw Data'!BN91/10</f>
        <v>138.1</v>
      </c>
      <c r="BO90" s="83">
        <f>'Raw Data'!BO91/10</f>
        <v>140.69999999999999</v>
      </c>
      <c r="BP90" s="83">
        <f>'Raw Data'!BP91/10</f>
        <v>139.80000000000001</v>
      </c>
      <c r="BQ90" s="83">
        <f>'Raw Data'!BQ91/10</f>
        <v>135.19999999999999</v>
      </c>
      <c r="BR90" s="83">
        <f>'Raw Data'!BR91/10</f>
        <v>132.5</v>
      </c>
      <c r="BS90" s="83">
        <f>'Raw Data'!BS91/10</f>
        <v>133.80000000000001</v>
      </c>
      <c r="BT90" s="83">
        <f>'Raw Data'!BT91/10</f>
        <v>122.7</v>
      </c>
      <c r="BU90" s="83">
        <f>'Raw Data'!BU91/10</f>
        <v>124.7</v>
      </c>
      <c r="BV90" s="83">
        <f>'Raw Data'!BV91/10</f>
        <v>127.3</v>
      </c>
      <c r="BW90" s="83">
        <f>'Raw Data'!BW91/10</f>
        <v>122.5</v>
      </c>
      <c r="BX90" s="83">
        <f>'Raw Data'!BX91/10</f>
        <v>119.3</v>
      </c>
      <c r="BY90" s="83">
        <f>'Raw Data'!BY91/10</f>
        <v>119.9</v>
      </c>
      <c r="BZ90" s="83">
        <f>'Raw Data'!BZ91/10</f>
        <v>115.6</v>
      </c>
      <c r="CA90" s="83">
        <f>'Raw Data'!CA91/10</f>
        <v>117.7</v>
      </c>
      <c r="CB90" s="83">
        <f>'Raw Data'!CB91/10</f>
        <v>116</v>
      </c>
      <c r="CC90" s="83">
        <f>'Raw Data'!CC91/10</f>
        <v>113.2</v>
      </c>
      <c r="CD90" s="83">
        <f>'Raw Data'!CD91/10</f>
        <v>111.5</v>
      </c>
      <c r="CE90" s="83">
        <f>'Raw Data'!CE91/10</f>
        <v>108.4</v>
      </c>
      <c r="CF90" s="83">
        <f>'Raw Data'!CF91/10</f>
        <v>108.2</v>
      </c>
      <c r="CG90" s="83">
        <f>'Raw Data'!CG91/100</f>
        <v>100.28</v>
      </c>
      <c r="CH90" s="83">
        <f>'Raw Data'!CH91/100</f>
        <v>90.54</v>
      </c>
      <c r="CI90" s="83">
        <f>'Raw Data'!CI91/100</f>
        <v>83.04</v>
      </c>
      <c r="CJ90" s="83">
        <f>'Raw Data'!CJ91/100</f>
        <v>77.709999999999994</v>
      </c>
      <c r="CK90" s="83">
        <f>'Raw Data'!CK91/100</f>
        <v>72.42</v>
      </c>
      <c r="CL90" s="83">
        <f>'Raw Data'!CL91/100</f>
        <v>67.290000000000006</v>
      </c>
      <c r="CM90" s="83">
        <f>'Raw Data'!CM91/100</f>
        <v>65.010000000000005</v>
      </c>
      <c r="CN90" s="83">
        <f>'Raw Data'!CN91/100</f>
        <v>61.68</v>
      </c>
      <c r="CO90" s="83">
        <f>'Raw Data'!CO91/100</f>
        <v>59.55</v>
      </c>
      <c r="CP90" s="83">
        <f>'Raw Data'!CP91/100</f>
        <v>57.05</v>
      </c>
      <c r="CQ90" s="83">
        <f>'Raw Data'!CQ91/100</f>
        <v>56.16</v>
      </c>
      <c r="CR90" s="83">
        <f>'Raw Data'!CR91/100</f>
        <v>53.95</v>
      </c>
      <c r="CS90" s="83">
        <f>'Raw Data'!CS91/100</f>
        <v>53.48</v>
      </c>
      <c r="CT90" s="83">
        <f>'Raw Data'!CT91/100</f>
        <v>51.58</v>
      </c>
      <c r="CU90" s="382"/>
    </row>
    <row r="91" spans="4:99" s="86" customFormat="1" x14ac:dyDescent="0.2">
      <c r="D91" s="376"/>
      <c r="E91" s="164"/>
      <c r="F91" s="394"/>
      <c r="G91" s="83">
        <f>'Raw Data'!G92</f>
        <v>968</v>
      </c>
      <c r="H91" s="83">
        <f>'Raw Data'!H92</f>
        <v>957</v>
      </c>
      <c r="I91" s="83">
        <f>'Raw Data'!I92</f>
        <v>939</v>
      </c>
      <c r="J91" s="83">
        <f>'Raw Data'!J92</f>
        <v>958</v>
      </c>
      <c r="K91" s="83">
        <f>'Raw Data'!K92</f>
        <v>950</v>
      </c>
      <c r="L91" s="83">
        <f>'Raw Data'!L92</f>
        <v>948</v>
      </c>
      <c r="M91" s="83">
        <f>'Raw Data'!M92</f>
        <v>956</v>
      </c>
      <c r="N91" s="83">
        <f>'Raw Data'!N92</f>
        <v>952</v>
      </c>
      <c r="O91" s="83">
        <f>'Raw Data'!O92</f>
        <v>943</v>
      </c>
      <c r="P91" s="83">
        <f>'Raw Data'!P92</f>
        <v>960</v>
      </c>
      <c r="Q91" s="83">
        <f>'Raw Data'!Q92</f>
        <v>957</v>
      </c>
      <c r="R91" s="83">
        <f>'Raw Data'!R92</f>
        <v>923</v>
      </c>
      <c r="S91" s="83">
        <f>'Raw Data'!S92</f>
        <v>895</v>
      </c>
      <c r="T91" s="83">
        <f>'Raw Data'!T92</f>
        <v>937</v>
      </c>
      <c r="U91" s="83">
        <f>'Raw Data'!U92</f>
        <v>917</v>
      </c>
      <c r="V91" s="83">
        <f>'Raw Data'!V92</f>
        <v>906</v>
      </c>
      <c r="W91" s="83">
        <f>'Raw Data'!W92</f>
        <v>887</v>
      </c>
      <c r="X91" s="83">
        <f>'Raw Data'!X92</f>
        <v>879</v>
      </c>
      <c r="Y91" s="83">
        <f>'Raw Data'!Y92</f>
        <v>925</v>
      </c>
      <c r="Z91" s="83">
        <f>'Raw Data'!Z92</f>
        <v>859</v>
      </c>
      <c r="AA91" s="83">
        <f>'Raw Data'!AA92/10</f>
        <v>860.9</v>
      </c>
      <c r="AB91" s="83">
        <f>'Raw Data'!AB92/10</f>
        <v>820.6</v>
      </c>
      <c r="AC91" s="83">
        <f>'Raw Data'!AC92/10</f>
        <v>781.2</v>
      </c>
      <c r="AD91" s="83">
        <f>'Raw Data'!AD92/10</f>
        <v>729.2</v>
      </c>
      <c r="AE91" s="83">
        <f>'Raw Data'!AE92/10</f>
        <v>679.6</v>
      </c>
      <c r="AF91" s="83">
        <f>'Raw Data'!AF92/10</f>
        <v>638.20000000000005</v>
      </c>
      <c r="AG91" s="83">
        <f>'Raw Data'!AG92/10</f>
        <v>628.29999999999995</v>
      </c>
      <c r="AH91" s="83">
        <f>'Raw Data'!AH92/10</f>
        <v>583.6</v>
      </c>
      <c r="AI91" s="83">
        <f>'Raw Data'!AI92/10</f>
        <v>558.70000000000005</v>
      </c>
      <c r="AJ91" s="83">
        <f>'Raw Data'!AJ92/10</f>
        <v>524.70000000000005</v>
      </c>
      <c r="AK91" s="83">
        <f>'Raw Data'!AK92/10</f>
        <v>501.1</v>
      </c>
      <c r="AL91" s="83">
        <f>'Raw Data'!AL92/10</f>
        <v>479.7</v>
      </c>
      <c r="AM91" s="83">
        <f>'Raw Data'!AM92/10</f>
        <v>450</v>
      </c>
      <c r="AN91" s="83">
        <f>'Raw Data'!AN92/10</f>
        <v>438</v>
      </c>
      <c r="AO91" s="83">
        <f>'Raw Data'!AO92/10</f>
        <v>420</v>
      </c>
      <c r="AP91" s="83">
        <f>'Raw Data'!AP92/10</f>
        <v>392.9</v>
      </c>
      <c r="AQ91" s="83">
        <f>'Raw Data'!AQ92/10</f>
        <v>409.5</v>
      </c>
      <c r="AR91" s="83">
        <f>'Raw Data'!AR92/10</f>
        <v>362.1</v>
      </c>
      <c r="AS91" s="83">
        <f>'Raw Data'!AS92/10</f>
        <v>354.2</v>
      </c>
      <c r="AT91" s="83">
        <f>'Raw Data'!AT92/10</f>
        <v>341.5</v>
      </c>
      <c r="AU91" s="83">
        <f>'Raw Data'!AU92/10</f>
        <v>321.60000000000002</v>
      </c>
      <c r="AV91" s="83">
        <f>'Raw Data'!AV92/10</f>
        <v>314</v>
      </c>
      <c r="AW91" s="83">
        <f>'Raw Data'!AW92/10</f>
        <v>307.7</v>
      </c>
      <c r="AX91" s="83">
        <f>'Raw Data'!AX92/10</f>
        <v>299.3</v>
      </c>
      <c r="AY91" s="83">
        <f>'Raw Data'!AY92/10</f>
        <v>286.60000000000002</v>
      </c>
      <c r="AZ91" s="83">
        <f>'Raw Data'!AZ92/10</f>
        <v>278.10000000000002</v>
      </c>
      <c r="BA91" s="83">
        <f>'Raw Data'!BA92/10</f>
        <v>259.7</v>
      </c>
      <c r="BB91" s="83">
        <f>'Raw Data'!BB92/10</f>
        <v>266.8</v>
      </c>
      <c r="BC91" s="83">
        <f>'Raw Data'!BC92/10</f>
        <v>253.7</v>
      </c>
      <c r="BD91" s="83">
        <f>'Raw Data'!BD92/10</f>
        <v>250.7</v>
      </c>
      <c r="BE91" s="83">
        <f>'Raw Data'!BE92/10</f>
        <v>245.7</v>
      </c>
      <c r="BF91" s="83">
        <f>'Raw Data'!BF92/10</f>
        <v>236.7</v>
      </c>
      <c r="BG91" s="83">
        <f>'Raw Data'!BG92/10</f>
        <v>232</v>
      </c>
      <c r="BH91" s="83">
        <f>'Raw Data'!BH92/10</f>
        <v>228.3</v>
      </c>
      <c r="BI91" s="83">
        <f>'Raw Data'!BI92/10</f>
        <v>212.7</v>
      </c>
      <c r="BJ91" s="83">
        <f>'Raw Data'!BJ92/10</f>
        <v>206.8</v>
      </c>
      <c r="BK91" s="83">
        <f>'Raw Data'!BK92/10</f>
        <v>211.1</v>
      </c>
      <c r="BL91" s="83">
        <f>'Raw Data'!BL92/10</f>
        <v>203.8</v>
      </c>
      <c r="BM91" s="83">
        <f>'Raw Data'!BM92/10</f>
        <v>201.6</v>
      </c>
      <c r="BN91" s="83">
        <f>'Raw Data'!BN92/10</f>
        <v>202</v>
      </c>
      <c r="BO91" s="83">
        <f>'Raw Data'!BO92/10</f>
        <v>192.1</v>
      </c>
      <c r="BP91" s="83">
        <f>'Raw Data'!BP92/10</f>
        <v>186.1</v>
      </c>
      <c r="BQ91" s="83">
        <f>'Raw Data'!BQ92/10</f>
        <v>183.6</v>
      </c>
      <c r="BR91" s="83">
        <f>'Raw Data'!BR92/10</f>
        <v>179.9</v>
      </c>
      <c r="BS91" s="83">
        <f>'Raw Data'!BS92/10</f>
        <v>180.6</v>
      </c>
      <c r="BT91" s="83">
        <f>'Raw Data'!BT92/10</f>
        <v>149.69999999999999</v>
      </c>
      <c r="BU91" s="83">
        <f>'Raw Data'!BU92/10</f>
        <v>173.5</v>
      </c>
      <c r="BV91" s="83">
        <f>'Raw Data'!BV92/10</f>
        <v>168.5</v>
      </c>
      <c r="BW91" s="83">
        <f>'Raw Data'!BW92/10</f>
        <v>168.1</v>
      </c>
      <c r="BX91" s="83">
        <f>'Raw Data'!BX92/10</f>
        <v>162.4</v>
      </c>
      <c r="BY91" s="83">
        <f>'Raw Data'!BY92/10</f>
        <v>188</v>
      </c>
      <c r="BZ91" s="83">
        <f>'Raw Data'!BZ92/10</f>
        <v>162.5</v>
      </c>
      <c r="CA91" s="83">
        <f>'Raw Data'!CA92/10</f>
        <v>155</v>
      </c>
      <c r="CB91" s="83">
        <f>'Raw Data'!CB92/10</f>
        <v>154.80000000000001</v>
      </c>
      <c r="CC91" s="83">
        <f>'Raw Data'!CC92/10</f>
        <v>154.30000000000001</v>
      </c>
      <c r="CD91" s="83">
        <f>'Raw Data'!CD92/10</f>
        <v>149.69999999999999</v>
      </c>
      <c r="CE91" s="83">
        <f>'Raw Data'!CE92/10</f>
        <v>146.6</v>
      </c>
      <c r="CF91" s="83">
        <f>'Raw Data'!CF92/10</f>
        <v>139.5</v>
      </c>
      <c r="CG91" s="83">
        <f>'Raw Data'!CG92/100</f>
        <v>135.19999999999999</v>
      </c>
      <c r="CH91" s="83">
        <f>'Raw Data'!CH92/100</f>
        <v>121.42</v>
      </c>
      <c r="CI91" s="83">
        <f>'Raw Data'!CI92/100</f>
        <v>110.11</v>
      </c>
      <c r="CJ91" s="83">
        <f>'Raw Data'!CJ92/100</f>
        <v>101.34</v>
      </c>
      <c r="CK91" s="83">
        <f>'Raw Data'!CK92/100</f>
        <v>95.37</v>
      </c>
      <c r="CL91" s="83">
        <f>'Raw Data'!CL92/100</f>
        <v>88.22</v>
      </c>
      <c r="CM91" s="83">
        <f>'Raw Data'!CM92/100</f>
        <v>82.66</v>
      </c>
      <c r="CN91" s="83">
        <f>'Raw Data'!CN92/100</f>
        <v>80.66</v>
      </c>
      <c r="CO91" s="83">
        <f>'Raw Data'!CO92/100</f>
        <v>77.59</v>
      </c>
      <c r="CP91" s="83">
        <f>'Raw Data'!CP92/100</f>
        <v>72.69</v>
      </c>
      <c r="CQ91" s="83">
        <f>'Raw Data'!CQ92/100</f>
        <v>71.150000000000006</v>
      </c>
      <c r="CR91" s="83">
        <f>'Raw Data'!CR92/100</f>
        <v>68.349999999999994</v>
      </c>
      <c r="CS91" s="83">
        <f>'Raw Data'!CS92/100</f>
        <v>66.13</v>
      </c>
      <c r="CT91" s="83">
        <f>'Raw Data'!CT92/100</f>
        <v>64.56</v>
      </c>
      <c r="CU91" s="382"/>
    </row>
    <row r="92" spans="4:99" s="86" customFormat="1" x14ac:dyDescent="0.2">
      <c r="D92" s="376"/>
      <c r="E92" s="164"/>
      <c r="F92" s="394"/>
      <c r="G92" s="83">
        <f>'Raw Data'!G93</f>
        <v>1268</v>
      </c>
      <c r="H92" s="83">
        <f>'Raw Data'!H93</f>
        <v>1217</v>
      </c>
      <c r="I92" s="83">
        <f>'Raw Data'!I93</f>
        <v>1211</v>
      </c>
      <c r="J92" s="83">
        <f>'Raw Data'!J93</f>
        <v>1235</v>
      </c>
      <c r="K92" s="83">
        <f>'Raw Data'!K93</f>
        <v>1216</v>
      </c>
      <c r="L92" s="83">
        <f>'Raw Data'!L93</f>
        <v>1224</v>
      </c>
      <c r="M92" s="83">
        <f>'Raw Data'!M93</f>
        <v>1241</v>
      </c>
      <c r="N92" s="83">
        <f>'Raw Data'!N93</f>
        <v>1178</v>
      </c>
      <c r="O92" s="83">
        <f>'Raw Data'!O93</f>
        <v>1167</v>
      </c>
      <c r="P92" s="83">
        <f>'Raw Data'!P93</f>
        <v>1131</v>
      </c>
      <c r="Q92" s="83">
        <f>'Raw Data'!Q93</f>
        <v>1195</v>
      </c>
      <c r="R92" s="83">
        <f>'Raw Data'!R93</f>
        <v>1183</v>
      </c>
      <c r="S92" s="83">
        <f>'Raw Data'!S93</f>
        <v>1180</v>
      </c>
      <c r="T92" s="83">
        <f>'Raw Data'!T93</f>
        <v>1173</v>
      </c>
      <c r="U92" s="83">
        <f>'Raw Data'!U93</f>
        <v>1161</v>
      </c>
      <c r="V92" s="83">
        <f>'Raw Data'!V93</f>
        <v>1125</v>
      </c>
      <c r="W92" s="83">
        <f>'Raw Data'!W93</f>
        <v>1098</v>
      </c>
      <c r="X92" s="83">
        <f>'Raw Data'!X93</f>
        <v>1128</v>
      </c>
      <c r="Y92" s="83">
        <f>'Raw Data'!Y93</f>
        <v>1153</v>
      </c>
      <c r="Z92" s="83">
        <f>'Raw Data'!Z93</f>
        <v>1140</v>
      </c>
      <c r="AA92" s="83">
        <f>'Raw Data'!AA93/10</f>
        <v>1095.2</v>
      </c>
      <c r="AB92" s="83">
        <f>'Raw Data'!AB93/10</f>
        <v>1018.8</v>
      </c>
      <c r="AC92" s="83">
        <f>'Raw Data'!AC93/10</f>
        <v>966.6</v>
      </c>
      <c r="AD92" s="83">
        <f>'Raw Data'!AD93/10</f>
        <v>909.5</v>
      </c>
      <c r="AE92" s="83">
        <f>'Raw Data'!AE93/10</f>
        <v>865.6</v>
      </c>
      <c r="AF92" s="83">
        <f>'Raw Data'!AF93/10</f>
        <v>810.6</v>
      </c>
      <c r="AG92" s="83">
        <f>'Raw Data'!AG93/10</f>
        <v>759.5</v>
      </c>
      <c r="AH92" s="83">
        <f>'Raw Data'!AH93/10</f>
        <v>720.6</v>
      </c>
      <c r="AI92" s="83">
        <f>'Raw Data'!AI93/10</f>
        <v>676.1</v>
      </c>
      <c r="AJ92" s="83">
        <f>'Raw Data'!AJ93/10</f>
        <v>652.9</v>
      </c>
      <c r="AK92" s="83">
        <f>'Raw Data'!AK93/10</f>
        <v>595.79999999999995</v>
      </c>
      <c r="AL92" s="83">
        <f>'Raw Data'!AL93/10</f>
        <v>573.4</v>
      </c>
      <c r="AM92" s="83">
        <f>'Raw Data'!AM93/10</f>
        <v>554.4</v>
      </c>
      <c r="AN92" s="83">
        <f>'Raw Data'!AN93/10</f>
        <v>535.79999999999995</v>
      </c>
      <c r="AO92" s="83">
        <f>'Raw Data'!AO93/10</f>
        <v>502.7</v>
      </c>
      <c r="AP92" s="83">
        <f>'Raw Data'!AP93/10</f>
        <v>481.2</v>
      </c>
      <c r="AQ92" s="83">
        <f>'Raw Data'!AQ93/10</f>
        <v>458.1</v>
      </c>
      <c r="AR92" s="83">
        <f>'Raw Data'!AR93/10</f>
        <v>445.8</v>
      </c>
      <c r="AS92" s="83">
        <f>'Raw Data'!AS93/10</f>
        <v>419.5</v>
      </c>
      <c r="AT92" s="83">
        <f>'Raw Data'!AT93/10</f>
        <v>414.5</v>
      </c>
      <c r="AU92" s="83">
        <f>'Raw Data'!AU93/10</f>
        <v>391.8</v>
      </c>
      <c r="AV92" s="83">
        <f>'Raw Data'!AV93/10</f>
        <v>384.4</v>
      </c>
      <c r="AW92" s="83">
        <f>'Raw Data'!AW93/10</f>
        <v>370.3</v>
      </c>
      <c r="AX92" s="83">
        <f>'Raw Data'!AX93/10</f>
        <v>353.4</v>
      </c>
      <c r="AY92" s="83">
        <f>'Raw Data'!AY93/10</f>
        <v>350.3</v>
      </c>
      <c r="AZ92" s="83">
        <f>'Raw Data'!AZ93/10</f>
        <v>330.6</v>
      </c>
      <c r="BA92" s="83">
        <f>'Raw Data'!BA93/10</f>
        <v>317.2</v>
      </c>
      <c r="BB92" s="83">
        <f>'Raw Data'!BB93/10</f>
        <v>312.3</v>
      </c>
      <c r="BC92" s="83">
        <f>'Raw Data'!BC93/10</f>
        <v>297.89999999999998</v>
      </c>
      <c r="BD92" s="83">
        <f>'Raw Data'!BD93/10</f>
        <v>293.60000000000002</v>
      </c>
      <c r="BE92" s="83">
        <f>'Raw Data'!BE93/10</f>
        <v>286.10000000000002</v>
      </c>
      <c r="BF92" s="83">
        <f>'Raw Data'!BF93/10</f>
        <v>272.5</v>
      </c>
      <c r="BG92" s="83">
        <f>'Raw Data'!BG93/10</f>
        <v>272.3</v>
      </c>
      <c r="BH92" s="83">
        <f>'Raw Data'!BH93/10</f>
        <v>255.4</v>
      </c>
      <c r="BI92" s="83">
        <f>'Raw Data'!BI93/10</f>
        <v>261.7</v>
      </c>
      <c r="BJ92" s="83">
        <f>'Raw Data'!BJ93/10</f>
        <v>251.5</v>
      </c>
      <c r="BK92" s="83">
        <f>'Raw Data'!BK93/10</f>
        <v>241.1</v>
      </c>
      <c r="BL92" s="83">
        <f>'Raw Data'!BL93/10</f>
        <v>237.5</v>
      </c>
      <c r="BM92" s="83">
        <f>'Raw Data'!BM93/10</f>
        <v>234.7</v>
      </c>
      <c r="BN92" s="83">
        <f>'Raw Data'!BN93/10</f>
        <v>228.8</v>
      </c>
      <c r="BO92" s="83">
        <f>'Raw Data'!BO93/10</f>
        <v>219.1</v>
      </c>
      <c r="BP92" s="83">
        <f>'Raw Data'!BP93/10</f>
        <v>220.5</v>
      </c>
      <c r="BQ92" s="83">
        <f>'Raw Data'!BQ93/10</f>
        <v>212.5</v>
      </c>
      <c r="BR92" s="83">
        <f>'Raw Data'!BR93/10</f>
        <v>209.1</v>
      </c>
      <c r="BS92" s="83">
        <f>'Raw Data'!BS93/10</f>
        <v>204.4</v>
      </c>
      <c r="BT92" s="83">
        <f>'Raw Data'!BT93/10</f>
        <v>198.2</v>
      </c>
      <c r="BU92" s="83">
        <f>'Raw Data'!BU93/10</f>
        <v>197.9</v>
      </c>
      <c r="BV92" s="83">
        <f>'Raw Data'!BV93/10</f>
        <v>192.6</v>
      </c>
      <c r="BW92" s="83">
        <f>'Raw Data'!BW93/10</f>
        <v>186.2</v>
      </c>
      <c r="BX92" s="83">
        <f>'Raw Data'!BX93/10</f>
        <v>185.7</v>
      </c>
      <c r="BY92" s="83">
        <f>'Raw Data'!BY93/10</f>
        <v>180.8</v>
      </c>
      <c r="BZ92" s="83">
        <f>'Raw Data'!BZ93/10</f>
        <v>174.8</v>
      </c>
      <c r="CA92" s="83">
        <f>'Raw Data'!CA93/10</f>
        <v>175.4</v>
      </c>
      <c r="CB92" s="83">
        <f>'Raw Data'!CB93/10</f>
        <v>175.4</v>
      </c>
      <c r="CC92" s="83">
        <f>'Raw Data'!CC93/10</f>
        <v>166</v>
      </c>
      <c r="CD92" s="83">
        <f>'Raw Data'!CD93/10</f>
        <v>171.5</v>
      </c>
      <c r="CE92" s="83">
        <f>'Raw Data'!CE93/10</f>
        <v>164.3</v>
      </c>
      <c r="CF92" s="83">
        <f>'Raw Data'!CF93/10</f>
        <v>163</v>
      </c>
      <c r="CG92" s="83">
        <f>'Raw Data'!CG93/100</f>
        <v>151.21</v>
      </c>
      <c r="CH92" s="83">
        <f>'Raw Data'!CH93/100</f>
        <v>132.19999999999999</v>
      </c>
      <c r="CI92" s="83">
        <f>'Raw Data'!CI93/100</f>
        <v>118.85</v>
      </c>
      <c r="CJ92" s="83">
        <f>'Raw Data'!CJ93/100</f>
        <v>108.66</v>
      </c>
      <c r="CK92" s="83">
        <f>'Raw Data'!CK93/100</f>
        <v>98.72</v>
      </c>
      <c r="CL92" s="83">
        <f>'Raw Data'!CL93/100</f>
        <v>91.29</v>
      </c>
      <c r="CM92" s="83">
        <f>'Raw Data'!CM93/100</f>
        <v>86.61</v>
      </c>
      <c r="CN92" s="83">
        <f>'Raw Data'!CN93/100</f>
        <v>81.64</v>
      </c>
      <c r="CO92" s="83">
        <f>'Raw Data'!CO93/100</f>
        <v>77.540000000000006</v>
      </c>
      <c r="CP92" s="83">
        <f>'Raw Data'!CP93/100</f>
        <v>74.52</v>
      </c>
      <c r="CQ92" s="83">
        <f>'Raw Data'!CQ93/100</f>
        <v>71.56</v>
      </c>
      <c r="CR92" s="83">
        <f>'Raw Data'!CR93/100</f>
        <v>68.400000000000006</v>
      </c>
      <c r="CS92" s="83">
        <f>'Raw Data'!CS93/100</f>
        <v>66.22</v>
      </c>
      <c r="CT92" s="83">
        <f>'Raw Data'!CT93/100</f>
        <v>62.23</v>
      </c>
      <c r="CU92" s="382"/>
    </row>
    <row r="93" spans="4:99" s="86" customFormat="1" x14ac:dyDescent="0.2">
      <c r="D93" s="376"/>
      <c r="E93" s="164"/>
      <c r="F93" s="394"/>
      <c r="G93" s="83">
        <f>'Raw Data'!G94</f>
        <v>975</v>
      </c>
      <c r="H93" s="83">
        <f>'Raw Data'!H94</f>
        <v>986</v>
      </c>
      <c r="I93" s="83">
        <f>'Raw Data'!I94</f>
        <v>1022</v>
      </c>
      <c r="J93" s="83">
        <f>'Raw Data'!J94</f>
        <v>1013</v>
      </c>
      <c r="K93" s="83">
        <f>'Raw Data'!K94</f>
        <v>974</v>
      </c>
      <c r="L93" s="83">
        <f>'Raw Data'!L94</f>
        <v>939</v>
      </c>
      <c r="M93" s="83">
        <f>'Raw Data'!M94</f>
        <v>972</v>
      </c>
      <c r="N93" s="83">
        <f>'Raw Data'!N94</f>
        <v>969</v>
      </c>
      <c r="O93" s="83">
        <f>'Raw Data'!O94</f>
        <v>954</v>
      </c>
      <c r="P93" s="83">
        <f>'Raw Data'!P94</f>
        <v>1013</v>
      </c>
      <c r="Q93" s="83">
        <f>'Raw Data'!Q94</f>
        <v>975</v>
      </c>
      <c r="R93" s="83">
        <f>'Raw Data'!R94</f>
        <v>974</v>
      </c>
      <c r="S93" s="83">
        <f>'Raw Data'!S94</f>
        <v>975</v>
      </c>
      <c r="T93" s="83">
        <f>'Raw Data'!T94</f>
        <v>968</v>
      </c>
      <c r="U93" s="83">
        <f>'Raw Data'!U94</f>
        <v>924</v>
      </c>
      <c r="V93" s="83">
        <f>'Raw Data'!V94</f>
        <v>953</v>
      </c>
      <c r="W93" s="83">
        <f>'Raw Data'!W94</f>
        <v>923</v>
      </c>
      <c r="X93" s="83">
        <f>'Raw Data'!X94</f>
        <v>941</v>
      </c>
      <c r="Y93" s="83">
        <f>'Raw Data'!Y94</f>
        <v>928</v>
      </c>
      <c r="Z93" s="83">
        <f>'Raw Data'!Z94</f>
        <v>920</v>
      </c>
      <c r="AA93" s="83">
        <f>'Raw Data'!AA94/10</f>
        <v>906.2</v>
      </c>
      <c r="AB93" s="83">
        <f>'Raw Data'!AB94/10</f>
        <v>846.7</v>
      </c>
      <c r="AC93" s="83">
        <f>'Raw Data'!AC94/10</f>
        <v>804.5</v>
      </c>
      <c r="AD93" s="83">
        <f>'Raw Data'!AD94/10</f>
        <v>751.9</v>
      </c>
      <c r="AE93" s="83">
        <f>'Raw Data'!AE94/10</f>
        <v>710.3</v>
      </c>
      <c r="AF93" s="83">
        <f>'Raw Data'!AF94/10</f>
        <v>681.7</v>
      </c>
      <c r="AG93" s="83">
        <f>'Raw Data'!AG94/10</f>
        <v>637.79999999999995</v>
      </c>
      <c r="AH93" s="83">
        <f>'Raw Data'!AH94/10</f>
        <v>610.29999999999995</v>
      </c>
      <c r="AI93" s="83">
        <f>'Raw Data'!AI94/10</f>
        <v>564.9</v>
      </c>
      <c r="AJ93" s="83">
        <f>'Raw Data'!AJ94/10</f>
        <v>542.20000000000005</v>
      </c>
      <c r="AK93" s="83">
        <f>'Raw Data'!AK94/10</f>
        <v>523.70000000000005</v>
      </c>
      <c r="AL93" s="83">
        <f>'Raw Data'!AL94/10</f>
        <v>494.3</v>
      </c>
      <c r="AM93" s="83">
        <f>'Raw Data'!AM94/10</f>
        <v>474.4</v>
      </c>
      <c r="AN93" s="83">
        <f>'Raw Data'!AN94/10</f>
        <v>458.3</v>
      </c>
      <c r="AO93" s="83">
        <f>'Raw Data'!AO94/10</f>
        <v>424.8</v>
      </c>
      <c r="AP93" s="83">
        <f>'Raw Data'!AP94/10</f>
        <v>412.4</v>
      </c>
      <c r="AQ93" s="83">
        <f>'Raw Data'!AQ94/10</f>
        <v>402.7</v>
      </c>
      <c r="AR93" s="83">
        <f>'Raw Data'!AR94/10</f>
        <v>389.5</v>
      </c>
      <c r="AS93" s="83">
        <f>'Raw Data'!AS94/10</f>
        <v>365.6</v>
      </c>
      <c r="AT93" s="83">
        <f>'Raw Data'!AT94/10</f>
        <v>357.6</v>
      </c>
      <c r="AU93" s="83">
        <f>'Raw Data'!AU94/10</f>
        <v>345.8</v>
      </c>
      <c r="AV93" s="83">
        <f>'Raw Data'!AV94/10</f>
        <v>331.8</v>
      </c>
      <c r="AW93" s="83">
        <f>'Raw Data'!AW94/10</f>
        <v>310.89999999999998</v>
      </c>
      <c r="AX93" s="83">
        <f>'Raw Data'!AX94/10</f>
        <v>309.2</v>
      </c>
      <c r="AY93" s="83">
        <f>'Raw Data'!AY94/10</f>
        <v>304.8</v>
      </c>
      <c r="AZ93" s="83">
        <f>'Raw Data'!AZ94/10</f>
        <v>296.7</v>
      </c>
      <c r="BA93" s="83">
        <f>'Raw Data'!BA94/10</f>
        <v>281.60000000000002</v>
      </c>
      <c r="BB93" s="83">
        <f>'Raw Data'!BB94/10</f>
        <v>274.60000000000002</v>
      </c>
      <c r="BC93" s="83">
        <f>'Raw Data'!BC94/10</f>
        <v>268.10000000000002</v>
      </c>
      <c r="BD93" s="83">
        <f>'Raw Data'!BD94/10</f>
        <v>258.39999999999998</v>
      </c>
      <c r="BE93" s="83">
        <f>'Raw Data'!BE94/10</f>
        <v>257.2</v>
      </c>
      <c r="BF93" s="83">
        <f>'Raw Data'!BF94/10</f>
        <v>248.8</v>
      </c>
      <c r="BG93" s="83">
        <f>'Raw Data'!BG94/10</f>
        <v>242.2</v>
      </c>
      <c r="BH93" s="83">
        <f>'Raw Data'!BH94/10</f>
        <v>238.8</v>
      </c>
      <c r="BI93" s="83">
        <f>'Raw Data'!BI94/10</f>
        <v>231.9</v>
      </c>
      <c r="BJ93" s="83">
        <f>'Raw Data'!BJ94/10</f>
        <v>225.3</v>
      </c>
      <c r="BK93" s="83">
        <f>'Raw Data'!BK94/10</f>
        <v>214.9</v>
      </c>
      <c r="BL93" s="83">
        <f>'Raw Data'!BL94/10</f>
        <v>219.6</v>
      </c>
      <c r="BM93" s="83">
        <f>'Raw Data'!BM94/10</f>
        <v>208.6</v>
      </c>
      <c r="BN93" s="83">
        <f>'Raw Data'!BN94/10</f>
        <v>211.2</v>
      </c>
      <c r="BO93" s="83">
        <f>'Raw Data'!BO94/10</f>
        <v>199.7</v>
      </c>
      <c r="BP93" s="83">
        <f>'Raw Data'!BP94/10</f>
        <v>200.6</v>
      </c>
      <c r="BQ93" s="83">
        <f>'Raw Data'!BQ94/10</f>
        <v>197.6</v>
      </c>
      <c r="BR93" s="83">
        <f>'Raw Data'!BR94/10</f>
        <v>192.4</v>
      </c>
      <c r="BS93" s="83">
        <f>'Raw Data'!BS94/10</f>
        <v>192.1</v>
      </c>
      <c r="BT93" s="83">
        <f>'Raw Data'!BT94/10</f>
        <v>186.9</v>
      </c>
      <c r="BU93" s="83">
        <f>'Raw Data'!BU94/10</f>
        <v>185.9</v>
      </c>
      <c r="BV93" s="83">
        <f>'Raw Data'!BV94/10</f>
        <v>181.2</v>
      </c>
      <c r="BW93" s="83">
        <f>'Raw Data'!BW94/10</f>
        <v>175.7</v>
      </c>
      <c r="BX93" s="83">
        <f>'Raw Data'!BX94/10</f>
        <v>174.8</v>
      </c>
      <c r="BY93" s="83">
        <f>'Raw Data'!BY94/10</f>
        <v>168.8</v>
      </c>
      <c r="BZ93" s="83">
        <f>'Raw Data'!BZ94/10</f>
        <v>169.9</v>
      </c>
      <c r="CA93" s="83">
        <f>'Raw Data'!CA94/10</f>
        <v>162.4</v>
      </c>
      <c r="CB93" s="83">
        <f>'Raw Data'!CB94/10</f>
        <v>161</v>
      </c>
      <c r="CC93" s="83">
        <f>'Raw Data'!CC94/10</f>
        <v>163.69999999999999</v>
      </c>
      <c r="CD93" s="83">
        <f>'Raw Data'!CD94/10</f>
        <v>159.6</v>
      </c>
      <c r="CE93" s="83">
        <f>'Raw Data'!CE94/10</f>
        <v>156.30000000000001</v>
      </c>
      <c r="CF93" s="83">
        <f>'Raw Data'!CF94/10</f>
        <v>155</v>
      </c>
      <c r="CG93" s="83">
        <f>'Raw Data'!CG94/100</f>
        <v>144.24</v>
      </c>
      <c r="CH93" s="83">
        <f>'Raw Data'!CH94/100</f>
        <v>129.99</v>
      </c>
      <c r="CI93" s="83">
        <f>'Raw Data'!CI94/100</f>
        <v>117.98</v>
      </c>
      <c r="CJ93" s="83">
        <f>'Raw Data'!CJ94/100</f>
        <v>108.59</v>
      </c>
      <c r="CK93" s="83">
        <f>'Raw Data'!CK94/100</f>
        <v>102.31</v>
      </c>
      <c r="CL93" s="83">
        <f>'Raw Data'!CL94/100</f>
        <v>95.29</v>
      </c>
      <c r="CM93" s="83">
        <f>'Raw Data'!CM94/100</f>
        <v>91.11</v>
      </c>
      <c r="CN93" s="83">
        <f>'Raw Data'!CN94/100</f>
        <v>86.58</v>
      </c>
      <c r="CO93" s="83">
        <f>'Raw Data'!CO94/100</f>
        <v>81.73</v>
      </c>
      <c r="CP93" s="83">
        <f>'Raw Data'!CP94/100</f>
        <v>78.45</v>
      </c>
      <c r="CQ93" s="83">
        <f>'Raw Data'!CQ94/100</f>
        <v>76.12</v>
      </c>
      <c r="CR93" s="83">
        <f>'Raw Data'!CR94/100</f>
        <v>72.92</v>
      </c>
      <c r="CS93" s="83">
        <f>'Raw Data'!CS94/100</f>
        <v>72.569999999999993</v>
      </c>
      <c r="CT93" s="83">
        <f>'Raw Data'!CT94/100</f>
        <v>68.95</v>
      </c>
      <c r="CU93" s="382"/>
    </row>
    <row r="94" spans="4:99" s="86" customFormat="1" x14ac:dyDescent="0.2">
      <c r="D94" s="376"/>
      <c r="E94" s="164"/>
      <c r="F94" s="394"/>
      <c r="G94" s="83">
        <f>'Raw Data'!G95</f>
        <v>2327</v>
      </c>
      <c r="H94" s="83">
        <f>'Raw Data'!H95</f>
        <v>2309</v>
      </c>
      <c r="I94" s="83">
        <f>'Raw Data'!I95</f>
        <v>2277</v>
      </c>
      <c r="J94" s="83">
        <f>'Raw Data'!J95</f>
        <v>2291</v>
      </c>
      <c r="K94" s="83">
        <f>'Raw Data'!K95</f>
        <v>2266</v>
      </c>
      <c r="L94" s="83">
        <f>'Raw Data'!L95</f>
        <v>2194</v>
      </c>
      <c r="M94" s="83">
        <f>'Raw Data'!M95</f>
        <v>2194</v>
      </c>
      <c r="N94" s="83">
        <f>'Raw Data'!N95</f>
        <v>2237</v>
      </c>
      <c r="O94" s="83">
        <f>'Raw Data'!O95</f>
        <v>2229</v>
      </c>
      <c r="P94" s="83">
        <f>'Raw Data'!P95</f>
        <v>2208</v>
      </c>
      <c r="Q94" s="83">
        <f>'Raw Data'!Q95</f>
        <v>2219</v>
      </c>
      <c r="R94" s="83">
        <f>'Raw Data'!R95</f>
        <v>2207</v>
      </c>
      <c r="S94" s="83">
        <f>'Raw Data'!S95</f>
        <v>2143</v>
      </c>
      <c r="T94" s="83">
        <f>'Raw Data'!T95</f>
        <v>2132</v>
      </c>
      <c r="U94" s="83">
        <f>'Raw Data'!U95</f>
        <v>2124</v>
      </c>
      <c r="V94" s="83">
        <f>'Raw Data'!V95</f>
        <v>2125</v>
      </c>
      <c r="W94" s="83">
        <f>'Raw Data'!W95</f>
        <v>2124</v>
      </c>
      <c r="X94" s="83">
        <f>'Raw Data'!X95</f>
        <v>2082</v>
      </c>
      <c r="Y94" s="83">
        <f>'Raw Data'!Y95</f>
        <v>2177</v>
      </c>
      <c r="Z94" s="83">
        <f>'Raw Data'!Z95</f>
        <v>2077</v>
      </c>
      <c r="AA94" s="83">
        <f>'Raw Data'!AA95/10</f>
        <v>2046.5</v>
      </c>
      <c r="AB94" s="83">
        <f>'Raw Data'!AB95/10</f>
        <v>1928.7</v>
      </c>
      <c r="AC94" s="83">
        <f>'Raw Data'!AC95/10</f>
        <v>1804</v>
      </c>
      <c r="AD94" s="83">
        <f>'Raw Data'!AD95/10</f>
        <v>1700.2</v>
      </c>
      <c r="AE94" s="83">
        <f>'Raw Data'!AE95/10</f>
        <v>1602.4</v>
      </c>
      <c r="AF94" s="83">
        <f>'Raw Data'!AF95/10</f>
        <v>1501.1</v>
      </c>
      <c r="AG94" s="83">
        <f>'Raw Data'!AG95/10</f>
        <v>1422.7</v>
      </c>
      <c r="AH94" s="83">
        <f>'Raw Data'!AH95/10</f>
        <v>1337.9</v>
      </c>
      <c r="AI94" s="83">
        <f>'Raw Data'!AI95/10</f>
        <v>1264.4000000000001</v>
      </c>
      <c r="AJ94" s="83">
        <f>'Raw Data'!AJ95/10</f>
        <v>1195.7</v>
      </c>
      <c r="AK94" s="83">
        <f>'Raw Data'!AK95/10</f>
        <v>1143.8</v>
      </c>
      <c r="AL94" s="83">
        <f>'Raw Data'!AL95/10</f>
        <v>1074.5999999999999</v>
      </c>
      <c r="AM94" s="83">
        <f>'Raw Data'!AM95/10</f>
        <v>1020.5</v>
      </c>
      <c r="AN94" s="83">
        <f>'Raw Data'!AN95/10</f>
        <v>970.1</v>
      </c>
      <c r="AO94" s="83">
        <f>'Raw Data'!AO95/10</f>
        <v>934.7</v>
      </c>
      <c r="AP94" s="83">
        <f>'Raw Data'!AP95/10</f>
        <v>889.8</v>
      </c>
      <c r="AQ94" s="83">
        <f>'Raw Data'!AQ95/10</f>
        <v>843.7</v>
      </c>
      <c r="AR94" s="83">
        <f>'Raw Data'!AR95/10</f>
        <v>808.1</v>
      </c>
      <c r="AS94" s="83">
        <f>'Raw Data'!AS95/10</f>
        <v>787.4</v>
      </c>
      <c r="AT94" s="83">
        <f>'Raw Data'!AT95/10</f>
        <v>751</v>
      </c>
      <c r="AU94" s="83">
        <f>'Raw Data'!AU95/10</f>
        <v>718.8</v>
      </c>
      <c r="AV94" s="83">
        <f>'Raw Data'!AV95/10</f>
        <v>681.3</v>
      </c>
      <c r="AW94" s="83">
        <f>'Raw Data'!AW95/10</f>
        <v>664.6</v>
      </c>
      <c r="AX94" s="83">
        <f>'Raw Data'!AX95/10</f>
        <v>634</v>
      </c>
      <c r="AY94" s="83">
        <f>'Raw Data'!AY95/10</f>
        <v>626.4</v>
      </c>
      <c r="AZ94" s="83">
        <f>'Raw Data'!AZ95/10</f>
        <v>600.79999999999995</v>
      </c>
      <c r="BA94" s="83">
        <f>'Raw Data'!BA95/10</f>
        <v>583.29999999999995</v>
      </c>
      <c r="BB94" s="83">
        <f>'Raw Data'!BB95/10</f>
        <v>564</v>
      </c>
      <c r="BC94" s="83">
        <f>'Raw Data'!BC95/10</f>
        <v>549.70000000000005</v>
      </c>
      <c r="BD94" s="83">
        <f>'Raw Data'!BD95/10</f>
        <v>527.4</v>
      </c>
      <c r="BE94" s="83">
        <f>'Raw Data'!BE95/10</f>
        <v>499.6</v>
      </c>
      <c r="BF94" s="83">
        <f>'Raw Data'!BF95/10</f>
        <v>499.6</v>
      </c>
      <c r="BG94" s="83">
        <f>'Raw Data'!BG95/10</f>
        <v>485.1</v>
      </c>
      <c r="BH94" s="83">
        <f>'Raw Data'!BH95/10</f>
        <v>468.7</v>
      </c>
      <c r="BI94" s="83">
        <f>'Raw Data'!BI95/10</f>
        <v>454</v>
      </c>
      <c r="BJ94" s="83">
        <f>'Raw Data'!BJ95/10</f>
        <v>447</v>
      </c>
      <c r="BK94" s="83">
        <f>'Raw Data'!BK95/10</f>
        <v>432.6</v>
      </c>
      <c r="BL94" s="83">
        <f>'Raw Data'!BL95/10</f>
        <v>423.7</v>
      </c>
      <c r="BM94" s="83">
        <f>'Raw Data'!BM95/10</f>
        <v>408.1</v>
      </c>
      <c r="BN94" s="83">
        <f>'Raw Data'!BN95/10</f>
        <v>402.1</v>
      </c>
      <c r="BO94" s="83">
        <f>'Raw Data'!BO95/10</f>
        <v>392.8</v>
      </c>
      <c r="BP94" s="83">
        <f>'Raw Data'!BP95/10</f>
        <v>384.5</v>
      </c>
      <c r="BQ94" s="83">
        <f>'Raw Data'!BQ95/10</f>
        <v>375.3</v>
      </c>
      <c r="BR94" s="83">
        <f>'Raw Data'!BR95/10</f>
        <v>372.7</v>
      </c>
      <c r="BS94" s="83">
        <f>'Raw Data'!BS95/10</f>
        <v>359.5</v>
      </c>
      <c r="BT94" s="83">
        <f>'Raw Data'!BT95/10</f>
        <v>351.2</v>
      </c>
      <c r="BU94" s="83">
        <f>'Raw Data'!BU95/10</f>
        <v>351.7</v>
      </c>
      <c r="BV94" s="83">
        <f>'Raw Data'!BV95/10</f>
        <v>331.2</v>
      </c>
      <c r="BW94" s="83">
        <f>'Raw Data'!BW95/10</f>
        <v>328.7</v>
      </c>
      <c r="BX94" s="83">
        <f>'Raw Data'!BX95/10</f>
        <v>329.1</v>
      </c>
      <c r="BY94" s="83">
        <f>'Raw Data'!BY95/10</f>
        <v>312.3</v>
      </c>
      <c r="BZ94" s="83">
        <f>'Raw Data'!BZ95/10</f>
        <v>308.39999999999998</v>
      </c>
      <c r="CA94" s="83">
        <f>'Raw Data'!CA95/10</f>
        <v>308.89999999999998</v>
      </c>
      <c r="CB94" s="83">
        <f>'Raw Data'!CB95/10</f>
        <v>300.89999999999998</v>
      </c>
      <c r="CC94" s="83">
        <f>'Raw Data'!CC95/10</f>
        <v>293.3</v>
      </c>
      <c r="CD94" s="83">
        <f>'Raw Data'!CD95/10</f>
        <v>299.7</v>
      </c>
      <c r="CE94" s="83">
        <f>'Raw Data'!CE95/10</f>
        <v>287</v>
      </c>
      <c r="CF94" s="83">
        <f>'Raw Data'!CF95/10</f>
        <v>281.10000000000002</v>
      </c>
      <c r="CG94" s="83">
        <f>'Raw Data'!CG95/100</f>
        <v>257.08</v>
      </c>
      <c r="CH94" s="83">
        <f>'Raw Data'!CH95/100</f>
        <v>223.64</v>
      </c>
      <c r="CI94" s="83">
        <f>'Raw Data'!CI95/100</f>
        <v>196.93</v>
      </c>
      <c r="CJ94" s="83">
        <f>'Raw Data'!CJ95/100</f>
        <v>177.99</v>
      </c>
      <c r="CK94" s="83">
        <f>'Raw Data'!CK95/100</f>
        <v>161.94</v>
      </c>
      <c r="CL94" s="83">
        <f>'Raw Data'!CL95/100</f>
        <v>148.66</v>
      </c>
      <c r="CM94" s="83">
        <f>'Raw Data'!CM95/100</f>
        <v>138.43</v>
      </c>
      <c r="CN94" s="83">
        <f>'Raw Data'!CN95/100</f>
        <v>130.68</v>
      </c>
      <c r="CO94" s="83">
        <f>'Raw Data'!CO95/100</f>
        <v>121.83</v>
      </c>
      <c r="CP94" s="83">
        <f>'Raw Data'!CP95/100</f>
        <v>115.67</v>
      </c>
      <c r="CQ94" s="83">
        <f>'Raw Data'!CQ95/100</f>
        <v>110.05</v>
      </c>
      <c r="CR94" s="83">
        <f>'Raw Data'!CR95/100</f>
        <v>104.62</v>
      </c>
      <c r="CS94" s="83">
        <f>'Raw Data'!CS95/100</f>
        <v>99.93</v>
      </c>
      <c r="CT94" s="83">
        <f>'Raw Data'!CT95/100</f>
        <v>95.79</v>
      </c>
      <c r="CU94" s="382"/>
    </row>
    <row r="95" spans="4:99" s="86" customFormat="1" x14ac:dyDescent="0.2">
      <c r="D95" s="376"/>
      <c r="E95" s="164"/>
      <c r="F95" s="394"/>
      <c r="G95" s="83">
        <f>'Raw Data'!G96</f>
        <v>1044</v>
      </c>
      <c r="H95" s="83">
        <f>'Raw Data'!H96</f>
        <v>1028</v>
      </c>
      <c r="I95" s="83">
        <f>'Raw Data'!I96</f>
        <v>1052</v>
      </c>
      <c r="J95" s="83">
        <f>'Raw Data'!J96</f>
        <v>1048</v>
      </c>
      <c r="K95" s="83">
        <f>'Raw Data'!K96</f>
        <v>1083</v>
      </c>
      <c r="L95" s="83">
        <f>'Raw Data'!L96</f>
        <v>1063</v>
      </c>
      <c r="M95" s="83">
        <f>'Raw Data'!M96</f>
        <v>1034</v>
      </c>
      <c r="N95" s="83">
        <f>'Raw Data'!N96</f>
        <v>1021</v>
      </c>
      <c r="O95" s="83">
        <f>'Raw Data'!O96</f>
        <v>980</v>
      </c>
      <c r="P95" s="83">
        <f>'Raw Data'!P96</f>
        <v>1006</v>
      </c>
      <c r="Q95" s="83">
        <f>'Raw Data'!Q96</f>
        <v>1043</v>
      </c>
      <c r="R95" s="83">
        <f>'Raw Data'!R96</f>
        <v>1025</v>
      </c>
      <c r="S95" s="83">
        <f>'Raw Data'!S96</f>
        <v>1017</v>
      </c>
      <c r="T95" s="83">
        <f>'Raw Data'!T96</f>
        <v>1021</v>
      </c>
      <c r="U95" s="83">
        <f>'Raw Data'!U96</f>
        <v>993</v>
      </c>
      <c r="V95" s="83">
        <f>'Raw Data'!V96</f>
        <v>1036</v>
      </c>
      <c r="W95" s="83">
        <f>'Raw Data'!W96</f>
        <v>962</v>
      </c>
      <c r="X95" s="83">
        <f>'Raw Data'!X96</f>
        <v>1018</v>
      </c>
      <c r="Y95" s="83">
        <f>'Raw Data'!Y96</f>
        <v>952</v>
      </c>
      <c r="Z95" s="83">
        <f>'Raw Data'!Z96</f>
        <v>976</v>
      </c>
      <c r="AA95" s="83">
        <f>'Raw Data'!AA96/10</f>
        <v>949.9</v>
      </c>
      <c r="AB95" s="83">
        <f>'Raw Data'!AB96/10</f>
        <v>899.2</v>
      </c>
      <c r="AC95" s="83">
        <f>'Raw Data'!AC96/10</f>
        <v>830.1</v>
      </c>
      <c r="AD95" s="83">
        <f>'Raw Data'!AD96/10</f>
        <v>796</v>
      </c>
      <c r="AE95" s="83">
        <f>'Raw Data'!AE96/10</f>
        <v>759.9</v>
      </c>
      <c r="AF95" s="83">
        <f>'Raw Data'!AF96/10</f>
        <v>711.7</v>
      </c>
      <c r="AG95" s="83">
        <f>'Raw Data'!AG96/10</f>
        <v>673.9</v>
      </c>
      <c r="AH95" s="83">
        <f>'Raw Data'!AH96/10</f>
        <v>643.79999999999995</v>
      </c>
      <c r="AI95" s="83">
        <f>'Raw Data'!AI96/10</f>
        <v>637</v>
      </c>
      <c r="AJ95" s="83">
        <f>'Raw Data'!AJ96/10</f>
        <v>583.70000000000005</v>
      </c>
      <c r="AK95" s="83">
        <f>'Raw Data'!AK96/10</f>
        <v>548.79999999999995</v>
      </c>
      <c r="AL95" s="83">
        <f>'Raw Data'!AL96/10</f>
        <v>537.6</v>
      </c>
      <c r="AM95" s="83">
        <f>'Raw Data'!AM96/10</f>
        <v>503.8</v>
      </c>
      <c r="AN95" s="83">
        <f>'Raw Data'!AN96/10</f>
        <v>487.8</v>
      </c>
      <c r="AO95" s="83">
        <f>'Raw Data'!AO96/10</f>
        <v>458.9</v>
      </c>
      <c r="AP95" s="83">
        <f>'Raw Data'!AP96/10</f>
        <v>442.6</v>
      </c>
      <c r="AQ95" s="83">
        <f>'Raw Data'!AQ96/10</f>
        <v>434.6</v>
      </c>
      <c r="AR95" s="83">
        <f>'Raw Data'!AR96/10</f>
        <v>422.7</v>
      </c>
      <c r="AS95" s="83">
        <f>'Raw Data'!AS96/10</f>
        <v>406.7</v>
      </c>
      <c r="AT95" s="83">
        <f>'Raw Data'!AT96/10</f>
        <v>388.8</v>
      </c>
      <c r="AU95" s="83">
        <f>'Raw Data'!AU96/10</f>
        <v>374.1</v>
      </c>
      <c r="AV95" s="83">
        <f>'Raw Data'!AV96/10</f>
        <v>364.5</v>
      </c>
      <c r="AW95" s="83">
        <f>'Raw Data'!AW96/10</f>
        <v>352.6</v>
      </c>
      <c r="AX95" s="83">
        <f>'Raw Data'!AX96/10</f>
        <v>347.8</v>
      </c>
      <c r="AY95" s="83">
        <f>'Raw Data'!AY96/10</f>
        <v>335.7</v>
      </c>
      <c r="AZ95" s="83">
        <f>'Raw Data'!AZ96/10</f>
        <v>306.7</v>
      </c>
      <c r="BA95" s="83">
        <f>'Raw Data'!BA96/10</f>
        <v>320.60000000000002</v>
      </c>
      <c r="BB95" s="83">
        <f>'Raw Data'!BB96/10</f>
        <v>303.89999999999998</v>
      </c>
      <c r="BC95" s="83">
        <f>'Raw Data'!BC96/10</f>
        <v>294.89999999999998</v>
      </c>
      <c r="BD95" s="83">
        <f>'Raw Data'!BD96/10</f>
        <v>293</v>
      </c>
      <c r="BE95" s="83">
        <f>'Raw Data'!BE96/10</f>
        <v>286.7</v>
      </c>
      <c r="BF95" s="83">
        <f>'Raw Data'!BF96/10</f>
        <v>282.39999999999998</v>
      </c>
      <c r="BG95" s="83">
        <f>'Raw Data'!BG96/10</f>
        <v>267.7</v>
      </c>
      <c r="BH95" s="83">
        <f>'Raw Data'!BH96/10</f>
        <v>258.60000000000002</v>
      </c>
      <c r="BI95" s="83">
        <f>'Raw Data'!BI96/10</f>
        <v>260.8</v>
      </c>
      <c r="BJ95" s="83">
        <f>'Raw Data'!BJ96/10</f>
        <v>248.8</v>
      </c>
      <c r="BK95" s="83">
        <f>'Raw Data'!BK96/10</f>
        <v>239.7</v>
      </c>
      <c r="BL95" s="83">
        <f>'Raw Data'!BL96/10</f>
        <v>245</v>
      </c>
      <c r="BM95" s="83">
        <f>'Raw Data'!BM96/10</f>
        <v>232.6</v>
      </c>
      <c r="BN95" s="83">
        <f>'Raw Data'!BN96/10</f>
        <v>231.8</v>
      </c>
      <c r="BO95" s="83">
        <f>'Raw Data'!BO96/10</f>
        <v>225.9</v>
      </c>
      <c r="BP95" s="83">
        <f>'Raw Data'!BP96/10</f>
        <v>228.6</v>
      </c>
      <c r="BQ95" s="83">
        <f>'Raw Data'!BQ96/10</f>
        <v>226.7</v>
      </c>
      <c r="BR95" s="83">
        <f>'Raw Data'!BR96/10</f>
        <v>221.7</v>
      </c>
      <c r="BS95" s="83">
        <f>'Raw Data'!BS96/10</f>
        <v>217.7</v>
      </c>
      <c r="BT95" s="83">
        <f>'Raw Data'!BT96/10</f>
        <v>217.5</v>
      </c>
      <c r="BU95" s="83">
        <f>'Raw Data'!BU96/10</f>
        <v>208.5</v>
      </c>
      <c r="BV95" s="83">
        <f>'Raw Data'!BV96/10</f>
        <v>199.3</v>
      </c>
      <c r="BW95" s="83">
        <f>'Raw Data'!BW96/10</f>
        <v>201.8</v>
      </c>
      <c r="BX95" s="83">
        <f>'Raw Data'!BX96/10</f>
        <v>200.6</v>
      </c>
      <c r="BY95" s="83">
        <f>'Raw Data'!BY96/10</f>
        <v>192.5</v>
      </c>
      <c r="BZ95" s="83">
        <f>'Raw Data'!BZ96/10</f>
        <v>192.2</v>
      </c>
      <c r="CA95" s="83">
        <f>'Raw Data'!CA96/10</f>
        <v>188</v>
      </c>
      <c r="CB95" s="83">
        <f>'Raw Data'!CB96/10</f>
        <v>188.8</v>
      </c>
      <c r="CC95" s="83">
        <f>'Raw Data'!CC96/10</f>
        <v>182.1</v>
      </c>
      <c r="CD95" s="83">
        <f>'Raw Data'!CD96/10</f>
        <v>186.2</v>
      </c>
      <c r="CE95" s="83">
        <f>'Raw Data'!CE96/10</f>
        <v>179.4</v>
      </c>
      <c r="CF95" s="83">
        <f>'Raw Data'!CF96/10</f>
        <v>180.7</v>
      </c>
      <c r="CG95" s="83">
        <f>'Raw Data'!CG96/100</f>
        <v>166.72</v>
      </c>
      <c r="CH95" s="83">
        <f>'Raw Data'!CH96/100</f>
        <v>149.28</v>
      </c>
      <c r="CI95" s="83">
        <f>'Raw Data'!CI96/100</f>
        <v>137.94</v>
      </c>
      <c r="CJ95" s="83">
        <f>'Raw Data'!CJ96/100</f>
        <v>128.69</v>
      </c>
      <c r="CK95" s="83">
        <f>'Raw Data'!CK96/100</f>
        <v>118.63</v>
      </c>
      <c r="CL95" s="83">
        <f>'Raw Data'!CL96/100</f>
        <v>113.58</v>
      </c>
      <c r="CM95" s="83">
        <f>'Raw Data'!CM96/100</f>
        <v>108.32</v>
      </c>
      <c r="CN95" s="83">
        <f>'Raw Data'!CN96/100</f>
        <v>101.43</v>
      </c>
      <c r="CO95" s="83">
        <f>'Raw Data'!CO96/100</f>
        <v>97.27</v>
      </c>
      <c r="CP95" s="83">
        <f>'Raw Data'!CP96/100</f>
        <v>93.99</v>
      </c>
      <c r="CQ95" s="83">
        <f>'Raw Data'!CQ96/100</f>
        <v>90.86</v>
      </c>
      <c r="CR95" s="83">
        <f>'Raw Data'!CR96/100</f>
        <v>87.8</v>
      </c>
      <c r="CS95" s="83">
        <f>'Raw Data'!CS96/100</f>
        <v>84.15</v>
      </c>
      <c r="CT95" s="83">
        <f>'Raw Data'!CT96/100</f>
        <v>82.93</v>
      </c>
      <c r="CU95" s="382"/>
    </row>
    <row r="96" spans="4:99" s="86" customFormat="1" x14ac:dyDescent="0.2">
      <c r="D96" s="376"/>
      <c r="E96" s="164"/>
      <c r="F96" s="394"/>
      <c r="G96" s="83">
        <f>'Raw Data'!G97</f>
        <v>37</v>
      </c>
      <c r="H96" s="83">
        <f>'Raw Data'!H97</f>
        <v>43</v>
      </c>
      <c r="I96" s="83">
        <f>'Raw Data'!I97</f>
        <v>38</v>
      </c>
      <c r="J96" s="83">
        <f>'Raw Data'!J97</f>
        <v>30</v>
      </c>
      <c r="K96" s="83">
        <f>'Raw Data'!K97</f>
        <v>43</v>
      </c>
      <c r="L96" s="83">
        <f>'Raw Data'!L97</f>
        <v>41</v>
      </c>
      <c r="M96" s="83">
        <f>'Raw Data'!M97</f>
        <v>38</v>
      </c>
      <c r="N96" s="83">
        <f>'Raw Data'!N97</f>
        <v>37</v>
      </c>
      <c r="O96" s="83">
        <f>'Raw Data'!O97</f>
        <v>42</v>
      </c>
      <c r="P96" s="83">
        <f>'Raw Data'!P97</f>
        <v>41</v>
      </c>
      <c r="Q96" s="83">
        <f>'Raw Data'!Q97</f>
        <v>41</v>
      </c>
      <c r="R96" s="83">
        <f>'Raw Data'!R97</f>
        <v>37</v>
      </c>
      <c r="S96" s="83">
        <f>'Raw Data'!S97</f>
        <v>36</v>
      </c>
      <c r="T96" s="83">
        <f>'Raw Data'!T97</f>
        <v>36</v>
      </c>
      <c r="U96" s="83">
        <f>'Raw Data'!U97</f>
        <v>39</v>
      </c>
      <c r="V96" s="83">
        <f>'Raw Data'!V97</f>
        <v>39</v>
      </c>
      <c r="W96" s="83">
        <f>'Raw Data'!W97</f>
        <v>38</v>
      </c>
      <c r="X96" s="83">
        <f>'Raw Data'!X97</f>
        <v>35</v>
      </c>
      <c r="Y96" s="83">
        <f>'Raw Data'!Y97</f>
        <v>37</v>
      </c>
      <c r="Z96" s="83">
        <f>'Raw Data'!Z97</f>
        <v>38</v>
      </c>
      <c r="AA96" s="83">
        <f>'Raw Data'!AA97/10</f>
        <v>40.200000000000003</v>
      </c>
      <c r="AB96" s="83">
        <f>'Raw Data'!AB97/10</f>
        <v>40.5</v>
      </c>
      <c r="AC96" s="83">
        <f>'Raw Data'!AC97/10</f>
        <v>42.6</v>
      </c>
      <c r="AD96" s="83">
        <f>'Raw Data'!AD97/10</f>
        <v>42.6</v>
      </c>
      <c r="AE96" s="83">
        <f>'Raw Data'!AE97/10</f>
        <v>42.4</v>
      </c>
      <c r="AF96" s="83">
        <f>'Raw Data'!AF97/10</f>
        <v>44.3</v>
      </c>
      <c r="AG96" s="83">
        <f>'Raw Data'!AG97/10</f>
        <v>42.8</v>
      </c>
      <c r="AH96" s="83">
        <f>'Raw Data'!AH97/10</f>
        <v>40.799999999999997</v>
      </c>
      <c r="AI96" s="83">
        <f>'Raw Data'!AI97/10</f>
        <v>37</v>
      </c>
      <c r="AJ96" s="83">
        <f>'Raw Data'!AJ97/10</f>
        <v>41.3</v>
      </c>
      <c r="AK96" s="83">
        <f>'Raw Data'!AK97/10</f>
        <v>41.2</v>
      </c>
      <c r="AL96" s="83">
        <f>'Raw Data'!AL97/10</f>
        <v>39.700000000000003</v>
      </c>
      <c r="AM96" s="83">
        <f>'Raw Data'!AM97/10</f>
        <v>36.799999999999997</v>
      </c>
      <c r="AN96" s="83">
        <f>'Raw Data'!AN97/10</f>
        <v>39.799999999999997</v>
      </c>
      <c r="AO96" s="83">
        <f>'Raw Data'!AO97/10</f>
        <v>39.799999999999997</v>
      </c>
      <c r="AP96" s="83">
        <f>'Raw Data'!AP97/10</f>
        <v>39.799999999999997</v>
      </c>
      <c r="AQ96" s="83">
        <f>'Raw Data'!AQ97/10</f>
        <v>35.200000000000003</v>
      </c>
      <c r="AR96" s="83">
        <f>'Raw Data'!AR97/10</f>
        <v>37.700000000000003</v>
      </c>
      <c r="AS96" s="83">
        <f>'Raw Data'!AS97/10</f>
        <v>34.9</v>
      </c>
      <c r="AT96" s="83">
        <f>'Raw Data'!AT97/10</f>
        <v>37.799999999999997</v>
      </c>
      <c r="AU96" s="83">
        <f>'Raw Data'!AU97/10</f>
        <v>39.299999999999997</v>
      </c>
      <c r="AV96" s="83">
        <f>'Raw Data'!AV97/10</f>
        <v>40</v>
      </c>
      <c r="AW96" s="83">
        <f>'Raw Data'!AW97/10</f>
        <v>37.9</v>
      </c>
      <c r="AX96" s="83">
        <f>'Raw Data'!AX97/10</f>
        <v>37.700000000000003</v>
      </c>
      <c r="AY96" s="83">
        <f>'Raw Data'!AY97/10</f>
        <v>37.200000000000003</v>
      </c>
      <c r="AZ96" s="83">
        <f>'Raw Data'!AZ97/10</f>
        <v>35.4</v>
      </c>
      <c r="BA96" s="83">
        <f>'Raw Data'!BA97/10</f>
        <v>37</v>
      </c>
      <c r="BB96" s="83">
        <f>'Raw Data'!BB97/10</f>
        <v>35.5</v>
      </c>
      <c r="BC96" s="83">
        <f>'Raw Data'!BC97/10</f>
        <v>35.799999999999997</v>
      </c>
      <c r="BD96" s="83">
        <f>'Raw Data'!BD97/10</f>
        <v>34.799999999999997</v>
      </c>
      <c r="BE96" s="83">
        <f>'Raw Data'!BE97/10</f>
        <v>33.200000000000003</v>
      </c>
      <c r="BF96" s="83">
        <f>'Raw Data'!BF97/10</f>
        <v>34.5</v>
      </c>
      <c r="BG96" s="83">
        <f>'Raw Data'!BG97/10</f>
        <v>35.5</v>
      </c>
      <c r="BH96" s="83">
        <f>'Raw Data'!BH97/10</f>
        <v>36.200000000000003</v>
      </c>
      <c r="BI96" s="83">
        <f>'Raw Data'!BI97/10</f>
        <v>34.799999999999997</v>
      </c>
      <c r="BJ96" s="83">
        <f>'Raw Data'!BJ97/10</f>
        <v>35.4</v>
      </c>
      <c r="BK96" s="83">
        <f>'Raw Data'!BK97/10</f>
        <v>36.1</v>
      </c>
      <c r="BL96" s="83">
        <f>'Raw Data'!BL97/10</f>
        <v>36.5</v>
      </c>
      <c r="BM96" s="83">
        <f>'Raw Data'!BM97/10</f>
        <v>32.9</v>
      </c>
      <c r="BN96" s="83">
        <f>'Raw Data'!BN97/10</f>
        <v>32.700000000000003</v>
      </c>
      <c r="BO96" s="83">
        <f>'Raw Data'!BO97/10</f>
        <v>33.5</v>
      </c>
      <c r="BP96" s="83">
        <f>'Raw Data'!BP97/10</f>
        <v>31</v>
      </c>
      <c r="BQ96" s="83">
        <f>'Raw Data'!BQ97/10</f>
        <v>33.9</v>
      </c>
      <c r="BR96" s="83">
        <f>'Raw Data'!BR97/10</f>
        <v>32.799999999999997</v>
      </c>
      <c r="BS96" s="83">
        <f>'Raw Data'!BS97/10</f>
        <v>33.299999999999997</v>
      </c>
      <c r="BT96" s="83">
        <f>'Raw Data'!BT97/10</f>
        <v>36.299999999999997</v>
      </c>
      <c r="BU96" s="83">
        <f>'Raw Data'!BU97/10</f>
        <v>35.5</v>
      </c>
      <c r="BV96" s="83">
        <f>'Raw Data'!BV97/10</f>
        <v>34.299999999999997</v>
      </c>
      <c r="BW96" s="83">
        <f>'Raw Data'!BW97/10</f>
        <v>32.4</v>
      </c>
      <c r="BX96" s="83">
        <f>'Raw Data'!BX97/10</f>
        <v>32.4</v>
      </c>
      <c r="BY96" s="83">
        <f>'Raw Data'!BY97/10</f>
        <v>35.200000000000003</v>
      </c>
      <c r="BZ96" s="83">
        <f>'Raw Data'!BZ97/10</f>
        <v>34.700000000000003</v>
      </c>
      <c r="CA96" s="83">
        <f>'Raw Data'!CA97/10</f>
        <v>33.1</v>
      </c>
      <c r="CB96" s="83">
        <f>'Raw Data'!CB97/10</f>
        <v>34.1</v>
      </c>
      <c r="CC96" s="83">
        <f>'Raw Data'!CC97/10</f>
        <v>32.9</v>
      </c>
      <c r="CD96" s="83">
        <f>'Raw Data'!CD97/10</f>
        <v>34.1</v>
      </c>
      <c r="CE96" s="83">
        <f>'Raw Data'!CE97/10</f>
        <v>33</v>
      </c>
      <c r="CF96" s="83">
        <f>'Raw Data'!CF97/10</f>
        <v>35.799999999999997</v>
      </c>
      <c r="CG96" s="83">
        <f>'Raw Data'!CG97/100</f>
        <v>33.14</v>
      </c>
      <c r="CH96" s="83">
        <f>'Raw Data'!CH97/100</f>
        <v>32.58</v>
      </c>
      <c r="CI96" s="83">
        <f>'Raw Data'!CI97/100</f>
        <v>31.93</v>
      </c>
      <c r="CJ96" s="83">
        <f>'Raw Data'!CJ97/100</f>
        <v>31.13</v>
      </c>
      <c r="CK96" s="83">
        <f>'Raw Data'!CK97/100</f>
        <v>31.49</v>
      </c>
      <c r="CL96" s="83">
        <f>'Raw Data'!CL97/100</f>
        <v>30.79</v>
      </c>
      <c r="CM96" s="83">
        <f>'Raw Data'!CM97/100</f>
        <v>30.32</v>
      </c>
      <c r="CN96" s="83">
        <f>'Raw Data'!CN97/100</f>
        <v>29.77</v>
      </c>
      <c r="CO96" s="83">
        <f>'Raw Data'!CO97/100</f>
        <v>29.75</v>
      </c>
      <c r="CP96" s="83">
        <f>'Raw Data'!CP97/100</f>
        <v>30.1</v>
      </c>
      <c r="CQ96" s="83">
        <f>'Raw Data'!CQ97/100</f>
        <v>29.51</v>
      </c>
      <c r="CR96" s="83">
        <f>'Raw Data'!CR97/100</f>
        <v>28.99</v>
      </c>
      <c r="CS96" s="83">
        <f>'Raw Data'!CS97/100</f>
        <v>29.8</v>
      </c>
      <c r="CT96" s="83">
        <f>'Raw Data'!CT97/100</f>
        <v>29.11</v>
      </c>
      <c r="CU96" s="382"/>
    </row>
    <row r="97" spans="4:99" s="86" customFormat="1" x14ac:dyDescent="0.2">
      <c r="D97" s="376"/>
      <c r="E97" s="164"/>
      <c r="F97" s="394"/>
      <c r="G97" s="83">
        <f>'Raw Data'!G98</f>
        <v>951</v>
      </c>
      <c r="H97" s="83">
        <f>'Raw Data'!H98</f>
        <v>937</v>
      </c>
      <c r="I97" s="83">
        <f>'Raw Data'!I98</f>
        <v>978</v>
      </c>
      <c r="J97" s="83">
        <f>'Raw Data'!J98</f>
        <v>956</v>
      </c>
      <c r="K97" s="83">
        <f>'Raw Data'!K98</f>
        <v>984</v>
      </c>
      <c r="L97" s="83">
        <f>'Raw Data'!L98</f>
        <v>977</v>
      </c>
      <c r="M97" s="83">
        <f>'Raw Data'!M98</f>
        <v>946</v>
      </c>
      <c r="N97" s="83">
        <f>'Raw Data'!N98</f>
        <v>950</v>
      </c>
      <c r="O97" s="83">
        <f>'Raw Data'!O98</f>
        <v>909</v>
      </c>
      <c r="P97" s="83">
        <f>'Raw Data'!P98</f>
        <v>935</v>
      </c>
      <c r="Q97" s="83">
        <f>'Raw Data'!Q98</f>
        <v>954</v>
      </c>
      <c r="R97" s="83">
        <f>'Raw Data'!R98</f>
        <v>958</v>
      </c>
      <c r="S97" s="83">
        <f>'Raw Data'!S98</f>
        <v>900</v>
      </c>
      <c r="T97" s="83">
        <f>'Raw Data'!T98</f>
        <v>877</v>
      </c>
      <c r="U97" s="83">
        <f>'Raw Data'!U98</f>
        <v>899</v>
      </c>
      <c r="V97" s="83">
        <f>'Raw Data'!V98</f>
        <v>897</v>
      </c>
      <c r="W97" s="83">
        <f>'Raw Data'!W98</f>
        <v>890</v>
      </c>
      <c r="X97" s="83">
        <f>'Raw Data'!X98</f>
        <v>878</v>
      </c>
      <c r="Y97" s="83">
        <f>'Raw Data'!Y98</f>
        <v>883</v>
      </c>
      <c r="Z97" s="83">
        <f>'Raw Data'!Z98</f>
        <v>880</v>
      </c>
      <c r="AA97" s="83">
        <f>'Raw Data'!AA98/10</f>
        <v>853.9</v>
      </c>
      <c r="AB97" s="83">
        <f>'Raw Data'!AB98/10</f>
        <v>809.6</v>
      </c>
      <c r="AC97" s="83">
        <f>'Raw Data'!AC98/10</f>
        <v>768.6</v>
      </c>
      <c r="AD97" s="83">
        <f>'Raw Data'!AD98/10</f>
        <v>725.2</v>
      </c>
      <c r="AE97" s="83">
        <f>'Raw Data'!AE98/10</f>
        <v>680</v>
      </c>
      <c r="AF97" s="83">
        <f>'Raw Data'!AF98/10</f>
        <v>630.9</v>
      </c>
      <c r="AG97" s="83">
        <f>'Raw Data'!AG98/10</f>
        <v>591.79999999999995</v>
      </c>
      <c r="AH97" s="83">
        <f>'Raw Data'!AH98/10</f>
        <v>571.29999999999995</v>
      </c>
      <c r="AI97" s="83">
        <f>'Raw Data'!AI98/10</f>
        <v>534.9</v>
      </c>
      <c r="AJ97" s="83">
        <f>'Raw Data'!AJ98/10</f>
        <v>509.1</v>
      </c>
      <c r="AK97" s="83">
        <f>'Raw Data'!AK98/10</f>
        <v>489</v>
      </c>
      <c r="AL97" s="83">
        <f>'Raw Data'!AL98/10</f>
        <v>471.9</v>
      </c>
      <c r="AM97" s="83">
        <f>'Raw Data'!AM98/10</f>
        <v>435.3</v>
      </c>
      <c r="AN97" s="83">
        <f>'Raw Data'!AN98/10</f>
        <v>422.5</v>
      </c>
      <c r="AO97" s="83">
        <f>'Raw Data'!AO98/10</f>
        <v>397</v>
      </c>
      <c r="AP97" s="83">
        <f>'Raw Data'!AP98/10</f>
        <v>382.9</v>
      </c>
      <c r="AQ97" s="83">
        <f>'Raw Data'!AQ98/10</f>
        <v>364.1</v>
      </c>
      <c r="AR97" s="83">
        <f>'Raw Data'!AR98/10</f>
        <v>352.6</v>
      </c>
      <c r="AS97" s="83">
        <f>'Raw Data'!AS98/10</f>
        <v>344.3</v>
      </c>
      <c r="AT97" s="83">
        <f>'Raw Data'!AT98/10</f>
        <v>320</v>
      </c>
      <c r="AU97" s="83">
        <f>'Raw Data'!AU98/10</f>
        <v>314.2</v>
      </c>
      <c r="AV97" s="83">
        <f>'Raw Data'!AV98/10</f>
        <v>306.7</v>
      </c>
      <c r="AW97" s="83">
        <f>'Raw Data'!AW98/10</f>
        <v>293.10000000000002</v>
      </c>
      <c r="AX97" s="83">
        <f>'Raw Data'!AX98/10</f>
        <v>284.3</v>
      </c>
      <c r="AY97" s="83">
        <f>'Raw Data'!AY98/10</f>
        <v>270.8</v>
      </c>
      <c r="AZ97" s="83">
        <f>'Raw Data'!AZ98/10</f>
        <v>266.7</v>
      </c>
      <c r="BA97" s="83">
        <f>'Raw Data'!BA98/10</f>
        <v>254.4</v>
      </c>
      <c r="BB97" s="83">
        <f>'Raw Data'!BB98/10</f>
        <v>249.9</v>
      </c>
      <c r="BC97" s="83">
        <f>'Raw Data'!BC98/10</f>
        <v>248.9</v>
      </c>
      <c r="BD97" s="83">
        <f>'Raw Data'!BD98/10</f>
        <v>237.3</v>
      </c>
      <c r="BE97" s="83">
        <f>'Raw Data'!BE98/10</f>
        <v>227.7</v>
      </c>
      <c r="BF97" s="83">
        <f>'Raw Data'!BF98/10</f>
        <v>214.8</v>
      </c>
      <c r="BG97" s="83">
        <f>'Raw Data'!BG98/10</f>
        <v>215</v>
      </c>
      <c r="BH97" s="83">
        <f>'Raw Data'!BH98/10</f>
        <v>214.4</v>
      </c>
      <c r="BI97" s="83">
        <f>'Raw Data'!BI98/10</f>
        <v>206.5</v>
      </c>
      <c r="BJ97" s="83">
        <f>'Raw Data'!BJ98/10</f>
        <v>202.3</v>
      </c>
      <c r="BK97" s="83">
        <f>'Raw Data'!BK98/10</f>
        <v>196.8</v>
      </c>
      <c r="BL97" s="83">
        <f>'Raw Data'!BL98/10</f>
        <v>188</v>
      </c>
      <c r="BM97" s="83">
        <f>'Raw Data'!BM98/10</f>
        <v>186.8</v>
      </c>
      <c r="BN97" s="83">
        <f>'Raw Data'!BN98/10</f>
        <v>175.6</v>
      </c>
      <c r="BO97" s="83">
        <f>'Raw Data'!BO98/10</f>
        <v>177.2</v>
      </c>
      <c r="BP97" s="83">
        <f>'Raw Data'!BP98/10</f>
        <v>175.7</v>
      </c>
      <c r="BQ97" s="83">
        <f>'Raw Data'!BQ98/10</f>
        <v>178.8</v>
      </c>
      <c r="BR97" s="83">
        <f>'Raw Data'!BR98/10</f>
        <v>167.5</v>
      </c>
      <c r="BS97" s="83">
        <f>'Raw Data'!BS98/10</f>
        <v>162.4</v>
      </c>
      <c r="BT97" s="83">
        <f>'Raw Data'!BT98/10</f>
        <v>159.9</v>
      </c>
      <c r="BU97" s="83">
        <f>'Raw Data'!BU98/10</f>
        <v>156.5</v>
      </c>
      <c r="BV97" s="83">
        <f>'Raw Data'!BV98/10</f>
        <v>158.5</v>
      </c>
      <c r="BW97" s="83">
        <f>'Raw Data'!BW98/10</f>
        <v>155.19999999999999</v>
      </c>
      <c r="BX97" s="83">
        <f>'Raw Data'!BX98/10</f>
        <v>155.1</v>
      </c>
      <c r="BY97" s="83">
        <f>'Raw Data'!BY98/10</f>
        <v>146.1</v>
      </c>
      <c r="BZ97" s="83">
        <f>'Raw Data'!BZ98/10</f>
        <v>141.80000000000001</v>
      </c>
      <c r="CA97" s="83">
        <f>'Raw Data'!CA98/10</f>
        <v>144.1</v>
      </c>
      <c r="CB97" s="83">
        <f>'Raw Data'!CB98/10</f>
        <v>139.6</v>
      </c>
      <c r="CC97" s="83">
        <f>'Raw Data'!CC98/10</f>
        <v>136.1</v>
      </c>
      <c r="CD97" s="83">
        <f>'Raw Data'!CD98/10</f>
        <v>138.1</v>
      </c>
      <c r="CE97" s="83">
        <f>'Raw Data'!CE98/10</f>
        <v>131.1</v>
      </c>
      <c r="CF97" s="83">
        <f>'Raw Data'!CF98/10</f>
        <v>130.1</v>
      </c>
      <c r="CG97" s="83">
        <f>'Raw Data'!CG98/100</f>
        <v>121.02</v>
      </c>
      <c r="CH97" s="83">
        <f>'Raw Data'!CH98/100</f>
        <v>106.74</v>
      </c>
      <c r="CI97" s="83">
        <f>'Raw Data'!CI98/100</f>
        <v>99.48</v>
      </c>
      <c r="CJ97" s="83">
        <f>'Raw Data'!CJ98/100</f>
        <v>89.08</v>
      </c>
      <c r="CK97" s="83">
        <f>'Raw Data'!CK98/100</f>
        <v>82.57</v>
      </c>
      <c r="CL97" s="83">
        <f>'Raw Data'!CL98/100</f>
        <v>78.73</v>
      </c>
      <c r="CM97" s="83">
        <f>'Raw Data'!CM98/100</f>
        <v>73.53</v>
      </c>
      <c r="CN97" s="83">
        <f>'Raw Data'!CN98/100</f>
        <v>69.36</v>
      </c>
      <c r="CO97" s="83">
        <f>'Raw Data'!CO98/100</f>
        <v>66.63</v>
      </c>
      <c r="CP97" s="83">
        <f>'Raw Data'!CP98/100</f>
        <v>63.03</v>
      </c>
      <c r="CQ97" s="83">
        <f>'Raw Data'!CQ98/100</f>
        <v>59.45</v>
      </c>
      <c r="CR97" s="83">
        <f>'Raw Data'!CR98/100</f>
        <v>58.54</v>
      </c>
      <c r="CS97" s="83">
        <f>'Raw Data'!CS98/100</f>
        <v>56.66</v>
      </c>
      <c r="CT97" s="83">
        <f>'Raw Data'!CT98/100</f>
        <v>55.44</v>
      </c>
      <c r="CU97" s="382"/>
    </row>
    <row r="98" spans="4:99" s="86" customFormat="1" x14ac:dyDescent="0.2">
      <c r="D98" s="376"/>
      <c r="E98" s="164"/>
      <c r="F98" s="394"/>
      <c r="G98" s="83">
        <f>'Raw Data'!G99</f>
        <v>662</v>
      </c>
      <c r="H98" s="83">
        <f>'Raw Data'!H99</f>
        <v>685</v>
      </c>
      <c r="I98" s="83">
        <f>'Raw Data'!I99</f>
        <v>668</v>
      </c>
      <c r="J98" s="83">
        <f>'Raw Data'!J99</f>
        <v>622</v>
      </c>
      <c r="K98" s="83">
        <f>'Raw Data'!K99</f>
        <v>668</v>
      </c>
      <c r="L98" s="83">
        <f>'Raw Data'!L99</f>
        <v>665</v>
      </c>
      <c r="M98" s="83">
        <f>'Raw Data'!M99</f>
        <v>628</v>
      </c>
      <c r="N98" s="83">
        <f>'Raw Data'!N99</f>
        <v>683</v>
      </c>
      <c r="O98" s="83">
        <f>'Raw Data'!O99</f>
        <v>624</v>
      </c>
      <c r="P98" s="83">
        <f>'Raw Data'!P99</f>
        <v>619</v>
      </c>
      <c r="Q98" s="83">
        <f>'Raw Data'!Q99</f>
        <v>642</v>
      </c>
      <c r="R98" s="83">
        <f>'Raw Data'!R99</f>
        <v>612</v>
      </c>
      <c r="S98" s="83">
        <f>'Raw Data'!S99</f>
        <v>622</v>
      </c>
      <c r="T98" s="83">
        <f>'Raw Data'!T99</f>
        <v>637</v>
      </c>
      <c r="U98" s="83">
        <f>'Raw Data'!U99</f>
        <v>617</v>
      </c>
      <c r="V98" s="83">
        <f>'Raw Data'!V99</f>
        <v>595</v>
      </c>
      <c r="W98" s="83">
        <f>'Raw Data'!W99</f>
        <v>628</v>
      </c>
      <c r="X98" s="83">
        <f>'Raw Data'!X99</f>
        <v>586</v>
      </c>
      <c r="Y98" s="83">
        <f>'Raw Data'!Y99</f>
        <v>585</v>
      </c>
      <c r="Z98" s="83">
        <f>'Raw Data'!Z99</f>
        <v>607</v>
      </c>
      <c r="AA98" s="83">
        <f>'Raw Data'!AA99/10</f>
        <v>585.5</v>
      </c>
      <c r="AB98" s="83">
        <f>'Raw Data'!AB99/10</f>
        <v>550.6</v>
      </c>
      <c r="AC98" s="83">
        <f>'Raw Data'!AC99/10</f>
        <v>522.4</v>
      </c>
      <c r="AD98" s="83">
        <f>'Raw Data'!AD99/10</f>
        <v>499</v>
      </c>
      <c r="AE98" s="83">
        <f>'Raw Data'!AE99/10</f>
        <v>455.5</v>
      </c>
      <c r="AF98" s="83">
        <f>'Raw Data'!AF99/10</f>
        <v>442.5</v>
      </c>
      <c r="AG98" s="83">
        <f>'Raw Data'!AG99/10</f>
        <v>412.4</v>
      </c>
      <c r="AH98" s="83">
        <f>'Raw Data'!AH99/10</f>
        <v>395.3</v>
      </c>
      <c r="AI98" s="83">
        <f>'Raw Data'!AI99/10</f>
        <v>371.7</v>
      </c>
      <c r="AJ98" s="83">
        <f>'Raw Data'!AJ99/10</f>
        <v>352.3</v>
      </c>
      <c r="AK98" s="83">
        <f>'Raw Data'!AK99/10</f>
        <v>348.1</v>
      </c>
      <c r="AL98" s="83">
        <f>'Raw Data'!AL99/10</f>
        <v>330.8</v>
      </c>
      <c r="AM98" s="83">
        <f>'Raw Data'!AM99/10</f>
        <v>309.5</v>
      </c>
      <c r="AN98" s="83">
        <f>'Raw Data'!AN99/10</f>
        <v>299.39999999999998</v>
      </c>
      <c r="AO98" s="83">
        <f>'Raw Data'!AO99/10</f>
        <v>279.2</v>
      </c>
      <c r="AP98" s="83">
        <f>'Raw Data'!AP99/10</f>
        <v>264.3</v>
      </c>
      <c r="AQ98" s="83">
        <f>'Raw Data'!AQ99/10</f>
        <v>256.39999999999998</v>
      </c>
      <c r="AR98" s="83">
        <f>'Raw Data'!AR99/10</f>
        <v>245.5</v>
      </c>
      <c r="AS98" s="83">
        <f>'Raw Data'!AS99/10</f>
        <v>234.1</v>
      </c>
      <c r="AT98" s="83">
        <f>'Raw Data'!AT99/10</f>
        <v>231.3</v>
      </c>
      <c r="AU98" s="83">
        <f>'Raw Data'!AU99/10</f>
        <v>216.1</v>
      </c>
      <c r="AV98" s="83">
        <f>'Raw Data'!AV99/10</f>
        <v>214.7</v>
      </c>
      <c r="AW98" s="83">
        <f>'Raw Data'!AW99/10</f>
        <v>208.5</v>
      </c>
      <c r="AX98" s="83">
        <f>'Raw Data'!AX99/10</f>
        <v>199.1</v>
      </c>
      <c r="AY98" s="83">
        <f>'Raw Data'!AY99/10</f>
        <v>196.1</v>
      </c>
      <c r="AZ98" s="83">
        <f>'Raw Data'!AZ99/10</f>
        <v>182.2</v>
      </c>
      <c r="BA98" s="83">
        <f>'Raw Data'!BA99/10</f>
        <v>181.9</v>
      </c>
      <c r="BB98" s="83">
        <f>'Raw Data'!BB99/10</f>
        <v>174.2</v>
      </c>
      <c r="BC98" s="83">
        <f>'Raw Data'!BC99/10</f>
        <v>173.7</v>
      </c>
      <c r="BD98" s="83">
        <f>'Raw Data'!BD99/10</f>
        <v>168.5</v>
      </c>
      <c r="BE98" s="83">
        <f>'Raw Data'!BE99/10</f>
        <v>158.69999999999999</v>
      </c>
      <c r="BF98" s="83">
        <f>'Raw Data'!BF99/10</f>
        <v>157.9</v>
      </c>
      <c r="BG98" s="83">
        <f>'Raw Data'!BG99/10</f>
        <v>149.80000000000001</v>
      </c>
      <c r="BH98" s="83">
        <f>'Raw Data'!BH99/10</f>
        <v>151.4</v>
      </c>
      <c r="BI98" s="83">
        <f>'Raw Data'!BI99/10</f>
        <v>142.19999999999999</v>
      </c>
      <c r="BJ98" s="83">
        <f>'Raw Data'!BJ99/10</f>
        <v>139.1</v>
      </c>
      <c r="BK98" s="83">
        <f>'Raw Data'!BK99/10</f>
        <v>141.80000000000001</v>
      </c>
      <c r="BL98" s="83">
        <f>'Raw Data'!BL99/10</f>
        <v>137.69999999999999</v>
      </c>
      <c r="BM98" s="83">
        <f>'Raw Data'!BM99/10</f>
        <v>132.9</v>
      </c>
      <c r="BN98" s="83">
        <f>'Raw Data'!BN99/10</f>
        <v>127.6</v>
      </c>
      <c r="BO98" s="83">
        <f>'Raw Data'!BO99/10</f>
        <v>126.7</v>
      </c>
      <c r="BP98" s="83">
        <f>'Raw Data'!BP99/10</f>
        <v>124.9</v>
      </c>
      <c r="BQ98" s="83">
        <f>'Raw Data'!BQ99/10</f>
        <v>122.9</v>
      </c>
      <c r="BR98" s="83">
        <f>'Raw Data'!BR99/10</f>
        <v>119.2</v>
      </c>
      <c r="BS98" s="83">
        <f>'Raw Data'!BS99/10</f>
        <v>120.3</v>
      </c>
      <c r="BT98" s="83">
        <f>'Raw Data'!BT99/10</f>
        <v>115.4</v>
      </c>
      <c r="BU98" s="83">
        <f>'Raw Data'!BU99/10</f>
        <v>112.5</v>
      </c>
      <c r="BV98" s="83">
        <f>'Raw Data'!BV99/10</f>
        <v>112.2</v>
      </c>
      <c r="BW98" s="83">
        <f>'Raw Data'!BW99/10</f>
        <v>108.5</v>
      </c>
      <c r="BX98" s="83">
        <f>'Raw Data'!BX99/10</f>
        <v>106.7</v>
      </c>
      <c r="BY98" s="83">
        <f>'Raw Data'!BY99/10</f>
        <v>104.3</v>
      </c>
      <c r="BZ98" s="83">
        <f>'Raw Data'!BZ99/10</f>
        <v>100</v>
      </c>
      <c r="CA98" s="83">
        <f>'Raw Data'!CA99/10</f>
        <v>106.4</v>
      </c>
      <c r="CB98" s="83">
        <f>'Raw Data'!CB99/10</f>
        <v>101.2</v>
      </c>
      <c r="CC98" s="83">
        <f>'Raw Data'!CC99/10</f>
        <v>96.8</v>
      </c>
      <c r="CD98" s="83">
        <f>'Raw Data'!CD99/10</f>
        <v>98.5</v>
      </c>
      <c r="CE98" s="83">
        <f>'Raw Data'!CE99/10</f>
        <v>97</v>
      </c>
      <c r="CF98" s="83">
        <f>'Raw Data'!CF99/10</f>
        <v>98.9</v>
      </c>
      <c r="CG98" s="83">
        <f>'Raw Data'!CG99/100</f>
        <v>90.47</v>
      </c>
      <c r="CH98" s="83">
        <f>'Raw Data'!CH99/100</f>
        <v>80.25</v>
      </c>
      <c r="CI98" s="83">
        <f>'Raw Data'!CI99/100</f>
        <v>72.56</v>
      </c>
      <c r="CJ98" s="83">
        <f>'Raw Data'!CJ99/100</f>
        <v>66.25</v>
      </c>
      <c r="CK98" s="83">
        <f>'Raw Data'!CK99/100</f>
        <v>62.15</v>
      </c>
      <c r="CL98" s="83">
        <f>'Raw Data'!CL99/100</f>
        <v>58.17</v>
      </c>
      <c r="CM98" s="83">
        <f>'Raw Data'!CM99/100</f>
        <v>55.1</v>
      </c>
      <c r="CN98" s="83">
        <f>'Raw Data'!CN99/100</f>
        <v>53.84</v>
      </c>
      <c r="CO98" s="83">
        <f>'Raw Data'!CO99/100</f>
        <v>51</v>
      </c>
      <c r="CP98" s="83">
        <f>'Raw Data'!CP99/100</f>
        <v>48.96</v>
      </c>
      <c r="CQ98" s="83">
        <f>'Raw Data'!CQ99/100</f>
        <v>48.09</v>
      </c>
      <c r="CR98" s="83">
        <f>'Raw Data'!CR99/100</f>
        <v>45.45</v>
      </c>
      <c r="CS98" s="83">
        <f>'Raw Data'!CS99/100</f>
        <v>44.08</v>
      </c>
      <c r="CT98" s="83">
        <f>'Raw Data'!CT99/100</f>
        <v>42.82</v>
      </c>
      <c r="CU98" s="382"/>
    </row>
    <row r="99" spans="4:99" s="86" customFormat="1" x14ac:dyDescent="0.2">
      <c r="D99" s="376"/>
      <c r="E99" s="381"/>
      <c r="F99" s="395"/>
      <c r="G99" s="83">
        <f>'Raw Data'!G100</f>
        <v>944</v>
      </c>
      <c r="H99" s="83">
        <f>'Raw Data'!H100</f>
        <v>968</v>
      </c>
      <c r="I99" s="83">
        <f>'Raw Data'!I100</f>
        <v>973</v>
      </c>
      <c r="J99" s="83">
        <f>'Raw Data'!J100</f>
        <v>927</v>
      </c>
      <c r="K99" s="83">
        <f>'Raw Data'!K100</f>
        <v>943</v>
      </c>
      <c r="L99" s="83">
        <f>'Raw Data'!L100</f>
        <v>955</v>
      </c>
      <c r="M99" s="83">
        <f>'Raw Data'!M100</f>
        <v>935</v>
      </c>
      <c r="N99" s="83">
        <f>'Raw Data'!N100</f>
        <v>930</v>
      </c>
      <c r="O99" s="83">
        <f>'Raw Data'!O100</f>
        <v>963</v>
      </c>
      <c r="P99" s="83">
        <f>'Raw Data'!P100</f>
        <v>922</v>
      </c>
      <c r="Q99" s="83">
        <f>'Raw Data'!Q100</f>
        <v>940</v>
      </c>
      <c r="R99" s="83">
        <f>'Raw Data'!R100</f>
        <v>941</v>
      </c>
      <c r="S99" s="83">
        <f>'Raw Data'!S100</f>
        <v>907</v>
      </c>
      <c r="T99" s="83">
        <f>'Raw Data'!T100</f>
        <v>926</v>
      </c>
      <c r="U99" s="83">
        <f>'Raw Data'!U100</f>
        <v>906</v>
      </c>
      <c r="V99" s="83">
        <f>'Raw Data'!V100</f>
        <v>918</v>
      </c>
      <c r="W99" s="83">
        <f>'Raw Data'!W100</f>
        <v>900</v>
      </c>
      <c r="X99" s="83">
        <f>'Raw Data'!X100</f>
        <v>926</v>
      </c>
      <c r="Y99" s="83">
        <f>'Raw Data'!Y100</f>
        <v>847</v>
      </c>
      <c r="Z99" s="83">
        <f>'Raw Data'!Z100</f>
        <v>880</v>
      </c>
      <c r="AA99" s="83">
        <f>'Raw Data'!AA100/10</f>
        <v>859.9</v>
      </c>
      <c r="AB99" s="83">
        <f>'Raw Data'!AB100/10</f>
        <v>819.2</v>
      </c>
      <c r="AC99" s="83">
        <f>'Raw Data'!AC100/10</f>
        <v>762.1</v>
      </c>
      <c r="AD99" s="83">
        <f>'Raw Data'!AD100/10</f>
        <v>725.1</v>
      </c>
      <c r="AE99" s="83">
        <f>'Raw Data'!AE100/10</f>
        <v>689</v>
      </c>
      <c r="AF99" s="83">
        <f>'Raw Data'!AF100/10</f>
        <v>656.8</v>
      </c>
      <c r="AG99" s="83">
        <f>'Raw Data'!AG100/10</f>
        <v>602.29999999999995</v>
      </c>
      <c r="AH99" s="83">
        <f>'Raw Data'!AH100/10</f>
        <v>581.20000000000005</v>
      </c>
      <c r="AI99" s="83">
        <f>'Raw Data'!AI100/10</f>
        <v>545.5</v>
      </c>
      <c r="AJ99" s="83">
        <f>'Raw Data'!AJ100/10</f>
        <v>507.2</v>
      </c>
      <c r="AK99" s="83">
        <f>'Raw Data'!AK100/10</f>
        <v>495.8</v>
      </c>
      <c r="AL99" s="83">
        <f>'Raw Data'!AL100/10</f>
        <v>472.4</v>
      </c>
      <c r="AM99" s="83">
        <f>'Raw Data'!AM100/10</f>
        <v>450.8</v>
      </c>
      <c r="AN99" s="83">
        <f>'Raw Data'!AN100/10</f>
        <v>421.2</v>
      </c>
      <c r="AO99" s="83">
        <f>'Raw Data'!AO100/10</f>
        <v>411</v>
      </c>
      <c r="AP99" s="83">
        <f>'Raw Data'!AP100/10</f>
        <v>395.2</v>
      </c>
      <c r="AQ99" s="83">
        <f>'Raw Data'!AQ100/10</f>
        <v>369.7</v>
      </c>
      <c r="AR99" s="83">
        <f>'Raw Data'!AR100/10</f>
        <v>360.8</v>
      </c>
      <c r="AS99" s="83">
        <f>'Raw Data'!AS100/10</f>
        <v>350.5</v>
      </c>
      <c r="AT99" s="83">
        <f>'Raw Data'!AT100/10</f>
        <v>332.6</v>
      </c>
      <c r="AU99" s="83">
        <f>'Raw Data'!AU100/10</f>
        <v>316.89999999999998</v>
      </c>
      <c r="AV99" s="83">
        <f>'Raw Data'!AV100/10</f>
        <v>317.2</v>
      </c>
      <c r="AW99" s="83">
        <f>'Raw Data'!AW100/10</f>
        <v>297.2</v>
      </c>
      <c r="AX99" s="83">
        <f>'Raw Data'!AX100/10</f>
        <v>288.10000000000002</v>
      </c>
      <c r="AY99" s="83">
        <f>'Raw Data'!AY100/10</f>
        <v>281.3</v>
      </c>
      <c r="AZ99" s="83">
        <f>'Raw Data'!AZ100/10</f>
        <v>269.2</v>
      </c>
      <c r="BA99" s="83">
        <f>'Raw Data'!BA100/10</f>
        <v>267.2</v>
      </c>
      <c r="BB99" s="83">
        <f>'Raw Data'!BB100/10</f>
        <v>251.5</v>
      </c>
      <c r="BC99" s="83">
        <f>'Raw Data'!BC100/10</f>
        <v>247.4</v>
      </c>
      <c r="BD99" s="83">
        <f>'Raw Data'!BD100/10</f>
        <v>244.9</v>
      </c>
      <c r="BE99" s="83">
        <f>'Raw Data'!BE100/10</f>
        <v>231.5</v>
      </c>
      <c r="BF99" s="83">
        <f>'Raw Data'!BF100/10</f>
        <v>230.8</v>
      </c>
      <c r="BG99" s="83">
        <f>'Raw Data'!BG100/10</f>
        <v>224.3</v>
      </c>
      <c r="BH99" s="83">
        <f>'Raw Data'!BH100/10</f>
        <v>223.1</v>
      </c>
      <c r="BI99" s="83">
        <f>'Raw Data'!BI100/10</f>
        <v>209.1</v>
      </c>
      <c r="BJ99" s="83">
        <f>'Raw Data'!BJ100/10</f>
        <v>205.1</v>
      </c>
      <c r="BK99" s="83">
        <f>'Raw Data'!BK100/10</f>
        <v>199.2</v>
      </c>
      <c r="BL99" s="83">
        <f>'Raw Data'!BL100/10</f>
        <v>199.5</v>
      </c>
      <c r="BM99" s="83">
        <f>'Raw Data'!BM100/10</f>
        <v>194.8</v>
      </c>
      <c r="BN99" s="83">
        <f>'Raw Data'!BN100/10</f>
        <v>192.4</v>
      </c>
      <c r="BO99" s="83">
        <f>'Raw Data'!BO100/10</f>
        <v>189.9</v>
      </c>
      <c r="BP99" s="83">
        <f>'Raw Data'!BP100/10</f>
        <v>177.2</v>
      </c>
      <c r="BQ99" s="83">
        <f>'Raw Data'!BQ100/10</f>
        <v>179.8</v>
      </c>
      <c r="BR99" s="83">
        <f>'Raw Data'!BR100/10</f>
        <v>173.9</v>
      </c>
      <c r="BS99" s="83">
        <f>'Raw Data'!BS100/10</f>
        <v>173.2</v>
      </c>
      <c r="BT99" s="83">
        <f>'Raw Data'!BT100/10</f>
        <v>166.7</v>
      </c>
      <c r="BU99" s="83">
        <f>'Raw Data'!BU100/10</f>
        <v>162.30000000000001</v>
      </c>
      <c r="BV99" s="83">
        <f>'Raw Data'!BV100/10</f>
        <v>161.5</v>
      </c>
      <c r="BW99" s="83">
        <f>'Raw Data'!BW100/10</f>
        <v>160.19999999999999</v>
      </c>
      <c r="BX99" s="83">
        <f>'Raw Data'!BX100/10</f>
        <v>158.1</v>
      </c>
      <c r="BY99" s="83">
        <f>'Raw Data'!BY100/10</f>
        <v>153.69999999999999</v>
      </c>
      <c r="BZ99" s="83">
        <f>'Raw Data'!BZ100/10</f>
        <v>153.19999999999999</v>
      </c>
      <c r="CA99" s="83">
        <f>'Raw Data'!CA100/10</f>
        <v>150.6</v>
      </c>
      <c r="CB99" s="83">
        <f>'Raw Data'!CB100/10</f>
        <v>145.5</v>
      </c>
      <c r="CC99" s="83">
        <f>'Raw Data'!CC100/10</f>
        <v>148</v>
      </c>
      <c r="CD99" s="83">
        <f>'Raw Data'!CD100/10</f>
        <v>142.30000000000001</v>
      </c>
      <c r="CE99" s="83">
        <f>'Raw Data'!CE100/10</f>
        <v>138.9</v>
      </c>
      <c r="CF99" s="83">
        <f>'Raw Data'!CF100/10</f>
        <v>136.4</v>
      </c>
      <c r="CG99" s="83">
        <f>'Raw Data'!CG100/100</f>
        <v>127.93</v>
      </c>
      <c r="CH99" s="83">
        <f>'Raw Data'!CH100/100</f>
        <v>114.21</v>
      </c>
      <c r="CI99" s="83">
        <f>'Raw Data'!CI100/100</f>
        <v>104.58</v>
      </c>
      <c r="CJ99" s="83">
        <f>'Raw Data'!CJ100/100</f>
        <v>96.17</v>
      </c>
      <c r="CK99" s="83">
        <f>'Raw Data'!CK100/100</f>
        <v>87.43</v>
      </c>
      <c r="CL99" s="83">
        <f>'Raw Data'!CL100/100</f>
        <v>81.58</v>
      </c>
      <c r="CM99" s="83">
        <f>'Raw Data'!CM100/100</f>
        <v>77.91</v>
      </c>
      <c r="CN99" s="83">
        <f>'Raw Data'!CN100/100</f>
        <v>73.61</v>
      </c>
      <c r="CO99" s="83">
        <f>'Raw Data'!CO100/100</f>
        <v>70.53</v>
      </c>
      <c r="CP99" s="83">
        <f>'Raw Data'!CP100/100</f>
        <v>67.36</v>
      </c>
      <c r="CQ99" s="83">
        <f>'Raw Data'!CQ100/100</f>
        <v>64.36</v>
      </c>
      <c r="CR99" s="83">
        <f>'Raw Data'!CR100/100</f>
        <v>60.98</v>
      </c>
      <c r="CS99" s="83">
        <f>'Raw Data'!CS100/100</f>
        <v>60.33</v>
      </c>
      <c r="CT99" s="83">
        <f>'Raw Data'!CT100/100</f>
        <v>58.44</v>
      </c>
      <c r="CU99" s="382"/>
    </row>
    <row r="100" spans="4:99" s="86" customFormat="1" x14ac:dyDescent="0.2">
      <c r="D100" s="377"/>
      <c r="E100" s="164"/>
      <c r="F100" s="394"/>
      <c r="G100" s="85">
        <f>'Raw Data'!G101</f>
        <v>26357</v>
      </c>
      <c r="H100" s="85">
        <f>'Raw Data'!H101</f>
        <v>26029</v>
      </c>
      <c r="I100" s="85">
        <f>'Raw Data'!I101</f>
        <v>26097</v>
      </c>
      <c r="J100" s="85">
        <f>'Raw Data'!J101</f>
        <v>25968</v>
      </c>
      <c r="K100" s="85">
        <f>'Raw Data'!K101</f>
        <v>25537</v>
      </c>
      <c r="L100" s="85">
        <f>'Raw Data'!L101</f>
        <v>25555</v>
      </c>
      <c r="M100" s="85">
        <f>'Raw Data'!M101</f>
        <v>25515</v>
      </c>
      <c r="N100" s="85">
        <f>'Raw Data'!N101</f>
        <v>25651</v>
      </c>
      <c r="O100" s="85">
        <f>'Raw Data'!O101</f>
        <v>25485</v>
      </c>
      <c r="P100" s="85">
        <f>'Raw Data'!P101</f>
        <v>25471</v>
      </c>
      <c r="Q100" s="85">
        <f>'Raw Data'!Q101</f>
        <v>25139</v>
      </c>
      <c r="R100" s="85">
        <f>'Raw Data'!R101</f>
        <v>25340</v>
      </c>
      <c r="S100" s="85">
        <f>'Raw Data'!S101</f>
        <v>24717</v>
      </c>
      <c r="T100" s="85">
        <f>'Raw Data'!T101</f>
        <v>24868</v>
      </c>
      <c r="U100" s="85">
        <f>'Raw Data'!U101</f>
        <v>24953</v>
      </c>
      <c r="V100" s="85">
        <f>'Raw Data'!V101</f>
        <v>25047</v>
      </c>
      <c r="W100" s="85">
        <f>'Raw Data'!W101</f>
        <v>24457</v>
      </c>
      <c r="X100" s="85">
        <f>'Raw Data'!X101</f>
        <v>24696</v>
      </c>
      <c r="Y100" s="85">
        <f>'Raw Data'!Y101</f>
        <v>24302</v>
      </c>
      <c r="Z100" s="85">
        <f>'Raw Data'!Z101</f>
        <v>24348</v>
      </c>
      <c r="AA100" s="85">
        <f>'Raw Data'!AA101/10</f>
        <v>23742.2</v>
      </c>
      <c r="AB100" s="85">
        <f>'Raw Data'!AB101/10</f>
        <v>22523.8</v>
      </c>
      <c r="AC100" s="85">
        <f>'Raw Data'!AC101/10</f>
        <v>21110.400000000001</v>
      </c>
      <c r="AD100" s="85">
        <f>'Raw Data'!AD101/10</f>
        <v>20091.599999999999</v>
      </c>
      <c r="AE100" s="85">
        <f>'Raw Data'!AE101/10</f>
        <v>18928.099999999999</v>
      </c>
      <c r="AF100" s="85">
        <f>'Raw Data'!AF101/10</f>
        <v>17835.599999999999</v>
      </c>
      <c r="AG100" s="85">
        <f>'Raw Data'!AG101/10</f>
        <v>16865.599999999999</v>
      </c>
      <c r="AH100" s="85">
        <f>'Raw Data'!AH101/10</f>
        <v>15936.2</v>
      </c>
      <c r="AI100" s="85">
        <f>'Raw Data'!AI101/10</f>
        <v>15100.2</v>
      </c>
      <c r="AJ100" s="85">
        <f>'Raw Data'!AJ101/10</f>
        <v>14327.9</v>
      </c>
      <c r="AK100" s="85">
        <f>'Raw Data'!AK101/10</f>
        <v>13631.3</v>
      </c>
      <c r="AL100" s="85">
        <f>'Raw Data'!AL101/10</f>
        <v>12980</v>
      </c>
      <c r="AM100" s="85">
        <f>'Raw Data'!AM101/10</f>
        <v>12332.6</v>
      </c>
      <c r="AN100" s="85">
        <f>'Raw Data'!AN101/10</f>
        <v>11714</v>
      </c>
      <c r="AO100" s="85">
        <f>'Raw Data'!AO101/10</f>
        <v>11208.8</v>
      </c>
      <c r="AP100" s="85">
        <f>'Raw Data'!AP101/10</f>
        <v>10683</v>
      </c>
      <c r="AQ100" s="85">
        <f>'Raw Data'!AQ101/10</f>
        <v>10189.6</v>
      </c>
      <c r="AR100" s="85">
        <f>'Raw Data'!AR101/10</f>
        <v>9790.2999999999993</v>
      </c>
      <c r="AS100" s="85">
        <f>'Raw Data'!AS101/10</f>
        <v>9335.6</v>
      </c>
      <c r="AT100" s="85">
        <f>'Raw Data'!AT101/10</f>
        <v>8912.2000000000007</v>
      </c>
      <c r="AU100" s="85">
        <f>'Raw Data'!AU101/10</f>
        <v>8575.7000000000007</v>
      </c>
      <c r="AV100" s="85">
        <f>'Raw Data'!AV101/10</f>
        <v>8281.1</v>
      </c>
      <c r="AW100" s="85">
        <f>'Raw Data'!AW101/10</f>
        <v>7938.1</v>
      </c>
      <c r="AX100" s="85">
        <f>'Raw Data'!AX101/10</f>
        <v>7646.8</v>
      </c>
      <c r="AY100" s="85">
        <f>'Raw Data'!AY101/10</f>
        <v>7336.4</v>
      </c>
      <c r="AZ100" s="85">
        <f>'Raw Data'!AZ101/10</f>
        <v>7044.9</v>
      </c>
      <c r="BA100" s="85">
        <f>'Raw Data'!BA101/10</f>
        <v>6765.3</v>
      </c>
      <c r="BB100" s="85">
        <f>'Raw Data'!BB101/10</f>
        <v>6536.4</v>
      </c>
      <c r="BC100" s="85">
        <f>'Raw Data'!BC101/10</f>
        <v>6327.8</v>
      </c>
      <c r="BD100" s="85">
        <f>'Raw Data'!BD101/10</f>
        <v>6123.4</v>
      </c>
      <c r="BE100" s="85">
        <f>'Raw Data'!BE101/10</f>
        <v>5872.4</v>
      </c>
      <c r="BF100" s="85">
        <f>'Raw Data'!BF101/10</f>
        <v>5717.1</v>
      </c>
      <c r="BG100" s="85">
        <f>'Raw Data'!BG101/10</f>
        <v>5513.7</v>
      </c>
      <c r="BH100" s="85">
        <f>'Raw Data'!BH101/10</f>
        <v>5348.5</v>
      </c>
      <c r="BI100" s="85">
        <f>'Raw Data'!BI101/10</f>
        <v>5134.8999999999996</v>
      </c>
      <c r="BJ100" s="85">
        <f>'Raw Data'!BJ101/10</f>
        <v>5006.8999999999996</v>
      </c>
      <c r="BK100" s="85">
        <f>'Raw Data'!BK101/10</f>
        <v>4849.2</v>
      </c>
      <c r="BL100" s="85">
        <f>'Raw Data'!BL101/10</f>
        <v>4712.2</v>
      </c>
      <c r="BM100" s="85">
        <f>'Raw Data'!BM101/10</f>
        <v>4563.3999999999996</v>
      </c>
      <c r="BN100" s="85">
        <f>'Raw Data'!BN101/10</f>
        <v>4422.5</v>
      </c>
      <c r="BO100" s="85">
        <f>'Raw Data'!BO101/10</f>
        <v>4299.1000000000004</v>
      </c>
      <c r="BP100" s="85">
        <f>'Raw Data'!BP101/10</f>
        <v>4196.3999999999996</v>
      </c>
      <c r="BQ100" s="85">
        <f>'Raw Data'!BQ101/10</f>
        <v>4071.4</v>
      </c>
      <c r="BR100" s="85">
        <f>'Raw Data'!BR101/10</f>
        <v>3968.9</v>
      </c>
      <c r="BS100" s="85">
        <f>'Raw Data'!BS101/10</f>
        <v>3831.3</v>
      </c>
      <c r="BT100" s="85">
        <f>'Raw Data'!BT101/10</f>
        <v>3742.6</v>
      </c>
      <c r="BU100" s="85">
        <f>'Raw Data'!BU101/10</f>
        <v>3702.5</v>
      </c>
      <c r="BV100" s="85">
        <f>'Raw Data'!BV101/10</f>
        <v>3529.7</v>
      </c>
      <c r="BW100" s="85">
        <f>'Raw Data'!BW101/10</f>
        <v>3495.3</v>
      </c>
      <c r="BX100" s="85">
        <f>'Raw Data'!BX101/10</f>
        <v>3393.3</v>
      </c>
      <c r="BY100" s="85">
        <f>'Raw Data'!BY101/10</f>
        <v>3295.4</v>
      </c>
      <c r="BZ100" s="85">
        <f>'Raw Data'!BZ101/10</f>
        <v>3212.3</v>
      </c>
      <c r="CA100" s="85">
        <f>'Raw Data'!CA101/10</f>
        <v>3149.9</v>
      </c>
      <c r="CB100" s="85">
        <f>'Raw Data'!CB101/10</f>
        <v>3070</v>
      </c>
      <c r="CC100" s="85">
        <f>'Raw Data'!CC101/10</f>
        <v>3026.1</v>
      </c>
      <c r="CD100" s="85">
        <f>'Raw Data'!CD101/10</f>
        <v>2930.3</v>
      </c>
      <c r="CE100" s="85">
        <f>'Raw Data'!CE101/10</f>
        <v>2867.8</v>
      </c>
      <c r="CF100" s="85">
        <f>'Raw Data'!CF101/10</f>
        <v>2782.1</v>
      </c>
      <c r="CG100" s="85">
        <f>'Raw Data'!CG101/100</f>
        <v>2511.3200000000002</v>
      </c>
      <c r="CH100" s="85">
        <f>'Raw Data'!CH101/100</f>
        <v>2074.4</v>
      </c>
      <c r="CI100" s="85">
        <f>'Raw Data'!CI101/100</f>
        <v>1754.79</v>
      </c>
      <c r="CJ100" s="85">
        <f>'Raw Data'!CJ101/100</f>
        <v>1517.7</v>
      </c>
      <c r="CK100" s="85">
        <f>'Raw Data'!CK101/100</f>
        <v>1332.88</v>
      </c>
      <c r="CL100" s="85">
        <f>'Raw Data'!CL101/100</f>
        <v>1177.19</v>
      </c>
      <c r="CM100" s="85">
        <f>'Raw Data'!CM101/100</f>
        <v>1060.79</v>
      </c>
      <c r="CN100" s="85">
        <f>'Raw Data'!CN101/100</f>
        <v>960.17</v>
      </c>
      <c r="CO100" s="85">
        <f>'Raw Data'!CO101/100</f>
        <v>882.82</v>
      </c>
      <c r="CP100" s="85">
        <f>'Raw Data'!CP101/100</f>
        <v>814.75</v>
      </c>
      <c r="CQ100" s="85">
        <f>'Raw Data'!CQ101/100</f>
        <v>758.09</v>
      </c>
      <c r="CR100" s="85">
        <f>'Raw Data'!CR101/100</f>
        <v>708.9</v>
      </c>
      <c r="CS100" s="85">
        <f>'Raw Data'!CS101/100</f>
        <v>660.64</v>
      </c>
      <c r="CT100" s="85">
        <f>'Raw Data'!CT101/100</f>
        <v>623.09</v>
      </c>
      <c r="CU100" s="382"/>
    </row>
    <row r="101" spans="4:99" s="86" customFormat="1" x14ac:dyDescent="0.2">
      <c r="D101" s="375"/>
      <c r="E101" s="164"/>
      <c r="F101" s="394"/>
      <c r="G101" s="86">
        <f>'Raw Data'!G102</f>
        <v>4897</v>
      </c>
      <c r="H101" s="86">
        <f>'Raw Data'!H102</f>
        <v>4893</v>
      </c>
      <c r="I101" s="86">
        <f>'Raw Data'!I102</f>
        <v>4951</v>
      </c>
      <c r="J101" s="86">
        <f>'Raw Data'!J102</f>
        <v>4999</v>
      </c>
      <c r="K101" s="86">
        <f>'Raw Data'!K102</f>
        <v>4980</v>
      </c>
      <c r="L101" s="86">
        <f>'Raw Data'!L102</f>
        <v>4910</v>
      </c>
      <c r="M101" s="86">
        <f>'Raw Data'!M102</f>
        <v>4839</v>
      </c>
      <c r="N101" s="86">
        <f>'Raw Data'!N102</f>
        <v>4884</v>
      </c>
      <c r="O101" s="86">
        <f>'Raw Data'!O102</f>
        <v>4964</v>
      </c>
      <c r="P101" s="86">
        <f>'Raw Data'!P102</f>
        <v>4830</v>
      </c>
      <c r="Q101" s="86">
        <f>'Raw Data'!Q102</f>
        <v>4788</v>
      </c>
      <c r="R101" s="86">
        <f>'Raw Data'!R102</f>
        <v>4815</v>
      </c>
      <c r="S101" s="86">
        <f>'Raw Data'!S102</f>
        <v>4931</v>
      </c>
      <c r="T101" s="86">
        <f>'Raw Data'!T102</f>
        <v>4757</v>
      </c>
      <c r="U101" s="86">
        <f>'Raw Data'!U102</f>
        <v>4795</v>
      </c>
      <c r="V101" s="86">
        <f>'Raw Data'!V102</f>
        <v>4741</v>
      </c>
      <c r="W101" s="86">
        <f>'Raw Data'!W102</f>
        <v>4781</v>
      </c>
      <c r="X101" s="86">
        <f>'Raw Data'!X102</f>
        <v>4689</v>
      </c>
      <c r="Y101" s="86">
        <f>'Raw Data'!Y102</f>
        <v>4751</v>
      </c>
      <c r="Z101" s="86">
        <f>'Raw Data'!Z102</f>
        <v>4753</v>
      </c>
      <c r="AA101" s="86">
        <f>'Raw Data'!AA102/10</f>
        <v>4602.8</v>
      </c>
      <c r="AB101" s="86">
        <f>'Raw Data'!AB102/10</f>
        <v>4399.2</v>
      </c>
      <c r="AC101" s="86">
        <f>'Raw Data'!AC102/10</f>
        <v>4208.3</v>
      </c>
      <c r="AD101" s="86">
        <f>'Raw Data'!AD102/10</f>
        <v>4014.7</v>
      </c>
      <c r="AE101" s="86">
        <f>'Raw Data'!AE102/10</f>
        <v>3801.9</v>
      </c>
      <c r="AF101" s="86">
        <f>'Raw Data'!AF102/10</f>
        <v>3627.6</v>
      </c>
      <c r="AG101" s="86">
        <f>'Raw Data'!AG102/10</f>
        <v>3426.5</v>
      </c>
      <c r="AH101" s="86">
        <f>'Raw Data'!AH102/10</f>
        <v>3293.8</v>
      </c>
      <c r="AI101" s="86">
        <f>'Raw Data'!AI102/10</f>
        <v>3117.7</v>
      </c>
      <c r="AJ101" s="86">
        <f>'Raw Data'!AJ102/10</f>
        <v>2993.9</v>
      </c>
      <c r="AK101" s="86">
        <f>'Raw Data'!AK102/10</f>
        <v>2869.5</v>
      </c>
      <c r="AL101" s="86">
        <f>'Raw Data'!AL102/10</f>
        <v>2745.7</v>
      </c>
      <c r="AM101" s="86">
        <f>'Raw Data'!AM102/10</f>
        <v>2620</v>
      </c>
      <c r="AN101" s="86">
        <f>'Raw Data'!AN102/10</f>
        <v>2513.4</v>
      </c>
      <c r="AO101" s="86">
        <f>'Raw Data'!AO102/10</f>
        <v>2438.6</v>
      </c>
      <c r="AP101" s="86">
        <f>'Raw Data'!AP102/10</f>
        <v>2351.4</v>
      </c>
      <c r="AQ101" s="86">
        <f>'Raw Data'!AQ102/10</f>
        <v>2228.4</v>
      </c>
      <c r="AR101" s="86">
        <f>'Raw Data'!AR102/10</f>
        <v>2162.6999999999998</v>
      </c>
      <c r="AS101" s="86">
        <f>'Raw Data'!AS102/10</f>
        <v>2077.4</v>
      </c>
      <c r="AT101" s="86">
        <f>'Raw Data'!AT102/10</f>
        <v>2012.1</v>
      </c>
      <c r="AU101" s="86">
        <f>'Raw Data'!AU102/10</f>
        <v>1950</v>
      </c>
      <c r="AV101" s="86">
        <f>'Raw Data'!AV102/10</f>
        <v>1885.2</v>
      </c>
      <c r="AW101" s="86">
        <f>'Raw Data'!AW102/10</f>
        <v>1837</v>
      </c>
      <c r="AX101" s="86">
        <f>'Raw Data'!AX102/10</f>
        <v>1751.5</v>
      </c>
      <c r="AY101" s="86">
        <f>'Raw Data'!AY102/10</f>
        <v>1710.5</v>
      </c>
      <c r="AZ101" s="86">
        <f>'Raw Data'!AZ102/10</f>
        <v>1667.8</v>
      </c>
      <c r="BA101" s="86">
        <f>'Raw Data'!BA102/10</f>
        <v>1617</v>
      </c>
      <c r="BB101" s="86">
        <f>'Raw Data'!BB102/10</f>
        <v>1571.2</v>
      </c>
      <c r="BC101" s="86">
        <f>'Raw Data'!BC102/10</f>
        <v>1533.8</v>
      </c>
      <c r="BD101" s="86">
        <f>'Raw Data'!BD102/10</f>
        <v>1482.8</v>
      </c>
      <c r="BE101" s="86">
        <f>'Raw Data'!BE102/10</f>
        <v>1463.4</v>
      </c>
      <c r="BF101" s="86">
        <f>'Raw Data'!BF102/10</f>
        <v>1418.5</v>
      </c>
      <c r="BG101" s="86">
        <f>'Raw Data'!BG102/10</f>
        <v>1372.9</v>
      </c>
      <c r="BH101" s="86">
        <f>'Raw Data'!BH102/10</f>
        <v>1327.4</v>
      </c>
      <c r="BI101" s="86">
        <f>'Raw Data'!BI102/10</f>
        <v>1319.5</v>
      </c>
      <c r="BJ101" s="86">
        <f>'Raw Data'!BJ102/10</f>
        <v>1285.3</v>
      </c>
      <c r="BK101" s="86">
        <f>'Raw Data'!BK102/10</f>
        <v>1251.5</v>
      </c>
      <c r="BL101" s="86">
        <f>'Raw Data'!BL102/10</f>
        <v>1208.7</v>
      </c>
      <c r="BM101" s="86">
        <f>'Raw Data'!BM102/10</f>
        <v>1202.8</v>
      </c>
      <c r="BN101" s="86">
        <f>'Raw Data'!BN102/10</f>
        <v>1158.5999999999999</v>
      </c>
      <c r="BO101" s="86">
        <f>'Raw Data'!BO102/10</f>
        <v>1153.0999999999999</v>
      </c>
      <c r="BP101" s="86">
        <f>'Raw Data'!BP102/10</f>
        <v>1140.2</v>
      </c>
      <c r="BQ101" s="86">
        <f>'Raw Data'!BQ102/10</f>
        <v>1116.5</v>
      </c>
      <c r="BR101" s="86">
        <f>'Raw Data'!BR102/10</f>
        <v>1091.8</v>
      </c>
      <c r="BS101" s="86">
        <f>'Raw Data'!BS102/10</f>
        <v>1060.9000000000001</v>
      </c>
      <c r="BT101" s="86">
        <f>'Raw Data'!BT102/10</f>
        <v>1054.0999999999999</v>
      </c>
      <c r="BU101" s="86">
        <f>'Raw Data'!BU102/10</f>
        <v>1023.6</v>
      </c>
      <c r="BV101" s="86">
        <f>'Raw Data'!BV102/10</f>
        <v>1008.3</v>
      </c>
      <c r="BW101" s="86">
        <f>'Raw Data'!BW102/10</f>
        <v>994.4</v>
      </c>
      <c r="BX101" s="86">
        <f>'Raw Data'!BX102/10</f>
        <v>973.7</v>
      </c>
      <c r="BY101" s="86">
        <f>'Raw Data'!BY102/10</f>
        <v>960.3</v>
      </c>
      <c r="BZ101" s="86">
        <f>'Raw Data'!BZ102/10</f>
        <v>937.5</v>
      </c>
      <c r="CA101" s="86">
        <f>'Raw Data'!CA102/10</f>
        <v>926</v>
      </c>
      <c r="CB101" s="86">
        <f>'Raw Data'!CB102/10</f>
        <v>905.1</v>
      </c>
      <c r="CC101" s="86">
        <f>'Raw Data'!CC102/10</f>
        <v>899.3</v>
      </c>
      <c r="CD101" s="86">
        <f>'Raw Data'!CD102/10</f>
        <v>867</v>
      </c>
      <c r="CE101" s="86">
        <f>'Raw Data'!CE102/10</f>
        <v>861</v>
      </c>
      <c r="CF101" s="86">
        <f>'Raw Data'!CF102/10</f>
        <v>870.4</v>
      </c>
      <c r="CG101" s="86">
        <f>'Raw Data'!CG102/100</f>
        <v>799.39</v>
      </c>
      <c r="CH101" s="86">
        <f>'Raw Data'!CH102/100</f>
        <v>704.45</v>
      </c>
      <c r="CI101" s="86">
        <f>'Raw Data'!CI102/100</f>
        <v>634.85</v>
      </c>
      <c r="CJ101" s="86">
        <f>'Raw Data'!CJ102/100</f>
        <v>582.5</v>
      </c>
      <c r="CK101" s="86">
        <f>'Raw Data'!CK102/100</f>
        <v>540.71</v>
      </c>
      <c r="CL101" s="86">
        <f>'Raw Data'!CL102/100</f>
        <v>503.75</v>
      </c>
      <c r="CM101" s="86">
        <f>'Raw Data'!CM102/100</f>
        <v>474.77</v>
      </c>
      <c r="CN101" s="86">
        <f>'Raw Data'!CN102/100</f>
        <v>447.03</v>
      </c>
      <c r="CO101" s="86">
        <f>'Raw Data'!CO102/100</f>
        <v>425.13</v>
      </c>
      <c r="CP101" s="86">
        <f>'Raw Data'!CP102/100</f>
        <v>409.84</v>
      </c>
      <c r="CQ101" s="86">
        <f>'Raw Data'!CQ102/100</f>
        <v>387.1</v>
      </c>
      <c r="CR101" s="86">
        <f>'Raw Data'!CR102/100</f>
        <v>373.51</v>
      </c>
      <c r="CS101" s="86">
        <f>'Raw Data'!CS102/100</f>
        <v>360.91</v>
      </c>
      <c r="CT101" s="86">
        <f>'Raw Data'!CT102/100</f>
        <v>342.5</v>
      </c>
      <c r="CU101" s="382"/>
    </row>
    <row r="102" spans="4:99" s="86" customFormat="1" x14ac:dyDescent="0.2">
      <c r="D102" s="375"/>
      <c r="E102" s="164"/>
      <c r="F102" s="394"/>
      <c r="G102" s="86">
        <f>'Raw Data'!G103</f>
        <v>8534</v>
      </c>
      <c r="H102" s="86">
        <f>'Raw Data'!H103</f>
        <v>8648</v>
      </c>
      <c r="I102" s="86">
        <f>'Raw Data'!I103</f>
        <v>8486</v>
      </c>
      <c r="J102" s="86">
        <f>'Raw Data'!J103</f>
        <v>8622</v>
      </c>
      <c r="K102" s="86">
        <f>'Raw Data'!K103</f>
        <v>8485</v>
      </c>
      <c r="L102" s="86">
        <f>'Raw Data'!L103</f>
        <v>8590</v>
      </c>
      <c r="M102" s="86">
        <f>'Raw Data'!M103</f>
        <v>8486</v>
      </c>
      <c r="N102" s="86">
        <f>'Raw Data'!N103</f>
        <v>8700</v>
      </c>
      <c r="O102" s="86">
        <f>'Raw Data'!O103</f>
        <v>8393</v>
      </c>
      <c r="P102" s="86">
        <f>'Raw Data'!P103</f>
        <v>8351</v>
      </c>
      <c r="Q102" s="86">
        <f>'Raw Data'!Q103</f>
        <v>8326</v>
      </c>
      <c r="R102" s="86">
        <f>'Raw Data'!R103</f>
        <v>8369</v>
      </c>
      <c r="S102" s="86">
        <f>'Raw Data'!S103</f>
        <v>8352</v>
      </c>
      <c r="T102" s="86">
        <f>'Raw Data'!T103</f>
        <v>8351</v>
      </c>
      <c r="U102" s="86">
        <f>'Raw Data'!U103</f>
        <v>8258</v>
      </c>
      <c r="V102" s="86">
        <f>'Raw Data'!V103</f>
        <v>8113</v>
      </c>
      <c r="W102" s="86">
        <f>'Raw Data'!W103</f>
        <v>8228</v>
      </c>
      <c r="X102" s="86">
        <f>'Raw Data'!X103</f>
        <v>8158</v>
      </c>
      <c r="Y102" s="86">
        <f>'Raw Data'!Y103</f>
        <v>8082</v>
      </c>
      <c r="Z102" s="86">
        <f>'Raw Data'!Z103</f>
        <v>7995</v>
      </c>
      <c r="AA102" s="86">
        <f>'Raw Data'!AA103/10</f>
        <v>7877.3</v>
      </c>
      <c r="AB102" s="86">
        <f>'Raw Data'!AB103/10</f>
        <v>7400.6</v>
      </c>
      <c r="AC102" s="86">
        <f>'Raw Data'!AC103/10</f>
        <v>7065.5</v>
      </c>
      <c r="AD102" s="86">
        <f>'Raw Data'!AD103/10</f>
        <v>6675.1</v>
      </c>
      <c r="AE102" s="86">
        <f>'Raw Data'!AE103/10</f>
        <v>6289</v>
      </c>
      <c r="AF102" s="86">
        <f>'Raw Data'!AF103/10</f>
        <v>5929.3</v>
      </c>
      <c r="AG102" s="86">
        <f>'Raw Data'!AG103/10</f>
        <v>5613.7</v>
      </c>
      <c r="AH102" s="86">
        <f>'Raw Data'!AH103/10</f>
        <v>5336.9</v>
      </c>
      <c r="AI102" s="86">
        <f>'Raw Data'!AI103/10</f>
        <v>5053.3999999999996</v>
      </c>
      <c r="AJ102" s="86">
        <f>'Raw Data'!AJ103/10</f>
        <v>4783.5</v>
      </c>
      <c r="AK102" s="86">
        <f>'Raw Data'!AK103/10</f>
        <v>4556.7</v>
      </c>
      <c r="AL102" s="86">
        <f>'Raw Data'!AL103/10</f>
        <v>4326</v>
      </c>
      <c r="AM102" s="86">
        <f>'Raw Data'!AM103/10</f>
        <v>4122.7</v>
      </c>
      <c r="AN102" s="86">
        <f>'Raw Data'!AN103/10</f>
        <v>3911.3</v>
      </c>
      <c r="AO102" s="86">
        <f>'Raw Data'!AO103/10</f>
        <v>3733.8</v>
      </c>
      <c r="AP102" s="86">
        <f>'Raw Data'!AP103/10</f>
        <v>3592</v>
      </c>
      <c r="AQ102" s="86">
        <f>'Raw Data'!AQ103/10</f>
        <v>3419.8</v>
      </c>
      <c r="AR102" s="86">
        <f>'Raw Data'!AR103/10</f>
        <v>3287.8</v>
      </c>
      <c r="AS102" s="86">
        <f>'Raw Data'!AS103/10</f>
        <v>3167.5</v>
      </c>
      <c r="AT102" s="86">
        <f>'Raw Data'!AT103/10</f>
        <v>3013</v>
      </c>
      <c r="AU102" s="86">
        <f>'Raw Data'!AU103/10</f>
        <v>2874.6</v>
      </c>
      <c r="AV102" s="86">
        <f>'Raw Data'!AV103/10</f>
        <v>2798.3</v>
      </c>
      <c r="AW102" s="86">
        <f>'Raw Data'!AW103/10</f>
        <v>2673</v>
      </c>
      <c r="AX102" s="86">
        <f>'Raw Data'!AX103/10</f>
        <v>2594.6</v>
      </c>
      <c r="AY102" s="86">
        <f>'Raw Data'!AY103/10</f>
        <v>2482.8000000000002</v>
      </c>
      <c r="AZ102" s="86">
        <f>'Raw Data'!AZ103/10</f>
        <v>2389.4</v>
      </c>
      <c r="BA102" s="86">
        <f>'Raw Data'!BA103/10</f>
        <v>2283.3000000000002</v>
      </c>
      <c r="BB102" s="86">
        <f>'Raw Data'!BB103/10</f>
        <v>2216.3000000000002</v>
      </c>
      <c r="BC102" s="86">
        <f>'Raw Data'!BC103/10</f>
        <v>2151.4</v>
      </c>
      <c r="BD102" s="86">
        <f>'Raw Data'!BD103/10</f>
        <v>2101.6999999999998</v>
      </c>
      <c r="BE102" s="86">
        <f>'Raw Data'!BE103/10</f>
        <v>2020.1</v>
      </c>
      <c r="BF102" s="86">
        <f>'Raw Data'!BF103/10</f>
        <v>1962.6</v>
      </c>
      <c r="BG102" s="86">
        <f>'Raw Data'!BG103/10</f>
        <v>1873.2</v>
      </c>
      <c r="BH102" s="86">
        <f>'Raw Data'!BH103/10</f>
        <v>1825.1</v>
      </c>
      <c r="BI102" s="86">
        <f>'Raw Data'!BI103/10</f>
        <v>1773.1</v>
      </c>
      <c r="BJ102" s="86">
        <f>'Raw Data'!BJ103/10</f>
        <v>1707.3</v>
      </c>
      <c r="BK102" s="86">
        <f>'Raw Data'!BK103/10</f>
        <v>1673.7</v>
      </c>
      <c r="BL102" s="86">
        <f>'Raw Data'!BL103/10</f>
        <v>1617.9</v>
      </c>
      <c r="BM102" s="86">
        <f>'Raw Data'!BM103/10</f>
        <v>1563.7</v>
      </c>
      <c r="BN102" s="86">
        <f>'Raw Data'!BN103/10</f>
        <v>1528.6</v>
      </c>
      <c r="BO102" s="86">
        <f>'Raw Data'!BO103/10</f>
        <v>1489.4</v>
      </c>
      <c r="BP102" s="86">
        <f>'Raw Data'!BP103/10</f>
        <v>1475.3</v>
      </c>
      <c r="BQ102" s="86">
        <f>'Raw Data'!BQ103/10</f>
        <v>1401.4</v>
      </c>
      <c r="BR102" s="86">
        <f>'Raw Data'!BR103/10</f>
        <v>1369.8</v>
      </c>
      <c r="BS102" s="86">
        <f>'Raw Data'!BS103/10</f>
        <v>1340.4</v>
      </c>
      <c r="BT102" s="86">
        <f>'Raw Data'!BT103/10</f>
        <v>1315.6</v>
      </c>
      <c r="BU102" s="86">
        <f>'Raw Data'!BU103/10</f>
        <v>1276.0999999999999</v>
      </c>
      <c r="BV102" s="86">
        <f>'Raw Data'!BV103/10</f>
        <v>1251.2</v>
      </c>
      <c r="BW102" s="86">
        <f>'Raw Data'!BW103/10</f>
        <v>1222</v>
      </c>
      <c r="BX102" s="86">
        <f>'Raw Data'!BX103/10</f>
        <v>1189.8</v>
      </c>
      <c r="BY102" s="86">
        <f>'Raw Data'!BY103/10</f>
        <v>1168</v>
      </c>
      <c r="BZ102" s="86">
        <f>'Raw Data'!BZ103/10</f>
        <v>1140.5</v>
      </c>
      <c r="CA102" s="86">
        <f>'Raw Data'!CA103/10</f>
        <v>1117.5</v>
      </c>
      <c r="CB102" s="86">
        <f>'Raw Data'!CB103/10</f>
        <v>1090.8</v>
      </c>
      <c r="CC102" s="86">
        <f>'Raw Data'!CC103/10</f>
        <v>1073.3</v>
      </c>
      <c r="CD102" s="86">
        <f>'Raw Data'!CD103/10</f>
        <v>1048.3</v>
      </c>
      <c r="CE102" s="86">
        <f>'Raw Data'!CE103/10</f>
        <v>1009.8</v>
      </c>
      <c r="CF102" s="86">
        <f>'Raw Data'!CF103/10</f>
        <v>1009.4</v>
      </c>
      <c r="CG102" s="86">
        <f>'Raw Data'!CG103/100</f>
        <v>910.56</v>
      </c>
      <c r="CH102" s="86">
        <f>'Raw Data'!CH103/100</f>
        <v>756.34</v>
      </c>
      <c r="CI102" s="86">
        <f>'Raw Data'!CI103/100</f>
        <v>654.27</v>
      </c>
      <c r="CJ102" s="86">
        <f>'Raw Data'!CJ103/100</f>
        <v>574.14</v>
      </c>
      <c r="CK102" s="86">
        <f>'Raw Data'!CK103/100</f>
        <v>511.63</v>
      </c>
      <c r="CL102" s="86">
        <f>'Raw Data'!CL103/100</f>
        <v>459.4</v>
      </c>
      <c r="CM102" s="86">
        <f>'Raw Data'!CM103/100</f>
        <v>423.65</v>
      </c>
      <c r="CN102" s="86">
        <f>'Raw Data'!CN103/100</f>
        <v>389.89</v>
      </c>
      <c r="CO102" s="86">
        <f>'Raw Data'!CO103/100</f>
        <v>359.19</v>
      </c>
      <c r="CP102" s="86">
        <f>'Raw Data'!CP103/100</f>
        <v>335.5</v>
      </c>
      <c r="CQ102" s="86">
        <f>'Raw Data'!CQ103/100</f>
        <v>314.17</v>
      </c>
      <c r="CR102" s="86">
        <f>'Raw Data'!CR103/100</f>
        <v>296.77999999999997</v>
      </c>
      <c r="CS102" s="86">
        <f>'Raw Data'!CS103/100</f>
        <v>282.27</v>
      </c>
      <c r="CT102" s="86">
        <f>'Raw Data'!CT103/100</f>
        <v>267.16000000000003</v>
      </c>
      <c r="CU102" s="382"/>
    </row>
    <row r="103" spans="4:99" s="86" customFormat="1" x14ac:dyDescent="0.2">
      <c r="D103" s="375"/>
      <c r="E103" s="164"/>
      <c r="F103" s="394"/>
      <c r="G103" s="86">
        <f>'Raw Data'!G104</f>
        <v>3971</v>
      </c>
      <c r="H103" s="86">
        <f>'Raw Data'!H104</f>
        <v>4134</v>
      </c>
      <c r="I103" s="86">
        <f>'Raw Data'!I104</f>
        <v>4061</v>
      </c>
      <c r="J103" s="86">
        <f>'Raw Data'!J104</f>
        <v>4114</v>
      </c>
      <c r="K103" s="86">
        <f>'Raw Data'!K104</f>
        <v>4013</v>
      </c>
      <c r="L103" s="86">
        <f>'Raw Data'!L104</f>
        <v>4011</v>
      </c>
      <c r="M103" s="86">
        <f>'Raw Data'!M104</f>
        <v>3975</v>
      </c>
      <c r="N103" s="86">
        <f>'Raw Data'!N104</f>
        <v>3994</v>
      </c>
      <c r="O103" s="86">
        <f>'Raw Data'!O104</f>
        <v>3987</v>
      </c>
      <c r="P103" s="86">
        <f>'Raw Data'!P104</f>
        <v>3939</v>
      </c>
      <c r="Q103" s="86">
        <f>'Raw Data'!Q104</f>
        <v>3913</v>
      </c>
      <c r="R103" s="86">
        <f>'Raw Data'!R104</f>
        <v>3952</v>
      </c>
      <c r="S103" s="86">
        <f>'Raw Data'!S104</f>
        <v>3907</v>
      </c>
      <c r="T103" s="86">
        <f>'Raw Data'!T104</f>
        <v>3851</v>
      </c>
      <c r="U103" s="86">
        <f>'Raw Data'!U104</f>
        <v>3827</v>
      </c>
      <c r="V103" s="86">
        <f>'Raw Data'!V104</f>
        <v>3865</v>
      </c>
      <c r="W103" s="86">
        <f>'Raw Data'!W104</f>
        <v>3899</v>
      </c>
      <c r="X103" s="86">
        <f>'Raw Data'!X104</f>
        <v>3805</v>
      </c>
      <c r="Y103" s="86">
        <f>'Raw Data'!Y104</f>
        <v>3826</v>
      </c>
      <c r="Z103" s="86">
        <f>'Raw Data'!Z104</f>
        <v>3794</v>
      </c>
      <c r="AA103" s="86">
        <f>'Raw Data'!AA104/10</f>
        <v>3739.9</v>
      </c>
      <c r="AB103" s="86">
        <f>'Raw Data'!AB104/10</f>
        <v>3520.9</v>
      </c>
      <c r="AC103" s="86">
        <f>'Raw Data'!AC104/10</f>
        <v>3370.6</v>
      </c>
      <c r="AD103" s="86">
        <f>'Raw Data'!AD104/10</f>
        <v>3214.5</v>
      </c>
      <c r="AE103" s="86">
        <f>'Raw Data'!AE104/10</f>
        <v>3042.8</v>
      </c>
      <c r="AF103" s="86">
        <f>'Raw Data'!AF104/10</f>
        <v>2884.9</v>
      </c>
      <c r="AG103" s="86">
        <f>'Raw Data'!AG104/10</f>
        <v>2708.9</v>
      </c>
      <c r="AH103" s="86">
        <f>'Raw Data'!AH104/10</f>
        <v>2575.3000000000002</v>
      </c>
      <c r="AI103" s="86">
        <f>'Raw Data'!AI104/10</f>
        <v>2486</v>
      </c>
      <c r="AJ103" s="86">
        <f>'Raw Data'!AJ104/10</f>
        <v>2345.3000000000002</v>
      </c>
      <c r="AK103" s="86">
        <f>'Raw Data'!AK104/10</f>
        <v>2235.1</v>
      </c>
      <c r="AL103" s="86">
        <f>'Raw Data'!AL104/10</f>
        <v>2147.5</v>
      </c>
      <c r="AM103" s="86">
        <f>'Raw Data'!AM104/10</f>
        <v>2030.5</v>
      </c>
      <c r="AN103" s="86">
        <f>'Raw Data'!AN104/10</f>
        <v>1963.4</v>
      </c>
      <c r="AO103" s="86">
        <f>'Raw Data'!AO104/10</f>
        <v>1882.5</v>
      </c>
      <c r="AP103" s="86">
        <f>'Raw Data'!AP104/10</f>
        <v>1794.6</v>
      </c>
      <c r="AQ103" s="86">
        <f>'Raw Data'!AQ104/10</f>
        <v>1722.2</v>
      </c>
      <c r="AR103" s="86">
        <f>'Raw Data'!AR104/10</f>
        <v>1669.8</v>
      </c>
      <c r="AS103" s="86">
        <f>'Raw Data'!AS104/10</f>
        <v>1591.9</v>
      </c>
      <c r="AT103" s="86">
        <f>'Raw Data'!AT104/10</f>
        <v>1535.5</v>
      </c>
      <c r="AU103" s="86">
        <f>'Raw Data'!AU104/10</f>
        <v>1486.8</v>
      </c>
      <c r="AV103" s="86">
        <f>'Raw Data'!AV104/10</f>
        <v>1428.7</v>
      </c>
      <c r="AW103" s="86">
        <f>'Raw Data'!AW104/10</f>
        <v>1378.1</v>
      </c>
      <c r="AX103" s="86">
        <f>'Raw Data'!AX104/10</f>
        <v>1318.9</v>
      </c>
      <c r="AY103" s="86">
        <f>'Raw Data'!AY104/10</f>
        <v>1296.4000000000001</v>
      </c>
      <c r="AZ103" s="86">
        <f>'Raw Data'!AZ104/10</f>
        <v>1241.0999999999999</v>
      </c>
      <c r="BA103" s="86">
        <f>'Raw Data'!BA104/10</f>
        <v>1212.3</v>
      </c>
      <c r="BB103" s="86">
        <f>'Raw Data'!BB104/10</f>
        <v>1167.3</v>
      </c>
      <c r="BC103" s="86">
        <f>'Raw Data'!BC104/10</f>
        <v>1134.9000000000001</v>
      </c>
      <c r="BD103" s="86">
        <f>'Raw Data'!BD104/10</f>
        <v>1102.3</v>
      </c>
      <c r="BE103" s="86">
        <f>'Raw Data'!BE104/10</f>
        <v>1070.5999999999999</v>
      </c>
      <c r="BF103" s="86">
        <f>'Raw Data'!BF104/10</f>
        <v>1050.8</v>
      </c>
      <c r="BG103" s="86">
        <f>'Raw Data'!BG104/10</f>
        <v>1004.3</v>
      </c>
      <c r="BH103" s="86">
        <f>'Raw Data'!BH104/10</f>
        <v>997.3</v>
      </c>
      <c r="BI103" s="86">
        <f>'Raw Data'!BI104/10</f>
        <v>957.8</v>
      </c>
      <c r="BJ103" s="86">
        <f>'Raw Data'!BJ104/10</f>
        <v>937.6</v>
      </c>
      <c r="BK103" s="86">
        <f>'Raw Data'!BK104/10</f>
        <v>920.2</v>
      </c>
      <c r="BL103" s="86">
        <f>'Raw Data'!BL104/10</f>
        <v>893.1</v>
      </c>
      <c r="BM103" s="86">
        <f>'Raw Data'!BM104/10</f>
        <v>864.6</v>
      </c>
      <c r="BN103" s="86">
        <f>'Raw Data'!BN104/10</f>
        <v>846.3</v>
      </c>
      <c r="BO103" s="86">
        <f>'Raw Data'!BO104/10</f>
        <v>839.7</v>
      </c>
      <c r="BP103" s="86">
        <f>'Raw Data'!BP104/10</f>
        <v>820.6</v>
      </c>
      <c r="BQ103" s="86">
        <f>'Raw Data'!BQ104/10</f>
        <v>799.8</v>
      </c>
      <c r="BR103" s="86">
        <f>'Raw Data'!BR104/10</f>
        <v>777</v>
      </c>
      <c r="BS103" s="86">
        <f>'Raw Data'!BS104/10</f>
        <v>767</v>
      </c>
      <c r="BT103" s="86">
        <f>'Raw Data'!BT104/10</f>
        <v>744</v>
      </c>
      <c r="BU103" s="86">
        <f>'Raw Data'!BU104/10</f>
        <v>734.9</v>
      </c>
      <c r="BV103" s="86">
        <f>'Raw Data'!BV104/10</f>
        <v>706.6</v>
      </c>
      <c r="BW103" s="86">
        <f>'Raw Data'!BW104/10</f>
        <v>703.2</v>
      </c>
      <c r="BX103" s="86">
        <f>'Raw Data'!BX104/10</f>
        <v>693.6</v>
      </c>
      <c r="BY103" s="86">
        <f>'Raw Data'!BY104/10</f>
        <v>669.5</v>
      </c>
      <c r="BZ103" s="86">
        <f>'Raw Data'!BZ104/10</f>
        <v>666.5</v>
      </c>
      <c r="CA103" s="86">
        <f>'Raw Data'!CA104/10</f>
        <v>646.70000000000005</v>
      </c>
      <c r="CB103" s="86">
        <f>'Raw Data'!CB104/10</f>
        <v>637.6</v>
      </c>
      <c r="CC103" s="86">
        <f>'Raw Data'!CC104/10</f>
        <v>635.79999999999995</v>
      </c>
      <c r="CD103" s="86">
        <f>'Raw Data'!CD104/10</f>
        <v>619.6</v>
      </c>
      <c r="CE103" s="86">
        <f>'Raw Data'!CE104/10</f>
        <v>616.79999999999995</v>
      </c>
      <c r="CF103" s="86">
        <f>'Raw Data'!CF104/10</f>
        <v>597.4</v>
      </c>
      <c r="CG103" s="86">
        <f>'Raw Data'!CG104/100</f>
        <v>547.28</v>
      </c>
      <c r="CH103" s="86">
        <f>'Raw Data'!CH104/100</f>
        <v>479.1</v>
      </c>
      <c r="CI103" s="86">
        <f>'Raw Data'!CI104/100</f>
        <v>423.63</v>
      </c>
      <c r="CJ103" s="86">
        <f>'Raw Data'!CJ104/100</f>
        <v>387.48</v>
      </c>
      <c r="CK103" s="86">
        <f>'Raw Data'!CK104/100</f>
        <v>352.17</v>
      </c>
      <c r="CL103" s="86">
        <f>'Raw Data'!CL104/100</f>
        <v>327.75</v>
      </c>
      <c r="CM103" s="86">
        <f>'Raw Data'!CM104/100</f>
        <v>305.29000000000002</v>
      </c>
      <c r="CN103" s="86">
        <f>'Raw Data'!CN104/100</f>
        <v>283.61</v>
      </c>
      <c r="CO103" s="86">
        <f>'Raw Data'!CO104/100</f>
        <v>272.39999999999998</v>
      </c>
      <c r="CP103" s="86">
        <f>'Raw Data'!CP104/100</f>
        <v>258.07</v>
      </c>
      <c r="CQ103" s="86">
        <f>'Raw Data'!CQ104/100</f>
        <v>245.04</v>
      </c>
      <c r="CR103" s="86">
        <f>'Raw Data'!CR104/100</f>
        <v>235.96</v>
      </c>
      <c r="CS103" s="86">
        <f>'Raw Data'!CS104/100</f>
        <v>227.46</v>
      </c>
      <c r="CT103" s="86">
        <f>'Raw Data'!CT104/100</f>
        <v>217.77</v>
      </c>
      <c r="CU103" s="382"/>
    </row>
    <row r="104" spans="4:99" s="86" customFormat="1" x14ac:dyDescent="0.2">
      <c r="D104" s="375"/>
      <c r="E104" s="164"/>
      <c r="F104" s="394"/>
      <c r="G104" s="86">
        <f>'Raw Data'!G105</f>
        <v>13913</v>
      </c>
      <c r="H104" s="86">
        <f>'Raw Data'!H105</f>
        <v>13684</v>
      </c>
      <c r="I104" s="86">
        <f>'Raw Data'!I105</f>
        <v>14028</v>
      </c>
      <c r="J104" s="86">
        <f>'Raw Data'!J105</f>
        <v>13858</v>
      </c>
      <c r="K104" s="86">
        <f>'Raw Data'!K105</f>
        <v>13888</v>
      </c>
      <c r="L104" s="86">
        <f>'Raw Data'!L105</f>
        <v>13868</v>
      </c>
      <c r="M104" s="86">
        <f>'Raw Data'!M105</f>
        <v>13618</v>
      </c>
      <c r="N104" s="86">
        <f>'Raw Data'!N105</f>
        <v>13808</v>
      </c>
      <c r="O104" s="86">
        <f>'Raw Data'!O105</f>
        <v>13744</v>
      </c>
      <c r="P104" s="86">
        <f>'Raw Data'!P105</f>
        <v>13580</v>
      </c>
      <c r="Q104" s="86">
        <f>'Raw Data'!Q105</f>
        <v>13144</v>
      </c>
      <c r="R104" s="86">
        <f>'Raw Data'!R105</f>
        <v>13352</v>
      </c>
      <c r="S104" s="86">
        <f>'Raw Data'!S105</f>
        <v>13496</v>
      </c>
      <c r="T104" s="86">
        <f>'Raw Data'!T105</f>
        <v>13317</v>
      </c>
      <c r="U104" s="86">
        <f>'Raw Data'!U105</f>
        <v>13150</v>
      </c>
      <c r="V104" s="86">
        <f>'Raw Data'!V105</f>
        <v>13202</v>
      </c>
      <c r="W104" s="86">
        <f>'Raw Data'!W105</f>
        <v>13244</v>
      </c>
      <c r="X104" s="86">
        <f>'Raw Data'!X105</f>
        <v>12998</v>
      </c>
      <c r="Y104" s="86">
        <f>'Raw Data'!Y105</f>
        <v>12936</v>
      </c>
      <c r="Z104" s="86">
        <f>'Raw Data'!Z105</f>
        <v>12828</v>
      </c>
      <c r="AA104" s="86">
        <f>'Raw Data'!AA105/10</f>
        <v>12670.9</v>
      </c>
      <c r="AB104" s="86">
        <f>'Raw Data'!AB105/10</f>
        <v>12010.5</v>
      </c>
      <c r="AC104" s="86">
        <f>'Raw Data'!AC105/10</f>
        <v>11303.6</v>
      </c>
      <c r="AD104" s="86">
        <f>'Raw Data'!AD105/10</f>
        <v>10701.5</v>
      </c>
      <c r="AE104" s="86">
        <f>'Raw Data'!AE105/10</f>
        <v>10130.1</v>
      </c>
      <c r="AF104" s="86">
        <f>'Raw Data'!AF105/10</f>
        <v>9527.9</v>
      </c>
      <c r="AG104" s="86">
        <f>'Raw Data'!AG105/10</f>
        <v>9007.9</v>
      </c>
      <c r="AH104" s="86">
        <f>'Raw Data'!AH105/10</f>
        <v>8530.5</v>
      </c>
      <c r="AI104" s="86">
        <f>'Raw Data'!AI105/10</f>
        <v>8025.8</v>
      </c>
      <c r="AJ104" s="86">
        <f>'Raw Data'!AJ105/10</f>
        <v>7687.3</v>
      </c>
      <c r="AK104" s="86">
        <f>'Raw Data'!AK105/10</f>
        <v>7200.7</v>
      </c>
      <c r="AL104" s="86">
        <f>'Raw Data'!AL105/10</f>
        <v>6914.3</v>
      </c>
      <c r="AM104" s="86">
        <f>'Raw Data'!AM105/10</f>
        <v>6588</v>
      </c>
      <c r="AN104" s="86">
        <f>'Raw Data'!AN105/10</f>
        <v>6278.6</v>
      </c>
      <c r="AO104" s="86">
        <f>'Raw Data'!AO105/10</f>
        <v>5981</v>
      </c>
      <c r="AP104" s="86">
        <f>'Raw Data'!AP105/10</f>
        <v>5702.6</v>
      </c>
      <c r="AQ104" s="86">
        <f>'Raw Data'!AQ105/10</f>
        <v>5446.8</v>
      </c>
      <c r="AR104" s="86">
        <f>'Raw Data'!AR105/10</f>
        <v>5196.8</v>
      </c>
      <c r="AS104" s="86">
        <f>'Raw Data'!AS105/10</f>
        <v>4976.8</v>
      </c>
      <c r="AT104" s="86">
        <f>'Raw Data'!AT105/10</f>
        <v>4778.1000000000004</v>
      </c>
      <c r="AU104" s="86">
        <f>'Raw Data'!AU105/10</f>
        <v>4555.2</v>
      </c>
      <c r="AV104" s="86">
        <f>'Raw Data'!AV105/10</f>
        <v>4388.7</v>
      </c>
      <c r="AW104" s="86">
        <f>'Raw Data'!AW105/10</f>
        <v>4257.7</v>
      </c>
      <c r="AX104" s="86">
        <f>'Raw Data'!AX105/10</f>
        <v>4063.2</v>
      </c>
      <c r="AY104" s="86">
        <f>'Raw Data'!AY105/10</f>
        <v>3910.6</v>
      </c>
      <c r="AZ104" s="86">
        <f>'Raw Data'!AZ105/10</f>
        <v>3765.4</v>
      </c>
      <c r="BA104" s="86">
        <f>'Raw Data'!BA105/10</f>
        <v>3596.4</v>
      </c>
      <c r="BB104" s="86">
        <f>'Raw Data'!BB105/10</f>
        <v>3512</v>
      </c>
      <c r="BC104" s="86">
        <f>'Raw Data'!BC105/10</f>
        <v>3388.8</v>
      </c>
      <c r="BD104" s="86">
        <f>'Raw Data'!BD105/10</f>
        <v>3266.6</v>
      </c>
      <c r="BE104" s="86">
        <f>'Raw Data'!BE105/10</f>
        <v>3144.1</v>
      </c>
      <c r="BF104" s="86">
        <f>'Raw Data'!BF105/10</f>
        <v>3047.4</v>
      </c>
      <c r="BG104" s="86">
        <f>'Raw Data'!BG105/10</f>
        <v>2949.9</v>
      </c>
      <c r="BH104" s="86">
        <f>'Raw Data'!BH105/10</f>
        <v>2866.4</v>
      </c>
      <c r="BI104" s="86">
        <f>'Raw Data'!BI105/10</f>
        <v>2786.2</v>
      </c>
      <c r="BJ104" s="86">
        <f>'Raw Data'!BJ105/10</f>
        <v>2701.1</v>
      </c>
      <c r="BK104" s="86">
        <f>'Raw Data'!BK105/10</f>
        <v>2593</v>
      </c>
      <c r="BL104" s="86">
        <f>'Raw Data'!BL105/10</f>
        <v>2521.6999999999998</v>
      </c>
      <c r="BM104" s="86">
        <f>'Raw Data'!BM105/10</f>
        <v>2444.1999999999998</v>
      </c>
      <c r="BN104" s="86">
        <f>'Raw Data'!BN105/10</f>
        <v>2379.6</v>
      </c>
      <c r="BO104" s="86">
        <f>'Raw Data'!BO105/10</f>
        <v>2335.6999999999998</v>
      </c>
      <c r="BP104" s="86">
        <f>'Raw Data'!BP105/10</f>
        <v>2241.9</v>
      </c>
      <c r="BQ104" s="86">
        <f>'Raw Data'!BQ105/10</f>
        <v>2189.1999999999998</v>
      </c>
      <c r="BR104" s="86">
        <f>'Raw Data'!BR105/10</f>
        <v>2158.1</v>
      </c>
      <c r="BS104" s="86">
        <f>'Raw Data'!BS105/10</f>
        <v>2084.5</v>
      </c>
      <c r="BT104" s="86">
        <f>'Raw Data'!BT105/10</f>
        <v>2026.7</v>
      </c>
      <c r="BU104" s="86">
        <f>'Raw Data'!BU105/10</f>
        <v>1998.4</v>
      </c>
      <c r="BV104" s="86">
        <f>'Raw Data'!BV105/10</f>
        <v>1936.2</v>
      </c>
      <c r="BW104" s="86">
        <f>'Raw Data'!BW105/10</f>
        <v>1894.1</v>
      </c>
      <c r="BX104" s="86">
        <f>'Raw Data'!BX105/10</f>
        <v>1846.9</v>
      </c>
      <c r="BY104" s="86">
        <f>'Raw Data'!BY105/10</f>
        <v>1801</v>
      </c>
      <c r="BZ104" s="86">
        <f>'Raw Data'!BZ105/10</f>
        <v>1755.1</v>
      </c>
      <c r="CA104" s="86">
        <f>'Raw Data'!CA105/10</f>
        <v>1710.5</v>
      </c>
      <c r="CB104" s="86">
        <f>'Raw Data'!CB105/10</f>
        <v>1699.4</v>
      </c>
      <c r="CC104" s="86">
        <f>'Raw Data'!CC105/10</f>
        <v>1636.6</v>
      </c>
      <c r="CD104" s="86">
        <f>'Raw Data'!CD105/10</f>
        <v>1605.4</v>
      </c>
      <c r="CE104" s="86">
        <f>'Raw Data'!CE105/10</f>
        <v>1575.6</v>
      </c>
      <c r="CF104" s="86">
        <f>'Raw Data'!CF105/10</f>
        <v>1538</v>
      </c>
      <c r="CG104" s="86">
        <f>'Raw Data'!CG105/100</f>
        <v>1372.79</v>
      </c>
      <c r="CH104" s="86">
        <f>'Raw Data'!CH105/100</f>
        <v>1145.1400000000001</v>
      </c>
      <c r="CI104" s="86">
        <f>'Raw Data'!CI105/100</f>
        <v>976.56</v>
      </c>
      <c r="CJ104" s="86">
        <f>'Raw Data'!CJ105/100</f>
        <v>849.06</v>
      </c>
      <c r="CK104" s="86">
        <f>'Raw Data'!CK105/100</f>
        <v>747.71</v>
      </c>
      <c r="CL104" s="86">
        <f>'Raw Data'!CL105/100</f>
        <v>668.33</v>
      </c>
      <c r="CM104" s="86">
        <f>'Raw Data'!CM105/100</f>
        <v>605.27</v>
      </c>
      <c r="CN104" s="86">
        <f>'Raw Data'!CN105/100</f>
        <v>555.48</v>
      </c>
      <c r="CO104" s="86">
        <f>'Raw Data'!CO105/100</f>
        <v>507.47</v>
      </c>
      <c r="CP104" s="86">
        <f>'Raw Data'!CP105/100</f>
        <v>470.74</v>
      </c>
      <c r="CQ104" s="86">
        <f>'Raw Data'!CQ105/100</f>
        <v>439.94</v>
      </c>
      <c r="CR104" s="86">
        <f>'Raw Data'!CR105/100</f>
        <v>413.58</v>
      </c>
      <c r="CS104" s="86">
        <f>'Raw Data'!CS105/100</f>
        <v>390.21</v>
      </c>
      <c r="CT104" s="86">
        <f>'Raw Data'!CT105/100</f>
        <v>365.33</v>
      </c>
      <c r="CU104" s="382"/>
    </row>
    <row r="105" spans="4:99" s="86" customFormat="1" x14ac:dyDescent="0.2">
      <c r="D105" s="375"/>
      <c r="E105" s="164"/>
      <c r="F105" s="394"/>
      <c r="G105" s="86">
        <f>'Raw Data'!G106</f>
        <v>4020</v>
      </c>
      <c r="H105" s="86">
        <f>'Raw Data'!H106</f>
        <v>4041</v>
      </c>
      <c r="I105" s="86">
        <f>'Raw Data'!I106</f>
        <v>4007</v>
      </c>
      <c r="J105" s="86">
        <f>'Raw Data'!J106</f>
        <v>3976</v>
      </c>
      <c r="K105" s="86">
        <f>'Raw Data'!K106</f>
        <v>4016</v>
      </c>
      <c r="L105" s="86">
        <f>'Raw Data'!L106</f>
        <v>4038</v>
      </c>
      <c r="M105" s="86">
        <f>'Raw Data'!M106</f>
        <v>3937</v>
      </c>
      <c r="N105" s="86">
        <f>'Raw Data'!N106</f>
        <v>3934</v>
      </c>
      <c r="O105" s="86">
        <f>'Raw Data'!O106</f>
        <v>3897</v>
      </c>
      <c r="P105" s="86">
        <f>'Raw Data'!P106</f>
        <v>3919</v>
      </c>
      <c r="Q105" s="86">
        <f>'Raw Data'!Q106</f>
        <v>3867</v>
      </c>
      <c r="R105" s="86">
        <f>'Raw Data'!R106</f>
        <v>3931</v>
      </c>
      <c r="S105" s="86">
        <f>'Raw Data'!S106</f>
        <v>3844</v>
      </c>
      <c r="T105" s="86">
        <f>'Raw Data'!T106</f>
        <v>3855</v>
      </c>
      <c r="U105" s="86">
        <f>'Raw Data'!U106</f>
        <v>3829</v>
      </c>
      <c r="V105" s="86">
        <f>'Raw Data'!V106</f>
        <v>3847</v>
      </c>
      <c r="W105" s="86">
        <f>'Raw Data'!W106</f>
        <v>3855</v>
      </c>
      <c r="X105" s="86">
        <f>'Raw Data'!X106</f>
        <v>3876</v>
      </c>
      <c r="Y105" s="86">
        <f>'Raw Data'!Y106</f>
        <v>3833</v>
      </c>
      <c r="Z105" s="86">
        <f>'Raw Data'!Z106</f>
        <v>3868</v>
      </c>
      <c r="AA105" s="86">
        <f>'Raw Data'!AA106/10</f>
        <v>3737.1</v>
      </c>
      <c r="AB105" s="86">
        <f>'Raw Data'!AB106/10</f>
        <v>3550.5</v>
      </c>
      <c r="AC105" s="86">
        <f>'Raw Data'!AC106/10</f>
        <v>3355.5</v>
      </c>
      <c r="AD105" s="86">
        <f>'Raw Data'!AD106/10</f>
        <v>3203.6</v>
      </c>
      <c r="AE105" s="86">
        <f>'Raw Data'!AE106/10</f>
        <v>3053.7</v>
      </c>
      <c r="AF105" s="86">
        <f>'Raw Data'!AF106/10</f>
        <v>2902.8</v>
      </c>
      <c r="AG105" s="86">
        <f>'Raw Data'!AG106/10</f>
        <v>2737.7</v>
      </c>
      <c r="AH105" s="86">
        <f>'Raw Data'!AH106/10</f>
        <v>2612.5</v>
      </c>
      <c r="AI105" s="86">
        <f>'Raw Data'!AI106/10</f>
        <v>2459.4</v>
      </c>
      <c r="AJ105" s="86">
        <f>'Raw Data'!AJ106/10</f>
        <v>2358.8000000000002</v>
      </c>
      <c r="AK105" s="86">
        <f>'Raw Data'!AK106/10</f>
        <v>2266.6999999999998</v>
      </c>
      <c r="AL105" s="86">
        <f>'Raw Data'!AL106/10</f>
        <v>2177.1999999999998</v>
      </c>
      <c r="AM105" s="86">
        <f>'Raw Data'!AM106/10</f>
        <v>2095.1</v>
      </c>
      <c r="AN105" s="86">
        <f>'Raw Data'!AN106/10</f>
        <v>1981.8</v>
      </c>
      <c r="AO105" s="86">
        <f>'Raw Data'!AO106/10</f>
        <v>1905.4</v>
      </c>
      <c r="AP105" s="86">
        <f>'Raw Data'!AP106/10</f>
        <v>1835.6</v>
      </c>
      <c r="AQ105" s="86">
        <f>'Raw Data'!AQ106/10</f>
        <v>1767.3</v>
      </c>
      <c r="AR105" s="86">
        <f>'Raw Data'!AR106/10</f>
        <v>1698.4</v>
      </c>
      <c r="AS105" s="86">
        <f>'Raw Data'!AS106/10</f>
        <v>1635.1</v>
      </c>
      <c r="AT105" s="86">
        <f>'Raw Data'!AT106/10</f>
        <v>1582.4</v>
      </c>
      <c r="AU105" s="86">
        <f>'Raw Data'!AU106/10</f>
        <v>1506.3</v>
      </c>
      <c r="AV105" s="86">
        <f>'Raw Data'!AV106/10</f>
        <v>1476.3</v>
      </c>
      <c r="AW105" s="86">
        <f>'Raw Data'!AW106/10</f>
        <v>1414.2</v>
      </c>
      <c r="AX105" s="86">
        <f>'Raw Data'!AX106/10</f>
        <v>1383.2</v>
      </c>
      <c r="AY105" s="86">
        <f>'Raw Data'!AY106/10</f>
        <v>1346.5</v>
      </c>
      <c r="AZ105" s="86">
        <f>'Raw Data'!AZ106/10</f>
        <v>1280.7</v>
      </c>
      <c r="BA105" s="86">
        <f>'Raw Data'!BA106/10</f>
        <v>1255.9000000000001</v>
      </c>
      <c r="BB105" s="86">
        <f>'Raw Data'!BB106/10</f>
        <v>1213</v>
      </c>
      <c r="BC105" s="86">
        <f>'Raw Data'!BC106/10</f>
        <v>1192</v>
      </c>
      <c r="BD105" s="86">
        <f>'Raw Data'!BD106/10</f>
        <v>1159.7</v>
      </c>
      <c r="BE105" s="86">
        <f>'Raw Data'!BE106/10</f>
        <v>1107.9000000000001</v>
      </c>
      <c r="BF105" s="86">
        <f>'Raw Data'!BF106/10</f>
        <v>1079.0999999999999</v>
      </c>
      <c r="BG105" s="86">
        <f>'Raw Data'!BG106/10</f>
        <v>1043.5999999999999</v>
      </c>
      <c r="BH105" s="86">
        <f>'Raw Data'!BH106/10</f>
        <v>1033.9000000000001</v>
      </c>
      <c r="BI105" s="86">
        <f>'Raw Data'!BI106/10</f>
        <v>1000.1</v>
      </c>
      <c r="BJ105" s="86">
        <f>'Raw Data'!BJ106/10</f>
        <v>981.9</v>
      </c>
      <c r="BK105" s="86">
        <f>'Raw Data'!BK106/10</f>
        <v>951.9</v>
      </c>
      <c r="BL105" s="86">
        <f>'Raw Data'!BL106/10</f>
        <v>935</v>
      </c>
      <c r="BM105" s="86">
        <f>'Raw Data'!BM106/10</f>
        <v>899.9</v>
      </c>
      <c r="BN105" s="86">
        <f>'Raw Data'!BN106/10</f>
        <v>890.5</v>
      </c>
      <c r="BO105" s="86">
        <f>'Raw Data'!BO106/10</f>
        <v>874.4</v>
      </c>
      <c r="BP105" s="86">
        <f>'Raw Data'!BP106/10</f>
        <v>857.4</v>
      </c>
      <c r="BQ105" s="86">
        <f>'Raw Data'!BQ106/10</f>
        <v>832.1</v>
      </c>
      <c r="BR105" s="86">
        <f>'Raw Data'!BR106/10</f>
        <v>816.1</v>
      </c>
      <c r="BS105" s="86">
        <f>'Raw Data'!BS106/10</f>
        <v>793.6</v>
      </c>
      <c r="BT105" s="86">
        <f>'Raw Data'!BT106/10</f>
        <v>786.8</v>
      </c>
      <c r="BU105" s="86">
        <f>'Raw Data'!BU106/10</f>
        <v>777.2</v>
      </c>
      <c r="BV105" s="86">
        <f>'Raw Data'!BV106/10</f>
        <v>754</v>
      </c>
      <c r="BW105" s="86">
        <f>'Raw Data'!BW106/10</f>
        <v>757.8</v>
      </c>
      <c r="BX105" s="86">
        <f>'Raw Data'!BX106/10</f>
        <v>732.4</v>
      </c>
      <c r="BY105" s="86">
        <f>'Raw Data'!BY106/10</f>
        <v>715.6</v>
      </c>
      <c r="BZ105" s="86">
        <f>'Raw Data'!BZ106/10</f>
        <v>701.2</v>
      </c>
      <c r="CA105" s="86">
        <f>'Raw Data'!CA106/10</f>
        <v>681.8</v>
      </c>
      <c r="CB105" s="86">
        <f>'Raw Data'!CB106/10</f>
        <v>666.9</v>
      </c>
      <c r="CC105" s="86">
        <f>'Raw Data'!CC106/10</f>
        <v>663.9</v>
      </c>
      <c r="CD105" s="86">
        <f>'Raw Data'!CD106/10</f>
        <v>662.5</v>
      </c>
      <c r="CE105" s="86">
        <f>'Raw Data'!CE106/10</f>
        <v>647.20000000000005</v>
      </c>
      <c r="CF105" s="86">
        <f>'Raw Data'!CF106/10</f>
        <v>631.6</v>
      </c>
      <c r="CG105" s="86">
        <f>'Raw Data'!CG106/100</f>
        <v>587.64</v>
      </c>
      <c r="CH105" s="86">
        <f>'Raw Data'!CH106/100</f>
        <v>516.4</v>
      </c>
      <c r="CI105" s="86">
        <f>'Raw Data'!CI106/100</f>
        <v>462.43</v>
      </c>
      <c r="CJ105" s="86">
        <f>'Raw Data'!CJ106/100</f>
        <v>416.59</v>
      </c>
      <c r="CK105" s="86">
        <f>'Raw Data'!CK106/100</f>
        <v>387.6</v>
      </c>
      <c r="CL105" s="86">
        <f>'Raw Data'!CL106/100</f>
        <v>360.56</v>
      </c>
      <c r="CM105" s="86">
        <f>'Raw Data'!CM106/100</f>
        <v>338.45</v>
      </c>
      <c r="CN105" s="86">
        <f>'Raw Data'!CN106/100</f>
        <v>318.77999999999997</v>
      </c>
      <c r="CO105" s="86">
        <f>'Raw Data'!CO106/100</f>
        <v>301.08</v>
      </c>
      <c r="CP105" s="86">
        <f>'Raw Data'!CP106/100</f>
        <v>286</v>
      </c>
      <c r="CQ105" s="86">
        <f>'Raw Data'!CQ106/100</f>
        <v>277.36</v>
      </c>
      <c r="CR105" s="86">
        <f>'Raw Data'!CR106/100</f>
        <v>262.32</v>
      </c>
      <c r="CS105" s="86">
        <f>'Raw Data'!CS106/100</f>
        <v>252.59</v>
      </c>
      <c r="CT105" s="86">
        <f>'Raw Data'!CT106/100</f>
        <v>244.17</v>
      </c>
      <c r="CU105" s="382"/>
    </row>
    <row r="106" spans="4:99" s="86" customFormat="1" x14ac:dyDescent="0.2">
      <c r="D106" s="375"/>
      <c r="E106" s="164"/>
      <c r="F106" s="394"/>
      <c r="G106" s="86">
        <f>'Raw Data'!G107</f>
        <v>17760</v>
      </c>
      <c r="H106" s="86">
        <f>'Raw Data'!H107</f>
        <v>17884</v>
      </c>
      <c r="I106" s="86">
        <f>'Raw Data'!I107</f>
        <v>17877</v>
      </c>
      <c r="J106" s="86">
        <f>'Raw Data'!J107</f>
        <v>17736</v>
      </c>
      <c r="K106" s="86">
        <f>'Raw Data'!K107</f>
        <v>17680</v>
      </c>
      <c r="L106" s="86">
        <f>'Raw Data'!L107</f>
        <v>17530</v>
      </c>
      <c r="M106" s="86">
        <f>'Raw Data'!M107</f>
        <v>17792</v>
      </c>
      <c r="N106" s="86">
        <f>'Raw Data'!N107</f>
        <v>17604</v>
      </c>
      <c r="O106" s="86">
        <f>'Raw Data'!O107</f>
        <v>17628</v>
      </c>
      <c r="P106" s="86">
        <f>'Raw Data'!P107</f>
        <v>17354</v>
      </c>
      <c r="Q106" s="86">
        <f>'Raw Data'!Q107</f>
        <v>17320</v>
      </c>
      <c r="R106" s="86">
        <f>'Raw Data'!R107</f>
        <v>17329</v>
      </c>
      <c r="S106" s="86">
        <f>'Raw Data'!S107</f>
        <v>17240</v>
      </c>
      <c r="T106" s="86">
        <f>'Raw Data'!T107</f>
        <v>17189</v>
      </c>
      <c r="U106" s="86">
        <f>'Raw Data'!U107</f>
        <v>16975</v>
      </c>
      <c r="V106" s="86">
        <f>'Raw Data'!V107</f>
        <v>17011</v>
      </c>
      <c r="W106" s="86">
        <f>'Raw Data'!W107</f>
        <v>16958</v>
      </c>
      <c r="X106" s="86">
        <f>'Raw Data'!X107</f>
        <v>16750</v>
      </c>
      <c r="Y106" s="86">
        <f>'Raw Data'!Y107</f>
        <v>16670</v>
      </c>
      <c r="Z106" s="86">
        <f>'Raw Data'!Z107</f>
        <v>16464</v>
      </c>
      <c r="AA106" s="86">
        <f>'Raw Data'!AA107/10</f>
        <v>16247</v>
      </c>
      <c r="AB106" s="86">
        <f>'Raw Data'!AB107/10</f>
        <v>15351.5</v>
      </c>
      <c r="AC106" s="86">
        <f>'Raw Data'!AC107/10</f>
        <v>14496</v>
      </c>
      <c r="AD106" s="86">
        <f>'Raw Data'!AD107/10</f>
        <v>13671.8</v>
      </c>
      <c r="AE106" s="86">
        <f>'Raw Data'!AE107/10</f>
        <v>12943.5</v>
      </c>
      <c r="AF106" s="86">
        <f>'Raw Data'!AF107/10</f>
        <v>12131.5</v>
      </c>
      <c r="AG106" s="86">
        <f>'Raw Data'!AG107/10</f>
        <v>11526.6</v>
      </c>
      <c r="AH106" s="86">
        <f>'Raw Data'!AH107/10</f>
        <v>10893.4</v>
      </c>
      <c r="AI106" s="86">
        <f>'Raw Data'!AI107/10</f>
        <v>10375.200000000001</v>
      </c>
      <c r="AJ106" s="86">
        <f>'Raw Data'!AJ107/10</f>
        <v>9775.6</v>
      </c>
      <c r="AK106" s="86">
        <f>'Raw Data'!AK107/10</f>
        <v>9278.4</v>
      </c>
      <c r="AL106" s="86">
        <f>'Raw Data'!AL107/10</f>
        <v>8805</v>
      </c>
      <c r="AM106" s="86">
        <f>'Raw Data'!AM107/10</f>
        <v>8355.6</v>
      </c>
      <c r="AN106" s="86">
        <f>'Raw Data'!AN107/10</f>
        <v>7971.7</v>
      </c>
      <c r="AO106" s="86">
        <f>'Raw Data'!AO107/10</f>
        <v>7564.8</v>
      </c>
      <c r="AP106" s="86">
        <f>'Raw Data'!AP107/10</f>
        <v>7221.9</v>
      </c>
      <c r="AQ106" s="86">
        <f>'Raw Data'!AQ107/10</f>
        <v>6955.9</v>
      </c>
      <c r="AR106" s="86">
        <f>'Raw Data'!AR107/10</f>
        <v>6633.9</v>
      </c>
      <c r="AS106" s="86">
        <f>'Raw Data'!AS107/10</f>
        <v>6346.6</v>
      </c>
      <c r="AT106" s="86">
        <f>'Raw Data'!AT107/10</f>
        <v>6036.1</v>
      </c>
      <c r="AU106" s="86">
        <f>'Raw Data'!AU107/10</f>
        <v>5832.9</v>
      </c>
      <c r="AV106" s="86">
        <f>'Raw Data'!AV107/10</f>
        <v>5566.5</v>
      </c>
      <c r="AW106" s="86">
        <f>'Raw Data'!AW107/10</f>
        <v>5390.9</v>
      </c>
      <c r="AX106" s="86">
        <f>'Raw Data'!AX107/10</f>
        <v>5173.8999999999996</v>
      </c>
      <c r="AY106" s="86">
        <f>'Raw Data'!AY107/10</f>
        <v>4959.3999999999996</v>
      </c>
      <c r="AZ106" s="86">
        <f>'Raw Data'!AZ107/10</f>
        <v>4758.2</v>
      </c>
      <c r="BA106" s="86">
        <f>'Raw Data'!BA107/10</f>
        <v>4596.5</v>
      </c>
      <c r="BB106" s="86">
        <f>'Raw Data'!BB107/10</f>
        <v>4386.1000000000004</v>
      </c>
      <c r="BC106" s="86">
        <f>'Raw Data'!BC107/10</f>
        <v>4299.7</v>
      </c>
      <c r="BD106" s="86">
        <f>'Raw Data'!BD107/10</f>
        <v>4141.6000000000004</v>
      </c>
      <c r="BE106" s="86">
        <f>'Raw Data'!BE107/10</f>
        <v>4010.7</v>
      </c>
      <c r="BF106" s="86">
        <f>'Raw Data'!BF107/10</f>
        <v>3860.3</v>
      </c>
      <c r="BG106" s="86">
        <f>'Raw Data'!BG107/10</f>
        <v>3719.3</v>
      </c>
      <c r="BH106" s="86">
        <f>'Raw Data'!BH107/10</f>
        <v>3580.5</v>
      </c>
      <c r="BI106" s="86">
        <f>'Raw Data'!BI107/10</f>
        <v>3516</v>
      </c>
      <c r="BJ106" s="86">
        <f>'Raw Data'!BJ107/10</f>
        <v>3411.1</v>
      </c>
      <c r="BK106" s="86">
        <f>'Raw Data'!BK107/10</f>
        <v>3318.3</v>
      </c>
      <c r="BL106" s="86">
        <f>'Raw Data'!BL107/10</f>
        <v>3190.5</v>
      </c>
      <c r="BM106" s="86">
        <f>'Raw Data'!BM107/10</f>
        <v>3101.4</v>
      </c>
      <c r="BN106" s="86">
        <f>'Raw Data'!BN107/10</f>
        <v>3010.5</v>
      </c>
      <c r="BO106" s="86">
        <f>'Raw Data'!BO107/10</f>
        <v>2904.9</v>
      </c>
      <c r="BP106" s="86">
        <f>'Raw Data'!BP107/10</f>
        <v>2820.1</v>
      </c>
      <c r="BQ106" s="86">
        <f>'Raw Data'!BQ107/10</f>
        <v>2760.9</v>
      </c>
      <c r="BR106" s="86">
        <f>'Raw Data'!BR107/10</f>
        <v>2689.6</v>
      </c>
      <c r="BS106" s="86">
        <f>'Raw Data'!BS107/10</f>
        <v>2614.1999999999998</v>
      </c>
      <c r="BT106" s="86">
        <f>'Raw Data'!BT107/10</f>
        <v>2517.4</v>
      </c>
      <c r="BU106" s="86">
        <f>'Raw Data'!BU107/10</f>
        <v>2497.9</v>
      </c>
      <c r="BV106" s="86">
        <f>'Raw Data'!BV107/10</f>
        <v>2427.4</v>
      </c>
      <c r="BW106" s="86">
        <f>'Raw Data'!BW107/10</f>
        <v>2361.1999999999998</v>
      </c>
      <c r="BX106" s="86">
        <f>'Raw Data'!BX107/10</f>
        <v>2323.1999999999998</v>
      </c>
      <c r="BY106" s="86">
        <f>'Raw Data'!BY107/10</f>
        <v>2247</v>
      </c>
      <c r="BZ106" s="86">
        <f>'Raw Data'!BZ107/10</f>
        <v>2199.4</v>
      </c>
      <c r="CA106" s="86">
        <f>'Raw Data'!CA107/10</f>
        <v>2142.4</v>
      </c>
      <c r="CB106" s="86">
        <f>'Raw Data'!CB107/10</f>
        <v>2102</v>
      </c>
      <c r="CC106" s="86">
        <f>'Raw Data'!CC107/10</f>
        <v>2048.1999999999998</v>
      </c>
      <c r="CD106" s="86">
        <f>'Raw Data'!CD107/10</f>
        <v>1983.6</v>
      </c>
      <c r="CE106" s="86">
        <f>'Raw Data'!CE107/10</f>
        <v>1972.8</v>
      </c>
      <c r="CF106" s="86">
        <f>'Raw Data'!CF107/10</f>
        <v>1929.2</v>
      </c>
      <c r="CG106" s="86">
        <f>'Raw Data'!CG107/100</f>
        <v>1724.04</v>
      </c>
      <c r="CH106" s="86">
        <f>'Raw Data'!CH107/100</f>
        <v>1428.14</v>
      </c>
      <c r="CI106" s="86">
        <f>'Raw Data'!CI107/100</f>
        <v>1210.43</v>
      </c>
      <c r="CJ106" s="86">
        <f>'Raw Data'!CJ107/100</f>
        <v>1051.52</v>
      </c>
      <c r="CK106" s="86">
        <f>'Raw Data'!CK107/100</f>
        <v>925.57</v>
      </c>
      <c r="CL106" s="86">
        <f>'Raw Data'!CL107/100</f>
        <v>821.88</v>
      </c>
      <c r="CM106" s="86">
        <f>'Raw Data'!CM107/100</f>
        <v>747.8</v>
      </c>
      <c r="CN106" s="86">
        <f>'Raw Data'!CN107/100</f>
        <v>677.27</v>
      </c>
      <c r="CO106" s="86">
        <f>'Raw Data'!CO107/100</f>
        <v>624.91</v>
      </c>
      <c r="CP106" s="86">
        <f>'Raw Data'!CP107/100</f>
        <v>573.78</v>
      </c>
      <c r="CQ106" s="86">
        <f>'Raw Data'!CQ107/100</f>
        <v>535.1</v>
      </c>
      <c r="CR106" s="86">
        <f>'Raw Data'!CR107/100</f>
        <v>498.57</v>
      </c>
      <c r="CS106" s="86">
        <f>'Raw Data'!CS107/100</f>
        <v>469.12</v>
      </c>
      <c r="CT106" s="86">
        <f>'Raw Data'!CT107/100</f>
        <v>441.99</v>
      </c>
      <c r="CU106" s="382"/>
    </row>
    <row r="107" spans="4:99" s="86" customFormat="1" x14ac:dyDescent="0.2">
      <c r="D107" s="375"/>
      <c r="E107" s="164"/>
      <c r="F107" s="394"/>
      <c r="G107" s="86">
        <f>'Raw Data'!G108</f>
        <v>4050</v>
      </c>
      <c r="H107" s="86">
        <f>'Raw Data'!H108</f>
        <v>4136</v>
      </c>
      <c r="I107" s="86">
        <f>'Raw Data'!I108</f>
        <v>4057</v>
      </c>
      <c r="J107" s="86">
        <f>'Raw Data'!J108</f>
        <v>4149</v>
      </c>
      <c r="K107" s="86">
        <f>'Raw Data'!K108</f>
        <v>4076</v>
      </c>
      <c r="L107" s="86">
        <f>'Raw Data'!L108</f>
        <v>4102</v>
      </c>
      <c r="M107" s="86">
        <f>'Raw Data'!M108</f>
        <v>4092</v>
      </c>
      <c r="N107" s="86">
        <f>'Raw Data'!N108</f>
        <v>4069</v>
      </c>
      <c r="O107" s="86">
        <f>'Raw Data'!O108</f>
        <v>4044</v>
      </c>
      <c r="P107" s="86">
        <f>'Raw Data'!P108</f>
        <v>4098</v>
      </c>
      <c r="Q107" s="86">
        <f>'Raw Data'!Q108</f>
        <v>4056</v>
      </c>
      <c r="R107" s="86">
        <f>'Raw Data'!R108</f>
        <v>4065</v>
      </c>
      <c r="S107" s="86">
        <f>'Raw Data'!S108</f>
        <v>4070</v>
      </c>
      <c r="T107" s="86">
        <f>'Raw Data'!T108</f>
        <v>4041</v>
      </c>
      <c r="U107" s="86">
        <f>'Raw Data'!U108</f>
        <v>3908</v>
      </c>
      <c r="V107" s="86">
        <f>'Raw Data'!V108</f>
        <v>3873</v>
      </c>
      <c r="W107" s="86">
        <f>'Raw Data'!W108</f>
        <v>3902</v>
      </c>
      <c r="X107" s="86">
        <f>'Raw Data'!X108</f>
        <v>3855</v>
      </c>
      <c r="Y107" s="86">
        <f>'Raw Data'!Y108</f>
        <v>3914</v>
      </c>
      <c r="Z107" s="86">
        <f>'Raw Data'!Z108</f>
        <v>3907</v>
      </c>
      <c r="AA107" s="86">
        <f>'Raw Data'!AA108/10</f>
        <v>3827.2</v>
      </c>
      <c r="AB107" s="86">
        <f>'Raw Data'!AB108/10</f>
        <v>3626.1</v>
      </c>
      <c r="AC107" s="86">
        <f>'Raw Data'!AC108/10</f>
        <v>3471.4</v>
      </c>
      <c r="AD107" s="86">
        <f>'Raw Data'!AD108/10</f>
        <v>3295.3</v>
      </c>
      <c r="AE107" s="86">
        <f>'Raw Data'!AE108/10</f>
        <v>3126.8</v>
      </c>
      <c r="AF107" s="86">
        <f>'Raw Data'!AF108/10</f>
        <v>2987.3</v>
      </c>
      <c r="AG107" s="86">
        <f>'Raw Data'!AG108/10</f>
        <v>2864.7</v>
      </c>
      <c r="AH107" s="86">
        <f>'Raw Data'!AH108/10</f>
        <v>2685.7</v>
      </c>
      <c r="AI107" s="86">
        <f>'Raw Data'!AI108/10</f>
        <v>2577.1</v>
      </c>
      <c r="AJ107" s="86">
        <f>'Raw Data'!AJ108/10</f>
        <v>2454</v>
      </c>
      <c r="AK107" s="86">
        <f>'Raw Data'!AK108/10</f>
        <v>2346.6999999999998</v>
      </c>
      <c r="AL107" s="86">
        <f>'Raw Data'!AL108/10</f>
        <v>2249.4</v>
      </c>
      <c r="AM107" s="86">
        <f>'Raw Data'!AM108/10</f>
        <v>2153.6999999999998</v>
      </c>
      <c r="AN107" s="86">
        <f>'Raw Data'!AN108/10</f>
        <v>2079</v>
      </c>
      <c r="AO107" s="86">
        <f>'Raw Data'!AO108/10</f>
        <v>1980.9</v>
      </c>
      <c r="AP107" s="86">
        <f>'Raw Data'!AP108/10</f>
        <v>1893.6</v>
      </c>
      <c r="AQ107" s="86">
        <f>'Raw Data'!AQ108/10</f>
        <v>1841.2</v>
      </c>
      <c r="AR107" s="86">
        <f>'Raw Data'!AR108/10</f>
        <v>1771</v>
      </c>
      <c r="AS107" s="86">
        <f>'Raw Data'!AS108/10</f>
        <v>1699.1</v>
      </c>
      <c r="AT107" s="86">
        <f>'Raw Data'!AT108/10</f>
        <v>1640.9</v>
      </c>
      <c r="AU107" s="86">
        <f>'Raw Data'!AU108/10</f>
        <v>1581.6</v>
      </c>
      <c r="AV107" s="86">
        <f>'Raw Data'!AV108/10</f>
        <v>1523.5</v>
      </c>
      <c r="AW107" s="86">
        <f>'Raw Data'!AW108/10</f>
        <v>1470.4</v>
      </c>
      <c r="AX107" s="86">
        <f>'Raw Data'!AX108/10</f>
        <v>1441</v>
      </c>
      <c r="AY107" s="86">
        <f>'Raw Data'!AY108/10</f>
        <v>1396.1</v>
      </c>
      <c r="AZ107" s="86">
        <f>'Raw Data'!AZ108/10</f>
        <v>1345.6</v>
      </c>
      <c r="BA107" s="86">
        <f>'Raw Data'!BA108/10</f>
        <v>1312.9</v>
      </c>
      <c r="BB107" s="86">
        <f>'Raw Data'!BB108/10</f>
        <v>1268.0999999999999</v>
      </c>
      <c r="BC107" s="86">
        <f>'Raw Data'!BC108/10</f>
        <v>1209.5999999999999</v>
      </c>
      <c r="BD107" s="86">
        <f>'Raw Data'!BD108/10</f>
        <v>1217.4000000000001</v>
      </c>
      <c r="BE107" s="86">
        <f>'Raw Data'!BE108/10</f>
        <v>1174</v>
      </c>
      <c r="BF107" s="86">
        <f>'Raw Data'!BF108/10</f>
        <v>1156.3</v>
      </c>
      <c r="BG107" s="86">
        <f>'Raw Data'!BG108/10</f>
        <v>1108.3</v>
      </c>
      <c r="BH107" s="86">
        <f>'Raw Data'!BH108/10</f>
        <v>1080.4000000000001</v>
      </c>
      <c r="BI107" s="86">
        <f>'Raw Data'!BI108/10</f>
        <v>1056.0999999999999</v>
      </c>
      <c r="BJ107" s="86">
        <f>'Raw Data'!BJ108/10</f>
        <v>1037.3</v>
      </c>
      <c r="BK107" s="86">
        <f>'Raw Data'!BK108/10</f>
        <v>1015.5</v>
      </c>
      <c r="BL107" s="86">
        <f>'Raw Data'!BL108/10</f>
        <v>1001.7</v>
      </c>
      <c r="BM107" s="86">
        <f>'Raw Data'!BM108/10</f>
        <v>971</v>
      </c>
      <c r="BN107" s="86">
        <f>'Raw Data'!BN108/10</f>
        <v>953.7</v>
      </c>
      <c r="BO107" s="86">
        <f>'Raw Data'!BO108/10</f>
        <v>920.3</v>
      </c>
      <c r="BP107" s="86">
        <f>'Raw Data'!BP108/10</f>
        <v>909.2</v>
      </c>
      <c r="BQ107" s="86">
        <f>'Raw Data'!BQ108/10</f>
        <v>886.4</v>
      </c>
      <c r="BR107" s="86">
        <f>'Raw Data'!BR108/10</f>
        <v>858.4</v>
      </c>
      <c r="BS107" s="86">
        <f>'Raw Data'!BS108/10</f>
        <v>854.7</v>
      </c>
      <c r="BT107" s="86">
        <f>'Raw Data'!BT108/10</f>
        <v>830.6</v>
      </c>
      <c r="BU107" s="86">
        <f>'Raw Data'!BU108/10</f>
        <v>818.3</v>
      </c>
      <c r="BV107" s="86">
        <f>'Raw Data'!BV108/10</f>
        <v>813.8</v>
      </c>
      <c r="BW107" s="86">
        <f>'Raw Data'!BW108/10</f>
        <v>789.7</v>
      </c>
      <c r="BX107" s="86">
        <f>'Raw Data'!BX108/10</f>
        <v>780.9</v>
      </c>
      <c r="BY107" s="86">
        <f>'Raw Data'!BY108/10</f>
        <v>761.7</v>
      </c>
      <c r="BZ107" s="86">
        <f>'Raw Data'!BZ108/10</f>
        <v>756.6</v>
      </c>
      <c r="CA107" s="86">
        <f>'Raw Data'!CA108/10</f>
        <v>748.7</v>
      </c>
      <c r="CB107" s="86">
        <f>'Raw Data'!CB108/10</f>
        <v>728.2</v>
      </c>
      <c r="CC107" s="86">
        <f>'Raw Data'!CC108/10</f>
        <v>708.8</v>
      </c>
      <c r="CD107" s="86">
        <f>'Raw Data'!CD108/10</f>
        <v>699.3</v>
      </c>
      <c r="CE107" s="86">
        <f>'Raw Data'!CE108/10</f>
        <v>687.6</v>
      </c>
      <c r="CF107" s="86">
        <f>'Raw Data'!CF108/10</f>
        <v>679.2</v>
      </c>
      <c r="CG107" s="86">
        <f>'Raw Data'!CG108/100</f>
        <v>634.75</v>
      </c>
      <c r="CH107" s="86">
        <f>'Raw Data'!CH108/100</f>
        <v>558.99</v>
      </c>
      <c r="CI107" s="86">
        <f>'Raw Data'!CI108/100</f>
        <v>501.2</v>
      </c>
      <c r="CJ107" s="86">
        <f>'Raw Data'!CJ108/100</f>
        <v>457.93</v>
      </c>
      <c r="CK107" s="86">
        <f>'Raw Data'!CK108/100</f>
        <v>421.05</v>
      </c>
      <c r="CL107" s="86">
        <f>'Raw Data'!CL108/100</f>
        <v>392.71</v>
      </c>
      <c r="CM107" s="86">
        <f>'Raw Data'!CM108/100</f>
        <v>374.2</v>
      </c>
      <c r="CN107" s="86">
        <f>'Raw Data'!CN108/100</f>
        <v>346.94</v>
      </c>
      <c r="CO107" s="86">
        <f>'Raw Data'!CO108/100</f>
        <v>330.24</v>
      </c>
      <c r="CP107" s="86">
        <f>'Raw Data'!CP108/100</f>
        <v>315.48</v>
      </c>
      <c r="CQ107" s="86">
        <f>'Raw Data'!CQ108/100</f>
        <v>303</v>
      </c>
      <c r="CR107" s="86">
        <f>'Raw Data'!CR108/100</f>
        <v>289.39999999999998</v>
      </c>
      <c r="CS107" s="86">
        <f>'Raw Data'!CS108/100</f>
        <v>277.08999999999997</v>
      </c>
      <c r="CT107" s="86">
        <f>'Raw Data'!CT108/100</f>
        <v>268.12</v>
      </c>
      <c r="CU107" s="382"/>
    </row>
    <row r="108" spans="4:99" s="86" customFormat="1" x14ac:dyDescent="0.2">
      <c r="D108" s="375"/>
      <c r="E108" s="164"/>
      <c r="F108" s="394"/>
      <c r="G108" s="86">
        <f>'Raw Data'!G109</f>
        <v>216</v>
      </c>
      <c r="H108" s="86">
        <f>'Raw Data'!H109</f>
        <v>240</v>
      </c>
      <c r="I108" s="86">
        <f>'Raw Data'!I109</f>
        <v>210</v>
      </c>
      <c r="J108" s="86">
        <f>'Raw Data'!J109</f>
        <v>220</v>
      </c>
      <c r="K108" s="86">
        <f>'Raw Data'!K109</f>
        <v>216</v>
      </c>
      <c r="L108" s="86">
        <f>'Raw Data'!L109</f>
        <v>211</v>
      </c>
      <c r="M108" s="86">
        <f>'Raw Data'!M109</f>
        <v>230</v>
      </c>
      <c r="N108" s="86">
        <f>'Raw Data'!N109</f>
        <v>199</v>
      </c>
      <c r="O108" s="86">
        <f>'Raw Data'!O109</f>
        <v>235</v>
      </c>
      <c r="P108" s="86">
        <f>'Raw Data'!P109</f>
        <v>225</v>
      </c>
      <c r="Q108" s="86">
        <f>'Raw Data'!Q109</f>
        <v>235</v>
      </c>
      <c r="R108" s="86">
        <f>'Raw Data'!R109</f>
        <v>219</v>
      </c>
      <c r="S108" s="86">
        <f>'Raw Data'!S109</f>
        <v>226</v>
      </c>
      <c r="T108" s="86">
        <f>'Raw Data'!T109</f>
        <v>221</v>
      </c>
      <c r="U108" s="86">
        <f>'Raw Data'!U109</f>
        <v>220</v>
      </c>
      <c r="V108" s="86">
        <f>'Raw Data'!V109</f>
        <v>216</v>
      </c>
      <c r="W108" s="86">
        <f>'Raw Data'!W109</f>
        <v>215</v>
      </c>
      <c r="X108" s="86">
        <f>'Raw Data'!X109</f>
        <v>243</v>
      </c>
      <c r="Y108" s="86">
        <f>'Raw Data'!Y109</f>
        <v>229</v>
      </c>
      <c r="Z108" s="86">
        <f>'Raw Data'!Z109</f>
        <v>208</v>
      </c>
      <c r="AA108" s="86">
        <f>'Raw Data'!AA109/10</f>
        <v>214.8</v>
      </c>
      <c r="AB108" s="86">
        <f>'Raw Data'!AB109/10</f>
        <v>210.6</v>
      </c>
      <c r="AC108" s="86">
        <f>'Raw Data'!AC109/10</f>
        <v>206.6</v>
      </c>
      <c r="AD108" s="86">
        <f>'Raw Data'!AD109/10</f>
        <v>202.7</v>
      </c>
      <c r="AE108" s="86">
        <f>'Raw Data'!AE109/10</f>
        <v>195.2</v>
      </c>
      <c r="AF108" s="86">
        <f>'Raw Data'!AF109/10</f>
        <v>188.4</v>
      </c>
      <c r="AG108" s="86">
        <f>'Raw Data'!AG109/10</f>
        <v>182.4</v>
      </c>
      <c r="AH108" s="86">
        <f>'Raw Data'!AH109/10</f>
        <v>183.5</v>
      </c>
      <c r="AI108" s="86">
        <f>'Raw Data'!AI109/10</f>
        <v>171.9</v>
      </c>
      <c r="AJ108" s="86">
        <f>'Raw Data'!AJ109/10</f>
        <v>162.1</v>
      </c>
      <c r="AK108" s="86">
        <f>'Raw Data'!AK109/10</f>
        <v>168.2</v>
      </c>
      <c r="AL108" s="86">
        <f>'Raw Data'!AL109/10</f>
        <v>168.3</v>
      </c>
      <c r="AM108" s="86">
        <f>'Raw Data'!AM109/10</f>
        <v>161.4</v>
      </c>
      <c r="AN108" s="86">
        <f>'Raw Data'!AN109/10</f>
        <v>154.69999999999999</v>
      </c>
      <c r="AO108" s="86">
        <f>'Raw Data'!AO109/10</f>
        <v>153.9</v>
      </c>
      <c r="AP108" s="86">
        <f>'Raw Data'!AP109/10</f>
        <v>147.30000000000001</v>
      </c>
      <c r="AQ108" s="86">
        <f>'Raw Data'!AQ109/10</f>
        <v>144.6</v>
      </c>
      <c r="AR108" s="86">
        <f>'Raw Data'!AR109/10</f>
        <v>146.5</v>
      </c>
      <c r="AS108" s="86">
        <f>'Raw Data'!AS109/10</f>
        <v>145.1</v>
      </c>
      <c r="AT108" s="86">
        <f>'Raw Data'!AT109/10</f>
        <v>142</v>
      </c>
      <c r="AU108" s="86">
        <f>'Raw Data'!AU109/10</f>
        <v>138.19999999999999</v>
      </c>
      <c r="AV108" s="86">
        <f>'Raw Data'!AV109/10</f>
        <v>135</v>
      </c>
      <c r="AW108" s="86">
        <f>'Raw Data'!AW109/10</f>
        <v>128.4</v>
      </c>
      <c r="AX108" s="86">
        <f>'Raw Data'!AX109/10</f>
        <v>131</v>
      </c>
      <c r="AY108" s="86">
        <f>'Raw Data'!AY109/10</f>
        <v>127.3</v>
      </c>
      <c r="AZ108" s="86">
        <f>'Raw Data'!AZ109/10</f>
        <v>124.7</v>
      </c>
      <c r="BA108" s="86">
        <f>'Raw Data'!BA109/10</f>
        <v>120.1</v>
      </c>
      <c r="BB108" s="86">
        <f>'Raw Data'!BB109/10</f>
        <v>122.6</v>
      </c>
      <c r="BC108" s="86">
        <f>'Raw Data'!BC109/10</f>
        <v>119</v>
      </c>
      <c r="BD108" s="86">
        <f>'Raw Data'!BD109/10</f>
        <v>118.4</v>
      </c>
      <c r="BE108" s="86">
        <f>'Raw Data'!BE109/10</f>
        <v>120.3</v>
      </c>
      <c r="BF108" s="86">
        <f>'Raw Data'!BF109/10</f>
        <v>117.2</v>
      </c>
      <c r="BG108" s="86">
        <f>'Raw Data'!BG109/10</f>
        <v>116.2</v>
      </c>
      <c r="BH108" s="86">
        <f>'Raw Data'!BH109/10</f>
        <v>112.1</v>
      </c>
      <c r="BI108" s="86">
        <f>'Raw Data'!BI109/10</f>
        <v>114.8</v>
      </c>
      <c r="BJ108" s="86">
        <f>'Raw Data'!BJ109/10</f>
        <v>107.8</v>
      </c>
      <c r="BK108" s="86">
        <f>'Raw Data'!BK109/10</f>
        <v>109</v>
      </c>
      <c r="BL108" s="86">
        <f>'Raw Data'!BL109/10</f>
        <v>110.1</v>
      </c>
      <c r="BM108" s="86">
        <f>'Raw Data'!BM109/10</f>
        <v>106.9</v>
      </c>
      <c r="BN108" s="86">
        <f>'Raw Data'!BN109/10</f>
        <v>101.7</v>
      </c>
      <c r="BO108" s="86">
        <f>'Raw Data'!BO109/10</f>
        <v>113.1</v>
      </c>
      <c r="BP108" s="86">
        <f>'Raw Data'!BP109/10</f>
        <v>105.9</v>
      </c>
      <c r="BQ108" s="86">
        <f>'Raw Data'!BQ109/10</f>
        <v>102</v>
      </c>
      <c r="BR108" s="86">
        <f>'Raw Data'!BR109/10</f>
        <v>104</v>
      </c>
      <c r="BS108" s="86">
        <f>'Raw Data'!BS109/10</f>
        <v>100.3</v>
      </c>
      <c r="BT108" s="86">
        <f>'Raw Data'!BT109/10</f>
        <v>103.3</v>
      </c>
      <c r="BU108" s="86">
        <f>'Raw Data'!BU109/10</f>
        <v>101.5</v>
      </c>
      <c r="BV108" s="86">
        <f>'Raw Data'!BV109/10</f>
        <v>98.5</v>
      </c>
      <c r="BW108" s="86">
        <f>'Raw Data'!BW109/10</f>
        <v>100.6</v>
      </c>
      <c r="BX108" s="86">
        <f>'Raw Data'!BX109/10</f>
        <v>100</v>
      </c>
      <c r="BY108" s="86">
        <f>'Raw Data'!BY109/10</f>
        <v>94.2</v>
      </c>
      <c r="BZ108" s="86">
        <f>'Raw Data'!BZ109/10</f>
        <v>98.5</v>
      </c>
      <c r="CA108" s="86">
        <f>'Raw Data'!CA109/10</f>
        <v>96.8</v>
      </c>
      <c r="CB108" s="86">
        <f>'Raw Data'!CB109/10</f>
        <v>94.4</v>
      </c>
      <c r="CC108" s="86">
        <f>'Raw Data'!CC109/10</f>
        <v>94.3</v>
      </c>
      <c r="CD108" s="86">
        <f>'Raw Data'!CD109/10</f>
        <v>94.3</v>
      </c>
      <c r="CE108" s="86">
        <f>'Raw Data'!CE109/10</f>
        <v>97.5</v>
      </c>
      <c r="CF108" s="86">
        <f>'Raw Data'!CF109/10</f>
        <v>92.7</v>
      </c>
      <c r="CG108" s="86">
        <f>'Raw Data'!CG109/100</f>
        <v>90.87</v>
      </c>
      <c r="CH108" s="86">
        <f>'Raw Data'!CH109/100</f>
        <v>87.06</v>
      </c>
      <c r="CI108" s="86">
        <f>'Raw Data'!CI109/100</f>
        <v>84.12</v>
      </c>
      <c r="CJ108" s="86">
        <f>'Raw Data'!CJ109/100</f>
        <v>81.430000000000007</v>
      </c>
      <c r="CK108" s="86">
        <f>'Raw Data'!CK109/100</f>
        <v>80.19</v>
      </c>
      <c r="CL108" s="86">
        <f>'Raw Data'!CL109/100</f>
        <v>76.89</v>
      </c>
      <c r="CM108" s="86">
        <f>'Raw Data'!CM109/100</f>
        <v>75.14</v>
      </c>
      <c r="CN108" s="86">
        <f>'Raw Data'!CN109/100</f>
        <v>75.37</v>
      </c>
      <c r="CO108" s="86">
        <f>'Raw Data'!CO109/100</f>
        <v>72.84</v>
      </c>
      <c r="CP108" s="86">
        <f>'Raw Data'!CP109/100</f>
        <v>73.03</v>
      </c>
      <c r="CQ108" s="86">
        <f>'Raw Data'!CQ109/100</f>
        <v>71.98</v>
      </c>
      <c r="CR108" s="86">
        <f>'Raw Data'!CR109/100</f>
        <v>69.94</v>
      </c>
      <c r="CS108" s="86">
        <f>'Raw Data'!CS109/100</f>
        <v>69.510000000000005</v>
      </c>
      <c r="CT108" s="86">
        <f>'Raw Data'!CT109/100</f>
        <v>67.599999999999994</v>
      </c>
      <c r="CU108" s="382"/>
    </row>
    <row r="109" spans="4:99" s="86" customFormat="1" x14ac:dyDescent="0.2">
      <c r="D109" s="375"/>
      <c r="E109" s="164"/>
      <c r="F109" s="394"/>
      <c r="G109" s="86">
        <f>'Raw Data'!G110</f>
        <v>3459</v>
      </c>
      <c r="H109" s="86">
        <f>'Raw Data'!H110</f>
        <v>3564</v>
      </c>
      <c r="I109" s="86">
        <f>'Raw Data'!I110</f>
        <v>3605</v>
      </c>
      <c r="J109" s="86">
        <f>'Raw Data'!J110</f>
        <v>3596</v>
      </c>
      <c r="K109" s="86">
        <f>'Raw Data'!K110</f>
        <v>3575</v>
      </c>
      <c r="L109" s="86">
        <f>'Raw Data'!L110</f>
        <v>3592</v>
      </c>
      <c r="M109" s="86">
        <f>'Raw Data'!M110</f>
        <v>3548</v>
      </c>
      <c r="N109" s="86">
        <f>'Raw Data'!N110</f>
        <v>3529</v>
      </c>
      <c r="O109" s="86">
        <f>'Raw Data'!O110</f>
        <v>3541</v>
      </c>
      <c r="P109" s="86">
        <f>'Raw Data'!P110</f>
        <v>3555</v>
      </c>
      <c r="Q109" s="86">
        <f>'Raw Data'!Q110</f>
        <v>3401</v>
      </c>
      <c r="R109" s="86">
        <f>'Raw Data'!R110</f>
        <v>3473</v>
      </c>
      <c r="S109" s="86">
        <f>'Raw Data'!S110</f>
        <v>3450</v>
      </c>
      <c r="T109" s="86">
        <f>'Raw Data'!T110</f>
        <v>3386</v>
      </c>
      <c r="U109" s="86">
        <f>'Raw Data'!U110</f>
        <v>3480</v>
      </c>
      <c r="V109" s="86">
        <f>'Raw Data'!V110</f>
        <v>3432</v>
      </c>
      <c r="W109" s="86">
        <f>'Raw Data'!W110</f>
        <v>3389</v>
      </c>
      <c r="X109" s="86">
        <f>'Raw Data'!X110</f>
        <v>3393</v>
      </c>
      <c r="Y109" s="86">
        <f>'Raw Data'!Y110</f>
        <v>3383</v>
      </c>
      <c r="Z109" s="86">
        <f>'Raw Data'!Z110</f>
        <v>3344</v>
      </c>
      <c r="AA109" s="86">
        <f>'Raw Data'!AA110/10</f>
        <v>3279</v>
      </c>
      <c r="AB109" s="86">
        <f>'Raw Data'!AB110/10</f>
        <v>3139.5</v>
      </c>
      <c r="AC109" s="86">
        <f>'Raw Data'!AC110/10</f>
        <v>2961.3</v>
      </c>
      <c r="AD109" s="86">
        <f>'Raw Data'!AD110/10</f>
        <v>2804.4</v>
      </c>
      <c r="AE109" s="86">
        <f>'Raw Data'!AE110/10</f>
        <v>2630.4</v>
      </c>
      <c r="AF109" s="86">
        <f>'Raw Data'!AF110/10</f>
        <v>2480.3000000000002</v>
      </c>
      <c r="AG109" s="86">
        <f>'Raw Data'!AG110/10</f>
        <v>2355</v>
      </c>
      <c r="AH109" s="86">
        <f>'Raw Data'!AH110/10</f>
        <v>2242.6</v>
      </c>
      <c r="AI109" s="86">
        <f>'Raw Data'!AI110/10</f>
        <v>2138.6999999999998</v>
      </c>
      <c r="AJ109" s="86">
        <f>'Raw Data'!AJ110/10</f>
        <v>2017.2</v>
      </c>
      <c r="AK109" s="86">
        <f>'Raw Data'!AK110/10</f>
        <v>1912.5</v>
      </c>
      <c r="AL109" s="86">
        <f>'Raw Data'!AL110/10</f>
        <v>1823.6</v>
      </c>
      <c r="AM109" s="86">
        <f>'Raw Data'!AM110/10</f>
        <v>1744.2</v>
      </c>
      <c r="AN109" s="86">
        <f>'Raw Data'!AN110/10</f>
        <v>1673.5</v>
      </c>
      <c r="AO109" s="86">
        <f>'Raw Data'!AO110/10</f>
        <v>1594.9</v>
      </c>
      <c r="AP109" s="86">
        <f>'Raw Data'!AP110/10</f>
        <v>1524.9</v>
      </c>
      <c r="AQ109" s="86">
        <f>'Raw Data'!AQ110/10</f>
        <v>1427.7</v>
      </c>
      <c r="AR109" s="86">
        <f>'Raw Data'!AR110/10</f>
        <v>1405.4</v>
      </c>
      <c r="AS109" s="86">
        <f>'Raw Data'!AS110/10</f>
        <v>1347.8</v>
      </c>
      <c r="AT109" s="86">
        <f>'Raw Data'!AT110/10</f>
        <v>1298.4000000000001</v>
      </c>
      <c r="AU109" s="86">
        <f>'Raw Data'!AU110/10</f>
        <v>1245.9000000000001</v>
      </c>
      <c r="AV109" s="86">
        <f>'Raw Data'!AV110/10</f>
        <v>1201.5</v>
      </c>
      <c r="AW109" s="86">
        <f>'Raw Data'!AW110/10</f>
        <v>1148.9000000000001</v>
      </c>
      <c r="AX109" s="86">
        <f>'Raw Data'!AX110/10</f>
        <v>1121.5</v>
      </c>
      <c r="AY109" s="86">
        <f>'Raw Data'!AY110/10</f>
        <v>1058.8</v>
      </c>
      <c r="AZ109" s="86">
        <f>'Raw Data'!AZ110/10</f>
        <v>1017.1</v>
      </c>
      <c r="BA109" s="86">
        <f>'Raw Data'!BA110/10</f>
        <v>1002.5</v>
      </c>
      <c r="BB109" s="86">
        <f>'Raw Data'!BB110/10</f>
        <v>966.9</v>
      </c>
      <c r="BC109" s="86">
        <f>'Raw Data'!BC110/10</f>
        <v>930.8</v>
      </c>
      <c r="BD109" s="86">
        <f>'Raw Data'!BD110/10</f>
        <v>898.5</v>
      </c>
      <c r="BE109" s="86">
        <f>'Raw Data'!BE110/10</f>
        <v>880</v>
      </c>
      <c r="BF109" s="86">
        <f>'Raw Data'!BF110/10</f>
        <v>851</v>
      </c>
      <c r="BG109" s="86">
        <f>'Raw Data'!BG110/10</f>
        <v>832.7</v>
      </c>
      <c r="BH109" s="86">
        <f>'Raw Data'!BH110/10</f>
        <v>786.5</v>
      </c>
      <c r="BI109" s="86">
        <f>'Raw Data'!BI110/10</f>
        <v>777.4</v>
      </c>
      <c r="BJ109" s="86">
        <f>'Raw Data'!BJ110/10</f>
        <v>748.4</v>
      </c>
      <c r="BK109" s="86">
        <f>'Raw Data'!BK110/10</f>
        <v>738</v>
      </c>
      <c r="BL109" s="86">
        <f>'Raw Data'!BL110/10</f>
        <v>716.4</v>
      </c>
      <c r="BM109" s="86">
        <f>'Raw Data'!BM110/10</f>
        <v>692.3</v>
      </c>
      <c r="BN109" s="86">
        <f>'Raw Data'!BN110/10</f>
        <v>678.1</v>
      </c>
      <c r="BO109" s="86">
        <f>'Raw Data'!BO110/10</f>
        <v>662.4</v>
      </c>
      <c r="BP109" s="86">
        <f>'Raw Data'!BP110/10</f>
        <v>650.9</v>
      </c>
      <c r="BQ109" s="86">
        <f>'Raw Data'!BQ110/10</f>
        <v>627.5</v>
      </c>
      <c r="BR109" s="86">
        <f>'Raw Data'!BR110/10</f>
        <v>620.29999999999995</v>
      </c>
      <c r="BS109" s="86">
        <f>'Raw Data'!BS110/10</f>
        <v>597.1</v>
      </c>
      <c r="BT109" s="86">
        <f>'Raw Data'!BT110/10</f>
        <v>582.5</v>
      </c>
      <c r="BU109" s="86">
        <f>'Raw Data'!BU110/10</f>
        <v>560.4</v>
      </c>
      <c r="BV109" s="86">
        <f>'Raw Data'!BV110/10</f>
        <v>554.4</v>
      </c>
      <c r="BW109" s="86">
        <f>'Raw Data'!BW110/10</f>
        <v>544</v>
      </c>
      <c r="BX109" s="86">
        <f>'Raw Data'!BX110/10</f>
        <v>537</v>
      </c>
      <c r="BY109" s="86">
        <f>'Raw Data'!BY110/10</f>
        <v>514.4</v>
      </c>
      <c r="BZ109" s="86">
        <f>'Raw Data'!BZ110/10</f>
        <v>507.8</v>
      </c>
      <c r="CA109" s="86">
        <f>'Raw Data'!CA110/10</f>
        <v>509.2</v>
      </c>
      <c r="CB109" s="86">
        <f>'Raw Data'!CB110/10</f>
        <v>485.8</v>
      </c>
      <c r="CC109" s="86">
        <f>'Raw Data'!CC110/10</f>
        <v>481.5</v>
      </c>
      <c r="CD109" s="86">
        <f>'Raw Data'!CD110/10</f>
        <v>450.1</v>
      </c>
      <c r="CE109" s="86">
        <f>'Raw Data'!CE110/10</f>
        <v>465.1</v>
      </c>
      <c r="CF109" s="86">
        <f>'Raw Data'!CF110/10</f>
        <v>457.9</v>
      </c>
      <c r="CG109" s="86">
        <f>'Raw Data'!CG110/100</f>
        <v>415.4</v>
      </c>
      <c r="CH109" s="86">
        <f>'Raw Data'!CH110/100</f>
        <v>349.2</v>
      </c>
      <c r="CI109" s="86">
        <f>'Raw Data'!CI110/100</f>
        <v>306.01</v>
      </c>
      <c r="CJ109" s="86">
        <f>'Raw Data'!CJ110/100</f>
        <v>273.31</v>
      </c>
      <c r="CK109" s="86">
        <f>'Raw Data'!CK110/100</f>
        <v>244.24</v>
      </c>
      <c r="CL109" s="86">
        <f>'Raw Data'!CL110/100</f>
        <v>224.26</v>
      </c>
      <c r="CM109" s="86">
        <f>'Raw Data'!CM110/100</f>
        <v>205.92</v>
      </c>
      <c r="CN109" s="86">
        <f>'Raw Data'!CN110/100</f>
        <v>192.45</v>
      </c>
      <c r="CO109" s="86">
        <f>'Raw Data'!CO110/100</f>
        <v>181.88</v>
      </c>
      <c r="CP109" s="86">
        <f>'Raw Data'!CP110/100</f>
        <v>170.76</v>
      </c>
      <c r="CQ109" s="86">
        <f>'Raw Data'!CQ110/100</f>
        <v>161.68</v>
      </c>
      <c r="CR109" s="86">
        <f>'Raw Data'!CR110/100</f>
        <v>150.41999999999999</v>
      </c>
      <c r="CS109" s="86">
        <f>'Raw Data'!CS110/100</f>
        <v>148.15</v>
      </c>
      <c r="CT109" s="86">
        <f>'Raw Data'!CT110/100</f>
        <v>141.46</v>
      </c>
      <c r="CU109" s="382"/>
    </row>
    <row r="110" spans="4:99" s="86" customFormat="1" x14ac:dyDescent="0.2">
      <c r="D110" s="375"/>
      <c r="E110" s="164"/>
      <c r="F110" s="394"/>
      <c r="G110" s="86">
        <f>'Raw Data'!G111</f>
        <v>7648</v>
      </c>
      <c r="H110" s="86">
        <f>'Raw Data'!H111</f>
        <v>7681</v>
      </c>
      <c r="I110" s="86">
        <f>'Raw Data'!I111</f>
        <v>7834</v>
      </c>
      <c r="J110" s="86">
        <f>'Raw Data'!J111</f>
        <v>7825</v>
      </c>
      <c r="K110" s="86">
        <f>'Raw Data'!K111</f>
        <v>7935</v>
      </c>
      <c r="L110" s="86">
        <f>'Raw Data'!L111</f>
        <v>7637</v>
      </c>
      <c r="M110" s="86">
        <f>'Raw Data'!M111</f>
        <v>7572</v>
      </c>
      <c r="N110" s="86">
        <f>'Raw Data'!N111</f>
        <v>7578</v>
      </c>
      <c r="O110" s="86">
        <f>'Raw Data'!O111</f>
        <v>7658</v>
      </c>
      <c r="P110" s="86">
        <f>'Raw Data'!P111</f>
        <v>7571</v>
      </c>
      <c r="Q110" s="86">
        <f>'Raw Data'!Q111</f>
        <v>7466</v>
      </c>
      <c r="R110" s="86">
        <f>'Raw Data'!R111</f>
        <v>7578</v>
      </c>
      <c r="S110" s="86">
        <f>'Raw Data'!S111</f>
        <v>7467</v>
      </c>
      <c r="T110" s="86">
        <f>'Raw Data'!T111</f>
        <v>7303</v>
      </c>
      <c r="U110" s="86">
        <f>'Raw Data'!U111</f>
        <v>7399</v>
      </c>
      <c r="V110" s="86">
        <f>'Raw Data'!V111</f>
        <v>7354</v>
      </c>
      <c r="W110" s="86">
        <f>'Raw Data'!W111</f>
        <v>7372</v>
      </c>
      <c r="X110" s="86">
        <f>'Raw Data'!X111</f>
        <v>7277</v>
      </c>
      <c r="Y110" s="86">
        <f>'Raw Data'!Y111</f>
        <v>7233</v>
      </c>
      <c r="Z110" s="86">
        <f>'Raw Data'!Z111</f>
        <v>7327</v>
      </c>
      <c r="AA110" s="86">
        <f>'Raw Data'!AA111/10</f>
        <v>7083.9</v>
      </c>
      <c r="AB110" s="86">
        <f>'Raw Data'!AB111/10</f>
        <v>6683.8</v>
      </c>
      <c r="AC110" s="86">
        <f>'Raw Data'!AC111/10</f>
        <v>6358.1</v>
      </c>
      <c r="AD110" s="86">
        <f>'Raw Data'!AD111/10</f>
        <v>5991.5</v>
      </c>
      <c r="AE110" s="86">
        <f>'Raw Data'!AE111/10</f>
        <v>5629.7</v>
      </c>
      <c r="AF110" s="86">
        <f>'Raw Data'!AF111/10</f>
        <v>5336.1</v>
      </c>
      <c r="AG110" s="86">
        <f>'Raw Data'!AG111/10</f>
        <v>5020.1000000000004</v>
      </c>
      <c r="AH110" s="86">
        <f>'Raw Data'!AH111/10</f>
        <v>4754.5</v>
      </c>
      <c r="AI110" s="86">
        <f>'Raw Data'!AI111/10</f>
        <v>4522.8</v>
      </c>
      <c r="AJ110" s="86">
        <f>'Raw Data'!AJ111/10</f>
        <v>4326.2</v>
      </c>
      <c r="AK110" s="86">
        <f>'Raw Data'!AK111/10</f>
        <v>4063.9</v>
      </c>
      <c r="AL110" s="86">
        <f>'Raw Data'!AL111/10</f>
        <v>3898.1</v>
      </c>
      <c r="AM110" s="86">
        <f>'Raw Data'!AM111/10</f>
        <v>3705.9</v>
      </c>
      <c r="AN110" s="86">
        <f>'Raw Data'!AN111/10</f>
        <v>3529.7</v>
      </c>
      <c r="AO110" s="86">
        <f>'Raw Data'!AO111/10</f>
        <v>3374</v>
      </c>
      <c r="AP110" s="86">
        <f>'Raw Data'!AP111/10</f>
        <v>3206.2</v>
      </c>
      <c r="AQ110" s="86">
        <f>'Raw Data'!AQ111/10</f>
        <v>3056.5</v>
      </c>
      <c r="AR110" s="86">
        <f>'Raw Data'!AR111/10</f>
        <v>2969.1</v>
      </c>
      <c r="AS110" s="86">
        <f>'Raw Data'!AS111/10</f>
        <v>2830.4</v>
      </c>
      <c r="AT110" s="86">
        <f>'Raw Data'!AT111/10</f>
        <v>2712</v>
      </c>
      <c r="AU110" s="86">
        <f>'Raw Data'!AU111/10</f>
        <v>2613</v>
      </c>
      <c r="AV110" s="86">
        <f>'Raw Data'!AV111/10</f>
        <v>2490.6</v>
      </c>
      <c r="AW110" s="86">
        <f>'Raw Data'!AW111/10</f>
        <v>2410.9</v>
      </c>
      <c r="AX110" s="86">
        <f>'Raw Data'!AX111/10</f>
        <v>2299.5</v>
      </c>
      <c r="AY110" s="86">
        <f>'Raw Data'!AY111/10</f>
        <v>2232</v>
      </c>
      <c r="AZ110" s="86">
        <f>'Raw Data'!AZ111/10</f>
        <v>2136.1</v>
      </c>
      <c r="BA110" s="86">
        <f>'Raw Data'!BA111/10</f>
        <v>2072.8000000000002</v>
      </c>
      <c r="BB110" s="86">
        <f>'Raw Data'!BB111/10</f>
        <v>1993.1</v>
      </c>
      <c r="BC110" s="86">
        <f>'Raw Data'!BC111/10</f>
        <v>1943.2</v>
      </c>
      <c r="BD110" s="86">
        <f>'Raw Data'!BD111/10</f>
        <v>1882.6</v>
      </c>
      <c r="BE110" s="86">
        <f>'Raw Data'!BE111/10</f>
        <v>1804.2</v>
      </c>
      <c r="BF110" s="86">
        <f>'Raw Data'!BF111/10</f>
        <v>1756.4</v>
      </c>
      <c r="BG110" s="86">
        <f>'Raw Data'!BG111/10</f>
        <v>1696</v>
      </c>
      <c r="BH110" s="86">
        <f>'Raw Data'!BH111/10</f>
        <v>1633.1</v>
      </c>
      <c r="BI110" s="86">
        <f>'Raw Data'!BI111/10</f>
        <v>1580.4</v>
      </c>
      <c r="BJ110" s="86">
        <f>'Raw Data'!BJ111/10</f>
        <v>1524.5</v>
      </c>
      <c r="BK110" s="86">
        <f>'Raw Data'!BK111/10</f>
        <v>1507.3</v>
      </c>
      <c r="BL110" s="86">
        <f>'Raw Data'!BL111/10</f>
        <v>1456.2</v>
      </c>
      <c r="BM110" s="86">
        <f>'Raw Data'!BM111/10</f>
        <v>1409.5</v>
      </c>
      <c r="BN110" s="86">
        <f>'Raw Data'!BN111/10</f>
        <v>1366.5</v>
      </c>
      <c r="BO110" s="86">
        <f>'Raw Data'!BO111/10</f>
        <v>1340.5</v>
      </c>
      <c r="BP110" s="86">
        <f>'Raw Data'!BP111/10</f>
        <v>1293.4000000000001</v>
      </c>
      <c r="BQ110" s="86">
        <f>'Raw Data'!BQ111/10</f>
        <v>1265.3</v>
      </c>
      <c r="BR110" s="86">
        <f>'Raw Data'!BR111/10</f>
        <v>1241.0999999999999</v>
      </c>
      <c r="BS110" s="86">
        <f>'Raw Data'!BS111/10</f>
        <v>1200.3</v>
      </c>
      <c r="BT110" s="86">
        <f>'Raw Data'!BT111/10</f>
        <v>1162.7</v>
      </c>
      <c r="BU110" s="86">
        <f>'Raw Data'!BU111/10</f>
        <v>1138</v>
      </c>
      <c r="BV110" s="86">
        <f>'Raw Data'!BV111/10</f>
        <v>1114.4000000000001</v>
      </c>
      <c r="BW110" s="86">
        <f>'Raw Data'!BW111/10</f>
        <v>1088.0999999999999</v>
      </c>
      <c r="BX110" s="86">
        <f>'Raw Data'!BX111/10</f>
        <v>1054.2</v>
      </c>
      <c r="BY110" s="86">
        <f>'Raw Data'!BY111/10</f>
        <v>1026.9000000000001</v>
      </c>
      <c r="BZ110" s="86">
        <f>'Raw Data'!BZ111/10</f>
        <v>1007.6</v>
      </c>
      <c r="CA110" s="86">
        <f>'Raw Data'!CA111/10</f>
        <v>1003.3</v>
      </c>
      <c r="CB110" s="86">
        <f>'Raw Data'!CB111/10</f>
        <v>971.6</v>
      </c>
      <c r="CC110" s="86">
        <f>'Raw Data'!CC111/10</f>
        <v>947</v>
      </c>
      <c r="CD110" s="86">
        <f>'Raw Data'!CD111/10</f>
        <v>936</v>
      </c>
      <c r="CE110" s="86">
        <f>'Raw Data'!CE111/10</f>
        <v>914.8</v>
      </c>
      <c r="CF110" s="86">
        <f>'Raw Data'!CF111/10</f>
        <v>899.2</v>
      </c>
      <c r="CG110" s="86">
        <f>'Raw Data'!CG111/100</f>
        <v>801.95</v>
      </c>
      <c r="CH110" s="86">
        <f>'Raw Data'!CH111/100</f>
        <v>672.54</v>
      </c>
      <c r="CI110" s="86">
        <f>'Raw Data'!CI111/100</f>
        <v>569.53</v>
      </c>
      <c r="CJ110" s="86">
        <f>'Raw Data'!CJ111/100</f>
        <v>499.92</v>
      </c>
      <c r="CK110" s="86">
        <f>'Raw Data'!CK111/100</f>
        <v>448.53</v>
      </c>
      <c r="CL110" s="86">
        <f>'Raw Data'!CL111/100</f>
        <v>401.65</v>
      </c>
      <c r="CM110" s="86">
        <f>'Raw Data'!CM111/100</f>
        <v>365.3</v>
      </c>
      <c r="CN110" s="86">
        <f>'Raw Data'!CN111/100</f>
        <v>333.13</v>
      </c>
      <c r="CO110" s="86">
        <f>'Raw Data'!CO111/100</f>
        <v>308.74</v>
      </c>
      <c r="CP110" s="86">
        <f>'Raw Data'!CP111/100</f>
        <v>287.41000000000003</v>
      </c>
      <c r="CQ110" s="86">
        <f>'Raw Data'!CQ111/100</f>
        <v>268.12</v>
      </c>
      <c r="CR110" s="86">
        <f>'Raw Data'!CR111/100</f>
        <v>255.45</v>
      </c>
      <c r="CS110" s="86">
        <f>'Raw Data'!CS111/100</f>
        <v>242.84</v>
      </c>
      <c r="CT110" s="86">
        <f>'Raw Data'!CT111/100</f>
        <v>227.86</v>
      </c>
      <c r="CU110" s="382"/>
    </row>
    <row r="111" spans="4:99" s="86" customFormat="1" x14ac:dyDescent="0.2">
      <c r="D111" s="379"/>
      <c r="E111" s="381"/>
      <c r="F111" s="395"/>
      <c r="G111" s="87">
        <f>'Raw Data'!G112</f>
        <v>3769</v>
      </c>
      <c r="H111" s="87">
        <f>'Raw Data'!H112</f>
        <v>3758</v>
      </c>
      <c r="I111" s="87">
        <f>'Raw Data'!I112</f>
        <v>3716</v>
      </c>
      <c r="J111" s="87">
        <f>'Raw Data'!J112</f>
        <v>3714</v>
      </c>
      <c r="K111" s="87">
        <f>'Raw Data'!K112</f>
        <v>3740</v>
      </c>
      <c r="L111" s="87">
        <f>'Raw Data'!L112</f>
        <v>3675</v>
      </c>
      <c r="M111" s="87">
        <f>'Raw Data'!M112</f>
        <v>3628</v>
      </c>
      <c r="N111" s="87">
        <f>'Raw Data'!N112</f>
        <v>3636</v>
      </c>
      <c r="O111" s="87">
        <f>'Raw Data'!O112</f>
        <v>3665</v>
      </c>
      <c r="P111" s="87">
        <f>'Raw Data'!P112</f>
        <v>3623</v>
      </c>
      <c r="Q111" s="87">
        <f>'Raw Data'!Q112</f>
        <v>3646</v>
      </c>
      <c r="R111" s="87">
        <f>'Raw Data'!R112</f>
        <v>3670</v>
      </c>
      <c r="S111" s="87">
        <f>'Raw Data'!S112</f>
        <v>3648</v>
      </c>
      <c r="T111" s="87">
        <f>'Raw Data'!T112</f>
        <v>3669</v>
      </c>
      <c r="U111" s="87">
        <f>'Raw Data'!U112</f>
        <v>3542</v>
      </c>
      <c r="V111" s="87">
        <f>'Raw Data'!V112</f>
        <v>3519</v>
      </c>
      <c r="W111" s="87">
        <f>'Raw Data'!W112</f>
        <v>3548</v>
      </c>
      <c r="X111" s="87">
        <f>'Raw Data'!X112</f>
        <v>3602</v>
      </c>
      <c r="Y111" s="87">
        <f>'Raw Data'!Y112</f>
        <v>3515</v>
      </c>
      <c r="Z111" s="87">
        <f>'Raw Data'!Z112</f>
        <v>3586</v>
      </c>
      <c r="AA111" s="87">
        <f>'Raw Data'!AA112/10</f>
        <v>3436.1</v>
      </c>
      <c r="AB111" s="87">
        <f>'Raw Data'!AB112/10</f>
        <v>3222.8</v>
      </c>
      <c r="AC111" s="87">
        <f>'Raw Data'!AC112/10</f>
        <v>3061.1</v>
      </c>
      <c r="AD111" s="87">
        <f>'Raw Data'!AD112/10</f>
        <v>2892</v>
      </c>
      <c r="AE111" s="87">
        <f>'Raw Data'!AE112/10</f>
        <v>2778.8</v>
      </c>
      <c r="AF111" s="87">
        <f>'Raw Data'!AF112/10</f>
        <v>2623</v>
      </c>
      <c r="AG111" s="87">
        <f>'Raw Data'!AG112/10</f>
        <v>2510.4</v>
      </c>
      <c r="AH111" s="87">
        <f>'Raw Data'!AH112/10</f>
        <v>2356.8000000000002</v>
      </c>
      <c r="AI111" s="87">
        <f>'Raw Data'!AI112/10</f>
        <v>2252.4</v>
      </c>
      <c r="AJ111" s="87">
        <f>'Raw Data'!AJ112/10</f>
        <v>2144.6999999999998</v>
      </c>
      <c r="AK111" s="87">
        <f>'Raw Data'!AK112/10</f>
        <v>2022.4</v>
      </c>
      <c r="AL111" s="87">
        <f>'Raw Data'!AL112/10</f>
        <v>1951.5</v>
      </c>
      <c r="AM111" s="87">
        <f>'Raw Data'!AM112/10</f>
        <v>1863.3</v>
      </c>
      <c r="AN111" s="87">
        <f>'Raw Data'!AN112/10</f>
        <v>1778.8</v>
      </c>
      <c r="AO111" s="87">
        <f>'Raw Data'!AO112/10</f>
        <v>1714.3</v>
      </c>
      <c r="AP111" s="87">
        <f>'Raw Data'!AP112/10</f>
        <v>1644</v>
      </c>
      <c r="AQ111" s="87">
        <f>'Raw Data'!AQ112/10</f>
        <v>1560.2</v>
      </c>
      <c r="AR111" s="87">
        <f>'Raw Data'!AR112/10</f>
        <v>1503.6</v>
      </c>
      <c r="AS111" s="87">
        <f>'Raw Data'!AS112/10</f>
        <v>1445.5</v>
      </c>
      <c r="AT111" s="87">
        <f>'Raw Data'!AT112/10</f>
        <v>1405.6</v>
      </c>
      <c r="AU111" s="87">
        <f>'Raw Data'!AU112/10</f>
        <v>1336.4</v>
      </c>
      <c r="AV111" s="87">
        <f>'Raw Data'!AV112/10</f>
        <v>1312.1</v>
      </c>
      <c r="AW111" s="87">
        <f>'Raw Data'!AW112/10</f>
        <v>1241.0999999999999</v>
      </c>
      <c r="AX111" s="87">
        <f>'Raw Data'!AX112/10</f>
        <v>1222.3</v>
      </c>
      <c r="AY111" s="87">
        <f>'Raw Data'!AY112/10</f>
        <v>1171.9000000000001</v>
      </c>
      <c r="AZ111" s="87">
        <f>'Raw Data'!AZ112/10</f>
        <v>1137.8</v>
      </c>
      <c r="BA111" s="87">
        <f>'Raw Data'!BA112/10</f>
        <v>1092.8</v>
      </c>
      <c r="BB111" s="87">
        <f>'Raw Data'!BB112/10</f>
        <v>1024.4000000000001</v>
      </c>
      <c r="BC111" s="87">
        <f>'Raw Data'!BC112/10</f>
        <v>1045.9000000000001</v>
      </c>
      <c r="BD111" s="87">
        <f>'Raw Data'!BD112/10</f>
        <v>1011.5</v>
      </c>
      <c r="BE111" s="87">
        <f>'Raw Data'!BE112/10</f>
        <v>976.8</v>
      </c>
      <c r="BF111" s="87">
        <f>'Raw Data'!BF112/10</f>
        <v>960.8</v>
      </c>
      <c r="BG111" s="87">
        <f>'Raw Data'!BG112/10</f>
        <v>919.9</v>
      </c>
      <c r="BH111" s="87">
        <f>'Raw Data'!BH112/10</f>
        <v>887.9</v>
      </c>
      <c r="BI111" s="87">
        <f>'Raw Data'!BI112/10</f>
        <v>864.6</v>
      </c>
      <c r="BJ111" s="87">
        <f>'Raw Data'!BJ112/10</f>
        <v>860.6</v>
      </c>
      <c r="BK111" s="87">
        <f>'Raw Data'!BK112/10</f>
        <v>822.9</v>
      </c>
      <c r="BL111" s="87">
        <f>'Raw Data'!BL112/10</f>
        <v>811.5</v>
      </c>
      <c r="BM111" s="87">
        <f>'Raw Data'!BM112/10</f>
        <v>772.1</v>
      </c>
      <c r="BN111" s="87">
        <f>'Raw Data'!BN112/10</f>
        <v>767.1</v>
      </c>
      <c r="BO111" s="87">
        <f>'Raw Data'!BO112/10</f>
        <v>750.2</v>
      </c>
      <c r="BP111" s="87">
        <f>'Raw Data'!BP112/10</f>
        <v>734.7</v>
      </c>
      <c r="BQ111" s="87">
        <f>'Raw Data'!BQ112/10</f>
        <v>713.3</v>
      </c>
      <c r="BR111" s="87">
        <f>'Raw Data'!BR112/10</f>
        <v>706.2</v>
      </c>
      <c r="BS111" s="87">
        <f>'Raw Data'!BS112/10</f>
        <v>689.7</v>
      </c>
      <c r="BT111" s="87">
        <f>'Raw Data'!BT112/10</f>
        <v>679.8</v>
      </c>
      <c r="BU111" s="87">
        <f>'Raw Data'!BU112/10</f>
        <v>656.1</v>
      </c>
      <c r="BV111" s="87">
        <f>'Raw Data'!BV112/10</f>
        <v>647.70000000000005</v>
      </c>
      <c r="BW111" s="87">
        <f>'Raw Data'!BW112/10</f>
        <v>627.1</v>
      </c>
      <c r="BX111" s="87">
        <f>'Raw Data'!BX112/10</f>
        <v>611.5</v>
      </c>
      <c r="BY111" s="87">
        <f>'Raw Data'!BY112/10</f>
        <v>611.5</v>
      </c>
      <c r="BZ111" s="87">
        <f>'Raw Data'!BZ112/10</f>
        <v>601.6</v>
      </c>
      <c r="CA111" s="87">
        <f>'Raw Data'!CA112/10</f>
        <v>591.6</v>
      </c>
      <c r="CB111" s="87">
        <f>'Raw Data'!CB112/10</f>
        <v>567.79999999999995</v>
      </c>
      <c r="CC111" s="87">
        <f>'Raw Data'!CC112/10</f>
        <v>562.70000000000005</v>
      </c>
      <c r="CD111" s="87">
        <f>'Raw Data'!CD112/10</f>
        <v>552.1</v>
      </c>
      <c r="CE111" s="87">
        <f>'Raw Data'!CE112/10</f>
        <v>541.70000000000005</v>
      </c>
      <c r="CF111" s="87">
        <f>'Raw Data'!CF112/10</f>
        <v>529.70000000000005</v>
      </c>
      <c r="CG111" s="87">
        <f>'Raw Data'!CG112/100</f>
        <v>492.09</v>
      </c>
      <c r="CH111" s="87">
        <f>'Raw Data'!CH112/100</f>
        <v>429.78</v>
      </c>
      <c r="CI111" s="87">
        <f>'Raw Data'!CI112/100</f>
        <v>380.54</v>
      </c>
      <c r="CJ111" s="87">
        <f>'Raw Data'!CJ112/100</f>
        <v>340.15</v>
      </c>
      <c r="CK111" s="87">
        <f>'Raw Data'!CK112/100</f>
        <v>310.08</v>
      </c>
      <c r="CL111" s="87">
        <f>'Raw Data'!CL112/100</f>
        <v>288.77999999999997</v>
      </c>
      <c r="CM111" s="87">
        <f>'Raw Data'!CM112/100</f>
        <v>268.17</v>
      </c>
      <c r="CN111" s="87">
        <f>'Raw Data'!CN112/100</f>
        <v>249.98</v>
      </c>
      <c r="CO111" s="87">
        <f>'Raw Data'!CO112/100</f>
        <v>237.34</v>
      </c>
      <c r="CP111" s="87">
        <f>'Raw Data'!CP112/100</f>
        <v>223.97</v>
      </c>
      <c r="CQ111" s="87">
        <f>'Raw Data'!CQ112/100</f>
        <v>213.44</v>
      </c>
      <c r="CR111" s="87">
        <f>'Raw Data'!CR112/100</f>
        <v>204.43</v>
      </c>
      <c r="CS111" s="87">
        <f>'Raw Data'!CS112/100</f>
        <v>197.26</v>
      </c>
      <c r="CT111" s="87">
        <f>'Raw Data'!CT112/100</f>
        <v>188.68</v>
      </c>
      <c r="CU111" s="382"/>
    </row>
    <row r="112" spans="4:99" s="86" customFormat="1" x14ac:dyDescent="0.2">
      <c r="D112" s="376"/>
      <c r="E112" s="164"/>
      <c r="F112" s="394"/>
      <c r="G112" s="83">
        <f>'Raw Data'!G113</f>
        <v>3340</v>
      </c>
      <c r="H112" s="83">
        <f>'Raw Data'!H113</f>
        <v>3334</v>
      </c>
      <c r="I112" s="83">
        <f>'Raw Data'!I113</f>
        <v>3381</v>
      </c>
      <c r="J112" s="83">
        <f>'Raw Data'!J113</f>
        <v>3346</v>
      </c>
      <c r="K112" s="83">
        <f>'Raw Data'!K113</f>
        <v>3316</v>
      </c>
      <c r="L112" s="83">
        <f>'Raw Data'!L113</f>
        <v>3389</v>
      </c>
      <c r="M112" s="83">
        <f>'Raw Data'!M113</f>
        <v>3395</v>
      </c>
      <c r="N112" s="83">
        <f>'Raw Data'!N113</f>
        <v>3395</v>
      </c>
      <c r="O112" s="83">
        <f>'Raw Data'!O113</f>
        <v>3269</v>
      </c>
      <c r="P112" s="83">
        <f>'Raw Data'!P113</f>
        <v>3300</v>
      </c>
      <c r="Q112" s="83">
        <f>'Raw Data'!Q113</f>
        <v>3275</v>
      </c>
      <c r="R112" s="83">
        <f>'Raw Data'!R113</f>
        <v>3286</v>
      </c>
      <c r="S112" s="83">
        <f>'Raw Data'!S113</f>
        <v>3287</v>
      </c>
      <c r="T112" s="83">
        <f>'Raw Data'!T113</f>
        <v>3294</v>
      </c>
      <c r="U112" s="83">
        <f>'Raw Data'!U113</f>
        <v>3268</v>
      </c>
      <c r="V112" s="83">
        <f>'Raw Data'!V113</f>
        <v>3338</v>
      </c>
      <c r="W112" s="83">
        <f>'Raw Data'!W113</f>
        <v>3233</v>
      </c>
      <c r="X112" s="83">
        <f>'Raw Data'!X113</f>
        <v>3221</v>
      </c>
      <c r="Y112" s="83">
        <f>'Raw Data'!Y113</f>
        <v>3168</v>
      </c>
      <c r="Z112" s="83">
        <f>'Raw Data'!Z113</f>
        <v>3208</v>
      </c>
      <c r="AA112" s="83">
        <f>'Raw Data'!AA113/10</f>
        <v>3125.3</v>
      </c>
      <c r="AB112" s="83">
        <f>'Raw Data'!AB113/10</f>
        <v>2991.5</v>
      </c>
      <c r="AC112" s="83">
        <f>'Raw Data'!AC113/10</f>
        <v>2830</v>
      </c>
      <c r="AD112" s="83">
        <f>'Raw Data'!AD113/10</f>
        <v>2685.6</v>
      </c>
      <c r="AE112" s="83">
        <f>'Raw Data'!AE113/10</f>
        <v>2565.6999999999998</v>
      </c>
      <c r="AF112" s="83">
        <f>'Raw Data'!AF113/10</f>
        <v>2453.6999999999998</v>
      </c>
      <c r="AG112" s="83">
        <f>'Raw Data'!AG113/10</f>
        <v>2321.3000000000002</v>
      </c>
      <c r="AH112" s="83">
        <f>'Raw Data'!AH113/10</f>
        <v>2250.4</v>
      </c>
      <c r="AI112" s="83">
        <f>'Raw Data'!AI113/10</f>
        <v>2136.6999999999998</v>
      </c>
      <c r="AJ112" s="83">
        <f>'Raw Data'!AJ113/10</f>
        <v>2042.8</v>
      </c>
      <c r="AK112" s="83">
        <f>'Raw Data'!AK113/10</f>
        <v>1964.8</v>
      </c>
      <c r="AL112" s="83">
        <f>'Raw Data'!AL113/10</f>
        <v>1879.9</v>
      </c>
      <c r="AM112" s="83">
        <f>'Raw Data'!AM113/10</f>
        <v>1784</v>
      </c>
      <c r="AN112" s="83">
        <f>'Raw Data'!AN113/10</f>
        <v>1713.6</v>
      </c>
      <c r="AO112" s="83">
        <f>'Raw Data'!AO113/10</f>
        <v>1660.2</v>
      </c>
      <c r="AP112" s="83">
        <f>'Raw Data'!AP113/10</f>
        <v>1593.5</v>
      </c>
      <c r="AQ112" s="83">
        <f>'Raw Data'!AQ113/10</f>
        <v>1524.1</v>
      </c>
      <c r="AR112" s="83">
        <f>'Raw Data'!AR113/10</f>
        <v>1481.6</v>
      </c>
      <c r="AS112" s="83">
        <f>'Raw Data'!AS113/10</f>
        <v>1431.2</v>
      </c>
      <c r="AT112" s="83">
        <f>'Raw Data'!AT113/10</f>
        <v>1369.4</v>
      </c>
      <c r="AU112" s="83">
        <f>'Raw Data'!AU113/10</f>
        <v>1332.2</v>
      </c>
      <c r="AV112" s="83">
        <f>'Raw Data'!AV113/10</f>
        <v>1287.7</v>
      </c>
      <c r="AW112" s="83">
        <f>'Raw Data'!AW113/10</f>
        <v>1250.5999999999999</v>
      </c>
      <c r="AX112" s="83">
        <f>'Raw Data'!AX113/10</f>
        <v>1211.0999999999999</v>
      </c>
      <c r="AY112" s="83">
        <f>'Raw Data'!AY113/10</f>
        <v>1169.2</v>
      </c>
      <c r="AZ112" s="83">
        <f>'Raw Data'!AZ113/10</f>
        <v>1135</v>
      </c>
      <c r="BA112" s="83">
        <f>'Raw Data'!BA113/10</f>
        <v>1103.8</v>
      </c>
      <c r="BB112" s="83">
        <f>'Raw Data'!BB113/10</f>
        <v>1069.3</v>
      </c>
      <c r="BC112" s="83">
        <f>'Raw Data'!BC113/10</f>
        <v>1052</v>
      </c>
      <c r="BD112" s="83">
        <f>'Raw Data'!BD113/10</f>
        <v>1006.9</v>
      </c>
      <c r="BE112" s="83">
        <f>'Raw Data'!BE113/10</f>
        <v>992.5</v>
      </c>
      <c r="BF112" s="83">
        <f>'Raw Data'!BF113/10</f>
        <v>956.8</v>
      </c>
      <c r="BG112" s="83">
        <f>'Raw Data'!BG113/10</f>
        <v>928</v>
      </c>
      <c r="BH112" s="83">
        <f>'Raw Data'!BH113/10</f>
        <v>913.1</v>
      </c>
      <c r="BI112" s="83">
        <f>'Raw Data'!BI113/10</f>
        <v>893.8</v>
      </c>
      <c r="BJ112" s="83">
        <f>'Raw Data'!BJ113/10</f>
        <v>866.7</v>
      </c>
      <c r="BK112" s="83">
        <f>'Raw Data'!BK113/10</f>
        <v>845.6</v>
      </c>
      <c r="BL112" s="83">
        <f>'Raw Data'!BL113/10</f>
        <v>815.4</v>
      </c>
      <c r="BM112" s="83">
        <f>'Raw Data'!BM113/10</f>
        <v>798.1</v>
      </c>
      <c r="BN112" s="83">
        <f>'Raw Data'!BN113/10</f>
        <v>791.4</v>
      </c>
      <c r="BO112" s="83">
        <f>'Raw Data'!BO113/10</f>
        <v>768.9</v>
      </c>
      <c r="BP112" s="83">
        <f>'Raw Data'!BP113/10</f>
        <v>754.7</v>
      </c>
      <c r="BQ112" s="83">
        <f>'Raw Data'!BQ113/10</f>
        <v>741.6</v>
      </c>
      <c r="BR112" s="83">
        <f>'Raw Data'!BR113/10</f>
        <v>730.3</v>
      </c>
      <c r="BS112" s="83">
        <f>'Raw Data'!BS113/10</f>
        <v>695.6</v>
      </c>
      <c r="BT112" s="83">
        <f>'Raw Data'!BT113/10</f>
        <v>695.4</v>
      </c>
      <c r="BU112" s="83">
        <f>'Raw Data'!BU113/10</f>
        <v>667.1</v>
      </c>
      <c r="BV112" s="83">
        <f>'Raw Data'!BV113/10</f>
        <v>657.8</v>
      </c>
      <c r="BW112" s="83">
        <f>'Raw Data'!BW113/10</f>
        <v>649.20000000000005</v>
      </c>
      <c r="BX112" s="83">
        <f>'Raw Data'!BX113/10</f>
        <v>640.29999999999995</v>
      </c>
      <c r="BY112" s="83">
        <f>'Raw Data'!BY113/10</f>
        <v>637.20000000000005</v>
      </c>
      <c r="BZ112" s="83">
        <f>'Raw Data'!BZ113/10</f>
        <v>615</v>
      </c>
      <c r="CA112" s="83">
        <f>'Raw Data'!CA113/10</f>
        <v>604.79999999999995</v>
      </c>
      <c r="CB112" s="83">
        <f>'Raw Data'!CB113/10</f>
        <v>601.20000000000005</v>
      </c>
      <c r="CC112" s="83">
        <f>'Raw Data'!CC113/10</f>
        <v>587.1</v>
      </c>
      <c r="CD112" s="83">
        <f>'Raw Data'!CD113/10</f>
        <v>578.5</v>
      </c>
      <c r="CE112" s="83">
        <f>'Raw Data'!CE113/10</f>
        <v>570.29999999999995</v>
      </c>
      <c r="CF112" s="83">
        <f>'Raw Data'!CF113/10</f>
        <v>561.1</v>
      </c>
      <c r="CG112" s="83">
        <f>'Raw Data'!CG113/100</f>
        <v>508.76</v>
      </c>
      <c r="CH112" s="83">
        <f>'Raw Data'!CH113/100</f>
        <v>443.5</v>
      </c>
      <c r="CI112" s="83">
        <f>'Raw Data'!CI113/100</f>
        <v>394.27</v>
      </c>
      <c r="CJ112" s="83">
        <f>'Raw Data'!CJ113/100</f>
        <v>354.08</v>
      </c>
      <c r="CK112" s="83">
        <f>'Raw Data'!CK113/100</f>
        <v>324.08999999999997</v>
      </c>
      <c r="CL112" s="83">
        <f>'Raw Data'!CL113/100</f>
        <v>300.18</v>
      </c>
      <c r="CM112" s="83">
        <f>'Raw Data'!CM113/100</f>
        <v>276.74</v>
      </c>
      <c r="CN112" s="83">
        <f>'Raw Data'!CN113/100</f>
        <v>260.41000000000003</v>
      </c>
      <c r="CO112" s="83">
        <f>'Raw Data'!CO113/100</f>
        <v>249.24</v>
      </c>
      <c r="CP112" s="83">
        <f>'Raw Data'!CP113/100</f>
        <v>230.71</v>
      </c>
      <c r="CQ112" s="83">
        <f>'Raw Data'!CQ113/100</f>
        <v>220.59</v>
      </c>
      <c r="CR112" s="83">
        <f>'Raw Data'!CR113/100</f>
        <v>212.61</v>
      </c>
      <c r="CS112" s="83">
        <f>'Raw Data'!CS113/100</f>
        <v>201.58</v>
      </c>
      <c r="CT112" s="83">
        <f>'Raw Data'!CT113/100</f>
        <v>195.26</v>
      </c>
      <c r="CU112" s="382"/>
    </row>
    <row r="113" spans="4:99" s="86" customFormat="1" x14ac:dyDescent="0.2">
      <c r="D113" s="376"/>
      <c r="E113" s="164"/>
      <c r="F113" s="394"/>
      <c r="G113" s="83">
        <f>'Raw Data'!G114</f>
        <v>825</v>
      </c>
      <c r="H113" s="83">
        <f>'Raw Data'!H114</f>
        <v>781</v>
      </c>
      <c r="I113" s="83">
        <f>'Raw Data'!I114</f>
        <v>758</v>
      </c>
      <c r="J113" s="83">
        <f>'Raw Data'!J114</f>
        <v>778</v>
      </c>
      <c r="K113" s="83">
        <f>'Raw Data'!K114</f>
        <v>782</v>
      </c>
      <c r="L113" s="83">
        <f>'Raw Data'!L114</f>
        <v>766</v>
      </c>
      <c r="M113" s="83">
        <f>'Raw Data'!M114</f>
        <v>766</v>
      </c>
      <c r="N113" s="83">
        <f>'Raw Data'!N114</f>
        <v>826</v>
      </c>
      <c r="O113" s="83">
        <f>'Raw Data'!O114</f>
        <v>777</v>
      </c>
      <c r="P113" s="83">
        <f>'Raw Data'!P114</f>
        <v>787</v>
      </c>
      <c r="Q113" s="83">
        <f>'Raw Data'!Q114</f>
        <v>783</v>
      </c>
      <c r="R113" s="83">
        <f>'Raw Data'!R114</f>
        <v>769</v>
      </c>
      <c r="S113" s="83">
        <f>'Raw Data'!S114</f>
        <v>747</v>
      </c>
      <c r="T113" s="83">
        <f>'Raw Data'!T114</f>
        <v>736</v>
      </c>
      <c r="U113" s="83">
        <f>'Raw Data'!U114</f>
        <v>742</v>
      </c>
      <c r="V113" s="83">
        <f>'Raw Data'!V114</f>
        <v>771</v>
      </c>
      <c r="W113" s="83">
        <f>'Raw Data'!W114</f>
        <v>778</v>
      </c>
      <c r="X113" s="83">
        <f>'Raw Data'!X114</f>
        <v>788</v>
      </c>
      <c r="Y113" s="83">
        <f>'Raw Data'!Y114</f>
        <v>743</v>
      </c>
      <c r="Z113" s="83">
        <f>'Raw Data'!Z114</f>
        <v>715</v>
      </c>
      <c r="AA113" s="83">
        <f>'Raw Data'!AA114/10</f>
        <v>736.5</v>
      </c>
      <c r="AB113" s="83">
        <f>'Raw Data'!AB114/10</f>
        <v>717.9</v>
      </c>
      <c r="AC113" s="83">
        <f>'Raw Data'!AC114/10</f>
        <v>696.9</v>
      </c>
      <c r="AD113" s="83">
        <f>'Raw Data'!AD114/10</f>
        <v>675.9</v>
      </c>
      <c r="AE113" s="83">
        <f>'Raw Data'!AE114/10</f>
        <v>652.5</v>
      </c>
      <c r="AF113" s="83">
        <f>'Raw Data'!AF114/10</f>
        <v>620.1</v>
      </c>
      <c r="AG113" s="83">
        <f>'Raw Data'!AG114/10</f>
        <v>605.70000000000005</v>
      </c>
      <c r="AH113" s="83">
        <f>'Raw Data'!AH114/10</f>
        <v>567.29999999999995</v>
      </c>
      <c r="AI113" s="83">
        <f>'Raw Data'!AI114/10</f>
        <v>558.70000000000005</v>
      </c>
      <c r="AJ113" s="83">
        <f>'Raw Data'!AJ114/10</f>
        <v>537.4</v>
      </c>
      <c r="AK113" s="83">
        <f>'Raw Data'!AK114/10</f>
        <v>513.5</v>
      </c>
      <c r="AL113" s="83">
        <f>'Raw Data'!AL114/10</f>
        <v>511.1</v>
      </c>
      <c r="AM113" s="83">
        <f>'Raw Data'!AM114/10</f>
        <v>485.1</v>
      </c>
      <c r="AN113" s="83">
        <f>'Raw Data'!AN114/10</f>
        <v>475.2</v>
      </c>
      <c r="AO113" s="83">
        <f>'Raw Data'!AO114/10</f>
        <v>464.7</v>
      </c>
      <c r="AP113" s="83">
        <f>'Raw Data'!AP114/10</f>
        <v>443.8</v>
      </c>
      <c r="AQ113" s="83">
        <f>'Raw Data'!AQ114/10</f>
        <v>435</v>
      </c>
      <c r="AR113" s="83">
        <f>'Raw Data'!AR114/10</f>
        <v>432.9</v>
      </c>
      <c r="AS113" s="83">
        <f>'Raw Data'!AS114/10</f>
        <v>408.6</v>
      </c>
      <c r="AT113" s="83">
        <f>'Raw Data'!AT114/10</f>
        <v>406.4</v>
      </c>
      <c r="AU113" s="83">
        <f>'Raw Data'!AU114/10</f>
        <v>400.3</v>
      </c>
      <c r="AV113" s="83">
        <f>'Raw Data'!AV114/10</f>
        <v>380.2</v>
      </c>
      <c r="AW113" s="83">
        <f>'Raw Data'!AW114/10</f>
        <v>381.5</v>
      </c>
      <c r="AX113" s="83">
        <f>'Raw Data'!AX114/10</f>
        <v>370.7</v>
      </c>
      <c r="AY113" s="83">
        <f>'Raw Data'!AY114/10</f>
        <v>354.4</v>
      </c>
      <c r="AZ113" s="83">
        <f>'Raw Data'!AZ114/10</f>
        <v>357.3</v>
      </c>
      <c r="BA113" s="83">
        <f>'Raw Data'!BA114/10</f>
        <v>347.2</v>
      </c>
      <c r="BB113" s="83">
        <f>'Raw Data'!BB114/10</f>
        <v>335.6</v>
      </c>
      <c r="BC113" s="83">
        <f>'Raw Data'!BC114/10</f>
        <v>338.7</v>
      </c>
      <c r="BD113" s="83">
        <f>'Raw Data'!BD114/10</f>
        <v>323.39999999999998</v>
      </c>
      <c r="BE113" s="83">
        <f>'Raw Data'!BE114/10</f>
        <v>325.5</v>
      </c>
      <c r="BF113" s="83">
        <f>'Raw Data'!BF114/10</f>
        <v>312.89999999999998</v>
      </c>
      <c r="BG113" s="83">
        <f>'Raw Data'!BG114/10</f>
        <v>313</v>
      </c>
      <c r="BH113" s="83">
        <f>'Raw Data'!BH114/10</f>
        <v>306</v>
      </c>
      <c r="BI113" s="83">
        <f>'Raw Data'!BI114/10</f>
        <v>301.2</v>
      </c>
      <c r="BJ113" s="83">
        <f>'Raw Data'!BJ114/10</f>
        <v>299.10000000000002</v>
      </c>
      <c r="BK113" s="83">
        <f>'Raw Data'!BK114/10</f>
        <v>294.2</v>
      </c>
      <c r="BL113" s="83">
        <f>'Raw Data'!BL114/10</f>
        <v>288.2</v>
      </c>
      <c r="BM113" s="83">
        <f>'Raw Data'!BM114/10</f>
        <v>288.7</v>
      </c>
      <c r="BN113" s="83">
        <f>'Raw Data'!BN114/10</f>
        <v>275</v>
      </c>
      <c r="BO113" s="83">
        <f>'Raw Data'!BO114/10</f>
        <v>278.39999999999998</v>
      </c>
      <c r="BP113" s="83">
        <f>'Raw Data'!BP114/10</f>
        <v>269.89999999999998</v>
      </c>
      <c r="BQ113" s="83">
        <f>'Raw Data'!BQ114/10</f>
        <v>266.2</v>
      </c>
      <c r="BR113" s="83">
        <f>'Raw Data'!BR114/10</f>
        <v>269.7</v>
      </c>
      <c r="BS113" s="83">
        <f>'Raw Data'!BS114/10</f>
        <v>267.10000000000002</v>
      </c>
      <c r="BT113" s="83">
        <f>'Raw Data'!BT114/10</f>
        <v>257.8</v>
      </c>
      <c r="BU113" s="83">
        <f>'Raw Data'!BU114/10</f>
        <v>253.4</v>
      </c>
      <c r="BV113" s="83">
        <f>'Raw Data'!BV114/10</f>
        <v>255.4</v>
      </c>
      <c r="BW113" s="83">
        <f>'Raw Data'!BW114/10</f>
        <v>245.3</v>
      </c>
      <c r="BX113" s="83">
        <f>'Raw Data'!BX114/10</f>
        <v>243.5</v>
      </c>
      <c r="BY113" s="83">
        <f>'Raw Data'!BY114/10</f>
        <v>248.1</v>
      </c>
      <c r="BZ113" s="83">
        <f>'Raw Data'!BZ114/10</f>
        <v>243.1</v>
      </c>
      <c r="CA113" s="83">
        <f>'Raw Data'!CA114/10</f>
        <v>237.6</v>
      </c>
      <c r="CB113" s="83">
        <f>'Raw Data'!CB114/10</f>
        <v>239.7</v>
      </c>
      <c r="CC113" s="83">
        <f>'Raw Data'!CC114/10</f>
        <v>237.7</v>
      </c>
      <c r="CD113" s="83">
        <f>'Raw Data'!CD114/10</f>
        <v>230</v>
      </c>
      <c r="CE113" s="83">
        <f>'Raw Data'!CE114/10</f>
        <v>241.4</v>
      </c>
      <c r="CF113" s="83">
        <f>'Raw Data'!CF114/10</f>
        <v>230.2</v>
      </c>
      <c r="CG113" s="83">
        <f>'Raw Data'!CG114/100</f>
        <v>215.68</v>
      </c>
      <c r="CH113" s="83">
        <f>'Raw Data'!CH114/100</f>
        <v>199.51</v>
      </c>
      <c r="CI113" s="83">
        <f>'Raw Data'!CI114/100</f>
        <v>188.18</v>
      </c>
      <c r="CJ113" s="83">
        <f>'Raw Data'!CJ114/100</f>
        <v>178.81</v>
      </c>
      <c r="CK113" s="83">
        <f>'Raw Data'!CK114/100</f>
        <v>168.25</v>
      </c>
      <c r="CL113" s="83">
        <f>'Raw Data'!CL114/100</f>
        <v>161.91999999999999</v>
      </c>
      <c r="CM113" s="83">
        <f>'Raw Data'!CM114/100</f>
        <v>156.68</v>
      </c>
      <c r="CN113" s="83">
        <f>'Raw Data'!CN114/100</f>
        <v>149.58000000000001</v>
      </c>
      <c r="CO113" s="83">
        <f>'Raw Data'!CO114/100</f>
        <v>145.97999999999999</v>
      </c>
      <c r="CP113" s="83">
        <f>'Raw Data'!CP114/100</f>
        <v>142.33000000000001</v>
      </c>
      <c r="CQ113" s="83">
        <f>'Raw Data'!CQ114/100</f>
        <v>139.29</v>
      </c>
      <c r="CR113" s="83">
        <f>'Raw Data'!CR114/100</f>
        <v>133.86000000000001</v>
      </c>
      <c r="CS113" s="83">
        <f>'Raw Data'!CS114/100</f>
        <v>132.36000000000001</v>
      </c>
      <c r="CT113" s="83">
        <f>'Raw Data'!CT114/100</f>
        <v>127.46</v>
      </c>
      <c r="CU113" s="382"/>
    </row>
    <row r="114" spans="4:99" s="86" customFormat="1" x14ac:dyDescent="0.2">
      <c r="D114" s="376"/>
      <c r="E114" s="164"/>
      <c r="F114" s="394"/>
      <c r="G114" s="83">
        <f>'Raw Data'!G115</f>
        <v>1467</v>
      </c>
      <c r="H114" s="83">
        <f>'Raw Data'!H115</f>
        <v>1456</v>
      </c>
      <c r="I114" s="83">
        <f>'Raw Data'!I115</f>
        <v>1415</v>
      </c>
      <c r="J114" s="83">
        <f>'Raw Data'!J115</f>
        <v>1412</v>
      </c>
      <c r="K114" s="83">
        <f>'Raw Data'!K115</f>
        <v>1417</v>
      </c>
      <c r="L114" s="83">
        <f>'Raw Data'!L115</f>
        <v>1423</v>
      </c>
      <c r="M114" s="83">
        <f>'Raw Data'!M115</f>
        <v>1394</v>
      </c>
      <c r="N114" s="83">
        <f>'Raw Data'!N115</f>
        <v>1407</v>
      </c>
      <c r="O114" s="83">
        <f>'Raw Data'!O115</f>
        <v>1359</v>
      </c>
      <c r="P114" s="83">
        <f>'Raw Data'!P115</f>
        <v>1453</v>
      </c>
      <c r="Q114" s="83">
        <f>'Raw Data'!Q115</f>
        <v>1385</v>
      </c>
      <c r="R114" s="83">
        <f>'Raw Data'!R115</f>
        <v>1402</v>
      </c>
      <c r="S114" s="83">
        <f>'Raw Data'!S115</f>
        <v>1412</v>
      </c>
      <c r="T114" s="83">
        <f>'Raw Data'!T115</f>
        <v>1419</v>
      </c>
      <c r="U114" s="83">
        <f>'Raw Data'!U115</f>
        <v>1379</v>
      </c>
      <c r="V114" s="83">
        <f>'Raw Data'!V115</f>
        <v>1319</v>
      </c>
      <c r="W114" s="83">
        <f>'Raw Data'!W115</f>
        <v>1374</v>
      </c>
      <c r="X114" s="83">
        <f>'Raw Data'!X115</f>
        <v>1400</v>
      </c>
      <c r="Y114" s="83">
        <f>'Raw Data'!Y115</f>
        <v>1369</v>
      </c>
      <c r="Z114" s="83">
        <f>'Raw Data'!Z115</f>
        <v>1377</v>
      </c>
      <c r="AA114" s="83">
        <f>'Raw Data'!AA115/10</f>
        <v>1347.2</v>
      </c>
      <c r="AB114" s="83">
        <f>'Raw Data'!AB115/10</f>
        <v>1272.0999999999999</v>
      </c>
      <c r="AC114" s="83">
        <f>'Raw Data'!AC115/10</f>
        <v>1208.7</v>
      </c>
      <c r="AD114" s="83">
        <f>'Raw Data'!AD115/10</f>
        <v>1158</v>
      </c>
      <c r="AE114" s="83">
        <f>'Raw Data'!AE115/10</f>
        <v>1106</v>
      </c>
      <c r="AF114" s="83">
        <f>'Raw Data'!AF115/10</f>
        <v>1053.8</v>
      </c>
      <c r="AG114" s="83">
        <f>'Raw Data'!AG115/10</f>
        <v>999.6</v>
      </c>
      <c r="AH114" s="83">
        <f>'Raw Data'!AH115/10</f>
        <v>947.7</v>
      </c>
      <c r="AI114" s="83">
        <f>'Raw Data'!AI115/10</f>
        <v>905.6</v>
      </c>
      <c r="AJ114" s="83">
        <f>'Raw Data'!AJ115/10</f>
        <v>873.8</v>
      </c>
      <c r="AK114" s="83">
        <f>'Raw Data'!AK115/10</f>
        <v>842.7</v>
      </c>
      <c r="AL114" s="83">
        <f>'Raw Data'!AL115/10</f>
        <v>796.6</v>
      </c>
      <c r="AM114" s="83">
        <f>'Raw Data'!AM115/10</f>
        <v>772</v>
      </c>
      <c r="AN114" s="83">
        <f>'Raw Data'!AN115/10</f>
        <v>746.3</v>
      </c>
      <c r="AO114" s="83">
        <f>'Raw Data'!AO115/10</f>
        <v>711.3</v>
      </c>
      <c r="AP114" s="83">
        <f>'Raw Data'!AP115/10</f>
        <v>685.8</v>
      </c>
      <c r="AQ114" s="83">
        <f>'Raw Data'!AQ115/10</f>
        <v>655.4</v>
      </c>
      <c r="AR114" s="83">
        <f>'Raw Data'!AR115/10</f>
        <v>636.5</v>
      </c>
      <c r="AS114" s="83">
        <f>'Raw Data'!AS115/10</f>
        <v>611</v>
      </c>
      <c r="AT114" s="83">
        <f>'Raw Data'!AT115/10</f>
        <v>602.4</v>
      </c>
      <c r="AU114" s="83">
        <f>'Raw Data'!AU115/10</f>
        <v>575.4</v>
      </c>
      <c r="AV114" s="83">
        <f>'Raw Data'!AV115/10</f>
        <v>560</v>
      </c>
      <c r="AW114" s="83">
        <f>'Raw Data'!AW115/10</f>
        <v>552.1</v>
      </c>
      <c r="AX114" s="83">
        <f>'Raw Data'!AX115/10</f>
        <v>532</v>
      </c>
      <c r="AY114" s="83">
        <f>'Raw Data'!AY115/10</f>
        <v>518</v>
      </c>
      <c r="AZ114" s="83">
        <f>'Raw Data'!AZ115/10</f>
        <v>506.4</v>
      </c>
      <c r="BA114" s="83">
        <f>'Raw Data'!BA115/10</f>
        <v>473.3</v>
      </c>
      <c r="BB114" s="83">
        <f>'Raw Data'!BB115/10</f>
        <v>475.6</v>
      </c>
      <c r="BC114" s="83">
        <f>'Raw Data'!BC115/10</f>
        <v>463.9</v>
      </c>
      <c r="BD114" s="83">
        <f>'Raw Data'!BD115/10</f>
        <v>445.2</v>
      </c>
      <c r="BE114" s="83">
        <f>'Raw Data'!BE115/10</f>
        <v>437.7</v>
      </c>
      <c r="BF114" s="83">
        <f>'Raw Data'!BF115/10</f>
        <v>424</v>
      </c>
      <c r="BG114" s="83">
        <f>'Raw Data'!BG115/10</f>
        <v>420.9</v>
      </c>
      <c r="BH114" s="83">
        <f>'Raw Data'!BH115/10</f>
        <v>402.3</v>
      </c>
      <c r="BI114" s="83">
        <f>'Raw Data'!BI115/10</f>
        <v>399.8</v>
      </c>
      <c r="BJ114" s="83">
        <f>'Raw Data'!BJ115/10</f>
        <v>390</v>
      </c>
      <c r="BK114" s="83">
        <f>'Raw Data'!BK115/10</f>
        <v>384.5</v>
      </c>
      <c r="BL114" s="83">
        <f>'Raw Data'!BL115/10</f>
        <v>377.1</v>
      </c>
      <c r="BM114" s="83">
        <f>'Raw Data'!BM115/10</f>
        <v>361.5</v>
      </c>
      <c r="BN114" s="83">
        <f>'Raw Data'!BN115/10</f>
        <v>350.5</v>
      </c>
      <c r="BO114" s="83">
        <f>'Raw Data'!BO115/10</f>
        <v>350.6</v>
      </c>
      <c r="BP114" s="83">
        <f>'Raw Data'!BP115/10</f>
        <v>342.3</v>
      </c>
      <c r="BQ114" s="83">
        <f>'Raw Data'!BQ115/10</f>
        <v>336.8</v>
      </c>
      <c r="BR114" s="83">
        <f>'Raw Data'!BR115/10</f>
        <v>336.4</v>
      </c>
      <c r="BS114" s="83">
        <f>'Raw Data'!BS115/10</f>
        <v>323.39999999999998</v>
      </c>
      <c r="BT114" s="83">
        <f>'Raw Data'!BT115/10</f>
        <v>315.8</v>
      </c>
      <c r="BU114" s="83">
        <f>'Raw Data'!BU115/10</f>
        <v>309.39999999999998</v>
      </c>
      <c r="BV114" s="83">
        <f>'Raw Data'!BV115/10</f>
        <v>299.2</v>
      </c>
      <c r="BW114" s="83">
        <f>'Raw Data'!BW115/10</f>
        <v>299.3</v>
      </c>
      <c r="BX114" s="83">
        <f>'Raw Data'!BX115/10</f>
        <v>301.5</v>
      </c>
      <c r="BY114" s="83">
        <f>'Raw Data'!BY115/10</f>
        <v>281.60000000000002</v>
      </c>
      <c r="BZ114" s="83">
        <f>'Raw Data'!BZ115/10</f>
        <v>289.7</v>
      </c>
      <c r="CA114" s="83">
        <f>'Raw Data'!CA115/10</f>
        <v>284.89999999999998</v>
      </c>
      <c r="CB114" s="83">
        <f>'Raw Data'!CB115/10</f>
        <v>283.3</v>
      </c>
      <c r="CC114" s="83">
        <f>'Raw Data'!CC115/10</f>
        <v>272</v>
      </c>
      <c r="CD114" s="83">
        <f>'Raw Data'!CD115/10</f>
        <v>267.39999999999998</v>
      </c>
      <c r="CE114" s="83">
        <f>'Raw Data'!CE115/10</f>
        <v>264.60000000000002</v>
      </c>
      <c r="CF114" s="83">
        <f>'Raw Data'!CF115/10</f>
        <v>269.2</v>
      </c>
      <c r="CG114" s="83">
        <f>'Raw Data'!CG115/100</f>
        <v>242.26</v>
      </c>
      <c r="CH114" s="83">
        <f>'Raw Data'!CH115/100</f>
        <v>215.78</v>
      </c>
      <c r="CI114" s="83">
        <f>'Raw Data'!CI115/100</f>
        <v>193.92</v>
      </c>
      <c r="CJ114" s="83">
        <f>'Raw Data'!CJ115/100</f>
        <v>177.09</v>
      </c>
      <c r="CK114" s="83">
        <f>'Raw Data'!CK115/100</f>
        <v>163.22999999999999</v>
      </c>
      <c r="CL114" s="83">
        <f>'Raw Data'!CL115/100</f>
        <v>152.07</v>
      </c>
      <c r="CM114" s="83">
        <f>'Raw Data'!CM115/100</f>
        <v>142.26</v>
      </c>
      <c r="CN114" s="83">
        <f>'Raw Data'!CN115/100</f>
        <v>136.97999999999999</v>
      </c>
      <c r="CO114" s="83">
        <f>'Raw Data'!CO115/100</f>
        <v>130.31</v>
      </c>
      <c r="CP114" s="83">
        <f>'Raw Data'!CP115/100</f>
        <v>124.29</v>
      </c>
      <c r="CQ114" s="83">
        <f>'Raw Data'!CQ115/100</f>
        <v>117.7</v>
      </c>
      <c r="CR114" s="83">
        <f>'Raw Data'!CR115/100</f>
        <v>115.26</v>
      </c>
      <c r="CS114" s="83">
        <f>'Raw Data'!CS115/100</f>
        <v>110.78</v>
      </c>
      <c r="CT114" s="83">
        <f>'Raw Data'!CT115/100</f>
        <v>107.07</v>
      </c>
      <c r="CU114" s="382"/>
    </row>
    <row r="115" spans="4:99" s="86" customFormat="1" x14ac:dyDescent="0.2">
      <c r="D115" s="376"/>
      <c r="E115" s="164"/>
      <c r="F115" s="394"/>
      <c r="G115" s="83">
        <f>'Raw Data'!G116</f>
        <v>689</v>
      </c>
      <c r="H115" s="83">
        <f>'Raw Data'!H116</f>
        <v>719</v>
      </c>
      <c r="I115" s="83">
        <f>'Raw Data'!I116</f>
        <v>734</v>
      </c>
      <c r="J115" s="83">
        <f>'Raw Data'!J116</f>
        <v>665</v>
      </c>
      <c r="K115" s="83">
        <f>'Raw Data'!K116</f>
        <v>650</v>
      </c>
      <c r="L115" s="83">
        <f>'Raw Data'!L116</f>
        <v>738</v>
      </c>
      <c r="M115" s="83">
        <f>'Raw Data'!M116</f>
        <v>663</v>
      </c>
      <c r="N115" s="83">
        <f>'Raw Data'!N116</f>
        <v>731</v>
      </c>
      <c r="O115" s="83">
        <f>'Raw Data'!O116</f>
        <v>718</v>
      </c>
      <c r="P115" s="83">
        <f>'Raw Data'!P116</f>
        <v>687</v>
      </c>
      <c r="Q115" s="83">
        <f>'Raw Data'!Q116</f>
        <v>710</v>
      </c>
      <c r="R115" s="83">
        <f>'Raw Data'!R116</f>
        <v>645</v>
      </c>
      <c r="S115" s="83">
        <f>'Raw Data'!S116</f>
        <v>694</v>
      </c>
      <c r="T115" s="83">
        <f>'Raw Data'!T116</f>
        <v>728</v>
      </c>
      <c r="U115" s="83">
        <f>'Raw Data'!U116</f>
        <v>693</v>
      </c>
      <c r="V115" s="83">
        <f>'Raw Data'!V116</f>
        <v>716</v>
      </c>
      <c r="W115" s="83">
        <f>'Raw Data'!W116</f>
        <v>698</v>
      </c>
      <c r="X115" s="83">
        <f>'Raw Data'!X116</f>
        <v>689</v>
      </c>
      <c r="Y115" s="83">
        <f>'Raw Data'!Y116</f>
        <v>630</v>
      </c>
      <c r="Z115" s="83">
        <f>'Raw Data'!Z116</f>
        <v>673</v>
      </c>
      <c r="AA115" s="83">
        <f>'Raw Data'!AA116/10</f>
        <v>664.6</v>
      </c>
      <c r="AB115" s="83">
        <f>'Raw Data'!AB116/10</f>
        <v>646.70000000000005</v>
      </c>
      <c r="AC115" s="83">
        <f>'Raw Data'!AC116/10</f>
        <v>606.29999999999995</v>
      </c>
      <c r="AD115" s="83">
        <f>'Raw Data'!AD116/10</f>
        <v>587.79999999999995</v>
      </c>
      <c r="AE115" s="83">
        <f>'Raw Data'!AE116/10</f>
        <v>551.4</v>
      </c>
      <c r="AF115" s="83">
        <f>'Raw Data'!AF116/10</f>
        <v>537.70000000000005</v>
      </c>
      <c r="AG115" s="83">
        <f>'Raw Data'!AG116/10</f>
        <v>522.6</v>
      </c>
      <c r="AH115" s="83">
        <f>'Raw Data'!AH116/10</f>
        <v>498.5</v>
      </c>
      <c r="AI115" s="83">
        <f>'Raw Data'!AI116/10</f>
        <v>472.5</v>
      </c>
      <c r="AJ115" s="83">
        <f>'Raw Data'!AJ116/10</f>
        <v>468.6</v>
      </c>
      <c r="AK115" s="83">
        <f>'Raw Data'!AK116/10</f>
        <v>445</v>
      </c>
      <c r="AL115" s="83">
        <f>'Raw Data'!AL116/10</f>
        <v>425.6</v>
      </c>
      <c r="AM115" s="83">
        <f>'Raw Data'!AM116/10</f>
        <v>416.3</v>
      </c>
      <c r="AN115" s="83">
        <f>'Raw Data'!AN116/10</f>
        <v>404.3</v>
      </c>
      <c r="AO115" s="83">
        <f>'Raw Data'!AO116/10</f>
        <v>393.6</v>
      </c>
      <c r="AP115" s="83">
        <f>'Raw Data'!AP116/10</f>
        <v>375.9</v>
      </c>
      <c r="AQ115" s="83">
        <f>'Raw Data'!AQ116/10</f>
        <v>360.9</v>
      </c>
      <c r="AR115" s="83">
        <f>'Raw Data'!AR116/10</f>
        <v>352.3</v>
      </c>
      <c r="AS115" s="83">
        <f>'Raw Data'!AS116/10</f>
        <v>346.6</v>
      </c>
      <c r="AT115" s="83">
        <f>'Raw Data'!AT116/10</f>
        <v>332.9</v>
      </c>
      <c r="AU115" s="83">
        <f>'Raw Data'!AU116/10</f>
        <v>327.7</v>
      </c>
      <c r="AV115" s="83">
        <f>'Raw Data'!AV116/10</f>
        <v>314</v>
      </c>
      <c r="AW115" s="83">
        <f>'Raw Data'!AW116/10</f>
        <v>309.7</v>
      </c>
      <c r="AX115" s="83">
        <f>'Raw Data'!AX116/10</f>
        <v>298</v>
      </c>
      <c r="AY115" s="83">
        <f>'Raw Data'!AY116/10</f>
        <v>300.10000000000002</v>
      </c>
      <c r="AZ115" s="83">
        <f>'Raw Data'!AZ116/10</f>
        <v>281.8</v>
      </c>
      <c r="BA115" s="83">
        <f>'Raw Data'!BA116/10</f>
        <v>284.7</v>
      </c>
      <c r="BB115" s="83">
        <f>'Raw Data'!BB116/10</f>
        <v>272.8</v>
      </c>
      <c r="BC115" s="83">
        <f>'Raw Data'!BC116/10</f>
        <v>269</v>
      </c>
      <c r="BD115" s="83">
        <f>'Raw Data'!BD116/10</f>
        <v>266.10000000000002</v>
      </c>
      <c r="BE115" s="83">
        <f>'Raw Data'!BE116/10</f>
        <v>256.60000000000002</v>
      </c>
      <c r="BF115" s="83">
        <f>'Raw Data'!BF116/10</f>
        <v>245.9</v>
      </c>
      <c r="BG115" s="83">
        <f>'Raw Data'!BG116/10</f>
        <v>249.5</v>
      </c>
      <c r="BH115" s="83">
        <f>'Raw Data'!BH116/10</f>
        <v>241.5</v>
      </c>
      <c r="BI115" s="83">
        <f>'Raw Data'!BI116/10</f>
        <v>245.8</v>
      </c>
      <c r="BJ115" s="83">
        <f>'Raw Data'!BJ116/10</f>
        <v>237</v>
      </c>
      <c r="BK115" s="83">
        <f>'Raw Data'!BK116/10</f>
        <v>222.9</v>
      </c>
      <c r="BL115" s="83">
        <f>'Raw Data'!BL116/10</f>
        <v>227.2</v>
      </c>
      <c r="BM115" s="83">
        <f>'Raw Data'!BM116/10</f>
        <v>221.2</v>
      </c>
      <c r="BN115" s="83">
        <f>'Raw Data'!BN116/10</f>
        <v>218.7</v>
      </c>
      <c r="BO115" s="83">
        <f>'Raw Data'!BO116/10</f>
        <v>217.5</v>
      </c>
      <c r="BP115" s="83">
        <f>'Raw Data'!BP116/10</f>
        <v>219.3</v>
      </c>
      <c r="BQ115" s="83">
        <f>'Raw Data'!BQ116/10</f>
        <v>205.6</v>
      </c>
      <c r="BR115" s="83">
        <f>'Raw Data'!BR116/10</f>
        <v>204.2</v>
      </c>
      <c r="BS115" s="83">
        <f>'Raw Data'!BS116/10</f>
        <v>200.4</v>
      </c>
      <c r="BT115" s="83">
        <f>'Raw Data'!BT116/10</f>
        <v>199.8</v>
      </c>
      <c r="BU115" s="83">
        <f>'Raw Data'!BU116/10</f>
        <v>198.4</v>
      </c>
      <c r="BV115" s="83">
        <f>'Raw Data'!BV116/10</f>
        <v>193.7</v>
      </c>
      <c r="BW115" s="83">
        <f>'Raw Data'!BW116/10</f>
        <v>191.6</v>
      </c>
      <c r="BX115" s="83">
        <f>'Raw Data'!BX116/10</f>
        <v>180.6</v>
      </c>
      <c r="BY115" s="83">
        <f>'Raw Data'!BY116/10</f>
        <v>187.3</v>
      </c>
      <c r="BZ115" s="83">
        <f>'Raw Data'!BZ116/10</f>
        <v>189.4</v>
      </c>
      <c r="CA115" s="83">
        <f>'Raw Data'!CA116/10</f>
        <v>184.1</v>
      </c>
      <c r="CB115" s="83">
        <f>'Raw Data'!CB116/10</f>
        <v>184.5</v>
      </c>
      <c r="CC115" s="83">
        <f>'Raw Data'!CC116/10</f>
        <v>178.4</v>
      </c>
      <c r="CD115" s="83">
        <f>'Raw Data'!CD116/10</f>
        <v>171.8</v>
      </c>
      <c r="CE115" s="83">
        <f>'Raw Data'!CE116/10</f>
        <v>171.8</v>
      </c>
      <c r="CF115" s="83">
        <f>'Raw Data'!CF116/10</f>
        <v>168.9</v>
      </c>
      <c r="CG115" s="83">
        <f>'Raw Data'!CG116/100</f>
        <v>161.88</v>
      </c>
      <c r="CH115" s="83">
        <f>'Raw Data'!CH116/100</f>
        <v>148.32</v>
      </c>
      <c r="CI115" s="83">
        <f>'Raw Data'!CI116/100</f>
        <v>137.93</v>
      </c>
      <c r="CJ115" s="83">
        <f>'Raw Data'!CJ116/100</f>
        <v>131.01</v>
      </c>
      <c r="CK115" s="83">
        <f>'Raw Data'!CK116/100</f>
        <v>122</v>
      </c>
      <c r="CL115" s="83">
        <f>'Raw Data'!CL116/100</f>
        <v>116.01</v>
      </c>
      <c r="CM115" s="83">
        <f>'Raw Data'!CM116/100</f>
        <v>109.38</v>
      </c>
      <c r="CN115" s="83">
        <f>'Raw Data'!CN116/100</f>
        <v>106.47</v>
      </c>
      <c r="CO115" s="83">
        <f>'Raw Data'!CO116/100</f>
        <v>101.54</v>
      </c>
      <c r="CP115" s="83">
        <f>'Raw Data'!CP116/100</f>
        <v>98.95</v>
      </c>
      <c r="CQ115" s="83">
        <f>'Raw Data'!CQ116/100</f>
        <v>96.69</v>
      </c>
      <c r="CR115" s="83">
        <f>'Raw Data'!CR116/100</f>
        <v>94.6</v>
      </c>
      <c r="CS115" s="83">
        <f>'Raw Data'!CS116/100</f>
        <v>91.38</v>
      </c>
      <c r="CT115" s="83">
        <f>'Raw Data'!CT116/100</f>
        <v>89.37</v>
      </c>
      <c r="CU115" s="382"/>
    </row>
    <row r="116" spans="4:99" s="86" customFormat="1" x14ac:dyDescent="0.2">
      <c r="D116" s="376"/>
      <c r="E116" s="164"/>
      <c r="F116" s="394"/>
      <c r="G116" s="83">
        <f>'Raw Data'!G117</f>
        <v>2409</v>
      </c>
      <c r="H116" s="83">
        <f>'Raw Data'!H117</f>
        <v>2300</v>
      </c>
      <c r="I116" s="83">
        <f>'Raw Data'!I117</f>
        <v>2331</v>
      </c>
      <c r="J116" s="83">
        <f>'Raw Data'!J117</f>
        <v>2338</v>
      </c>
      <c r="K116" s="83">
        <f>'Raw Data'!K117</f>
        <v>2325</v>
      </c>
      <c r="L116" s="83">
        <f>'Raw Data'!L117</f>
        <v>2297</v>
      </c>
      <c r="M116" s="83">
        <f>'Raw Data'!M117</f>
        <v>2270</v>
      </c>
      <c r="N116" s="83">
        <f>'Raw Data'!N117</f>
        <v>2559</v>
      </c>
      <c r="O116" s="83">
        <f>'Raw Data'!O117</f>
        <v>2256</v>
      </c>
      <c r="P116" s="83">
        <f>'Raw Data'!P117</f>
        <v>2235</v>
      </c>
      <c r="Q116" s="83">
        <f>'Raw Data'!Q117</f>
        <v>2250</v>
      </c>
      <c r="R116" s="83">
        <f>'Raw Data'!R117</f>
        <v>2272</v>
      </c>
      <c r="S116" s="83">
        <f>'Raw Data'!S117</f>
        <v>2341</v>
      </c>
      <c r="T116" s="83">
        <f>'Raw Data'!T117</f>
        <v>2244</v>
      </c>
      <c r="U116" s="83">
        <f>'Raw Data'!U117</f>
        <v>2199</v>
      </c>
      <c r="V116" s="83">
        <f>'Raw Data'!V117</f>
        <v>2247</v>
      </c>
      <c r="W116" s="83">
        <f>'Raw Data'!W117</f>
        <v>2270</v>
      </c>
      <c r="X116" s="83">
        <f>'Raw Data'!X117</f>
        <v>2200</v>
      </c>
      <c r="Y116" s="83">
        <f>'Raw Data'!Y117</f>
        <v>2181</v>
      </c>
      <c r="Z116" s="83">
        <f>'Raw Data'!Z117</f>
        <v>2184</v>
      </c>
      <c r="AA116" s="83">
        <f>'Raw Data'!AA117/10</f>
        <v>2162.4</v>
      </c>
      <c r="AB116" s="83">
        <f>'Raw Data'!AB117/10</f>
        <v>2067.8000000000002</v>
      </c>
      <c r="AC116" s="83">
        <f>'Raw Data'!AC117/10</f>
        <v>1953.2</v>
      </c>
      <c r="AD116" s="83">
        <f>'Raw Data'!AD117/10</f>
        <v>1866.8</v>
      </c>
      <c r="AE116" s="83">
        <f>'Raw Data'!AE117/10</f>
        <v>1767.1</v>
      </c>
      <c r="AF116" s="83">
        <f>'Raw Data'!AF117/10</f>
        <v>1680.2</v>
      </c>
      <c r="AG116" s="83">
        <f>'Raw Data'!AG117/10</f>
        <v>1608.2</v>
      </c>
      <c r="AH116" s="83">
        <f>'Raw Data'!AH117/10</f>
        <v>1540.2</v>
      </c>
      <c r="AI116" s="83">
        <f>'Raw Data'!AI117/10</f>
        <v>1457.5</v>
      </c>
      <c r="AJ116" s="83">
        <f>'Raw Data'!AJ117/10</f>
        <v>1392.6</v>
      </c>
      <c r="AK116" s="83">
        <f>'Raw Data'!AK117/10</f>
        <v>1332.8</v>
      </c>
      <c r="AL116" s="83">
        <f>'Raw Data'!AL117/10</f>
        <v>1268.2</v>
      </c>
      <c r="AM116" s="83">
        <f>'Raw Data'!AM117/10</f>
        <v>1213.2</v>
      </c>
      <c r="AN116" s="83">
        <f>'Raw Data'!AN117/10</f>
        <v>1176</v>
      </c>
      <c r="AO116" s="83">
        <f>'Raw Data'!AO117/10</f>
        <v>1135.4000000000001</v>
      </c>
      <c r="AP116" s="83">
        <f>'Raw Data'!AP117/10</f>
        <v>1078.3</v>
      </c>
      <c r="AQ116" s="83">
        <f>'Raw Data'!AQ117/10</f>
        <v>1046.3</v>
      </c>
      <c r="AR116" s="83">
        <f>'Raw Data'!AR117/10</f>
        <v>1009.7</v>
      </c>
      <c r="AS116" s="83">
        <f>'Raw Data'!AS117/10</f>
        <v>967.3</v>
      </c>
      <c r="AT116" s="83">
        <f>'Raw Data'!AT117/10</f>
        <v>937.5</v>
      </c>
      <c r="AU116" s="83">
        <f>'Raw Data'!AU117/10</f>
        <v>882.6</v>
      </c>
      <c r="AV116" s="83">
        <f>'Raw Data'!AV117/10</f>
        <v>887.8</v>
      </c>
      <c r="AW116" s="83">
        <f>'Raw Data'!AW117/10</f>
        <v>843.9</v>
      </c>
      <c r="AX116" s="83">
        <f>'Raw Data'!AX117/10</f>
        <v>812.8</v>
      </c>
      <c r="AY116" s="83">
        <f>'Raw Data'!AY117/10</f>
        <v>787.9</v>
      </c>
      <c r="AZ116" s="83">
        <f>'Raw Data'!AZ117/10</f>
        <v>766.3</v>
      </c>
      <c r="BA116" s="83">
        <f>'Raw Data'!BA117/10</f>
        <v>743</v>
      </c>
      <c r="BB116" s="83">
        <f>'Raw Data'!BB117/10</f>
        <v>710</v>
      </c>
      <c r="BC116" s="83">
        <f>'Raw Data'!BC117/10</f>
        <v>705.6</v>
      </c>
      <c r="BD116" s="83">
        <f>'Raw Data'!BD117/10</f>
        <v>678.2</v>
      </c>
      <c r="BE116" s="83">
        <f>'Raw Data'!BE117/10</f>
        <v>668.5</v>
      </c>
      <c r="BF116" s="83">
        <f>'Raw Data'!BF117/10</f>
        <v>653.20000000000005</v>
      </c>
      <c r="BG116" s="83">
        <f>'Raw Data'!BG117/10</f>
        <v>629.9</v>
      </c>
      <c r="BH116" s="83">
        <f>'Raw Data'!BH117/10</f>
        <v>611.9</v>
      </c>
      <c r="BI116" s="83">
        <f>'Raw Data'!BI117/10</f>
        <v>615.5</v>
      </c>
      <c r="BJ116" s="83">
        <f>'Raw Data'!BJ117/10</f>
        <v>581.4</v>
      </c>
      <c r="BK116" s="83">
        <f>'Raw Data'!BK117/10</f>
        <v>582.20000000000005</v>
      </c>
      <c r="BL116" s="83">
        <f>'Raw Data'!BL117/10</f>
        <v>553.9</v>
      </c>
      <c r="BM116" s="83">
        <f>'Raw Data'!BM117/10</f>
        <v>546.1</v>
      </c>
      <c r="BN116" s="83">
        <f>'Raw Data'!BN117/10</f>
        <v>524.79999999999995</v>
      </c>
      <c r="BO116" s="83">
        <f>'Raw Data'!BO117/10</f>
        <v>535.1</v>
      </c>
      <c r="BP116" s="83">
        <f>'Raw Data'!BP117/10</f>
        <v>509.9</v>
      </c>
      <c r="BQ116" s="83">
        <f>'Raw Data'!BQ117/10</f>
        <v>499.5</v>
      </c>
      <c r="BR116" s="83">
        <f>'Raw Data'!BR117/10</f>
        <v>492.7</v>
      </c>
      <c r="BS116" s="83">
        <f>'Raw Data'!BS117/10</f>
        <v>480.1</v>
      </c>
      <c r="BT116" s="83">
        <f>'Raw Data'!BT117/10</f>
        <v>466.7</v>
      </c>
      <c r="BU116" s="83">
        <f>'Raw Data'!BU117/10</f>
        <v>458.8</v>
      </c>
      <c r="BV116" s="83">
        <f>'Raw Data'!BV117/10</f>
        <v>454.4</v>
      </c>
      <c r="BW116" s="83">
        <f>'Raw Data'!BW117/10</f>
        <v>442.3</v>
      </c>
      <c r="BX116" s="83">
        <f>'Raw Data'!BX117/10</f>
        <v>429.6</v>
      </c>
      <c r="BY116" s="83">
        <f>'Raw Data'!BY117/10</f>
        <v>424.2</v>
      </c>
      <c r="BZ116" s="83">
        <f>'Raw Data'!BZ117/10</f>
        <v>407.7</v>
      </c>
      <c r="CA116" s="83">
        <f>'Raw Data'!CA117/10</f>
        <v>414.2</v>
      </c>
      <c r="CB116" s="83">
        <f>'Raw Data'!CB117/10</f>
        <v>401.7</v>
      </c>
      <c r="CC116" s="83">
        <f>'Raw Data'!CC117/10</f>
        <v>400.9</v>
      </c>
      <c r="CD116" s="83">
        <f>'Raw Data'!CD117/10</f>
        <v>395.7</v>
      </c>
      <c r="CE116" s="83">
        <f>'Raw Data'!CE117/10</f>
        <v>381.8</v>
      </c>
      <c r="CF116" s="83">
        <f>'Raw Data'!CF117/10</f>
        <v>379.7</v>
      </c>
      <c r="CG116" s="83">
        <f>'Raw Data'!CG117/100</f>
        <v>346.67</v>
      </c>
      <c r="CH116" s="83">
        <f>'Raw Data'!CH117/100</f>
        <v>301.67</v>
      </c>
      <c r="CI116" s="83">
        <f>'Raw Data'!CI117/100</f>
        <v>266.95999999999998</v>
      </c>
      <c r="CJ116" s="83">
        <f>'Raw Data'!CJ117/100</f>
        <v>240.34</v>
      </c>
      <c r="CK116" s="83">
        <f>'Raw Data'!CK117/100</f>
        <v>219.2</v>
      </c>
      <c r="CL116" s="83">
        <f>'Raw Data'!CL117/100</f>
        <v>201.13</v>
      </c>
      <c r="CM116" s="83">
        <f>'Raw Data'!CM117/100</f>
        <v>186.52</v>
      </c>
      <c r="CN116" s="83">
        <f>'Raw Data'!CN117/100</f>
        <v>174.13</v>
      </c>
      <c r="CO116" s="83">
        <f>'Raw Data'!CO117/100</f>
        <v>165.61</v>
      </c>
      <c r="CP116" s="83">
        <f>'Raw Data'!CP117/100</f>
        <v>155.91999999999999</v>
      </c>
      <c r="CQ116" s="83">
        <f>'Raw Data'!CQ117/100</f>
        <v>148.78</v>
      </c>
      <c r="CR116" s="83">
        <f>'Raw Data'!CR117/100</f>
        <v>140.91</v>
      </c>
      <c r="CS116" s="83">
        <f>'Raw Data'!CS117/100</f>
        <v>136.04</v>
      </c>
      <c r="CT116" s="83">
        <f>'Raw Data'!CT117/100</f>
        <v>129.88999999999999</v>
      </c>
      <c r="CU116" s="382"/>
    </row>
    <row r="117" spans="4:99" s="86" customFormat="1" x14ac:dyDescent="0.2">
      <c r="D117" s="376"/>
      <c r="E117" s="164"/>
      <c r="F117" s="394"/>
      <c r="G117" s="83">
        <f>'Raw Data'!G118</f>
        <v>720</v>
      </c>
      <c r="H117" s="83">
        <f>'Raw Data'!H118</f>
        <v>732</v>
      </c>
      <c r="I117" s="83">
        <f>'Raw Data'!I118</f>
        <v>740</v>
      </c>
      <c r="J117" s="83">
        <f>'Raw Data'!J118</f>
        <v>698</v>
      </c>
      <c r="K117" s="83">
        <f>'Raw Data'!K118</f>
        <v>693</v>
      </c>
      <c r="L117" s="83">
        <f>'Raw Data'!L118</f>
        <v>680</v>
      </c>
      <c r="M117" s="83">
        <f>'Raw Data'!M118</f>
        <v>719</v>
      </c>
      <c r="N117" s="83">
        <f>'Raw Data'!N118</f>
        <v>749</v>
      </c>
      <c r="O117" s="83">
        <f>'Raw Data'!O118</f>
        <v>700</v>
      </c>
      <c r="P117" s="83">
        <f>'Raw Data'!P118</f>
        <v>730</v>
      </c>
      <c r="Q117" s="83">
        <f>'Raw Data'!Q118</f>
        <v>743</v>
      </c>
      <c r="R117" s="83">
        <f>'Raw Data'!R118</f>
        <v>736</v>
      </c>
      <c r="S117" s="83">
        <f>'Raw Data'!S118</f>
        <v>739</v>
      </c>
      <c r="T117" s="83">
        <f>'Raw Data'!T118</f>
        <v>732</v>
      </c>
      <c r="U117" s="83">
        <f>'Raw Data'!U118</f>
        <v>694</v>
      </c>
      <c r="V117" s="83">
        <f>'Raw Data'!V118</f>
        <v>738</v>
      </c>
      <c r="W117" s="83">
        <f>'Raw Data'!W118</f>
        <v>711</v>
      </c>
      <c r="X117" s="83">
        <f>'Raw Data'!X118</f>
        <v>721</v>
      </c>
      <c r="Y117" s="83">
        <f>'Raw Data'!Y118</f>
        <v>677</v>
      </c>
      <c r="Z117" s="83">
        <f>'Raw Data'!Z118</f>
        <v>700</v>
      </c>
      <c r="AA117" s="83">
        <f>'Raw Data'!AA118/10</f>
        <v>687.1</v>
      </c>
      <c r="AB117" s="83">
        <f>'Raw Data'!AB118/10</f>
        <v>678.5</v>
      </c>
      <c r="AC117" s="83">
        <f>'Raw Data'!AC118/10</f>
        <v>640.79999999999995</v>
      </c>
      <c r="AD117" s="83">
        <f>'Raw Data'!AD118/10</f>
        <v>616.9</v>
      </c>
      <c r="AE117" s="83">
        <f>'Raw Data'!AE118/10</f>
        <v>584</v>
      </c>
      <c r="AF117" s="83">
        <f>'Raw Data'!AF118/10</f>
        <v>564.4</v>
      </c>
      <c r="AG117" s="83">
        <f>'Raw Data'!AG118/10</f>
        <v>541.79999999999995</v>
      </c>
      <c r="AH117" s="83">
        <f>'Raw Data'!AH118/10</f>
        <v>520.5</v>
      </c>
      <c r="AI117" s="83">
        <f>'Raw Data'!AI118/10</f>
        <v>499</v>
      </c>
      <c r="AJ117" s="83">
        <f>'Raw Data'!AJ118/10</f>
        <v>483.1</v>
      </c>
      <c r="AK117" s="83">
        <f>'Raw Data'!AK118/10</f>
        <v>475</v>
      </c>
      <c r="AL117" s="83">
        <f>'Raw Data'!AL118/10</f>
        <v>451.6</v>
      </c>
      <c r="AM117" s="83">
        <f>'Raw Data'!AM118/10</f>
        <v>434.7</v>
      </c>
      <c r="AN117" s="83">
        <f>'Raw Data'!AN118/10</f>
        <v>419</v>
      </c>
      <c r="AO117" s="83">
        <f>'Raw Data'!AO118/10</f>
        <v>414.3</v>
      </c>
      <c r="AP117" s="83">
        <f>'Raw Data'!AP118/10</f>
        <v>402.7</v>
      </c>
      <c r="AQ117" s="83">
        <f>'Raw Data'!AQ118/10</f>
        <v>392.4</v>
      </c>
      <c r="AR117" s="83">
        <f>'Raw Data'!AR118/10</f>
        <v>373.7</v>
      </c>
      <c r="AS117" s="83">
        <f>'Raw Data'!AS118/10</f>
        <v>367.8</v>
      </c>
      <c r="AT117" s="83">
        <f>'Raw Data'!AT118/10</f>
        <v>357.2</v>
      </c>
      <c r="AU117" s="83">
        <f>'Raw Data'!AU118/10</f>
        <v>340.2</v>
      </c>
      <c r="AV117" s="83">
        <f>'Raw Data'!AV118/10</f>
        <v>336.6</v>
      </c>
      <c r="AW117" s="83">
        <f>'Raw Data'!AW118/10</f>
        <v>325.2</v>
      </c>
      <c r="AX117" s="83">
        <f>'Raw Data'!AX118/10</f>
        <v>319.2</v>
      </c>
      <c r="AY117" s="83">
        <f>'Raw Data'!AY118/10</f>
        <v>314.8</v>
      </c>
      <c r="AZ117" s="83">
        <f>'Raw Data'!AZ118/10</f>
        <v>305.8</v>
      </c>
      <c r="BA117" s="83">
        <f>'Raw Data'!BA118/10</f>
        <v>302.5</v>
      </c>
      <c r="BB117" s="83">
        <f>'Raw Data'!BB118/10</f>
        <v>292.89999999999998</v>
      </c>
      <c r="BC117" s="83">
        <f>'Raw Data'!BC118/10</f>
        <v>284.3</v>
      </c>
      <c r="BD117" s="83">
        <f>'Raw Data'!BD118/10</f>
        <v>273.8</v>
      </c>
      <c r="BE117" s="83">
        <f>'Raw Data'!BE118/10</f>
        <v>274.8</v>
      </c>
      <c r="BF117" s="83">
        <f>'Raw Data'!BF118/10</f>
        <v>272.39999999999998</v>
      </c>
      <c r="BG117" s="83">
        <f>'Raw Data'!BG118/10</f>
        <v>277.39999999999998</v>
      </c>
      <c r="BH117" s="83">
        <f>'Raw Data'!BH118/10</f>
        <v>259.7</v>
      </c>
      <c r="BI117" s="83">
        <f>'Raw Data'!BI118/10</f>
        <v>250.7</v>
      </c>
      <c r="BJ117" s="83">
        <f>'Raw Data'!BJ118/10</f>
        <v>256.10000000000002</v>
      </c>
      <c r="BK117" s="83">
        <f>'Raw Data'!BK118/10</f>
        <v>251.1</v>
      </c>
      <c r="BL117" s="83">
        <f>'Raw Data'!BL118/10</f>
        <v>245.7</v>
      </c>
      <c r="BM117" s="83">
        <f>'Raw Data'!BM118/10</f>
        <v>235.8</v>
      </c>
      <c r="BN117" s="83">
        <f>'Raw Data'!BN118/10</f>
        <v>230.7</v>
      </c>
      <c r="BO117" s="83">
        <f>'Raw Data'!BO118/10</f>
        <v>232.3</v>
      </c>
      <c r="BP117" s="83">
        <f>'Raw Data'!BP118/10</f>
        <v>225.6</v>
      </c>
      <c r="BQ117" s="83">
        <f>'Raw Data'!BQ118/10</f>
        <v>222.8</v>
      </c>
      <c r="BR117" s="83">
        <f>'Raw Data'!BR118/10</f>
        <v>220.1</v>
      </c>
      <c r="BS117" s="83">
        <f>'Raw Data'!BS118/10</f>
        <v>216.3</v>
      </c>
      <c r="BT117" s="83">
        <f>'Raw Data'!BT118/10</f>
        <v>221</v>
      </c>
      <c r="BU117" s="83">
        <f>'Raw Data'!BU118/10</f>
        <v>212</v>
      </c>
      <c r="BV117" s="83">
        <f>'Raw Data'!BV118/10</f>
        <v>204.8</v>
      </c>
      <c r="BW117" s="83">
        <f>'Raw Data'!BW118/10</f>
        <v>202.8</v>
      </c>
      <c r="BX117" s="83">
        <f>'Raw Data'!BX118/10</f>
        <v>203</v>
      </c>
      <c r="BY117" s="83">
        <f>'Raw Data'!BY118/10</f>
        <v>203.2</v>
      </c>
      <c r="BZ117" s="83">
        <f>'Raw Data'!BZ118/10</f>
        <v>198.2</v>
      </c>
      <c r="CA117" s="83">
        <f>'Raw Data'!CA118/10</f>
        <v>196.1</v>
      </c>
      <c r="CB117" s="83">
        <f>'Raw Data'!CB118/10</f>
        <v>194.5</v>
      </c>
      <c r="CC117" s="83">
        <f>'Raw Data'!CC118/10</f>
        <v>195</v>
      </c>
      <c r="CD117" s="83">
        <f>'Raw Data'!CD118/10</f>
        <v>169.4</v>
      </c>
      <c r="CE117" s="83">
        <f>'Raw Data'!CE118/10</f>
        <v>187.3</v>
      </c>
      <c r="CF117" s="83">
        <f>'Raw Data'!CF118/10</f>
        <v>188.5</v>
      </c>
      <c r="CG117" s="83">
        <f>'Raw Data'!CG118/100</f>
        <v>173.9</v>
      </c>
      <c r="CH117" s="83">
        <f>'Raw Data'!CH118/100</f>
        <v>158.76</v>
      </c>
      <c r="CI117" s="83">
        <f>'Raw Data'!CI118/100</f>
        <v>147.63999999999999</v>
      </c>
      <c r="CJ117" s="83">
        <f>'Raw Data'!CJ118/100</f>
        <v>139.81</v>
      </c>
      <c r="CK117" s="83">
        <f>'Raw Data'!CK118/100</f>
        <v>131.05000000000001</v>
      </c>
      <c r="CL117" s="83">
        <f>'Raw Data'!CL118/100</f>
        <v>123.88</v>
      </c>
      <c r="CM117" s="83">
        <f>'Raw Data'!CM118/100</f>
        <v>119.69</v>
      </c>
      <c r="CN117" s="83">
        <f>'Raw Data'!CN118/100</f>
        <v>114.24</v>
      </c>
      <c r="CO117" s="83">
        <f>'Raw Data'!CO118/100</f>
        <v>108.72</v>
      </c>
      <c r="CP117" s="83">
        <f>'Raw Data'!CP118/100</f>
        <v>105.99</v>
      </c>
      <c r="CQ117" s="83">
        <f>'Raw Data'!CQ118/100</f>
        <v>103.05</v>
      </c>
      <c r="CR117" s="83">
        <f>'Raw Data'!CR118/100</f>
        <v>99.95</v>
      </c>
      <c r="CS117" s="83">
        <f>'Raw Data'!CS118/100</f>
        <v>96.65</v>
      </c>
      <c r="CT117" s="83">
        <f>'Raw Data'!CT118/100</f>
        <v>95.58</v>
      </c>
      <c r="CU117" s="382"/>
    </row>
    <row r="118" spans="4:99" s="86" customFormat="1" x14ac:dyDescent="0.2">
      <c r="D118" s="376"/>
      <c r="E118" s="164"/>
      <c r="F118" s="394"/>
      <c r="G118" s="83">
        <f>'Raw Data'!G119</f>
        <v>3146</v>
      </c>
      <c r="H118" s="83">
        <f>'Raw Data'!H119</f>
        <v>3099</v>
      </c>
      <c r="I118" s="83">
        <f>'Raw Data'!I119</f>
        <v>3088</v>
      </c>
      <c r="J118" s="83">
        <f>'Raw Data'!J119</f>
        <v>3152</v>
      </c>
      <c r="K118" s="83">
        <f>'Raw Data'!K119</f>
        <v>3175</v>
      </c>
      <c r="L118" s="83">
        <f>'Raw Data'!L119</f>
        <v>3052</v>
      </c>
      <c r="M118" s="83">
        <f>'Raw Data'!M119</f>
        <v>3082</v>
      </c>
      <c r="N118" s="83">
        <f>'Raw Data'!N119</f>
        <v>3327</v>
      </c>
      <c r="O118" s="83">
        <f>'Raw Data'!O119</f>
        <v>3009</v>
      </c>
      <c r="P118" s="83">
        <f>'Raw Data'!P119</f>
        <v>3030</v>
      </c>
      <c r="Q118" s="83">
        <f>'Raw Data'!Q119</f>
        <v>3065</v>
      </c>
      <c r="R118" s="83">
        <f>'Raw Data'!R119</f>
        <v>3056</v>
      </c>
      <c r="S118" s="83">
        <f>'Raw Data'!S119</f>
        <v>3034</v>
      </c>
      <c r="T118" s="83">
        <f>'Raw Data'!T119</f>
        <v>2917</v>
      </c>
      <c r="U118" s="83">
        <f>'Raw Data'!U119</f>
        <v>2980</v>
      </c>
      <c r="V118" s="83">
        <f>'Raw Data'!V119</f>
        <v>2909</v>
      </c>
      <c r="W118" s="83">
        <f>'Raw Data'!W119</f>
        <v>2910</v>
      </c>
      <c r="X118" s="83">
        <f>'Raw Data'!X119</f>
        <v>3193</v>
      </c>
      <c r="Y118" s="83">
        <f>'Raw Data'!Y119</f>
        <v>2883</v>
      </c>
      <c r="Z118" s="83">
        <f>'Raw Data'!Z119</f>
        <v>2902</v>
      </c>
      <c r="AA118" s="83">
        <f>'Raw Data'!AA119/10</f>
        <v>2851.2</v>
      </c>
      <c r="AB118" s="83">
        <f>'Raw Data'!AB119/10</f>
        <v>2715</v>
      </c>
      <c r="AC118" s="83">
        <f>'Raw Data'!AC119/10</f>
        <v>2588</v>
      </c>
      <c r="AD118" s="83">
        <f>'Raw Data'!AD119/10</f>
        <v>2434.3000000000002</v>
      </c>
      <c r="AE118" s="83">
        <f>'Raw Data'!AE119/10</f>
        <v>2319.8000000000002</v>
      </c>
      <c r="AF118" s="83">
        <f>'Raw Data'!AF119/10</f>
        <v>2212</v>
      </c>
      <c r="AG118" s="83">
        <f>'Raw Data'!AG119/10</f>
        <v>2098.1999999999998</v>
      </c>
      <c r="AH118" s="83">
        <f>'Raw Data'!AH119/10</f>
        <v>1997.3</v>
      </c>
      <c r="AI118" s="83">
        <f>'Raw Data'!AI119/10</f>
        <v>1904.7</v>
      </c>
      <c r="AJ118" s="83">
        <f>'Raw Data'!AJ119/10</f>
        <v>1837.5</v>
      </c>
      <c r="AK118" s="83">
        <f>'Raw Data'!AK119/10</f>
        <v>1748.5</v>
      </c>
      <c r="AL118" s="83">
        <f>'Raw Data'!AL119/10</f>
        <v>1674.9</v>
      </c>
      <c r="AM118" s="83">
        <f>'Raw Data'!AM119/10</f>
        <v>1586.4</v>
      </c>
      <c r="AN118" s="83">
        <f>'Raw Data'!AN119/10</f>
        <v>1527.5</v>
      </c>
      <c r="AO118" s="83">
        <f>'Raw Data'!AO119/10</f>
        <v>1479</v>
      </c>
      <c r="AP118" s="83">
        <f>'Raw Data'!AP119/10</f>
        <v>1418.4</v>
      </c>
      <c r="AQ118" s="83">
        <f>'Raw Data'!AQ119/10</f>
        <v>1364.7</v>
      </c>
      <c r="AR118" s="83">
        <f>'Raw Data'!AR119/10</f>
        <v>1301.0999999999999</v>
      </c>
      <c r="AS118" s="83">
        <f>'Raw Data'!AS119/10</f>
        <v>1281.3</v>
      </c>
      <c r="AT118" s="83">
        <f>'Raw Data'!AT119/10</f>
        <v>1232.4000000000001</v>
      </c>
      <c r="AU118" s="83">
        <f>'Raw Data'!AU119/10</f>
        <v>1169.5</v>
      </c>
      <c r="AV118" s="83">
        <f>'Raw Data'!AV119/10</f>
        <v>1136.5</v>
      </c>
      <c r="AW118" s="83">
        <f>'Raw Data'!AW119/10</f>
        <v>1103.0999999999999</v>
      </c>
      <c r="AX118" s="83">
        <f>'Raw Data'!AX119/10</f>
        <v>1059.0999999999999</v>
      </c>
      <c r="AY118" s="83">
        <f>'Raw Data'!AY119/10</f>
        <v>1050.7</v>
      </c>
      <c r="AZ118" s="83">
        <f>'Raw Data'!AZ119/10</f>
        <v>992</v>
      </c>
      <c r="BA118" s="83">
        <f>'Raw Data'!BA119/10</f>
        <v>977.9</v>
      </c>
      <c r="BB118" s="83">
        <f>'Raw Data'!BB119/10</f>
        <v>948.9</v>
      </c>
      <c r="BC118" s="83">
        <f>'Raw Data'!BC119/10</f>
        <v>927.1</v>
      </c>
      <c r="BD118" s="83">
        <f>'Raw Data'!BD119/10</f>
        <v>887.8</v>
      </c>
      <c r="BE118" s="83">
        <f>'Raw Data'!BE119/10</f>
        <v>855.1</v>
      </c>
      <c r="BF118" s="83">
        <f>'Raw Data'!BF119/10</f>
        <v>834.7</v>
      </c>
      <c r="BG118" s="83">
        <f>'Raw Data'!BG119/10</f>
        <v>800.7</v>
      </c>
      <c r="BH118" s="83">
        <f>'Raw Data'!BH119/10</f>
        <v>778.2</v>
      </c>
      <c r="BI118" s="83">
        <f>'Raw Data'!BI119/10</f>
        <v>783.4</v>
      </c>
      <c r="BJ118" s="83">
        <f>'Raw Data'!BJ119/10</f>
        <v>757.6</v>
      </c>
      <c r="BK118" s="83">
        <f>'Raw Data'!BK119/10</f>
        <v>735.5</v>
      </c>
      <c r="BL118" s="83">
        <f>'Raw Data'!BL119/10</f>
        <v>713.5</v>
      </c>
      <c r="BM118" s="83">
        <f>'Raw Data'!BM119/10</f>
        <v>708.4</v>
      </c>
      <c r="BN118" s="83">
        <f>'Raw Data'!BN119/10</f>
        <v>687.6</v>
      </c>
      <c r="BO118" s="83">
        <f>'Raw Data'!BO119/10</f>
        <v>669.4</v>
      </c>
      <c r="BP118" s="83">
        <f>'Raw Data'!BP119/10</f>
        <v>654.1</v>
      </c>
      <c r="BQ118" s="83">
        <f>'Raw Data'!BQ119/10</f>
        <v>643.5</v>
      </c>
      <c r="BR118" s="83">
        <f>'Raw Data'!BR119/10</f>
        <v>623.70000000000005</v>
      </c>
      <c r="BS118" s="83">
        <f>'Raw Data'!BS119/10</f>
        <v>613.29999999999995</v>
      </c>
      <c r="BT118" s="83">
        <f>'Raw Data'!BT119/10</f>
        <v>603.29999999999995</v>
      </c>
      <c r="BU118" s="83">
        <f>'Raw Data'!BU119/10</f>
        <v>583.5</v>
      </c>
      <c r="BV118" s="83">
        <f>'Raw Data'!BV119/10</f>
        <v>575</v>
      </c>
      <c r="BW118" s="83">
        <f>'Raw Data'!BW119/10</f>
        <v>566.20000000000005</v>
      </c>
      <c r="BX118" s="83">
        <f>'Raw Data'!BX119/10</f>
        <v>554.29999999999995</v>
      </c>
      <c r="BY118" s="83">
        <f>'Raw Data'!BY119/10</f>
        <v>545.9</v>
      </c>
      <c r="BZ118" s="83">
        <f>'Raw Data'!BZ119/10</f>
        <v>535.4</v>
      </c>
      <c r="CA118" s="83">
        <f>'Raw Data'!CA119/10</f>
        <v>517.4</v>
      </c>
      <c r="CB118" s="83">
        <f>'Raw Data'!CB119/10</f>
        <v>511.6</v>
      </c>
      <c r="CC118" s="83">
        <f>'Raw Data'!CC119/10</f>
        <v>502.8</v>
      </c>
      <c r="CD118" s="83">
        <f>'Raw Data'!CD119/10</f>
        <v>491.9</v>
      </c>
      <c r="CE118" s="83">
        <f>'Raw Data'!CE119/10</f>
        <v>485.6</v>
      </c>
      <c r="CF118" s="83">
        <f>'Raw Data'!CF119/10</f>
        <v>475.8</v>
      </c>
      <c r="CG118" s="83">
        <f>'Raw Data'!CG119/100</f>
        <v>437.06</v>
      </c>
      <c r="CH118" s="83">
        <f>'Raw Data'!CH119/100</f>
        <v>378.42</v>
      </c>
      <c r="CI118" s="83">
        <f>'Raw Data'!CI119/100</f>
        <v>334.45</v>
      </c>
      <c r="CJ118" s="83">
        <f>'Raw Data'!CJ119/100</f>
        <v>302.52</v>
      </c>
      <c r="CK118" s="83">
        <f>'Raw Data'!CK119/100</f>
        <v>271.18</v>
      </c>
      <c r="CL118" s="83">
        <f>'Raw Data'!CL119/100</f>
        <v>247.17</v>
      </c>
      <c r="CM118" s="83">
        <f>'Raw Data'!CM119/100</f>
        <v>231.11</v>
      </c>
      <c r="CN118" s="83">
        <f>'Raw Data'!CN119/100</f>
        <v>213.74</v>
      </c>
      <c r="CO118" s="83">
        <f>'Raw Data'!CO119/100</f>
        <v>199.85</v>
      </c>
      <c r="CP118" s="83">
        <f>'Raw Data'!CP119/100</f>
        <v>189.85</v>
      </c>
      <c r="CQ118" s="83">
        <f>'Raw Data'!CQ119/100</f>
        <v>178.67</v>
      </c>
      <c r="CR118" s="83">
        <f>'Raw Data'!CR119/100</f>
        <v>169.48</v>
      </c>
      <c r="CS118" s="83">
        <f>'Raw Data'!CS119/100</f>
        <v>161.55000000000001</v>
      </c>
      <c r="CT118" s="83">
        <f>'Raw Data'!CT119/100</f>
        <v>155.08000000000001</v>
      </c>
      <c r="CU118" s="382"/>
    </row>
    <row r="119" spans="4:99" s="86" customFormat="1" x14ac:dyDescent="0.2">
      <c r="D119" s="376"/>
      <c r="E119" s="164"/>
      <c r="F119" s="394"/>
      <c r="G119" s="83">
        <f>'Raw Data'!G120</f>
        <v>769</v>
      </c>
      <c r="H119" s="83">
        <f>'Raw Data'!H120</f>
        <v>727</v>
      </c>
      <c r="I119" s="83">
        <f>'Raw Data'!I120</f>
        <v>722</v>
      </c>
      <c r="J119" s="83">
        <f>'Raw Data'!J120</f>
        <v>732</v>
      </c>
      <c r="K119" s="83">
        <f>'Raw Data'!K120</f>
        <v>761</v>
      </c>
      <c r="L119" s="83">
        <f>'Raw Data'!L120</f>
        <v>713</v>
      </c>
      <c r="M119" s="83">
        <f>'Raw Data'!M120</f>
        <v>732</v>
      </c>
      <c r="N119" s="83">
        <f>'Raw Data'!N120</f>
        <v>757</v>
      </c>
      <c r="O119" s="83">
        <f>'Raw Data'!O120</f>
        <v>737</v>
      </c>
      <c r="P119" s="83">
        <f>'Raw Data'!P120</f>
        <v>755</v>
      </c>
      <c r="Q119" s="83">
        <f>'Raw Data'!Q120</f>
        <v>718</v>
      </c>
      <c r="R119" s="83">
        <f>'Raw Data'!R120</f>
        <v>751</v>
      </c>
      <c r="S119" s="83">
        <f>'Raw Data'!S120</f>
        <v>747</v>
      </c>
      <c r="T119" s="83">
        <f>'Raw Data'!T120</f>
        <v>731</v>
      </c>
      <c r="U119" s="83">
        <f>'Raw Data'!U120</f>
        <v>727</v>
      </c>
      <c r="V119" s="83">
        <f>'Raw Data'!V120</f>
        <v>704</v>
      </c>
      <c r="W119" s="83">
        <f>'Raw Data'!W120</f>
        <v>729</v>
      </c>
      <c r="X119" s="83">
        <f>'Raw Data'!X120</f>
        <v>701</v>
      </c>
      <c r="Y119" s="83">
        <f>'Raw Data'!Y120</f>
        <v>724</v>
      </c>
      <c r="Z119" s="83">
        <f>'Raw Data'!Z120</f>
        <v>735</v>
      </c>
      <c r="AA119" s="83">
        <f>'Raw Data'!AA120/10</f>
        <v>714.1</v>
      </c>
      <c r="AB119" s="83">
        <f>'Raw Data'!AB120/10</f>
        <v>679</v>
      </c>
      <c r="AC119" s="83">
        <f>'Raw Data'!AC120/10</f>
        <v>660.3</v>
      </c>
      <c r="AD119" s="83">
        <f>'Raw Data'!AD120/10</f>
        <v>665.4</v>
      </c>
      <c r="AE119" s="83">
        <f>'Raw Data'!AE120/10</f>
        <v>614.20000000000005</v>
      </c>
      <c r="AF119" s="83">
        <f>'Raw Data'!AF120/10</f>
        <v>582.4</v>
      </c>
      <c r="AG119" s="83">
        <f>'Raw Data'!AG120/10</f>
        <v>560.5</v>
      </c>
      <c r="AH119" s="83">
        <f>'Raw Data'!AH120/10</f>
        <v>542.29999999999995</v>
      </c>
      <c r="AI119" s="83">
        <f>'Raw Data'!AI120/10</f>
        <v>535.29999999999995</v>
      </c>
      <c r="AJ119" s="83">
        <f>'Raw Data'!AJ120/10</f>
        <v>511.2</v>
      </c>
      <c r="AK119" s="83">
        <f>'Raw Data'!AK120/10</f>
        <v>493.8</v>
      </c>
      <c r="AL119" s="83">
        <f>'Raw Data'!AL120/10</f>
        <v>472.2</v>
      </c>
      <c r="AM119" s="83">
        <f>'Raw Data'!AM120/10</f>
        <v>449.4</v>
      </c>
      <c r="AN119" s="83">
        <f>'Raw Data'!AN120/10</f>
        <v>435.5</v>
      </c>
      <c r="AO119" s="83">
        <f>'Raw Data'!AO120/10</f>
        <v>432.4</v>
      </c>
      <c r="AP119" s="83">
        <f>'Raw Data'!AP120/10</f>
        <v>426.1</v>
      </c>
      <c r="AQ119" s="83">
        <f>'Raw Data'!AQ120/10</f>
        <v>400.2</v>
      </c>
      <c r="AR119" s="83">
        <f>'Raw Data'!AR120/10</f>
        <v>393.4</v>
      </c>
      <c r="AS119" s="83">
        <f>'Raw Data'!AS120/10</f>
        <v>381.8</v>
      </c>
      <c r="AT119" s="83">
        <f>'Raw Data'!AT120/10</f>
        <v>367.4</v>
      </c>
      <c r="AU119" s="83">
        <f>'Raw Data'!AU120/10</f>
        <v>363.6</v>
      </c>
      <c r="AV119" s="83">
        <f>'Raw Data'!AV120/10</f>
        <v>350.1</v>
      </c>
      <c r="AW119" s="83">
        <f>'Raw Data'!AW120/10</f>
        <v>348.5</v>
      </c>
      <c r="AX119" s="83">
        <f>'Raw Data'!AX120/10</f>
        <v>331.6</v>
      </c>
      <c r="AY119" s="83">
        <f>'Raw Data'!AY120/10</f>
        <v>327.9</v>
      </c>
      <c r="AZ119" s="83">
        <f>'Raw Data'!AZ120/10</f>
        <v>321.3</v>
      </c>
      <c r="BA119" s="83">
        <f>'Raw Data'!BA120/10</f>
        <v>318</v>
      </c>
      <c r="BB119" s="83">
        <f>'Raw Data'!BB120/10</f>
        <v>310.7</v>
      </c>
      <c r="BC119" s="83">
        <f>'Raw Data'!BC120/10</f>
        <v>295.2</v>
      </c>
      <c r="BD119" s="83">
        <f>'Raw Data'!BD120/10</f>
        <v>297</v>
      </c>
      <c r="BE119" s="83">
        <f>'Raw Data'!BE120/10</f>
        <v>297.89999999999998</v>
      </c>
      <c r="BF119" s="83">
        <f>'Raw Data'!BF120/10</f>
        <v>291.2</v>
      </c>
      <c r="BG119" s="83">
        <f>'Raw Data'!BG120/10</f>
        <v>283.5</v>
      </c>
      <c r="BH119" s="83">
        <f>'Raw Data'!BH120/10</f>
        <v>279.10000000000002</v>
      </c>
      <c r="BI119" s="83">
        <f>'Raw Data'!BI120/10</f>
        <v>275</v>
      </c>
      <c r="BJ119" s="83">
        <f>'Raw Data'!BJ120/10</f>
        <v>263</v>
      </c>
      <c r="BK119" s="83">
        <f>'Raw Data'!BK120/10</f>
        <v>257.39999999999998</v>
      </c>
      <c r="BL119" s="83">
        <f>'Raw Data'!BL120/10</f>
        <v>258.3</v>
      </c>
      <c r="BM119" s="83">
        <f>'Raw Data'!BM120/10</f>
        <v>258.10000000000002</v>
      </c>
      <c r="BN119" s="83">
        <f>'Raw Data'!BN120/10</f>
        <v>248.3</v>
      </c>
      <c r="BO119" s="83">
        <f>'Raw Data'!BO120/10</f>
        <v>243.6</v>
      </c>
      <c r="BP119" s="83">
        <f>'Raw Data'!BP120/10</f>
        <v>239.9</v>
      </c>
      <c r="BQ119" s="83">
        <f>'Raw Data'!BQ120/10</f>
        <v>239.4</v>
      </c>
      <c r="BR119" s="83">
        <f>'Raw Data'!BR120/10</f>
        <v>232.1</v>
      </c>
      <c r="BS119" s="83">
        <f>'Raw Data'!BS120/10</f>
        <v>230.7</v>
      </c>
      <c r="BT119" s="83">
        <f>'Raw Data'!BT120/10</f>
        <v>233.1</v>
      </c>
      <c r="BU119" s="83">
        <f>'Raw Data'!BU120/10</f>
        <v>226.6</v>
      </c>
      <c r="BV119" s="83">
        <f>'Raw Data'!BV120/10</f>
        <v>224</v>
      </c>
      <c r="BW119" s="83">
        <f>'Raw Data'!BW120/10</f>
        <v>214.1</v>
      </c>
      <c r="BX119" s="83">
        <f>'Raw Data'!BX120/10</f>
        <v>213.7</v>
      </c>
      <c r="BY119" s="83">
        <f>'Raw Data'!BY120/10</f>
        <v>208.8</v>
      </c>
      <c r="BZ119" s="83">
        <f>'Raw Data'!BZ120/10</f>
        <v>211.1</v>
      </c>
      <c r="CA119" s="83">
        <f>'Raw Data'!CA120/10</f>
        <v>209</v>
      </c>
      <c r="CB119" s="83">
        <f>'Raw Data'!CB120/10</f>
        <v>205.6</v>
      </c>
      <c r="CC119" s="83">
        <f>'Raw Data'!CC120/10</f>
        <v>206.1</v>
      </c>
      <c r="CD119" s="83">
        <f>'Raw Data'!CD120/10</f>
        <v>203.2</v>
      </c>
      <c r="CE119" s="83">
        <f>'Raw Data'!CE120/10</f>
        <v>197.3</v>
      </c>
      <c r="CF119" s="83">
        <f>'Raw Data'!CF120/10</f>
        <v>198.4</v>
      </c>
      <c r="CG119" s="83">
        <f>'Raw Data'!CG120/100</f>
        <v>188.6</v>
      </c>
      <c r="CH119" s="83">
        <f>'Raw Data'!CH120/100</f>
        <v>170.95</v>
      </c>
      <c r="CI119" s="83">
        <f>'Raw Data'!CI120/100</f>
        <v>160.04</v>
      </c>
      <c r="CJ119" s="83">
        <f>'Raw Data'!CJ120/100</f>
        <v>148.94</v>
      </c>
      <c r="CK119" s="83">
        <f>'Raw Data'!CK120/100</f>
        <v>141.02000000000001</v>
      </c>
      <c r="CL119" s="83">
        <f>'Raw Data'!CL120/100</f>
        <v>134.69999999999999</v>
      </c>
      <c r="CM119" s="83">
        <f>'Raw Data'!CM120/100</f>
        <v>128.75</v>
      </c>
      <c r="CN119" s="83">
        <f>'Raw Data'!CN120/100</f>
        <v>123.07</v>
      </c>
      <c r="CO119" s="83">
        <f>'Raw Data'!CO120/100</f>
        <v>117.53</v>
      </c>
      <c r="CP119" s="83">
        <f>'Raw Data'!CP120/100</f>
        <v>114.52</v>
      </c>
      <c r="CQ119" s="83">
        <f>'Raw Data'!CQ120/100</f>
        <v>111.33</v>
      </c>
      <c r="CR119" s="83">
        <f>'Raw Data'!CR120/100</f>
        <v>107.25</v>
      </c>
      <c r="CS119" s="83">
        <f>'Raw Data'!CS120/100</f>
        <v>104.35</v>
      </c>
      <c r="CT119" s="83">
        <f>'Raw Data'!CT120/100</f>
        <v>101.97</v>
      </c>
      <c r="CU119" s="382"/>
    </row>
    <row r="120" spans="4:99" s="86" customFormat="1" x14ac:dyDescent="0.2">
      <c r="D120" s="376"/>
      <c r="E120" s="164"/>
      <c r="F120" s="394"/>
      <c r="G120" s="83">
        <f>'Raw Data'!G121</f>
        <v>48</v>
      </c>
      <c r="H120" s="83">
        <f>'Raw Data'!H121</f>
        <v>50</v>
      </c>
      <c r="I120" s="83">
        <f>'Raw Data'!I121</f>
        <v>44</v>
      </c>
      <c r="J120" s="83">
        <f>'Raw Data'!J121</f>
        <v>46</v>
      </c>
      <c r="K120" s="83">
        <f>'Raw Data'!K121</f>
        <v>45</v>
      </c>
      <c r="L120" s="83">
        <f>'Raw Data'!L121</f>
        <v>48</v>
      </c>
      <c r="M120" s="83">
        <f>'Raw Data'!M121</f>
        <v>45</v>
      </c>
      <c r="N120" s="83">
        <f>'Raw Data'!N121</f>
        <v>53</v>
      </c>
      <c r="O120" s="83">
        <f>'Raw Data'!O121</f>
        <v>37</v>
      </c>
      <c r="P120" s="83">
        <f>'Raw Data'!P121</f>
        <v>51</v>
      </c>
      <c r="Q120" s="83">
        <f>'Raw Data'!Q121</f>
        <v>44</v>
      </c>
      <c r="R120" s="83">
        <f>'Raw Data'!R121</f>
        <v>44</v>
      </c>
      <c r="S120" s="83">
        <f>'Raw Data'!S121</f>
        <v>38</v>
      </c>
      <c r="T120" s="83">
        <f>'Raw Data'!T121</f>
        <v>53</v>
      </c>
      <c r="U120" s="83">
        <f>'Raw Data'!U121</f>
        <v>47</v>
      </c>
      <c r="V120" s="83">
        <f>'Raw Data'!V121</f>
        <v>51</v>
      </c>
      <c r="W120" s="83">
        <f>'Raw Data'!W121</f>
        <v>53</v>
      </c>
      <c r="X120" s="83">
        <f>'Raw Data'!X121</f>
        <v>52</v>
      </c>
      <c r="Y120" s="83">
        <f>'Raw Data'!Y121</f>
        <v>50</v>
      </c>
      <c r="Z120" s="83">
        <f>'Raw Data'!Z121</f>
        <v>48</v>
      </c>
      <c r="AA120" s="83">
        <f>'Raw Data'!AA121/10</f>
        <v>49.7</v>
      </c>
      <c r="AB120" s="83">
        <f>'Raw Data'!AB121/10</f>
        <v>52.5</v>
      </c>
      <c r="AC120" s="83">
        <f>'Raw Data'!AC121/10</f>
        <v>49.9</v>
      </c>
      <c r="AD120" s="83">
        <f>'Raw Data'!AD121/10</f>
        <v>47.6</v>
      </c>
      <c r="AE120" s="83">
        <f>'Raw Data'!AE121/10</f>
        <v>49.5</v>
      </c>
      <c r="AF120" s="83">
        <f>'Raw Data'!AF121/10</f>
        <v>49.7</v>
      </c>
      <c r="AG120" s="83">
        <f>'Raw Data'!AG121/10</f>
        <v>48.3</v>
      </c>
      <c r="AH120" s="83">
        <f>'Raw Data'!AH121/10</f>
        <v>48.8</v>
      </c>
      <c r="AI120" s="83">
        <f>'Raw Data'!AI121/10</f>
        <v>48.1</v>
      </c>
      <c r="AJ120" s="83">
        <f>'Raw Data'!AJ121/10</f>
        <v>50.3</v>
      </c>
      <c r="AK120" s="83">
        <f>'Raw Data'!AK121/10</f>
        <v>46.3</v>
      </c>
      <c r="AL120" s="83">
        <f>'Raw Data'!AL121/10</f>
        <v>48</v>
      </c>
      <c r="AM120" s="83">
        <f>'Raw Data'!AM121/10</f>
        <v>47.5</v>
      </c>
      <c r="AN120" s="83">
        <f>'Raw Data'!AN121/10</f>
        <v>49.7</v>
      </c>
      <c r="AO120" s="83">
        <f>'Raw Data'!AO121/10</f>
        <v>48.6</v>
      </c>
      <c r="AP120" s="83">
        <f>'Raw Data'!AP121/10</f>
        <v>46.7</v>
      </c>
      <c r="AQ120" s="83">
        <f>'Raw Data'!AQ121/10</f>
        <v>45.6</v>
      </c>
      <c r="AR120" s="83">
        <f>'Raw Data'!AR121/10</f>
        <v>45.1</v>
      </c>
      <c r="AS120" s="83">
        <f>'Raw Data'!AS121/10</f>
        <v>44.4</v>
      </c>
      <c r="AT120" s="83">
        <f>'Raw Data'!AT121/10</f>
        <v>44.8</v>
      </c>
      <c r="AU120" s="83">
        <f>'Raw Data'!AU121/10</f>
        <v>44.8</v>
      </c>
      <c r="AV120" s="83">
        <f>'Raw Data'!AV121/10</f>
        <v>46.3</v>
      </c>
      <c r="AW120" s="83">
        <f>'Raw Data'!AW121/10</f>
        <v>46.6</v>
      </c>
      <c r="AX120" s="83">
        <f>'Raw Data'!AX121/10</f>
        <v>44.4</v>
      </c>
      <c r="AY120" s="83">
        <f>'Raw Data'!AY121/10</f>
        <v>45.6</v>
      </c>
      <c r="AZ120" s="83">
        <f>'Raw Data'!AZ121/10</f>
        <v>44.2</v>
      </c>
      <c r="BA120" s="83">
        <f>'Raw Data'!BA121/10</f>
        <v>43.2</v>
      </c>
      <c r="BB120" s="83">
        <f>'Raw Data'!BB121/10</f>
        <v>43.9</v>
      </c>
      <c r="BC120" s="83">
        <f>'Raw Data'!BC121/10</f>
        <v>42.4</v>
      </c>
      <c r="BD120" s="83">
        <f>'Raw Data'!BD121/10</f>
        <v>44.1</v>
      </c>
      <c r="BE120" s="83">
        <f>'Raw Data'!BE121/10</f>
        <v>44.9</v>
      </c>
      <c r="BF120" s="83">
        <f>'Raw Data'!BF121/10</f>
        <v>43.6</v>
      </c>
      <c r="BG120" s="83">
        <f>'Raw Data'!BG121/10</f>
        <v>44.1</v>
      </c>
      <c r="BH120" s="83">
        <f>'Raw Data'!BH121/10</f>
        <v>44.1</v>
      </c>
      <c r="BI120" s="83">
        <f>'Raw Data'!BI121/10</f>
        <v>42.5</v>
      </c>
      <c r="BJ120" s="83">
        <f>'Raw Data'!BJ121/10</f>
        <v>42.3</v>
      </c>
      <c r="BK120" s="83">
        <f>'Raw Data'!BK121/10</f>
        <v>42.4</v>
      </c>
      <c r="BL120" s="83">
        <f>'Raw Data'!BL121/10</f>
        <v>39.6</v>
      </c>
      <c r="BM120" s="83">
        <f>'Raw Data'!BM121/10</f>
        <v>42.9</v>
      </c>
      <c r="BN120" s="83">
        <f>'Raw Data'!BN121/10</f>
        <v>44.3</v>
      </c>
      <c r="BO120" s="83">
        <f>'Raw Data'!BO121/10</f>
        <v>44.6</v>
      </c>
      <c r="BP120" s="83">
        <f>'Raw Data'!BP121/10</f>
        <v>41.3</v>
      </c>
      <c r="BQ120" s="83">
        <f>'Raw Data'!BQ121/10</f>
        <v>40.4</v>
      </c>
      <c r="BR120" s="83">
        <f>'Raw Data'!BR121/10</f>
        <v>42.3</v>
      </c>
      <c r="BS120" s="83">
        <f>'Raw Data'!BS121/10</f>
        <v>41.5</v>
      </c>
      <c r="BT120" s="83">
        <f>'Raw Data'!BT121/10</f>
        <v>42.9</v>
      </c>
      <c r="BU120" s="83">
        <f>'Raw Data'!BU121/10</f>
        <v>42.5</v>
      </c>
      <c r="BV120" s="83">
        <f>'Raw Data'!BV121/10</f>
        <v>40.200000000000003</v>
      </c>
      <c r="BW120" s="83">
        <f>'Raw Data'!BW121/10</f>
        <v>40.9</v>
      </c>
      <c r="BX120" s="83">
        <f>'Raw Data'!BX121/10</f>
        <v>40.299999999999997</v>
      </c>
      <c r="BY120" s="83">
        <f>'Raw Data'!BY121/10</f>
        <v>42.2</v>
      </c>
      <c r="BZ120" s="83">
        <f>'Raw Data'!BZ121/10</f>
        <v>40.1</v>
      </c>
      <c r="CA120" s="83">
        <f>'Raw Data'!CA121/10</f>
        <v>43.4</v>
      </c>
      <c r="CB120" s="83">
        <f>'Raw Data'!CB121/10</f>
        <v>41.5</v>
      </c>
      <c r="CC120" s="83">
        <f>'Raw Data'!CC121/10</f>
        <v>38.4</v>
      </c>
      <c r="CD120" s="83">
        <f>'Raw Data'!CD121/10</f>
        <v>40.9</v>
      </c>
      <c r="CE120" s="83">
        <f>'Raw Data'!CE121/10</f>
        <v>37.700000000000003</v>
      </c>
      <c r="CF120" s="83">
        <f>'Raw Data'!CF121/10</f>
        <v>40.5</v>
      </c>
      <c r="CG120" s="83">
        <f>'Raw Data'!CG121/100</f>
        <v>39.340000000000003</v>
      </c>
      <c r="CH120" s="83">
        <f>'Raw Data'!CH121/100</f>
        <v>39.549999999999997</v>
      </c>
      <c r="CI120" s="83">
        <f>'Raw Data'!CI121/100</f>
        <v>39.049999999999997</v>
      </c>
      <c r="CJ120" s="83">
        <f>'Raw Data'!CJ121/100</f>
        <v>38.22</v>
      </c>
      <c r="CK120" s="83">
        <f>'Raw Data'!CK121/100</f>
        <v>37.33</v>
      </c>
      <c r="CL120" s="83">
        <f>'Raw Data'!CL121/100</f>
        <v>38.229999999999997</v>
      </c>
      <c r="CM120" s="83">
        <f>'Raw Data'!CM121/100</f>
        <v>37.35</v>
      </c>
      <c r="CN120" s="83">
        <f>'Raw Data'!CN121/100</f>
        <v>37.51</v>
      </c>
      <c r="CO120" s="83">
        <f>'Raw Data'!CO121/100</f>
        <v>36.47</v>
      </c>
      <c r="CP120" s="83">
        <f>'Raw Data'!CP121/100</f>
        <v>36.700000000000003</v>
      </c>
      <c r="CQ120" s="83">
        <f>'Raw Data'!CQ121/100</f>
        <v>37.270000000000003</v>
      </c>
      <c r="CR120" s="83">
        <f>'Raw Data'!CR121/100</f>
        <v>37.04</v>
      </c>
      <c r="CS120" s="83">
        <f>'Raw Data'!CS121/100</f>
        <v>36.659999999999997</v>
      </c>
      <c r="CT120" s="83">
        <f>'Raw Data'!CT121/100</f>
        <v>36.69</v>
      </c>
      <c r="CU120" s="382"/>
    </row>
    <row r="121" spans="4:99" s="86" customFormat="1" x14ac:dyDescent="0.2">
      <c r="D121" s="376"/>
      <c r="E121" s="164"/>
      <c r="F121" s="394"/>
      <c r="G121" s="83">
        <f>'Raw Data'!G122</f>
        <v>673</v>
      </c>
      <c r="H121" s="83">
        <f>'Raw Data'!H122</f>
        <v>639</v>
      </c>
      <c r="I121" s="83">
        <f>'Raw Data'!I122</f>
        <v>645</v>
      </c>
      <c r="J121" s="83">
        <f>'Raw Data'!J122</f>
        <v>679</v>
      </c>
      <c r="K121" s="83">
        <f>'Raw Data'!K122</f>
        <v>660</v>
      </c>
      <c r="L121" s="83">
        <f>'Raw Data'!L122</f>
        <v>681</v>
      </c>
      <c r="M121" s="83">
        <f>'Raw Data'!M122</f>
        <v>661</v>
      </c>
      <c r="N121" s="83">
        <f>'Raw Data'!N122</f>
        <v>648</v>
      </c>
      <c r="O121" s="83">
        <f>'Raw Data'!O122</f>
        <v>648</v>
      </c>
      <c r="P121" s="83">
        <f>'Raw Data'!P122</f>
        <v>654</v>
      </c>
      <c r="Q121" s="83">
        <f>'Raw Data'!Q122</f>
        <v>642</v>
      </c>
      <c r="R121" s="83">
        <f>'Raw Data'!R122</f>
        <v>642</v>
      </c>
      <c r="S121" s="83">
        <f>'Raw Data'!S122</f>
        <v>643</v>
      </c>
      <c r="T121" s="83">
        <f>'Raw Data'!T122</f>
        <v>626</v>
      </c>
      <c r="U121" s="83">
        <f>'Raw Data'!U122</f>
        <v>629</v>
      </c>
      <c r="V121" s="83">
        <f>'Raw Data'!V122</f>
        <v>623</v>
      </c>
      <c r="W121" s="83">
        <f>'Raw Data'!W122</f>
        <v>642</v>
      </c>
      <c r="X121" s="83">
        <f>'Raw Data'!X122</f>
        <v>653</v>
      </c>
      <c r="Y121" s="83">
        <f>'Raw Data'!Y122</f>
        <v>616</v>
      </c>
      <c r="Z121" s="83">
        <f>'Raw Data'!Z122</f>
        <v>615</v>
      </c>
      <c r="AA121" s="83">
        <f>'Raw Data'!AA122/10</f>
        <v>602.6</v>
      </c>
      <c r="AB121" s="83">
        <f>'Raw Data'!AB122/10</f>
        <v>587.1</v>
      </c>
      <c r="AC121" s="83">
        <f>'Raw Data'!AC122/10</f>
        <v>561</v>
      </c>
      <c r="AD121" s="83">
        <f>'Raw Data'!AD122/10</f>
        <v>522.9</v>
      </c>
      <c r="AE121" s="83">
        <f>'Raw Data'!AE122/10</f>
        <v>504.4</v>
      </c>
      <c r="AF121" s="83">
        <f>'Raw Data'!AF122/10</f>
        <v>484.9</v>
      </c>
      <c r="AG121" s="83">
        <f>'Raw Data'!AG122/10</f>
        <v>453</v>
      </c>
      <c r="AH121" s="83">
        <f>'Raw Data'!AH122/10</f>
        <v>445.6</v>
      </c>
      <c r="AI121" s="83">
        <f>'Raw Data'!AI122/10</f>
        <v>423.7</v>
      </c>
      <c r="AJ121" s="83">
        <f>'Raw Data'!AJ122/10</f>
        <v>413.3</v>
      </c>
      <c r="AK121" s="83">
        <f>'Raw Data'!AK122/10</f>
        <v>394.4</v>
      </c>
      <c r="AL121" s="83">
        <f>'Raw Data'!AL122/10</f>
        <v>382.1</v>
      </c>
      <c r="AM121" s="83">
        <f>'Raw Data'!AM122/10</f>
        <v>357.1</v>
      </c>
      <c r="AN121" s="83">
        <f>'Raw Data'!AN122/10</f>
        <v>350.6</v>
      </c>
      <c r="AO121" s="83">
        <f>'Raw Data'!AO122/10</f>
        <v>331.6</v>
      </c>
      <c r="AP121" s="83">
        <f>'Raw Data'!AP122/10</f>
        <v>324.3</v>
      </c>
      <c r="AQ121" s="83">
        <f>'Raw Data'!AQ122/10</f>
        <v>317.39999999999998</v>
      </c>
      <c r="AR121" s="83">
        <f>'Raw Data'!AR122/10</f>
        <v>311.5</v>
      </c>
      <c r="AS121" s="83">
        <f>'Raw Data'!AS122/10</f>
        <v>289.3</v>
      </c>
      <c r="AT121" s="83">
        <f>'Raw Data'!AT122/10</f>
        <v>281.89999999999998</v>
      </c>
      <c r="AU121" s="83">
        <f>'Raw Data'!AU122/10</f>
        <v>268.8</v>
      </c>
      <c r="AV121" s="83">
        <f>'Raw Data'!AV122/10</f>
        <v>286.8</v>
      </c>
      <c r="AW121" s="83">
        <f>'Raw Data'!AW122/10</f>
        <v>258.89999999999998</v>
      </c>
      <c r="AX121" s="83">
        <f>'Raw Data'!AX122/10</f>
        <v>248.6</v>
      </c>
      <c r="AY121" s="83">
        <f>'Raw Data'!AY122/10</f>
        <v>242.7</v>
      </c>
      <c r="AZ121" s="83">
        <f>'Raw Data'!AZ122/10</f>
        <v>236.5</v>
      </c>
      <c r="BA121" s="83">
        <f>'Raw Data'!BA122/10</f>
        <v>228.3</v>
      </c>
      <c r="BB121" s="83">
        <f>'Raw Data'!BB122/10</f>
        <v>223.2</v>
      </c>
      <c r="BC121" s="83">
        <f>'Raw Data'!BC122/10</f>
        <v>217.2</v>
      </c>
      <c r="BD121" s="83">
        <f>'Raw Data'!BD122/10</f>
        <v>210.3</v>
      </c>
      <c r="BE121" s="83">
        <f>'Raw Data'!BE122/10</f>
        <v>208.3</v>
      </c>
      <c r="BF121" s="83">
        <f>'Raw Data'!BF122/10</f>
        <v>204.4</v>
      </c>
      <c r="BG121" s="83">
        <f>'Raw Data'!BG122/10</f>
        <v>198.1</v>
      </c>
      <c r="BH121" s="83">
        <f>'Raw Data'!BH122/10</f>
        <v>197.1</v>
      </c>
      <c r="BI121" s="83">
        <f>'Raw Data'!BI122/10</f>
        <v>196.4</v>
      </c>
      <c r="BJ121" s="83">
        <f>'Raw Data'!BJ122/10</f>
        <v>189.5</v>
      </c>
      <c r="BK121" s="83">
        <f>'Raw Data'!BK122/10</f>
        <v>178.6</v>
      </c>
      <c r="BL121" s="83">
        <f>'Raw Data'!BL122/10</f>
        <v>178</v>
      </c>
      <c r="BM121" s="83">
        <f>'Raw Data'!BM122/10</f>
        <v>174.4</v>
      </c>
      <c r="BN121" s="83">
        <f>'Raw Data'!BN122/10</f>
        <v>170.5</v>
      </c>
      <c r="BO121" s="83">
        <f>'Raw Data'!BO122/10</f>
        <v>171.9</v>
      </c>
      <c r="BP121" s="83">
        <f>'Raw Data'!BP122/10</f>
        <v>163.19999999999999</v>
      </c>
      <c r="BQ121" s="83">
        <f>'Raw Data'!BQ122/10</f>
        <v>160.1</v>
      </c>
      <c r="BR121" s="83">
        <f>'Raw Data'!BR122/10</f>
        <v>166.4</v>
      </c>
      <c r="BS121" s="83">
        <f>'Raw Data'!BS122/10</f>
        <v>161.30000000000001</v>
      </c>
      <c r="BT121" s="83">
        <f>'Raw Data'!BT122/10</f>
        <v>153.69999999999999</v>
      </c>
      <c r="BU121" s="83">
        <f>'Raw Data'!BU122/10</f>
        <v>153.19999999999999</v>
      </c>
      <c r="BV121" s="83">
        <f>'Raw Data'!BV122/10</f>
        <v>150.19999999999999</v>
      </c>
      <c r="BW121" s="83">
        <f>'Raw Data'!BW122/10</f>
        <v>147.30000000000001</v>
      </c>
      <c r="BX121" s="83">
        <f>'Raw Data'!BX122/10</f>
        <v>144</v>
      </c>
      <c r="BY121" s="83">
        <f>'Raw Data'!BY122/10</f>
        <v>145.6</v>
      </c>
      <c r="BZ121" s="83">
        <f>'Raw Data'!BZ122/10</f>
        <v>138.69999999999999</v>
      </c>
      <c r="CA121" s="83">
        <f>'Raw Data'!CA122/10</f>
        <v>138.69999999999999</v>
      </c>
      <c r="CB121" s="83">
        <f>'Raw Data'!CB122/10</f>
        <v>131.30000000000001</v>
      </c>
      <c r="CC121" s="83">
        <f>'Raw Data'!CC122/10</f>
        <v>133.4</v>
      </c>
      <c r="CD121" s="83">
        <f>'Raw Data'!CD122/10</f>
        <v>130.69999999999999</v>
      </c>
      <c r="CE121" s="83">
        <f>'Raw Data'!CE122/10</f>
        <v>129.19999999999999</v>
      </c>
      <c r="CF121" s="83">
        <f>'Raw Data'!CF122/10</f>
        <v>125.6</v>
      </c>
      <c r="CG121" s="83">
        <f>'Raw Data'!CG122/100</f>
        <v>119.39</v>
      </c>
      <c r="CH121" s="83">
        <f>'Raw Data'!CH122/100</f>
        <v>106.4</v>
      </c>
      <c r="CI121" s="83">
        <f>'Raw Data'!CI122/100</f>
        <v>96.61</v>
      </c>
      <c r="CJ121" s="83">
        <f>'Raw Data'!CJ122/100</f>
        <v>89.68</v>
      </c>
      <c r="CK121" s="83">
        <f>'Raw Data'!CK122/100</f>
        <v>84.13</v>
      </c>
      <c r="CL121" s="83">
        <f>'Raw Data'!CL122/100</f>
        <v>78.06</v>
      </c>
      <c r="CM121" s="83">
        <f>'Raw Data'!CM122/100</f>
        <v>75.069999999999993</v>
      </c>
      <c r="CN121" s="83">
        <f>'Raw Data'!CN122/100</f>
        <v>71.31</v>
      </c>
      <c r="CO121" s="83">
        <f>'Raw Data'!CO122/100</f>
        <v>68.319999999999993</v>
      </c>
      <c r="CP121" s="83">
        <f>'Raw Data'!CP122/100</f>
        <v>66.14</v>
      </c>
      <c r="CQ121" s="83">
        <f>'Raw Data'!CQ122/100</f>
        <v>63.15</v>
      </c>
      <c r="CR121" s="83">
        <f>'Raw Data'!CR122/100</f>
        <v>61.46</v>
      </c>
      <c r="CS121" s="83">
        <f>'Raw Data'!CS122/100</f>
        <v>59.44</v>
      </c>
      <c r="CT121" s="83">
        <f>'Raw Data'!CT122/100</f>
        <v>58.57</v>
      </c>
      <c r="CU121" s="382"/>
    </row>
    <row r="122" spans="4:99" s="86" customFormat="1" x14ac:dyDescent="0.2">
      <c r="D122" s="376"/>
      <c r="E122" s="164"/>
      <c r="F122" s="394"/>
      <c r="G122" s="83">
        <f>'Raw Data'!G123</f>
        <v>1385</v>
      </c>
      <c r="H122" s="83">
        <f>'Raw Data'!H123</f>
        <v>1372</v>
      </c>
      <c r="I122" s="83">
        <f>'Raw Data'!I123</f>
        <v>1373</v>
      </c>
      <c r="J122" s="83">
        <f>'Raw Data'!J123</f>
        <v>1345</v>
      </c>
      <c r="K122" s="83">
        <f>'Raw Data'!K123</f>
        <v>1363</v>
      </c>
      <c r="L122" s="83">
        <f>'Raw Data'!L123</f>
        <v>1345</v>
      </c>
      <c r="M122" s="83">
        <f>'Raw Data'!M123</f>
        <v>1357</v>
      </c>
      <c r="N122" s="83">
        <f>'Raw Data'!N123</f>
        <v>1355</v>
      </c>
      <c r="O122" s="83">
        <f>'Raw Data'!O123</f>
        <v>1355</v>
      </c>
      <c r="P122" s="83">
        <f>'Raw Data'!P123</f>
        <v>1363</v>
      </c>
      <c r="Q122" s="83">
        <f>'Raw Data'!Q123</f>
        <v>1424</v>
      </c>
      <c r="R122" s="83">
        <f>'Raw Data'!R123</f>
        <v>1343</v>
      </c>
      <c r="S122" s="83">
        <f>'Raw Data'!S123</f>
        <v>1370</v>
      </c>
      <c r="T122" s="83">
        <f>'Raw Data'!T123</f>
        <v>1369</v>
      </c>
      <c r="U122" s="83">
        <f>'Raw Data'!U123</f>
        <v>1315</v>
      </c>
      <c r="V122" s="83">
        <f>'Raw Data'!V123</f>
        <v>1332</v>
      </c>
      <c r="W122" s="83">
        <f>'Raw Data'!W123</f>
        <v>1315</v>
      </c>
      <c r="X122" s="83">
        <f>'Raw Data'!X123</f>
        <v>1279</v>
      </c>
      <c r="Y122" s="83">
        <f>'Raw Data'!Y123</f>
        <v>1308</v>
      </c>
      <c r="Z122" s="83">
        <f>'Raw Data'!Z123</f>
        <v>1283</v>
      </c>
      <c r="AA122" s="83">
        <f>'Raw Data'!AA123/10</f>
        <v>1269.5999999999999</v>
      </c>
      <c r="AB122" s="83">
        <f>'Raw Data'!AB123/10</f>
        <v>1212</v>
      </c>
      <c r="AC122" s="83">
        <f>'Raw Data'!AC123/10</f>
        <v>1141.7</v>
      </c>
      <c r="AD122" s="83">
        <f>'Raw Data'!AD123/10</f>
        <v>1089.7</v>
      </c>
      <c r="AE122" s="83">
        <f>'Raw Data'!AE123/10</f>
        <v>1034.5</v>
      </c>
      <c r="AF122" s="83">
        <f>'Raw Data'!AF123/10</f>
        <v>1002.8</v>
      </c>
      <c r="AG122" s="83">
        <f>'Raw Data'!AG123/10</f>
        <v>939</v>
      </c>
      <c r="AH122" s="83">
        <f>'Raw Data'!AH123/10</f>
        <v>906.7</v>
      </c>
      <c r="AI122" s="83">
        <f>'Raw Data'!AI123/10</f>
        <v>857.3</v>
      </c>
      <c r="AJ122" s="83">
        <f>'Raw Data'!AJ123/10</f>
        <v>823.6</v>
      </c>
      <c r="AK122" s="83">
        <f>'Raw Data'!AK123/10</f>
        <v>788.3</v>
      </c>
      <c r="AL122" s="83">
        <f>'Raw Data'!AL123/10</f>
        <v>759.2</v>
      </c>
      <c r="AM122" s="83">
        <f>'Raw Data'!AM123/10</f>
        <v>723</v>
      </c>
      <c r="AN122" s="83">
        <f>'Raw Data'!AN123/10</f>
        <v>700.2</v>
      </c>
      <c r="AO122" s="83">
        <f>'Raw Data'!AO123/10</f>
        <v>674.5</v>
      </c>
      <c r="AP122" s="83">
        <f>'Raw Data'!AP123/10</f>
        <v>642</v>
      </c>
      <c r="AQ122" s="83">
        <f>'Raw Data'!AQ123/10</f>
        <v>618.5</v>
      </c>
      <c r="AR122" s="83">
        <f>'Raw Data'!AR123/10</f>
        <v>593.5</v>
      </c>
      <c r="AS122" s="83">
        <f>'Raw Data'!AS123/10</f>
        <v>585.5</v>
      </c>
      <c r="AT122" s="83">
        <f>'Raw Data'!AT123/10</f>
        <v>562.20000000000005</v>
      </c>
      <c r="AU122" s="83">
        <f>'Raw Data'!AU123/10</f>
        <v>542.1</v>
      </c>
      <c r="AV122" s="83">
        <f>'Raw Data'!AV123/10</f>
        <v>521.9</v>
      </c>
      <c r="AW122" s="83">
        <f>'Raw Data'!AW123/10</f>
        <v>497</v>
      </c>
      <c r="AX122" s="83">
        <f>'Raw Data'!AX123/10</f>
        <v>492.9</v>
      </c>
      <c r="AY122" s="83">
        <f>'Raw Data'!AY123/10</f>
        <v>474.2</v>
      </c>
      <c r="AZ122" s="83">
        <f>'Raw Data'!AZ123/10</f>
        <v>459.4</v>
      </c>
      <c r="BA122" s="83">
        <f>'Raw Data'!BA123/10</f>
        <v>437.3</v>
      </c>
      <c r="BB122" s="83">
        <f>'Raw Data'!BB123/10</f>
        <v>430.5</v>
      </c>
      <c r="BC122" s="83">
        <f>'Raw Data'!BC123/10</f>
        <v>430.5</v>
      </c>
      <c r="BD122" s="83">
        <f>'Raw Data'!BD123/10</f>
        <v>421</v>
      </c>
      <c r="BE122" s="83">
        <f>'Raw Data'!BE123/10</f>
        <v>399.7</v>
      </c>
      <c r="BF122" s="83">
        <f>'Raw Data'!BF123/10</f>
        <v>384.5</v>
      </c>
      <c r="BG122" s="83">
        <f>'Raw Data'!BG123/10</f>
        <v>377.1</v>
      </c>
      <c r="BH122" s="83">
        <f>'Raw Data'!BH123/10</f>
        <v>359.3</v>
      </c>
      <c r="BI122" s="83">
        <f>'Raw Data'!BI123/10</f>
        <v>361.6</v>
      </c>
      <c r="BJ122" s="83">
        <f>'Raw Data'!BJ123/10</f>
        <v>339</v>
      </c>
      <c r="BK122" s="83">
        <f>'Raw Data'!BK123/10</f>
        <v>337.9</v>
      </c>
      <c r="BL122" s="83">
        <f>'Raw Data'!BL123/10</f>
        <v>335.2</v>
      </c>
      <c r="BM122" s="83">
        <f>'Raw Data'!BM123/10</f>
        <v>323.7</v>
      </c>
      <c r="BN122" s="83">
        <f>'Raw Data'!BN123/10</f>
        <v>315.2</v>
      </c>
      <c r="BO122" s="83">
        <f>'Raw Data'!BO123/10</f>
        <v>310</v>
      </c>
      <c r="BP122" s="83">
        <f>'Raw Data'!BP123/10</f>
        <v>311.10000000000002</v>
      </c>
      <c r="BQ122" s="83">
        <f>'Raw Data'!BQ123/10</f>
        <v>293.89999999999998</v>
      </c>
      <c r="BR122" s="83">
        <f>'Raw Data'!BR123/10</f>
        <v>298.60000000000002</v>
      </c>
      <c r="BS122" s="83">
        <f>'Raw Data'!BS123/10</f>
        <v>285.39999999999998</v>
      </c>
      <c r="BT122" s="83">
        <f>'Raw Data'!BT123/10</f>
        <v>279.89999999999998</v>
      </c>
      <c r="BU122" s="83">
        <f>'Raw Data'!BU123/10</f>
        <v>274.60000000000002</v>
      </c>
      <c r="BV122" s="83">
        <f>'Raw Data'!BV123/10</f>
        <v>265.5</v>
      </c>
      <c r="BW122" s="83">
        <f>'Raw Data'!BW123/10</f>
        <v>268.3</v>
      </c>
      <c r="BX122" s="83">
        <f>'Raw Data'!BX123/10</f>
        <v>253.7</v>
      </c>
      <c r="BY122" s="83">
        <f>'Raw Data'!BY123/10</f>
        <v>257.3</v>
      </c>
      <c r="BZ122" s="83">
        <f>'Raw Data'!BZ123/10</f>
        <v>252</v>
      </c>
      <c r="CA122" s="83">
        <f>'Raw Data'!CA123/10</f>
        <v>245.7</v>
      </c>
      <c r="CB122" s="83">
        <f>'Raw Data'!CB123/10</f>
        <v>239.3</v>
      </c>
      <c r="CC122" s="83">
        <f>'Raw Data'!CC123/10</f>
        <v>238.8</v>
      </c>
      <c r="CD122" s="83">
        <f>'Raw Data'!CD123/10</f>
        <v>238.3</v>
      </c>
      <c r="CE122" s="83">
        <f>'Raw Data'!CE123/10</f>
        <v>228.8</v>
      </c>
      <c r="CF122" s="83">
        <f>'Raw Data'!CF123/10</f>
        <v>228</v>
      </c>
      <c r="CG122" s="83">
        <f>'Raw Data'!CG123/100</f>
        <v>209.86</v>
      </c>
      <c r="CH122" s="83">
        <f>'Raw Data'!CH123/100</f>
        <v>180.66</v>
      </c>
      <c r="CI122" s="83">
        <f>'Raw Data'!CI123/100</f>
        <v>165.72</v>
      </c>
      <c r="CJ122" s="83">
        <f>'Raw Data'!CJ123/100</f>
        <v>147.11000000000001</v>
      </c>
      <c r="CK122" s="83">
        <f>'Raw Data'!CK123/100</f>
        <v>135.43</v>
      </c>
      <c r="CL122" s="83">
        <f>'Raw Data'!CL123/100</f>
        <v>124.5</v>
      </c>
      <c r="CM122" s="83">
        <f>'Raw Data'!CM123/100</f>
        <v>116.8</v>
      </c>
      <c r="CN122" s="83">
        <f>'Raw Data'!CN123/100</f>
        <v>109.49</v>
      </c>
      <c r="CO122" s="83">
        <f>'Raw Data'!CO123/100</f>
        <v>103.38</v>
      </c>
      <c r="CP122" s="83">
        <f>'Raw Data'!CP123/100</f>
        <v>99.47</v>
      </c>
      <c r="CQ122" s="83">
        <f>'Raw Data'!CQ123/100</f>
        <v>93.91</v>
      </c>
      <c r="CR122" s="83">
        <f>'Raw Data'!CR123/100</f>
        <v>89.97</v>
      </c>
      <c r="CS122" s="83">
        <f>'Raw Data'!CS123/100</f>
        <v>86.34</v>
      </c>
      <c r="CT122" s="83">
        <f>'Raw Data'!CT123/100</f>
        <v>83.01</v>
      </c>
      <c r="CU122" s="382"/>
    </row>
    <row r="123" spans="4:99" s="86" customFormat="1" x14ac:dyDescent="0.2">
      <c r="D123" s="376"/>
      <c r="E123" s="381"/>
      <c r="F123" s="395"/>
      <c r="G123" s="83">
        <f>'Raw Data'!G124</f>
        <v>697</v>
      </c>
      <c r="H123" s="83">
        <f>'Raw Data'!H124</f>
        <v>718</v>
      </c>
      <c r="I123" s="83">
        <f>'Raw Data'!I124</f>
        <v>678</v>
      </c>
      <c r="J123" s="83">
        <f>'Raw Data'!J124</f>
        <v>714</v>
      </c>
      <c r="K123" s="83">
        <f>'Raw Data'!K124</f>
        <v>682</v>
      </c>
      <c r="L123" s="83">
        <f>'Raw Data'!L124</f>
        <v>666</v>
      </c>
      <c r="M123" s="83">
        <f>'Raw Data'!M124</f>
        <v>682</v>
      </c>
      <c r="N123" s="83">
        <f>'Raw Data'!N124</f>
        <v>669</v>
      </c>
      <c r="O123" s="83">
        <f>'Raw Data'!O124</f>
        <v>687</v>
      </c>
      <c r="P123" s="83">
        <f>'Raw Data'!P124</f>
        <v>693</v>
      </c>
      <c r="Q123" s="83">
        <f>'Raw Data'!Q124</f>
        <v>661</v>
      </c>
      <c r="R123" s="83">
        <f>'Raw Data'!R124</f>
        <v>646</v>
      </c>
      <c r="S123" s="83">
        <f>'Raw Data'!S124</f>
        <v>643</v>
      </c>
      <c r="T123" s="83">
        <f>'Raw Data'!T124</f>
        <v>648</v>
      </c>
      <c r="U123" s="83">
        <f>'Raw Data'!U124</f>
        <v>630</v>
      </c>
      <c r="V123" s="83">
        <f>'Raw Data'!V124</f>
        <v>657</v>
      </c>
      <c r="W123" s="83">
        <f>'Raw Data'!W124</f>
        <v>646</v>
      </c>
      <c r="X123" s="83">
        <f>'Raw Data'!X124</f>
        <v>659</v>
      </c>
      <c r="Y123" s="83">
        <f>'Raw Data'!Y124</f>
        <v>653</v>
      </c>
      <c r="Z123" s="83">
        <f>'Raw Data'!Z124</f>
        <v>668</v>
      </c>
      <c r="AA123" s="83">
        <f>'Raw Data'!AA124/10</f>
        <v>638.20000000000005</v>
      </c>
      <c r="AB123" s="83">
        <f>'Raw Data'!AB124/10</f>
        <v>620.29999999999995</v>
      </c>
      <c r="AC123" s="83">
        <f>'Raw Data'!AC124/10</f>
        <v>592.5</v>
      </c>
      <c r="AD123" s="83">
        <f>'Raw Data'!AD124/10</f>
        <v>557.29999999999995</v>
      </c>
      <c r="AE123" s="83">
        <f>'Raw Data'!AE124/10</f>
        <v>543.6</v>
      </c>
      <c r="AF123" s="83">
        <f>'Raw Data'!AF124/10</f>
        <v>517.29999999999995</v>
      </c>
      <c r="AG123" s="83">
        <f>'Raw Data'!AG124/10</f>
        <v>492.1</v>
      </c>
      <c r="AH123" s="83">
        <f>'Raw Data'!AH124/10</f>
        <v>480.8</v>
      </c>
      <c r="AI123" s="83">
        <f>'Raw Data'!AI124/10</f>
        <v>457.1</v>
      </c>
      <c r="AJ123" s="83">
        <f>'Raw Data'!AJ124/10</f>
        <v>439.7</v>
      </c>
      <c r="AK123" s="83">
        <f>'Raw Data'!AK124/10</f>
        <v>425.6</v>
      </c>
      <c r="AL123" s="83">
        <f>'Raw Data'!AL124/10</f>
        <v>403.9</v>
      </c>
      <c r="AM123" s="83">
        <f>'Raw Data'!AM124/10</f>
        <v>396.6</v>
      </c>
      <c r="AN123" s="83">
        <f>'Raw Data'!AN124/10</f>
        <v>377.4</v>
      </c>
      <c r="AO123" s="83">
        <f>'Raw Data'!AO124/10</f>
        <v>361.4</v>
      </c>
      <c r="AP123" s="83">
        <f>'Raw Data'!AP124/10</f>
        <v>347.8</v>
      </c>
      <c r="AQ123" s="83">
        <f>'Raw Data'!AQ124/10</f>
        <v>339.1</v>
      </c>
      <c r="AR123" s="83">
        <f>'Raw Data'!AR124/10</f>
        <v>326.60000000000002</v>
      </c>
      <c r="AS123" s="83">
        <f>'Raw Data'!AS124/10</f>
        <v>321.5</v>
      </c>
      <c r="AT123" s="83">
        <f>'Raw Data'!AT124/10</f>
        <v>309.8</v>
      </c>
      <c r="AU123" s="83">
        <f>'Raw Data'!AU124/10</f>
        <v>307.3</v>
      </c>
      <c r="AV123" s="83">
        <f>'Raw Data'!AV124/10</f>
        <v>290.89999999999998</v>
      </c>
      <c r="AW123" s="83">
        <f>'Raw Data'!AW124/10</f>
        <v>284.89999999999998</v>
      </c>
      <c r="AX123" s="83">
        <f>'Raw Data'!AX124/10</f>
        <v>281.2</v>
      </c>
      <c r="AY123" s="83">
        <f>'Raw Data'!AY124/10</f>
        <v>276.3</v>
      </c>
      <c r="AZ123" s="83">
        <f>'Raw Data'!AZ124/10</f>
        <v>255.5</v>
      </c>
      <c r="BA123" s="83">
        <f>'Raw Data'!BA124/10</f>
        <v>259.10000000000002</v>
      </c>
      <c r="BB123" s="83">
        <f>'Raw Data'!BB124/10</f>
        <v>252.6</v>
      </c>
      <c r="BC123" s="83">
        <f>'Raw Data'!BC124/10</f>
        <v>242.5</v>
      </c>
      <c r="BD123" s="83">
        <f>'Raw Data'!BD124/10</f>
        <v>235.1</v>
      </c>
      <c r="BE123" s="83">
        <f>'Raw Data'!BE124/10</f>
        <v>229.4</v>
      </c>
      <c r="BF123" s="83">
        <f>'Raw Data'!BF124/10</f>
        <v>232.4</v>
      </c>
      <c r="BG123" s="83">
        <f>'Raw Data'!BG124/10</f>
        <v>222.5</v>
      </c>
      <c r="BH123" s="83">
        <f>'Raw Data'!BH124/10</f>
        <v>222.3</v>
      </c>
      <c r="BI123" s="83">
        <f>'Raw Data'!BI124/10</f>
        <v>224.5</v>
      </c>
      <c r="BJ123" s="83">
        <f>'Raw Data'!BJ124/10</f>
        <v>212.7</v>
      </c>
      <c r="BK123" s="83">
        <f>'Raw Data'!BK124/10</f>
        <v>213.1</v>
      </c>
      <c r="BL123" s="83">
        <f>'Raw Data'!BL124/10</f>
        <v>210.4</v>
      </c>
      <c r="BM123" s="83">
        <f>'Raw Data'!BM124/10</f>
        <v>201.2</v>
      </c>
      <c r="BN123" s="83">
        <f>'Raw Data'!BN124/10</f>
        <v>195.7</v>
      </c>
      <c r="BO123" s="83">
        <f>'Raw Data'!BO124/10</f>
        <v>197.1</v>
      </c>
      <c r="BP123" s="83">
        <f>'Raw Data'!BP124/10</f>
        <v>192</v>
      </c>
      <c r="BQ123" s="83">
        <f>'Raw Data'!BQ124/10</f>
        <v>179.2</v>
      </c>
      <c r="BR123" s="83">
        <f>'Raw Data'!BR124/10</f>
        <v>184.2</v>
      </c>
      <c r="BS123" s="83">
        <f>'Raw Data'!BS124/10</f>
        <v>182.2</v>
      </c>
      <c r="BT123" s="83">
        <f>'Raw Data'!BT124/10</f>
        <v>180.3</v>
      </c>
      <c r="BU123" s="83">
        <f>'Raw Data'!BU124/10</f>
        <v>176.3</v>
      </c>
      <c r="BV123" s="83">
        <f>'Raw Data'!BV124/10</f>
        <v>176.3</v>
      </c>
      <c r="BW123" s="83">
        <f>'Raw Data'!BW124/10</f>
        <v>193.4</v>
      </c>
      <c r="BX123" s="83">
        <f>'Raw Data'!BX124/10</f>
        <v>167.7</v>
      </c>
      <c r="BY123" s="83">
        <f>'Raw Data'!BY124/10</f>
        <v>165.6</v>
      </c>
      <c r="BZ123" s="83">
        <f>'Raw Data'!BZ124/10</f>
        <v>161.80000000000001</v>
      </c>
      <c r="CA123" s="83">
        <f>'Raw Data'!CA124/10</f>
        <v>155.9</v>
      </c>
      <c r="CB123" s="83">
        <f>'Raw Data'!CB124/10</f>
        <v>159.80000000000001</v>
      </c>
      <c r="CC123" s="83">
        <f>'Raw Data'!CC124/10</f>
        <v>155.9</v>
      </c>
      <c r="CD123" s="83">
        <f>'Raw Data'!CD124/10</f>
        <v>154.1</v>
      </c>
      <c r="CE123" s="83">
        <f>'Raw Data'!CE124/10</f>
        <v>158.19999999999999</v>
      </c>
      <c r="CF123" s="83">
        <f>'Raw Data'!CF124/10</f>
        <v>150</v>
      </c>
      <c r="CG123" s="83">
        <f>'Raw Data'!CG124/100</f>
        <v>144.25</v>
      </c>
      <c r="CH123" s="83">
        <f>'Raw Data'!CH124/100</f>
        <v>129.02000000000001</v>
      </c>
      <c r="CI123" s="83">
        <f>'Raw Data'!CI124/100</f>
        <v>117.62</v>
      </c>
      <c r="CJ123" s="83">
        <f>'Raw Data'!CJ124/100</f>
        <v>109.48</v>
      </c>
      <c r="CK123" s="83">
        <f>'Raw Data'!CK124/100</f>
        <v>103.75</v>
      </c>
      <c r="CL123" s="83">
        <f>'Raw Data'!CL124/100</f>
        <v>97.57</v>
      </c>
      <c r="CM123" s="83">
        <f>'Raw Data'!CM124/100</f>
        <v>93.08</v>
      </c>
      <c r="CN123" s="83">
        <f>'Raw Data'!CN124/100</f>
        <v>88.01</v>
      </c>
      <c r="CO123" s="83">
        <f>'Raw Data'!CO124/100</f>
        <v>84.51</v>
      </c>
      <c r="CP123" s="83">
        <f>'Raw Data'!CP124/100</f>
        <v>81.599999999999994</v>
      </c>
      <c r="CQ123" s="83">
        <f>'Raw Data'!CQ124/100</f>
        <v>78.27</v>
      </c>
      <c r="CR123" s="83">
        <f>'Raw Data'!CR124/100</f>
        <v>77.08</v>
      </c>
      <c r="CS123" s="83">
        <f>'Raw Data'!CS124/100</f>
        <v>73.59</v>
      </c>
      <c r="CT123" s="83">
        <f>'Raw Data'!CT124/100</f>
        <v>72.23</v>
      </c>
      <c r="CU123" s="382"/>
    </row>
    <row r="124" spans="4:99" s="86" customFormat="1" x14ac:dyDescent="0.2">
      <c r="D124" s="377"/>
      <c r="E124" s="164"/>
      <c r="F124" s="394"/>
      <c r="G124" s="85">
        <f>'Raw Data'!G125</f>
        <v>103</v>
      </c>
      <c r="H124" s="85">
        <f>'Raw Data'!H125</f>
        <v>104</v>
      </c>
      <c r="I124" s="85">
        <f>'Raw Data'!I125</f>
        <v>115</v>
      </c>
      <c r="J124" s="85">
        <f>'Raw Data'!J125</f>
        <v>104</v>
      </c>
      <c r="K124" s="85">
        <f>'Raw Data'!K125</f>
        <v>132</v>
      </c>
      <c r="L124" s="85">
        <f>'Raw Data'!L125</f>
        <v>113</v>
      </c>
      <c r="M124" s="85">
        <f>'Raw Data'!M125</f>
        <v>119</v>
      </c>
      <c r="N124" s="85">
        <f>'Raw Data'!N125</f>
        <v>114</v>
      </c>
      <c r="O124" s="85">
        <f>'Raw Data'!O125</f>
        <v>134</v>
      </c>
      <c r="P124" s="85">
        <f>'Raw Data'!P125</f>
        <v>106</v>
      </c>
      <c r="Q124" s="85">
        <f>'Raw Data'!Q125</f>
        <v>114</v>
      </c>
      <c r="R124" s="85">
        <f>'Raw Data'!R125</f>
        <v>107</v>
      </c>
      <c r="S124" s="85">
        <f>'Raw Data'!S125</f>
        <v>121</v>
      </c>
      <c r="T124" s="85">
        <f>'Raw Data'!T125</f>
        <v>137</v>
      </c>
      <c r="U124" s="85">
        <f>'Raw Data'!U125</f>
        <v>115</v>
      </c>
      <c r="V124" s="85">
        <f>'Raw Data'!V125</f>
        <v>119</v>
      </c>
      <c r="W124" s="85">
        <f>'Raw Data'!W125</f>
        <v>112</v>
      </c>
      <c r="X124" s="85">
        <f>'Raw Data'!X125</f>
        <v>115</v>
      </c>
      <c r="Y124" s="85">
        <f>'Raw Data'!Y125</f>
        <v>126</v>
      </c>
      <c r="Z124" s="85">
        <f>'Raw Data'!Z125</f>
        <v>130</v>
      </c>
      <c r="AA124" s="85">
        <f>'Raw Data'!AA125/10</f>
        <v>125.9</v>
      </c>
      <c r="AB124" s="85">
        <f>'Raw Data'!AB125/10</f>
        <v>125.7</v>
      </c>
      <c r="AC124" s="85">
        <f>'Raw Data'!AC125/10</f>
        <v>129.80000000000001</v>
      </c>
      <c r="AD124" s="85">
        <f>'Raw Data'!AD125/10</f>
        <v>124.3</v>
      </c>
      <c r="AE124" s="85">
        <f>'Raw Data'!AE125/10</f>
        <v>124</v>
      </c>
      <c r="AF124" s="85">
        <f>'Raw Data'!AF125/10</f>
        <v>123</v>
      </c>
      <c r="AG124" s="85">
        <f>'Raw Data'!AG125/10</f>
        <v>123.9</v>
      </c>
      <c r="AH124" s="85">
        <f>'Raw Data'!AH125/10</f>
        <v>122.7</v>
      </c>
      <c r="AI124" s="85">
        <f>'Raw Data'!AI125/10</f>
        <v>122.1</v>
      </c>
      <c r="AJ124" s="85">
        <f>'Raw Data'!AJ125/10</f>
        <v>118.6</v>
      </c>
      <c r="AK124" s="85">
        <f>'Raw Data'!AK125/10</f>
        <v>118.7</v>
      </c>
      <c r="AL124" s="85">
        <f>'Raw Data'!AL125/10</f>
        <v>114.7</v>
      </c>
      <c r="AM124" s="85">
        <f>'Raw Data'!AM125/10</f>
        <v>116.9</v>
      </c>
      <c r="AN124" s="85">
        <f>'Raw Data'!AN125/10</f>
        <v>115.6</v>
      </c>
      <c r="AO124" s="85">
        <f>'Raw Data'!AO125/10</f>
        <v>116.4</v>
      </c>
      <c r="AP124" s="85">
        <f>'Raw Data'!AP125/10</f>
        <v>113.3</v>
      </c>
      <c r="AQ124" s="85">
        <f>'Raw Data'!AQ125/10</f>
        <v>111.4</v>
      </c>
      <c r="AR124" s="85">
        <f>'Raw Data'!AR125/10</f>
        <v>112.4</v>
      </c>
      <c r="AS124" s="85">
        <f>'Raw Data'!AS125/10</f>
        <v>112.7</v>
      </c>
      <c r="AT124" s="85">
        <f>'Raw Data'!AT125/10</f>
        <v>107.8</v>
      </c>
      <c r="AU124" s="85">
        <f>'Raw Data'!AU125/10</f>
        <v>107.2</v>
      </c>
      <c r="AV124" s="85">
        <f>'Raw Data'!AV125/10</f>
        <v>113.8</v>
      </c>
      <c r="AW124" s="85">
        <f>'Raw Data'!AW125/10</f>
        <v>106.6</v>
      </c>
      <c r="AX124" s="85">
        <f>'Raw Data'!AX125/10</f>
        <v>107.5</v>
      </c>
      <c r="AY124" s="85">
        <f>'Raw Data'!AY125/10</f>
        <v>109.7</v>
      </c>
      <c r="AZ124" s="85">
        <f>'Raw Data'!AZ125/10</f>
        <v>105</v>
      </c>
      <c r="BA124" s="85">
        <f>'Raw Data'!BA125/10</f>
        <v>106.6</v>
      </c>
      <c r="BB124" s="85">
        <f>'Raw Data'!BB125/10</f>
        <v>106.1</v>
      </c>
      <c r="BC124" s="85">
        <f>'Raw Data'!BC125/10</f>
        <v>102.8</v>
      </c>
      <c r="BD124" s="85">
        <f>'Raw Data'!BD125/10</f>
        <v>105.9</v>
      </c>
      <c r="BE124" s="85">
        <f>'Raw Data'!BE125/10</f>
        <v>99.7</v>
      </c>
      <c r="BF124" s="85">
        <f>'Raw Data'!BF125/10</f>
        <v>126.8</v>
      </c>
      <c r="BG124" s="85">
        <f>'Raw Data'!BG125/10</f>
        <v>104.6</v>
      </c>
      <c r="BH124" s="85">
        <f>'Raw Data'!BH125/10</f>
        <v>102.2</v>
      </c>
      <c r="BI124" s="85">
        <f>'Raw Data'!BI125/10</f>
        <v>94.5</v>
      </c>
      <c r="BJ124" s="85">
        <f>'Raw Data'!BJ125/10</f>
        <v>110.5</v>
      </c>
      <c r="BK124" s="85">
        <f>'Raw Data'!BK125/10</f>
        <v>99.4</v>
      </c>
      <c r="BL124" s="85">
        <f>'Raw Data'!BL125/10</f>
        <v>97.7</v>
      </c>
      <c r="BM124" s="85">
        <f>'Raw Data'!BM125/10</f>
        <v>98.2</v>
      </c>
      <c r="BN124" s="85">
        <f>'Raw Data'!BN125/10</f>
        <v>100.1</v>
      </c>
      <c r="BO124" s="85">
        <f>'Raw Data'!BO125/10</f>
        <v>95.5</v>
      </c>
      <c r="BP124" s="85">
        <f>'Raw Data'!BP125/10</f>
        <v>93.1</v>
      </c>
      <c r="BQ124" s="85">
        <f>'Raw Data'!BQ125/10</f>
        <v>100.2</v>
      </c>
      <c r="BR124" s="85">
        <f>'Raw Data'!BR125/10</f>
        <v>96.4</v>
      </c>
      <c r="BS124" s="85">
        <f>'Raw Data'!BS125/10</f>
        <v>92.2</v>
      </c>
      <c r="BT124" s="85">
        <f>'Raw Data'!BT125/10</f>
        <v>98</v>
      </c>
      <c r="BU124" s="85">
        <f>'Raw Data'!BU125/10</f>
        <v>97.9</v>
      </c>
      <c r="BV124" s="85">
        <f>'Raw Data'!BV125/10</f>
        <v>100.2</v>
      </c>
      <c r="BW124" s="85">
        <f>'Raw Data'!BW125/10</f>
        <v>94.4</v>
      </c>
      <c r="BX124" s="85">
        <f>'Raw Data'!BX125/10</f>
        <v>98</v>
      </c>
      <c r="BY124" s="85">
        <f>'Raw Data'!BY125/10</f>
        <v>97.6</v>
      </c>
      <c r="BZ124" s="85">
        <f>'Raw Data'!BZ125/10</f>
        <v>96.9</v>
      </c>
      <c r="CA124" s="85">
        <f>'Raw Data'!CA125/10</f>
        <v>92.7</v>
      </c>
      <c r="CB124" s="85">
        <f>'Raw Data'!CB125/10</f>
        <v>96.7</v>
      </c>
      <c r="CC124" s="85">
        <f>'Raw Data'!CC125/10</f>
        <v>96.7</v>
      </c>
      <c r="CD124" s="85">
        <f>'Raw Data'!CD125/10</f>
        <v>94.9</v>
      </c>
      <c r="CE124" s="85">
        <f>'Raw Data'!CE125/10</f>
        <v>91.9</v>
      </c>
      <c r="CF124" s="85">
        <f>'Raw Data'!CF125/10</f>
        <v>93.2</v>
      </c>
      <c r="CG124" s="85">
        <f>'Raw Data'!CG125/100</f>
        <v>91.86</v>
      </c>
      <c r="CH124" s="85">
        <f>'Raw Data'!CH125/100</f>
        <v>89.8</v>
      </c>
      <c r="CI124" s="85">
        <f>'Raw Data'!CI125/100</f>
        <v>86.53</v>
      </c>
      <c r="CJ124" s="85">
        <f>'Raw Data'!CJ125/100</f>
        <v>86.33</v>
      </c>
      <c r="CK124" s="85">
        <f>'Raw Data'!CK125/100</f>
        <v>85.18</v>
      </c>
      <c r="CL124" s="85">
        <f>'Raw Data'!CL125/100</f>
        <v>84.34</v>
      </c>
      <c r="CM124" s="85">
        <f>'Raw Data'!CM125/100</f>
        <v>82.5</v>
      </c>
      <c r="CN124" s="85">
        <f>'Raw Data'!CN125/100</f>
        <v>81.59</v>
      </c>
      <c r="CO124" s="85">
        <f>'Raw Data'!CO125/100</f>
        <v>81.36</v>
      </c>
      <c r="CP124" s="85">
        <f>'Raw Data'!CP125/100</f>
        <v>80.48</v>
      </c>
      <c r="CQ124" s="85">
        <f>'Raw Data'!CQ125/100</f>
        <v>79.77</v>
      </c>
      <c r="CR124" s="85">
        <f>'Raw Data'!CR125/100</f>
        <v>78.02</v>
      </c>
      <c r="CS124" s="85">
        <f>'Raw Data'!CS125/100</f>
        <v>78.44</v>
      </c>
      <c r="CT124" s="85">
        <f>'Raw Data'!CT125/100</f>
        <v>75.569999999999993</v>
      </c>
      <c r="CU124" s="382"/>
    </row>
    <row r="125" spans="4:99" s="86" customFormat="1" x14ac:dyDescent="0.2">
      <c r="D125" s="375"/>
      <c r="E125" s="164"/>
      <c r="F125" s="394"/>
      <c r="G125" s="86">
        <f>'Raw Data'!G126</f>
        <v>76</v>
      </c>
      <c r="H125" s="86">
        <f>'Raw Data'!H126</f>
        <v>71</v>
      </c>
      <c r="I125" s="86">
        <f>'Raw Data'!I126</f>
        <v>62</v>
      </c>
      <c r="J125" s="86">
        <f>'Raw Data'!J126</f>
        <v>80</v>
      </c>
      <c r="K125" s="86">
        <f>'Raw Data'!K126</f>
        <v>74</v>
      </c>
      <c r="L125" s="86">
        <f>'Raw Data'!L126</f>
        <v>83</v>
      </c>
      <c r="M125" s="86">
        <f>'Raw Data'!M126</f>
        <v>82</v>
      </c>
      <c r="N125" s="86">
        <f>'Raw Data'!N126</f>
        <v>70</v>
      </c>
      <c r="O125" s="86">
        <f>'Raw Data'!O126</f>
        <v>72</v>
      </c>
      <c r="P125" s="86">
        <f>'Raw Data'!P126</f>
        <v>74</v>
      </c>
      <c r="Q125" s="86">
        <f>'Raw Data'!Q126</f>
        <v>69</v>
      </c>
      <c r="R125" s="86">
        <f>'Raw Data'!R126</f>
        <v>72</v>
      </c>
      <c r="S125" s="86">
        <f>'Raw Data'!S126</f>
        <v>66</v>
      </c>
      <c r="T125" s="86">
        <f>'Raw Data'!T126</f>
        <v>73</v>
      </c>
      <c r="U125" s="86">
        <f>'Raw Data'!U126</f>
        <v>85</v>
      </c>
      <c r="V125" s="86">
        <f>'Raw Data'!V126</f>
        <v>74</v>
      </c>
      <c r="W125" s="86">
        <f>'Raw Data'!W126</f>
        <v>76</v>
      </c>
      <c r="X125" s="86">
        <f>'Raw Data'!X126</f>
        <v>91</v>
      </c>
      <c r="Y125" s="86">
        <f>'Raw Data'!Y126</f>
        <v>87</v>
      </c>
      <c r="Z125" s="86">
        <f>'Raw Data'!Z126</f>
        <v>81</v>
      </c>
      <c r="AA125" s="86">
        <f>'Raw Data'!AA126/10</f>
        <v>79.900000000000006</v>
      </c>
      <c r="AB125" s="86">
        <f>'Raw Data'!AB126/10</f>
        <v>83.3</v>
      </c>
      <c r="AC125" s="86">
        <f>'Raw Data'!AC126/10</f>
        <v>85.7</v>
      </c>
      <c r="AD125" s="86">
        <f>'Raw Data'!AD126/10</f>
        <v>79.8</v>
      </c>
      <c r="AE125" s="86">
        <f>'Raw Data'!AE126/10</f>
        <v>81</v>
      </c>
      <c r="AF125" s="86">
        <f>'Raw Data'!AF126/10</f>
        <v>82.5</v>
      </c>
      <c r="AG125" s="86">
        <f>'Raw Data'!AG126/10</f>
        <v>85.5</v>
      </c>
      <c r="AH125" s="86">
        <f>'Raw Data'!AH126/10</f>
        <v>82.3</v>
      </c>
      <c r="AI125" s="86">
        <f>'Raw Data'!AI126/10</f>
        <v>82.3</v>
      </c>
      <c r="AJ125" s="86">
        <f>'Raw Data'!AJ126/10</f>
        <v>82.9</v>
      </c>
      <c r="AK125" s="86">
        <f>'Raw Data'!AK126/10</f>
        <v>77.599999999999994</v>
      </c>
      <c r="AL125" s="86">
        <f>'Raw Data'!AL126/10</f>
        <v>82.4</v>
      </c>
      <c r="AM125" s="86">
        <f>'Raw Data'!AM126/10</f>
        <v>76.7</v>
      </c>
      <c r="AN125" s="86">
        <f>'Raw Data'!AN126/10</f>
        <v>77.599999999999994</v>
      </c>
      <c r="AO125" s="86">
        <f>'Raw Data'!AO126/10</f>
        <v>74</v>
      </c>
      <c r="AP125" s="86">
        <f>'Raw Data'!AP126/10</f>
        <v>80.3</v>
      </c>
      <c r="AQ125" s="86">
        <f>'Raw Data'!AQ126/10</f>
        <v>71.400000000000006</v>
      </c>
      <c r="AR125" s="86">
        <f>'Raw Data'!AR126/10</f>
        <v>79.3</v>
      </c>
      <c r="AS125" s="86">
        <f>'Raw Data'!AS126/10</f>
        <v>75.8</v>
      </c>
      <c r="AT125" s="86">
        <f>'Raw Data'!AT126/10</f>
        <v>74</v>
      </c>
      <c r="AU125" s="86">
        <f>'Raw Data'!AU126/10</f>
        <v>76.400000000000006</v>
      </c>
      <c r="AV125" s="86">
        <f>'Raw Data'!AV126/10</f>
        <v>73.099999999999994</v>
      </c>
      <c r="AW125" s="86">
        <f>'Raw Data'!AW126/10</f>
        <v>72.400000000000006</v>
      </c>
      <c r="AX125" s="86">
        <f>'Raw Data'!AX126/10</f>
        <v>74</v>
      </c>
      <c r="AY125" s="86">
        <f>'Raw Data'!AY126/10</f>
        <v>73.2</v>
      </c>
      <c r="AZ125" s="86">
        <f>'Raw Data'!AZ126/10</f>
        <v>72.5</v>
      </c>
      <c r="BA125" s="86">
        <f>'Raw Data'!BA126/10</f>
        <v>70.900000000000006</v>
      </c>
      <c r="BB125" s="86">
        <f>'Raw Data'!BB126/10</f>
        <v>71</v>
      </c>
      <c r="BC125" s="86">
        <f>'Raw Data'!BC126/10</f>
        <v>73.3</v>
      </c>
      <c r="BD125" s="86">
        <f>'Raw Data'!BD126/10</f>
        <v>72.5</v>
      </c>
      <c r="BE125" s="86">
        <f>'Raw Data'!BE126/10</f>
        <v>69.7</v>
      </c>
      <c r="BF125" s="86">
        <f>'Raw Data'!BF126/10</f>
        <v>73.8</v>
      </c>
      <c r="BG125" s="86">
        <f>'Raw Data'!BG126/10</f>
        <v>71.400000000000006</v>
      </c>
      <c r="BH125" s="86">
        <f>'Raw Data'!BH126/10</f>
        <v>71.2</v>
      </c>
      <c r="BI125" s="86">
        <f>'Raw Data'!BI126/10</f>
        <v>69.2</v>
      </c>
      <c r="BJ125" s="86">
        <f>'Raw Data'!BJ126/10</f>
        <v>69.5</v>
      </c>
      <c r="BK125" s="86">
        <f>'Raw Data'!BK126/10</f>
        <v>67.5</v>
      </c>
      <c r="BL125" s="86">
        <f>'Raw Data'!BL126/10</f>
        <v>71</v>
      </c>
      <c r="BM125" s="86">
        <f>'Raw Data'!BM126/10</f>
        <v>72.7</v>
      </c>
      <c r="BN125" s="86">
        <f>'Raw Data'!BN126/10</f>
        <v>69.599999999999994</v>
      </c>
      <c r="BO125" s="86">
        <f>'Raw Data'!BO126/10</f>
        <v>71.3</v>
      </c>
      <c r="BP125" s="86">
        <f>'Raw Data'!BP126/10</f>
        <v>65.599999999999994</v>
      </c>
      <c r="BQ125" s="86">
        <f>'Raw Data'!BQ126/10</f>
        <v>68.5</v>
      </c>
      <c r="BR125" s="86">
        <f>'Raw Data'!BR126/10</f>
        <v>69.900000000000006</v>
      </c>
      <c r="BS125" s="86">
        <f>'Raw Data'!BS126/10</f>
        <v>68.2</v>
      </c>
      <c r="BT125" s="86">
        <f>'Raw Data'!BT126/10</f>
        <v>67.099999999999994</v>
      </c>
      <c r="BU125" s="86">
        <f>'Raw Data'!BU126/10</f>
        <v>68.8</v>
      </c>
      <c r="BV125" s="86">
        <f>'Raw Data'!BV126/10</f>
        <v>63.6</v>
      </c>
      <c r="BW125" s="86">
        <f>'Raw Data'!BW126/10</f>
        <v>67.3</v>
      </c>
      <c r="BX125" s="86">
        <f>'Raw Data'!BX126/10</f>
        <v>68.7</v>
      </c>
      <c r="BY125" s="86">
        <f>'Raw Data'!BY126/10</f>
        <v>66.599999999999994</v>
      </c>
      <c r="BZ125" s="86">
        <f>'Raw Data'!BZ126/10</f>
        <v>63.8</v>
      </c>
      <c r="CA125" s="86">
        <f>'Raw Data'!CA126/10</f>
        <v>66.7</v>
      </c>
      <c r="CB125" s="86">
        <f>'Raw Data'!CB126/10</f>
        <v>63.8</v>
      </c>
      <c r="CC125" s="86">
        <f>'Raw Data'!CC126/10</f>
        <v>68.599999999999994</v>
      </c>
      <c r="CD125" s="86">
        <f>'Raw Data'!CD126/10</f>
        <v>66.099999999999994</v>
      </c>
      <c r="CE125" s="86">
        <f>'Raw Data'!CE126/10</f>
        <v>64.900000000000006</v>
      </c>
      <c r="CF125" s="86">
        <f>'Raw Data'!CF126/10</f>
        <v>68.8</v>
      </c>
      <c r="CG125" s="86">
        <f>'Raw Data'!CG126/100</f>
        <v>65.239999999999995</v>
      </c>
      <c r="CH125" s="86">
        <f>'Raw Data'!CH126/100</f>
        <v>62.79</v>
      </c>
      <c r="CI125" s="86">
        <f>'Raw Data'!CI126/100</f>
        <v>62.73</v>
      </c>
      <c r="CJ125" s="86">
        <f>'Raw Data'!CJ126/100</f>
        <v>62.13</v>
      </c>
      <c r="CK125" s="86">
        <f>'Raw Data'!CK126/100</f>
        <v>61.43</v>
      </c>
      <c r="CL125" s="86">
        <f>'Raw Data'!CL126/100</f>
        <v>61.55</v>
      </c>
      <c r="CM125" s="86">
        <f>'Raw Data'!CM126/100</f>
        <v>61.38</v>
      </c>
      <c r="CN125" s="86">
        <f>'Raw Data'!CN126/100</f>
        <v>60.54</v>
      </c>
      <c r="CO125" s="86">
        <f>'Raw Data'!CO126/100</f>
        <v>59.19</v>
      </c>
      <c r="CP125" s="86">
        <f>'Raw Data'!CP126/100</f>
        <v>61.34</v>
      </c>
      <c r="CQ125" s="86">
        <f>'Raw Data'!CQ126/100</f>
        <v>59.6</v>
      </c>
      <c r="CR125" s="86">
        <f>'Raw Data'!CR126/100</f>
        <v>59.19</v>
      </c>
      <c r="CS125" s="86">
        <f>'Raw Data'!CS126/100</f>
        <v>58.51</v>
      </c>
      <c r="CT125" s="86">
        <f>'Raw Data'!CT126/100</f>
        <v>59.71</v>
      </c>
      <c r="CU125" s="382"/>
    </row>
    <row r="126" spans="4:99" s="86" customFormat="1" x14ac:dyDescent="0.2">
      <c r="D126" s="375"/>
      <c r="E126" s="164"/>
      <c r="F126" s="394"/>
      <c r="G126" s="86">
        <f>'Raw Data'!G127</f>
        <v>70</v>
      </c>
      <c r="H126" s="86">
        <f>'Raw Data'!H127</f>
        <v>64</v>
      </c>
      <c r="I126" s="86">
        <f>'Raw Data'!I127</f>
        <v>71</v>
      </c>
      <c r="J126" s="86">
        <f>'Raw Data'!J127</f>
        <v>70</v>
      </c>
      <c r="K126" s="86">
        <f>'Raw Data'!K127</f>
        <v>76</v>
      </c>
      <c r="L126" s="86">
        <f>'Raw Data'!L127</f>
        <v>73</v>
      </c>
      <c r="M126" s="86">
        <f>'Raw Data'!M127</f>
        <v>67</v>
      </c>
      <c r="N126" s="86">
        <f>'Raw Data'!N127</f>
        <v>81</v>
      </c>
      <c r="O126" s="86">
        <f>'Raw Data'!O127</f>
        <v>78</v>
      </c>
      <c r="P126" s="86">
        <f>'Raw Data'!P127</f>
        <v>78</v>
      </c>
      <c r="Q126" s="86">
        <f>'Raw Data'!Q127</f>
        <v>81</v>
      </c>
      <c r="R126" s="86">
        <f>'Raw Data'!R127</f>
        <v>82</v>
      </c>
      <c r="S126" s="86">
        <f>'Raw Data'!S127</f>
        <v>78</v>
      </c>
      <c r="T126" s="86">
        <f>'Raw Data'!T127</f>
        <v>85</v>
      </c>
      <c r="U126" s="86">
        <f>'Raw Data'!U127</f>
        <v>79</v>
      </c>
      <c r="V126" s="86">
        <f>'Raw Data'!V127</f>
        <v>67</v>
      </c>
      <c r="W126" s="86">
        <f>'Raw Data'!W127</f>
        <v>77</v>
      </c>
      <c r="X126" s="86">
        <f>'Raw Data'!X127</f>
        <v>79</v>
      </c>
      <c r="Y126" s="86">
        <f>'Raw Data'!Y127</f>
        <v>76</v>
      </c>
      <c r="Z126" s="86">
        <f>'Raw Data'!Z127</f>
        <v>81</v>
      </c>
      <c r="AA126" s="86">
        <f>'Raw Data'!AA127/10</f>
        <v>82.8</v>
      </c>
      <c r="AB126" s="86">
        <f>'Raw Data'!AB127/10</f>
        <v>81.099999999999994</v>
      </c>
      <c r="AC126" s="86">
        <f>'Raw Data'!AC127/10</f>
        <v>82.7</v>
      </c>
      <c r="AD126" s="86">
        <f>'Raw Data'!AD127/10</f>
        <v>85.5</v>
      </c>
      <c r="AE126" s="86">
        <f>'Raw Data'!AE127/10</f>
        <v>80.599999999999994</v>
      </c>
      <c r="AF126" s="86">
        <f>'Raw Data'!AF127/10</f>
        <v>81.599999999999994</v>
      </c>
      <c r="AG126" s="86">
        <f>'Raw Data'!AG127/10</f>
        <v>85.6</v>
      </c>
      <c r="AH126" s="86">
        <f>'Raw Data'!AH127/10</f>
        <v>81.7</v>
      </c>
      <c r="AI126" s="86">
        <f>'Raw Data'!AI127/10</f>
        <v>81.5</v>
      </c>
      <c r="AJ126" s="86">
        <f>'Raw Data'!AJ127/10</f>
        <v>81.599999999999994</v>
      </c>
      <c r="AK126" s="86">
        <f>'Raw Data'!AK127/10</f>
        <v>74.7</v>
      </c>
      <c r="AL126" s="86">
        <f>'Raw Data'!AL127/10</f>
        <v>75.7</v>
      </c>
      <c r="AM126" s="86">
        <f>'Raw Data'!AM127/10</f>
        <v>73.400000000000006</v>
      </c>
      <c r="AN126" s="86">
        <f>'Raw Data'!AN127/10</f>
        <v>72.2</v>
      </c>
      <c r="AO126" s="86">
        <f>'Raw Data'!AO127/10</f>
        <v>75.599999999999994</v>
      </c>
      <c r="AP126" s="86">
        <f>'Raw Data'!AP127/10</f>
        <v>70.599999999999994</v>
      </c>
      <c r="AQ126" s="86">
        <f>'Raw Data'!AQ127/10</f>
        <v>72</v>
      </c>
      <c r="AR126" s="86">
        <f>'Raw Data'!AR127/10</f>
        <v>72.400000000000006</v>
      </c>
      <c r="AS126" s="86">
        <f>'Raw Data'!AS127/10</f>
        <v>70.5</v>
      </c>
      <c r="AT126" s="86">
        <f>'Raw Data'!AT127/10</f>
        <v>72.3</v>
      </c>
      <c r="AU126" s="86">
        <f>'Raw Data'!AU127/10</f>
        <v>69</v>
      </c>
      <c r="AV126" s="86">
        <f>'Raw Data'!AV127/10</f>
        <v>73</v>
      </c>
      <c r="AW126" s="86">
        <f>'Raw Data'!AW127/10</f>
        <v>71.400000000000006</v>
      </c>
      <c r="AX126" s="86">
        <f>'Raw Data'!AX127/10</f>
        <v>69.8</v>
      </c>
      <c r="AY126" s="86">
        <f>'Raw Data'!AY127/10</f>
        <v>68.2</v>
      </c>
      <c r="AZ126" s="86">
        <f>'Raw Data'!AZ127/10</f>
        <v>68.3</v>
      </c>
      <c r="BA126" s="86">
        <f>'Raw Data'!BA127/10</f>
        <v>63.6</v>
      </c>
      <c r="BB126" s="86">
        <f>'Raw Data'!BB127/10</f>
        <v>67.7</v>
      </c>
      <c r="BC126" s="86">
        <f>'Raw Data'!BC127/10</f>
        <v>67.099999999999994</v>
      </c>
      <c r="BD126" s="86">
        <f>'Raw Data'!BD127/10</f>
        <v>65.2</v>
      </c>
      <c r="BE126" s="86">
        <f>'Raw Data'!BE127/10</f>
        <v>67.400000000000006</v>
      </c>
      <c r="BF126" s="86">
        <f>'Raw Data'!BF127/10</f>
        <v>65.400000000000006</v>
      </c>
      <c r="BG126" s="86">
        <f>'Raw Data'!BG127/10</f>
        <v>67.7</v>
      </c>
      <c r="BH126" s="86">
        <f>'Raw Data'!BH127/10</f>
        <v>66.7</v>
      </c>
      <c r="BI126" s="86">
        <f>'Raw Data'!BI127/10</f>
        <v>65.5</v>
      </c>
      <c r="BJ126" s="86">
        <f>'Raw Data'!BJ127/10</f>
        <v>64</v>
      </c>
      <c r="BK126" s="86">
        <f>'Raw Data'!BK127/10</f>
        <v>63</v>
      </c>
      <c r="BL126" s="86">
        <f>'Raw Data'!BL127/10</f>
        <v>64.5</v>
      </c>
      <c r="BM126" s="86">
        <f>'Raw Data'!BM127/10</f>
        <v>62</v>
      </c>
      <c r="BN126" s="86">
        <f>'Raw Data'!BN127/10</f>
        <v>63.5</v>
      </c>
      <c r="BO126" s="86">
        <f>'Raw Data'!BO127/10</f>
        <v>61.9</v>
      </c>
      <c r="BP126" s="86">
        <f>'Raw Data'!BP127/10</f>
        <v>63.5</v>
      </c>
      <c r="BQ126" s="86">
        <f>'Raw Data'!BQ127/10</f>
        <v>64.8</v>
      </c>
      <c r="BR126" s="86">
        <f>'Raw Data'!BR127/10</f>
        <v>63.7</v>
      </c>
      <c r="BS126" s="86">
        <f>'Raw Data'!BS127/10</f>
        <v>65.2</v>
      </c>
      <c r="BT126" s="86">
        <f>'Raw Data'!BT127/10</f>
        <v>61.6</v>
      </c>
      <c r="BU126" s="86">
        <f>'Raw Data'!BU127/10</f>
        <v>62.9</v>
      </c>
      <c r="BV126" s="86">
        <f>'Raw Data'!BV127/10</f>
        <v>64.7</v>
      </c>
      <c r="BW126" s="86">
        <f>'Raw Data'!BW127/10</f>
        <v>58.3</v>
      </c>
      <c r="BX126" s="86">
        <f>'Raw Data'!BX127/10</f>
        <v>61.3</v>
      </c>
      <c r="BY126" s="86">
        <f>'Raw Data'!BY127/10</f>
        <v>64.2</v>
      </c>
      <c r="BZ126" s="86">
        <f>'Raw Data'!BZ127/10</f>
        <v>59.3</v>
      </c>
      <c r="CA126" s="86">
        <f>'Raw Data'!CA127/10</f>
        <v>58.7</v>
      </c>
      <c r="CB126" s="86">
        <f>'Raw Data'!CB127/10</f>
        <v>60.1</v>
      </c>
      <c r="CC126" s="86">
        <f>'Raw Data'!CC127/10</f>
        <v>57.1</v>
      </c>
      <c r="CD126" s="86">
        <f>'Raw Data'!CD127/10</f>
        <v>57.6</v>
      </c>
      <c r="CE126" s="86">
        <f>'Raw Data'!CE127/10</f>
        <v>57.2</v>
      </c>
      <c r="CF126" s="86">
        <f>'Raw Data'!CF127/10</f>
        <v>58.8</v>
      </c>
      <c r="CG126" s="86">
        <f>'Raw Data'!CG127/100</f>
        <v>57.68</v>
      </c>
      <c r="CH126" s="86">
        <f>'Raw Data'!CH127/100</f>
        <v>56.1</v>
      </c>
      <c r="CI126" s="86">
        <f>'Raw Data'!CI127/100</f>
        <v>55.05</v>
      </c>
      <c r="CJ126" s="86">
        <f>'Raw Data'!CJ127/100</f>
        <v>54.73</v>
      </c>
      <c r="CK126" s="86">
        <f>'Raw Data'!CK127/100</f>
        <v>53.06</v>
      </c>
      <c r="CL126" s="86">
        <f>'Raw Data'!CL127/100</f>
        <v>52.36</v>
      </c>
      <c r="CM126" s="86">
        <f>'Raw Data'!CM127/100</f>
        <v>51.68</v>
      </c>
      <c r="CN126" s="86">
        <f>'Raw Data'!CN127/100</f>
        <v>51.12</v>
      </c>
      <c r="CO126" s="86">
        <f>'Raw Data'!CO127/100</f>
        <v>50.46</v>
      </c>
      <c r="CP126" s="86">
        <f>'Raw Data'!CP127/100</f>
        <v>49.76</v>
      </c>
      <c r="CQ126" s="86">
        <f>'Raw Data'!CQ127/100</f>
        <v>49.75</v>
      </c>
      <c r="CR126" s="86">
        <f>'Raw Data'!CR127/100</f>
        <v>50.73</v>
      </c>
      <c r="CS126" s="86">
        <f>'Raw Data'!CS127/100</f>
        <v>48.73</v>
      </c>
      <c r="CT126" s="86">
        <f>'Raw Data'!CT127/100</f>
        <v>47.72</v>
      </c>
      <c r="CU126" s="382"/>
    </row>
    <row r="127" spans="4:99" s="86" customFormat="1" x14ac:dyDescent="0.2">
      <c r="D127" s="375"/>
      <c r="E127" s="164"/>
      <c r="F127" s="394"/>
      <c r="G127" s="86">
        <f>'Raw Data'!G128</f>
        <v>48</v>
      </c>
      <c r="H127" s="86">
        <f>'Raw Data'!H128</f>
        <v>40</v>
      </c>
      <c r="I127" s="86">
        <f>'Raw Data'!I128</f>
        <v>61</v>
      </c>
      <c r="J127" s="86">
        <f>'Raw Data'!J128</f>
        <v>48</v>
      </c>
      <c r="K127" s="86">
        <f>'Raw Data'!K128</f>
        <v>46</v>
      </c>
      <c r="L127" s="86">
        <f>'Raw Data'!L128</f>
        <v>43</v>
      </c>
      <c r="M127" s="86">
        <f>'Raw Data'!M128</f>
        <v>55</v>
      </c>
      <c r="N127" s="86">
        <f>'Raw Data'!N128</f>
        <v>53</v>
      </c>
      <c r="O127" s="86">
        <f>'Raw Data'!O128</f>
        <v>53</v>
      </c>
      <c r="P127" s="86">
        <f>'Raw Data'!P128</f>
        <v>46</v>
      </c>
      <c r="Q127" s="86">
        <f>'Raw Data'!Q128</f>
        <v>56</v>
      </c>
      <c r="R127" s="86">
        <f>'Raw Data'!R128</f>
        <v>46</v>
      </c>
      <c r="S127" s="86">
        <f>'Raw Data'!S128</f>
        <v>55</v>
      </c>
      <c r="T127" s="86">
        <f>'Raw Data'!T128</f>
        <v>50</v>
      </c>
      <c r="U127" s="86">
        <f>'Raw Data'!U128</f>
        <v>59</v>
      </c>
      <c r="V127" s="86">
        <f>'Raw Data'!V128</f>
        <v>53</v>
      </c>
      <c r="W127" s="86">
        <f>'Raw Data'!W128</f>
        <v>51</v>
      </c>
      <c r="X127" s="86">
        <f>'Raw Data'!X128</f>
        <v>47</v>
      </c>
      <c r="Y127" s="86">
        <f>'Raw Data'!Y128</f>
        <v>61</v>
      </c>
      <c r="Z127" s="86">
        <f>'Raw Data'!Z128</f>
        <v>63</v>
      </c>
      <c r="AA127" s="86">
        <f>'Raw Data'!AA128/10</f>
        <v>57.1</v>
      </c>
      <c r="AB127" s="86">
        <f>'Raw Data'!AB128/10</f>
        <v>59.2</v>
      </c>
      <c r="AC127" s="86">
        <f>'Raw Data'!AC128/10</f>
        <v>57.3</v>
      </c>
      <c r="AD127" s="86">
        <f>'Raw Data'!AD128/10</f>
        <v>57.1</v>
      </c>
      <c r="AE127" s="86">
        <f>'Raw Data'!AE128/10</f>
        <v>58.6</v>
      </c>
      <c r="AF127" s="86">
        <f>'Raw Data'!AF128/10</f>
        <v>56.9</v>
      </c>
      <c r="AG127" s="86">
        <f>'Raw Data'!AG128/10</f>
        <v>57.5</v>
      </c>
      <c r="AH127" s="86">
        <f>'Raw Data'!AH128/10</f>
        <v>56.9</v>
      </c>
      <c r="AI127" s="86">
        <f>'Raw Data'!AI128/10</f>
        <v>59.4</v>
      </c>
      <c r="AJ127" s="86">
        <f>'Raw Data'!AJ128/10</f>
        <v>57.3</v>
      </c>
      <c r="AK127" s="86">
        <f>'Raw Data'!AK128/10</f>
        <v>56.8</v>
      </c>
      <c r="AL127" s="86">
        <f>'Raw Data'!AL128/10</f>
        <v>55.7</v>
      </c>
      <c r="AM127" s="86">
        <f>'Raw Data'!AM128/10</f>
        <v>53.1</v>
      </c>
      <c r="AN127" s="86">
        <f>'Raw Data'!AN128/10</f>
        <v>53.7</v>
      </c>
      <c r="AO127" s="86">
        <f>'Raw Data'!AO128/10</f>
        <v>55.3</v>
      </c>
      <c r="AP127" s="86">
        <f>'Raw Data'!AP128/10</f>
        <v>56.3</v>
      </c>
      <c r="AQ127" s="86">
        <f>'Raw Data'!AQ128/10</f>
        <v>52.6</v>
      </c>
      <c r="AR127" s="86">
        <f>'Raw Data'!AR128/10</f>
        <v>55.4</v>
      </c>
      <c r="AS127" s="86">
        <f>'Raw Data'!AS128/10</f>
        <v>53.2</v>
      </c>
      <c r="AT127" s="86">
        <f>'Raw Data'!AT128/10</f>
        <v>52.1</v>
      </c>
      <c r="AU127" s="86">
        <f>'Raw Data'!AU128/10</f>
        <v>49.7</v>
      </c>
      <c r="AV127" s="86">
        <f>'Raw Data'!AV128/10</f>
        <v>51.1</v>
      </c>
      <c r="AW127" s="86">
        <f>'Raw Data'!AW128/10</f>
        <v>49.8</v>
      </c>
      <c r="AX127" s="86">
        <f>'Raw Data'!AX128/10</f>
        <v>51.2</v>
      </c>
      <c r="AY127" s="86">
        <f>'Raw Data'!AY128/10</f>
        <v>53.9</v>
      </c>
      <c r="AZ127" s="86">
        <f>'Raw Data'!AZ128/10</f>
        <v>51.7</v>
      </c>
      <c r="BA127" s="86">
        <f>'Raw Data'!BA128/10</f>
        <v>54</v>
      </c>
      <c r="BB127" s="86">
        <f>'Raw Data'!BB128/10</f>
        <v>49.7</v>
      </c>
      <c r="BC127" s="86">
        <f>'Raw Data'!BC128/10</f>
        <v>49.3</v>
      </c>
      <c r="BD127" s="86">
        <f>'Raw Data'!BD128/10</f>
        <v>48.3</v>
      </c>
      <c r="BE127" s="86">
        <f>'Raw Data'!BE128/10</f>
        <v>47.4</v>
      </c>
      <c r="BF127" s="86">
        <f>'Raw Data'!BF128/10</f>
        <v>52.2</v>
      </c>
      <c r="BG127" s="86">
        <f>'Raw Data'!BG128/10</f>
        <v>44.1</v>
      </c>
      <c r="BH127" s="86">
        <f>'Raw Data'!BH128/10</f>
        <v>50.5</v>
      </c>
      <c r="BI127" s="86">
        <f>'Raw Data'!BI128/10</f>
        <v>46</v>
      </c>
      <c r="BJ127" s="86">
        <f>'Raw Data'!BJ128/10</f>
        <v>47.7</v>
      </c>
      <c r="BK127" s="86">
        <f>'Raw Data'!BK128/10</f>
        <v>47.3</v>
      </c>
      <c r="BL127" s="86">
        <f>'Raw Data'!BL128/10</f>
        <v>48.2</v>
      </c>
      <c r="BM127" s="86">
        <f>'Raw Data'!BM128/10</f>
        <v>49.4</v>
      </c>
      <c r="BN127" s="86">
        <f>'Raw Data'!BN128/10</f>
        <v>45.4</v>
      </c>
      <c r="BO127" s="86">
        <f>'Raw Data'!BO128/10</f>
        <v>46.9</v>
      </c>
      <c r="BP127" s="86">
        <f>'Raw Data'!BP128/10</f>
        <v>51.1</v>
      </c>
      <c r="BQ127" s="86">
        <f>'Raw Data'!BQ128/10</f>
        <v>49.4</v>
      </c>
      <c r="BR127" s="86">
        <f>'Raw Data'!BR128/10</f>
        <v>47.1</v>
      </c>
      <c r="BS127" s="86">
        <f>'Raw Data'!BS128/10</f>
        <v>49.2</v>
      </c>
      <c r="BT127" s="86">
        <f>'Raw Data'!BT128/10</f>
        <v>48.6</v>
      </c>
      <c r="BU127" s="86">
        <f>'Raw Data'!BU128/10</f>
        <v>46.9</v>
      </c>
      <c r="BV127" s="86">
        <f>'Raw Data'!BV128/10</f>
        <v>48</v>
      </c>
      <c r="BW127" s="86">
        <f>'Raw Data'!BW128/10</f>
        <v>47</v>
      </c>
      <c r="BX127" s="86">
        <f>'Raw Data'!BX128/10</f>
        <v>42.7</v>
      </c>
      <c r="BY127" s="86">
        <f>'Raw Data'!BY128/10</f>
        <v>43.9</v>
      </c>
      <c r="BZ127" s="86">
        <f>'Raw Data'!BZ128/10</f>
        <v>44.3</v>
      </c>
      <c r="CA127" s="86">
        <f>'Raw Data'!CA128/10</f>
        <v>45</v>
      </c>
      <c r="CB127" s="86">
        <f>'Raw Data'!CB128/10</f>
        <v>44.2</v>
      </c>
      <c r="CC127" s="86">
        <f>'Raw Data'!CC128/10</f>
        <v>46.2</v>
      </c>
      <c r="CD127" s="86">
        <f>'Raw Data'!CD128/10</f>
        <v>47.3</v>
      </c>
      <c r="CE127" s="86">
        <f>'Raw Data'!CE128/10</f>
        <v>47.9</v>
      </c>
      <c r="CF127" s="86">
        <f>'Raw Data'!CF128/10</f>
        <v>45.8</v>
      </c>
      <c r="CG127" s="86">
        <f>'Raw Data'!CG128/100</f>
        <v>45.1</v>
      </c>
      <c r="CH127" s="86">
        <f>'Raw Data'!CH128/100</f>
        <v>44.68</v>
      </c>
      <c r="CI127" s="86">
        <f>'Raw Data'!CI128/100</f>
        <v>43.28</v>
      </c>
      <c r="CJ127" s="86">
        <f>'Raw Data'!CJ128/100</f>
        <v>42.84</v>
      </c>
      <c r="CK127" s="86">
        <f>'Raw Data'!CK128/100</f>
        <v>42.54</v>
      </c>
      <c r="CL127" s="86">
        <f>'Raw Data'!CL128/100</f>
        <v>42.75</v>
      </c>
      <c r="CM127" s="86">
        <f>'Raw Data'!CM128/100</f>
        <v>42.59</v>
      </c>
      <c r="CN127" s="86">
        <f>'Raw Data'!CN128/100</f>
        <v>42.32</v>
      </c>
      <c r="CO127" s="86">
        <f>'Raw Data'!CO128/100</f>
        <v>40.82</v>
      </c>
      <c r="CP127" s="86">
        <f>'Raw Data'!CP128/100</f>
        <v>42.23</v>
      </c>
      <c r="CQ127" s="86">
        <f>'Raw Data'!CQ128/100</f>
        <v>40.93</v>
      </c>
      <c r="CR127" s="86">
        <f>'Raw Data'!CR128/100</f>
        <v>40.17</v>
      </c>
      <c r="CS127" s="86">
        <f>'Raw Data'!CS128/100</f>
        <v>40.799999999999997</v>
      </c>
      <c r="CT127" s="86">
        <f>'Raw Data'!CT128/100</f>
        <v>39.64</v>
      </c>
      <c r="CU127" s="382"/>
    </row>
    <row r="128" spans="4:99" s="86" customFormat="1" x14ac:dyDescent="0.2">
      <c r="D128" s="375"/>
      <c r="E128" s="164"/>
      <c r="F128" s="394"/>
      <c r="G128" s="86">
        <f>'Raw Data'!G129</f>
        <v>49</v>
      </c>
      <c r="H128" s="86">
        <f>'Raw Data'!H129</f>
        <v>45</v>
      </c>
      <c r="I128" s="86">
        <f>'Raw Data'!I129</f>
        <v>57</v>
      </c>
      <c r="J128" s="86">
        <f>'Raw Data'!J129</f>
        <v>57</v>
      </c>
      <c r="K128" s="86">
        <f>'Raw Data'!K129</f>
        <v>61</v>
      </c>
      <c r="L128" s="86">
        <f>'Raw Data'!L129</f>
        <v>68</v>
      </c>
      <c r="M128" s="86">
        <f>'Raw Data'!M129</f>
        <v>60</v>
      </c>
      <c r="N128" s="86">
        <f>'Raw Data'!N129</f>
        <v>53</v>
      </c>
      <c r="O128" s="86">
        <f>'Raw Data'!O129</f>
        <v>54</v>
      </c>
      <c r="P128" s="86">
        <f>'Raw Data'!P129</f>
        <v>55</v>
      </c>
      <c r="Q128" s="86">
        <f>'Raw Data'!Q129</f>
        <v>46</v>
      </c>
      <c r="R128" s="86">
        <f>'Raw Data'!R129</f>
        <v>58</v>
      </c>
      <c r="S128" s="86">
        <f>'Raw Data'!S129</f>
        <v>52</v>
      </c>
      <c r="T128" s="86">
        <f>'Raw Data'!T129</f>
        <v>64</v>
      </c>
      <c r="U128" s="86">
        <f>'Raw Data'!U129</f>
        <v>53</v>
      </c>
      <c r="V128" s="86">
        <f>'Raw Data'!V129</f>
        <v>53</v>
      </c>
      <c r="W128" s="86">
        <f>'Raw Data'!W129</f>
        <v>61</v>
      </c>
      <c r="X128" s="86">
        <f>'Raw Data'!X129</f>
        <v>51</v>
      </c>
      <c r="Y128" s="86">
        <f>'Raw Data'!Y129</f>
        <v>65</v>
      </c>
      <c r="Z128" s="86">
        <f>'Raw Data'!Z129</f>
        <v>55</v>
      </c>
      <c r="AA128" s="86">
        <f>'Raw Data'!AA129/10</f>
        <v>60.6</v>
      </c>
      <c r="AB128" s="86">
        <f>'Raw Data'!AB129/10</f>
        <v>62.2</v>
      </c>
      <c r="AC128" s="86">
        <f>'Raw Data'!AC129/10</f>
        <v>59.9</v>
      </c>
      <c r="AD128" s="86">
        <f>'Raw Data'!AD129/10</f>
        <v>58.2</v>
      </c>
      <c r="AE128" s="86">
        <f>'Raw Data'!AE129/10</f>
        <v>58.4</v>
      </c>
      <c r="AF128" s="86">
        <f>'Raw Data'!AF129/10</f>
        <v>58.8</v>
      </c>
      <c r="AG128" s="86">
        <f>'Raw Data'!AG129/10</f>
        <v>56.9</v>
      </c>
      <c r="AH128" s="86">
        <f>'Raw Data'!AH129/10</f>
        <v>56.1</v>
      </c>
      <c r="AI128" s="86">
        <f>'Raw Data'!AI129/10</f>
        <v>56.3</v>
      </c>
      <c r="AJ128" s="86">
        <f>'Raw Data'!AJ129/10</f>
        <v>56.1</v>
      </c>
      <c r="AK128" s="86">
        <f>'Raw Data'!AK129/10</f>
        <v>52.8</v>
      </c>
      <c r="AL128" s="86">
        <f>'Raw Data'!AL129/10</f>
        <v>56.9</v>
      </c>
      <c r="AM128" s="86">
        <f>'Raw Data'!AM129/10</f>
        <v>56.1</v>
      </c>
      <c r="AN128" s="86">
        <f>'Raw Data'!AN129/10</f>
        <v>54.6</v>
      </c>
      <c r="AO128" s="86">
        <f>'Raw Data'!AO129/10</f>
        <v>53.6</v>
      </c>
      <c r="AP128" s="86">
        <f>'Raw Data'!AP129/10</f>
        <v>53.3</v>
      </c>
      <c r="AQ128" s="86">
        <f>'Raw Data'!AQ129/10</f>
        <v>51.2</v>
      </c>
      <c r="AR128" s="86">
        <f>'Raw Data'!AR129/10</f>
        <v>52</v>
      </c>
      <c r="AS128" s="86">
        <f>'Raw Data'!AS129/10</f>
        <v>50.5</v>
      </c>
      <c r="AT128" s="86">
        <f>'Raw Data'!AT129/10</f>
        <v>52.9</v>
      </c>
      <c r="AU128" s="86">
        <f>'Raw Data'!AU129/10</f>
        <v>54.4</v>
      </c>
      <c r="AV128" s="86">
        <f>'Raw Data'!AV129/10</f>
        <v>47.4</v>
      </c>
      <c r="AW128" s="86">
        <f>'Raw Data'!AW129/10</f>
        <v>50.2</v>
      </c>
      <c r="AX128" s="86">
        <f>'Raw Data'!AX129/10</f>
        <v>51.7</v>
      </c>
      <c r="AY128" s="86">
        <f>'Raw Data'!AY129/10</f>
        <v>51.6</v>
      </c>
      <c r="AZ128" s="86">
        <f>'Raw Data'!AZ129/10</f>
        <v>50.2</v>
      </c>
      <c r="BA128" s="86">
        <f>'Raw Data'!BA129/10</f>
        <v>50.2</v>
      </c>
      <c r="BB128" s="86">
        <f>'Raw Data'!BB129/10</f>
        <v>50.2</v>
      </c>
      <c r="BC128" s="86">
        <f>'Raw Data'!BC129/10</f>
        <v>47.7</v>
      </c>
      <c r="BD128" s="86">
        <f>'Raw Data'!BD129/10</f>
        <v>50.3</v>
      </c>
      <c r="BE128" s="86">
        <f>'Raw Data'!BE129/10</f>
        <v>44.7</v>
      </c>
      <c r="BF128" s="86">
        <f>'Raw Data'!BF129/10</f>
        <v>46.9</v>
      </c>
      <c r="BG128" s="86">
        <f>'Raw Data'!BG129/10</f>
        <v>44.4</v>
      </c>
      <c r="BH128" s="86">
        <f>'Raw Data'!BH129/10</f>
        <v>47.2</v>
      </c>
      <c r="BI128" s="86">
        <f>'Raw Data'!BI129/10</f>
        <v>46.6</v>
      </c>
      <c r="BJ128" s="86">
        <f>'Raw Data'!BJ129/10</f>
        <v>50</v>
      </c>
      <c r="BK128" s="86">
        <f>'Raw Data'!BK129/10</f>
        <v>48.7</v>
      </c>
      <c r="BL128" s="86">
        <f>'Raw Data'!BL129/10</f>
        <v>43.4</v>
      </c>
      <c r="BM128" s="86">
        <f>'Raw Data'!BM129/10</f>
        <v>45.5</v>
      </c>
      <c r="BN128" s="86">
        <f>'Raw Data'!BN129/10</f>
        <v>46.6</v>
      </c>
      <c r="BO128" s="86">
        <f>'Raw Data'!BO129/10</f>
        <v>45.3</v>
      </c>
      <c r="BP128" s="86">
        <f>'Raw Data'!BP129/10</f>
        <v>45.3</v>
      </c>
      <c r="BQ128" s="86">
        <f>'Raw Data'!BQ129/10</f>
        <v>47.3</v>
      </c>
      <c r="BR128" s="86">
        <f>'Raw Data'!BR129/10</f>
        <v>47.3</v>
      </c>
      <c r="BS128" s="86">
        <f>'Raw Data'!BS129/10</f>
        <v>45.8</v>
      </c>
      <c r="BT128" s="86">
        <f>'Raw Data'!BT129/10</f>
        <v>42.8</v>
      </c>
      <c r="BU128" s="86">
        <f>'Raw Data'!BU129/10</f>
        <v>45.3</v>
      </c>
      <c r="BV128" s="86">
        <f>'Raw Data'!BV129/10</f>
        <v>41.9</v>
      </c>
      <c r="BW128" s="86">
        <f>'Raw Data'!BW129/10</f>
        <v>43.7</v>
      </c>
      <c r="BX128" s="86">
        <f>'Raw Data'!BX129/10</f>
        <v>42</v>
      </c>
      <c r="BY128" s="86">
        <f>'Raw Data'!BY129/10</f>
        <v>43.2</v>
      </c>
      <c r="BZ128" s="86">
        <f>'Raw Data'!BZ129/10</f>
        <v>42.3</v>
      </c>
      <c r="CA128" s="86">
        <f>'Raw Data'!CA129/10</f>
        <v>43.9</v>
      </c>
      <c r="CB128" s="86">
        <f>'Raw Data'!CB129/10</f>
        <v>42</v>
      </c>
      <c r="CC128" s="86">
        <f>'Raw Data'!CC129/10</f>
        <v>41.4</v>
      </c>
      <c r="CD128" s="86">
        <f>'Raw Data'!CD129/10</f>
        <v>42.3</v>
      </c>
      <c r="CE128" s="86">
        <f>'Raw Data'!CE129/10</f>
        <v>44.1</v>
      </c>
      <c r="CF128" s="86">
        <f>'Raw Data'!CF129/10</f>
        <v>44.5</v>
      </c>
      <c r="CG128" s="86">
        <f>'Raw Data'!CG129/100</f>
        <v>41.27</v>
      </c>
      <c r="CH128" s="86">
        <f>'Raw Data'!CH129/100</f>
        <v>41.79</v>
      </c>
      <c r="CI128" s="86">
        <f>'Raw Data'!CI129/100</f>
        <v>39.659999999999997</v>
      </c>
      <c r="CJ128" s="86">
        <f>'Raw Data'!CJ129/100</f>
        <v>39.630000000000003</v>
      </c>
      <c r="CK128" s="86">
        <f>'Raw Data'!CK129/100</f>
        <v>39.200000000000003</v>
      </c>
      <c r="CL128" s="86">
        <f>'Raw Data'!CL129/100</f>
        <v>37.840000000000003</v>
      </c>
      <c r="CM128" s="86">
        <f>'Raw Data'!CM129/100</f>
        <v>37.409999999999997</v>
      </c>
      <c r="CN128" s="86">
        <f>'Raw Data'!CN129/100</f>
        <v>37.479999999999997</v>
      </c>
      <c r="CO128" s="86">
        <f>'Raw Data'!CO129/100</f>
        <v>36.549999999999997</v>
      </c>
      <c r="CP128" s="86">
        <f>'Raw Data'!CP129/100</f>
        <v>36.6</v>
      </c>
      <c r="CQ128" s="86">
        <f>'Raw Data'!CQ129/100</f>
        <v>36.28</v>
      </c>
      <c r="CR128" s="86">
        <f>'Raw Data'!CR129/100</f>
        <v>37.1</v>
      </c>
      <c r="CS128" s="86">
        <f>'Raw Data'!CS129/100</f>
        <v>35.49</v>
      </c>
      <c r="CT128" s="86">
        <f>'Raw Data'!CT129/100</f>
        <v>36.020000000000003</v>
      </c>
      <c r="CU128" s="382"/>
    </row>
    <row r="129" spans="4:99" s="86" customFormat="1" x14ac:dyDescent="0.2">
      <c r="D129" s="375"/>
      <c r="E129" s="164"/>
      <c r="F129" s="394"/>
      <c r="G129" s="86">
        <f>'Raw Data'!G130</f>
        <v>55</v>
      </c>
      <c r="H129" s="86">
        <f>'Raw Data'!H130</f>
        <v>48</v>
      </c>
      <c r="I129" s="86">
        <f>'Raw Data'!I130</f>
        <v>46</v>
      </c>
      <c r="J129" s="86">
        <f>'Raw Data'!J130</f>
        <v>38</v>
      </c>
      <c r="K129" s="86">
        <f>'Raw Data'!K130</f>
        <v>45</v>
      </c>
      <c r="L129" s="86">
        <f>'Raw Data'!L130</f>
        <v>42</v>
      </c>
      <c r="M129" s="86">
        <f>'Raw Data'!M130</f>
        <v>45</v>
      </c>
      <c r="N129" s="86">
        <f>'Raw Data'!N130</f>
        <v>47</v>
      </c>
      <c r="O129" s="86">
        <f>'Raw Data'!O130</f>
        <v>38</v>
      </c>
      <c r="P129" s="86">
        <f>'Raw Data'!P130</f>
        <v>41</v>
      </c>
      <c r="Q129" s="86">
        <f>'Raw Data'!Q130</f>
        <v>45</v>
      </c>
      <c r="R129" s="86">
        <f>'Raw Data'!R130</f>
        <v>43</v>
      </c>
      <c r="S129" s="86">
        <f>'Raw Data'!S130</f>
        <v>38</v>
      </c>
      <c r="T129" s="86">
        <f>'Raw Data'!T130</f>
        <v>44</v>
      </c>
      <c r="U129" s="86">
        <f>'Raw Data'!U130</f>
        <v>42</v>
      </c>
      <c r="V129" s="86">
        <f>'Raw Data'!V130</f>
        <v>43</v>
      </c>
      <c r="W129" s="86">
        <f>'Raw Data'!W130</f>
        <v>48</v>
      </c>
      <c r="X129" s="86">
        <f>'Raw Data'!X130</f>
        <v>50</v>
      </c>
      <c r="Y129" s="86">
        <f>'Raw Data'!Y130</f>
        <v>46</v>
      </c>
      <c r="Z129" s="86">
        <f>'Raw Data'!Z130</f>
        <v>42</v>
      </c>
      <c r="AA129" s="86">
        <f>'Raw Data'!AA130/10</f>
        <v>44.9</v>
      </c>
      <c r="AB129" s="86">
        <f>'Raw Data'!AB130/10</f>
        <v>45.7</v>
      </c>
      <c r="AC129" s="86">
        <f>'Raw Data'!AC130/10</f>
        <v>46.9</v>
      </c>
      <c r="AD129" s="86">
        <f>'Raw Data'!AD130/10</f>
        <v>44.8</v>
      </c>
      <c r="AE129" s="86">
        <f>'Raw Data'!AE130/10</f>
        <v>47.7</v>
      </c>
      <c r="AF129" s="86">
        <f>'Raw Data'!AF130/10</f>
        <v>46.8</v>
      </c>
      <c r="AG129" s="86">
        <f>'Raw Data'!AG130/10</f>
        <v>46.3</v>
      </c>
      <c r="AH129" s="86">
        <f>'Raw Data'!AH130/10</f>
        <v>43.6</v>
      </c>
      <c r="AI129" s="86">
        <f>'Raw Data'!AI130/10</f>
        <v>43.1</v>
      </c>
      <c r="AJ129" s="86">
        <f>'Raw Data'!AJ130/10</f>
        <v>43.5</v>
      </c>
      <c r="AK129" s="86">
        <f>'Raw Data'!AK130/10</f>
        <v>42.7</v>
      </c>
      <c r="AL129" s="86">
        <f>'Raw Data'!AL130/10</f>
        <v>44.8</v>
      </c>
      <c r="AM129" s="86">
        <f>'Raw Data'!AM130/10</f>
        <v>45.6</v>
      </c>
      <c r="AN129" s="86">
        <f>'Raw Data'!AN130/10</f>
        <v>42</v>
      </c>
      <c r="AO129" s="86">
        <f>'Raw Data'!AO130/10</f>
        <v>42.8</v>
      </c>
      <c r="AP129" s="86">
        <f>'Raw Data'!AP130/10</f>
        <v>39.799999999999997</v>
      </c>
      <c r="AQ129" s="86">
        <f>'Raw Data'!AQ130/10</f>
        <v>40.5</v>
      </c>
      <c r="AR129" s="86">
        <f>'Raw Data'!AR130/10</f>
        <v>40.799999999999997</v>
      </c>
      <c r="AS129" s="86">
        <f>'Raw Data'!AS130/10</f>
        <v>39.5</v>
      </c>
      <c r="AT129" s="86">
        <f>'Raw Data'!AT130/10</f>
        <v>42.7</v>
      </c>
      <c r="AU129" s="86">
        <f>'Raw Data'!AU130/10</f>
        <v>43.1</v>
      </c>
      <c r="AV129" s="86">
        <f>'Raw Data'!AV130/10</f>
        <v>41.5</v>
      </c>
      <c r="AW129" s="86">
        <f>'Raw Data'!AW130/10</f>
        <v>38.700000000000003</v>
      </c>
      <c r="AX129" s="86">
        <f>'Raw Data'!AX130/10</f>
        <v>39</v>
      </c>
      <c r="AY129" s="86">
        <f>'Raw Data'!AY130/10</f>
        <v>41.4</v>
      </c>
      <c r="AZ129" s="86">
        <f>'Raw Data'!AZ130/10</f>
        <v>40.6</v>
      </c>
      <c r="BA129" s="86">
        <f>'Raw Data'!BA130/10</f>
        <v>40.5</v>
      </c>
      <c r="BB129" s="86">
        <f>'Raw Data'!BB130/10</f>
        <v>39.200000000000003</v>
      </c>
      <c r="BC129" s="86">
        <f>'Raw Data'!BC130/10</f>
        <v>39</v>
      </c>
      <c r="BD129" s="86">
        <f>'Raw Data'!BD130/10</f>
        <v>38.1</v>
      </c>
      <c r="BE129" s="86">
        <f>'Raw Data'!BE130/10</f>
        <v>41.3</v>
      </c>
      <c r="BF129" s="86">
        <f>'Raw Data'!BF130/10</f>
        <v>39.4</v>
      </c>
      <c r="BG129" s="86">
        <f>'Raw Data'!BG130/10</f>
        <v>38.4</v>
      </c>
      <c r="BH129" s="86">
        <f>'Raw Data'!BH130/10</f>
        <v>39</v>
      </c>
      <c r="BI129" s="86">
        <f>'Raw Data'!BI130/10</f>
        <v>37.9</v>
      </c>
      <c r="BJ129" s="86">
        <f>'Raw Data'!BJ130/10</f>
        <v>38</v>
      </c>
      <c r="BK129" s="86">
        <f>'Raw Data'!BK130/10</f>
        <v>38.4</v>
      </c>
      <c r="BL129" s="86">
        <f>'Raw Data'!BL130/10</f>
        <v>36.799999999999997</v>
      </c>
      <c r="BM129" s="86">
        <f>'Raw Data'!BM130/10</f>
        <v>38.200000000000003</v>
      </c>
      <c r="BN129" s="86">
        <f>'Raw Data'!BN130/10</f>
        <v>36.799999999999997</v>
      </c>
      <c r="BO129" s="86">
        <f>'Raw Data'!BO130/10</f>
        <v>36.1</v>
      </c>
      <c r="BP129" s="86">
        <f>'Raw Data'!BP130/10</f>
        <v>38.799999999999997</v>
      </c>
      <c r="BQ129" s="86">
        <f>'Raw Data'!BQ130/10</f>
        <v>37.1</v>
      </c>
      <c r="BR129" s="86">
        <f>'Raw Data'!BR130/10</f>
        <v>38.299999999999997</v>
      </c>
      <c r="BS129" s="86">
        <f>'Raw Data'!BS130/10</f>
        <v>38.4</v>
      </c>
      <c r="BT129" s="86">
        <f>'Raw Data'!BT130/10</f>
        <v>35</v>
      </c>
      <c r="BU129" s="86">
        <f>'Raw Data'!BU130/10</f>
        <v>35.799999999999997</v>
      </c>
      <c r="BV129" s="86">
        <f>'Raw Data'!BV130/10</f>
        <v>36.6</v>
      </c>
      <c r="BW129" s="86">
        <f>'Raw Data'!BW130/10</f>
        <v>34.4</v>
      </c>
      <c r="BX129" s="86">
        <f>'Raw Data'!BX130/10</f>
        <v>35.1</v>
      </c>
      <c r="BY129" s="86">
        <f>'Raw Data'!BY130/10</f>
        <v>37.799999999999997</v>
      </c>
      <c r="BZ129" s="86">
        <f>'Raw Data'!BZ130/10</f>
        <v>35.1</v>
      </c>
      <c r="CA129" s="86">
        <f>'Raw Data'!CA130/10</f>
        <v>33.6</v>
      </c>
      <c r="CB129" s="86">
        <f>'Raw Data'!CB130/10</f>
        <v>37.6</v>
      </c>
      <c r="CC129" s="86">
        <f>'Raw Data'!CC130/10</f>
        <v>34.9</v>
      </c>
      <c r="CD129" s="86">
        <f>'Raw Data'!CD130/10</f>
        <v>37.9</v>
      </c>
      <c r="CE129" s="86">
        <f>'Raw Data'!CE130/10</f>
        <v>35.200000000000003</v>
      </c>
      <c r="CF129" s="86">
        <f>'Raw Data'!CF130/10</f>
        <v>35.299999999999997</v>
      </c>
      <c r="CG129" s="86">
        <f>'Raw Data'!CG130/100</f>
        <v>36.32</v>
      </c>
      <c r="CH129" s="86">
        <f>'Raw Data'!CH130/100</f>
        <v>35.130000000000003</v>
      </c>
      <c r="CI129" s="86">
        <f>'Raw Data'!CI130/100</f>
        <v>34.31</v>
      </c>
      <c r="CJ129" s="86">
        <f>'Raw Data'!CJ130/100</f>
        <v>34.119999999999997</v>
      </c>
      <c r="CK129" s="86">
        <f>'Raw Data'!CK130/100</f>
        <v>33.950000000000003</v>
      </c>
      <c r="CL129" s="86">
        <f>'Raw Data'!CL130/100</f>
        <v>33.01</v>
      </c>
      <c r="CM129" s="86">
        <f>'Raw Data'!CM130/100</f>
        <v>32.369999999999997</v>
      </c>
      <c r="CN129" s="86">
        <f>'Raw Data'!CN130/100</f>
        <v>32.6</v>
      </c>
      <c r="CO129" s="86">
        <f>'Raw Data'!CO130/100</f>
        <v>32.299999999999997</v>
      </c>
      <c r="CP129" s="86">
        <f>'Raw Data'!CP130/100</f>
        <v>32.35</v>
      </c>
      <c r="CQ129" s="86">
        <f>'Raw Data'!CQ130/100</f>
        <v>31.69</v>
      </c>
      <c r="CR129" s="86">
        <f>'Raw Data'!CR130/100</f>
        <v>31.52</v>
      </c>
      <c r="CS129" s="86">
        <f>'Raw Data'!CS130/100</f>
        <v>32.19</v>
      </c>
      <c r="CT129" s="86">
        <f>'Raw Data'!CT130/100</f>
        <v>31.34</v>
      </c>
      <c r="CU129" s="382"/>
    </row>
    <row r="130" spans="4:99" s="86" customFormat="1" x14ac:dyDescent="0.2">
      <c r="D130" s="375"/>
      <c r="E130" s="164"/>
      <c r="F130" s="394"/>
      <c r="G130" s="86">
        <f>'Raw Data'!G131</f>
        <v>48</v>
      </c>
      <c r="H130" s="86">
        <f>'Raw Data'!H131</f>
        <v>58</v>
      </c>
      <c r="I130" s="86">
        <f>'Raw Data'!I131</f>
        <v>50</v>
      </c>
      <c r="J130" s="86">
        <f>'Raw Data'!J131</f>
        <v>49</v>
      </c>
      <c r="K130" s="86">
        <f>'Raw Data'!K131</f>
        <v>61</v>
      </c>
      <c r="L130" s="86">
        <f>'Raw Data'!L131</f>
        <v>61</v>
      </c>
      <c r="M130" s="86">
        <f>'Raw Data'!M131</f>
        <v>63</v>
      </c>
      <c r="N130" s="86">
        <f>'Raw Data'!N131</f>
        <v>62</v>
      </c>
      <c r="O130" s="86">
        <f>'Raw Data'!O131</f>
        <v>50</v>
      </c>
      <c r="P130" s="86">
        <f>'Raw Data'!P131</f>
        <v>60</v>
      </c>
      <c r="Q130" s="86">
        <f>'Raw Data'!Q131</f>
        <v>49</v>
      </c>
      <c r="R130" s="86">
        <f>'Raw Data'!R131</f>
        <v>58</v>
      </c>
      <c r="S130" s="86">
        <f>'Raw Data'!S131</f>
        <v>43</v>
      </c>
      <c r="T130" s="86">
        <f>'Raw Data'!T131</f>
        <v>42</v>
      </c>
      <c r="U130" s="86">
        <f>'Raw Data'!U131</f>
        <v>59</v>
      </c>
      <c r="V130" s="86">
        <f>'Raw Data'!V131</f>
        <v>57</v>
      </c>
      <c r="W130" s="86">
        <f>'Raw Data'!W131</f>
        <v>57</v>
      </c>
      <c r="X130" s="86">
        <f>'Raw Data'!X131</f>
        <v>52</v>
      </c>
      <c r="Y130" s="86">
        <f>'Raw Data'!Y131</f>
        <v>59</v>
      </c>
      <c r="Z130" s="86">
        <f>'Raw Data'!Z131</f>
        <v>67</v>
      </c>
      <c r="AA130" s="86">
        <f>'Raw Data'!AA131/10</f>
        <v>56.5</v>
      </c>
      <c r="AB130" s="86">
        <f>'Raw Data'!AB131/10</f>
        <v>56.7</v>
      </c>
      <c r="AC130" s="86">
        <f>'Raw Data'!AC131/10</f>
        <v>59.5</v>
      </c>
      <c r="AD130" s="86">
        <f>'Raw Data'!AD131/10</f>
        <v>58</v>
      </c>
      <c r="AE130" s="86">
        <f>'Raw Data'!AE131/10</f>
        <v>54</v>
      </c>
      <c r="AF130" s="86">
        <f>'Raw Data'!AF131/10</f>
        <v>59.3</v>
      </c>
      <c r="AG130" s="86">
        <f>'Raw Data'!AG131/10</f>
        <v>54.9</v>
      </c>
      <c r="AH130" s="86">
        <f>'Raw Data'!AH131/10</f>
        <v>54.3</v>
      </c>
      <c r="AI130" s="86">
        <f>'Raw Data'!AI131/10</f>
        <v>53.3</v>
      </c>
      <c r="AJ130" s="86">
        <f>'Raw Data'!AJ131/10</f>
        <v>54</v>
      </c>
      <c r="AK130" s="86">
        <f>'Raw Data'!AK131/10</f>
        <v>51.7</v>
      </c>
      <c r="AL130" s="86">
        <f>'Raw Data'!AL131/10</f>
        <v>48.3</v>
      </c>
      <c r="AM130" s="86">
        <f>'Raw Data'!AM131/10</f>
        <v>52</v>
      </c>
      <c r="AN130" s="86">
        <f>'Raw Data'!AN131/10</f>
        <v>50.6</v>
      </c>
      <c r="AO130" s="86">
        <f>'Raw Data'!AO131/10</f>
        <v>52.3</v>
      </c>
      <c r="AP130" s="86">
        <f>'Raw Data'!AP131/10</f>
        <v>51.3</v>
      </c>
      <c r="AQ130" s="86">
        <f>'Raw Data'!AQ131/10</f>
        <v>48.2</v>
      </c>
      <c r="AR130" s="86">
        <f>'Raw Data'!AR131/10</f>
        <v>49.4</v>
      </c>
      <c r="AS130" s="86">
        <f>'Raw Data'!AS131/10</f>
        <v>48.5</v>
      </c>
      <c r="AT130" s="86">
        <f>'Raw Data'!AT131/10</f>
        <v>45.9</v>
      </c>
      <c r="AU130" s="86">
        <f>'Raw Data'!AU131/10</f>
        <v>48.5</v>
      </c>
      <c r="AV130" s="86">
        <f>'Raw Data'!AV131/10</f>
        <v>47</v>
      </c>
      <c r="AW130" s="86">
        <f>'Raw Data'!AW131/10</f>
        <v>49.6</v>
      </c>
      <c r="AX130" s="86">
        <f>'Raw Data'!AX131/10</f>
        <v>46</v>
      </c>
      <c r="AY130" s="86">
        <f>'Raw Data'!AY131/10</f>
        <v>47.6</v>
      </c>
      <c r="AZ130" s="86">
        <f>'Raw Data'!AZ131/10</f>
        <v>46.3</v>
      </c>
      <c r="BA130" s="86">
        <f>'Raw Data'!BA131/10</f>
        <v>43.9</v>
      </c>
      <c r="BB130" s="86">
        <f>'Raw Data'!BB131/10</f>
        <v>44.9</v>
      </c>
      <c r="BC130" s="86">
        <f>'Raw Data'!BC131/10</f>
        <v>45.4</v>
      </c>
      <c r="BD130" s="86">
        <f>'Raw Data'!BD131/10</f>
        <v>46.3</v>
      </c>
      <c r="BE130" s="86">
        <f>'Raw Data'!BE131/10</f>
        <v>42</v>
      </c>
      <c r="BF130" s="86">
        <f>'Raw Data'!BF131/10</f>
        <v>46.2</v>
      </c>
      <c r="BG130" s="86">
        <f>'Raw Data'!BG131/10</f>
        <v>45.2</v>
      </c>
      <c r="BH130" s="86">
        <f>'Raw Data'!BH131/10</f>
        <v>43.3</v>
      </c>
      <c r="BI130" s="86">
        <f>'Raw Data'!BI131/10</f>
        <v>45.2</v>
      </c>
      <c r="BJ130" s="86">
        <f>'Raw Data'!BJ131/10</f>
        <v>41.3</v>
      </c>
      <c r="BK130" s="86">
        <f>'Raw Data'!BK131/10</f>
        <v>43.7</v>
      </c>
      <c r="BL130" s="86">
        <f>'Raw Data'!BL131/10</f>
        <v>43.5</v>
      </c>
      <c r="BM130" s="86">
        <f>'Raw Data'!BM131/10</f>
        <v>43.3</v>
      </c>
      <c r="BN130" s="86">
        <f>'Raw Data'!BN131/10</f>
        <v>38.799999999999997</v>
      </c>
      <c r="BO130" s="86">
        <f>'Raw Data'!BO131/10</f>
        <v>42.9</v>
      </c>
      <c r="BP130" s="86">
        <f>'Raw Data'!BP131/10</f>
        <v>41.7</v>
      </c>
      <c r="BQ130" s="86">
        <f>'Raw Data'!BQ131/10</f>
        <v>43.8</v>
      </c>
      <c r="BR130" s="86">
        <f>'Raw Data'!BR131/10</f>
        <v>41.3</v>
      </c>
      <c r="BS130" s="86">
        <f>'Raw Data'!BS131/10</f>
        <v>41.3</v>
      </c>
      <c r="BT130" s="86">
        <f>'Raw Data'!BT131/10</f>
        <v>41.7</v>
      </c>
      <c r="BU130" s="86">
        <f>'Raw Data'!BU131/10</f>
        <v>41.2</v>
      </c>
      <c r="BV130" s="86">
        <f>'Raw Data'!BV131/10</f>
        <v>44.3</v>
      </c>
      <c r="BW130" s="86">
        <f>'Raw Data'!BW131/10</f>
        <v>38.299999999999997</v>
      </c>
      <c r="BX130" s="86">
        <f>'Raw Data'!BX131/10</f>
        <v>39.9</v>
      </c>
      <c r="BY130" s="86">
        <f>'Raw Data'!BY131/10</f>
        <v>40.700000000000003</v>
      </c>
      <c r="BZ130" s="86">
        <f>'Raw Data'!BZ131/10</f>
        <v>41.8</v>
      </c>
      <c r="CA130" s="86">
        <f>'Raw Data'!CA131/10</f>
        <v>40.700000000000003</v>
      </c>
      <c r="CB130" s="86">
        <f>'Raw Data'!CB131/10</f>
        <v>41.1</v>
      </c>
      <c r="CC130" s="86">
        <f>'Raw Data'!CC131/10</f>
        <v>40.700000000000003</v>
      </c>
      <c r="CD130" s="86">
        <f>'Raw Data'!CD131/10</f>
        <v>40</v>
      </c>
      <c r="CE130" s="86">
        <f>'Raw Data'!CE131/10</f>
        <v>37.9</v>
      </c>
      <c r="CF130" s="86">
        <f>'Raw Data'!CF131/10</f>
        <v>39.4</v>
      </c>
      <c r="CG130" s="86">
        <f>'Raw Data'!CG131/100</f>
        <v>38.450000000000003</v>
      </c>
      <c r="CH130" s="86">
        <f>'Raw Data'!CH131/100</f>
        <v>36.97</v>
      </c>
      <c r="CI130" s="86">
        <f>'Raw Data'!CI131/100</f>
        <v>36.93</v>
      </c>
      <c r="CJ130" s="86">
        <f>'Raw Data'!CJ131/100</f>
        <v>35.64</v>
      </c>
      <c r="CK130" s="86">
        <f>'Raw Data'!CK131/100</f>
        <v>35.229999999999997</v>
      </c>
      <c r="CL130" s="86">
        <f>'Raw Data'!CL131/100</f>
        <v>34.979999999999997</v>
      </c>
      <c r="CM130" s="86">
        <f>'Raw Data'!CM131/100</f>
        <v>34.04</v>
      </c>
      <c r="CN130" s="86">
        <f>'Raw Data'!CN131/100</f>
        <v>33.39</v>
      </c>
      <c r="CO130" s="86">
        <f>'Raw Data'!CO131/100</f>
        <v>33.28</v>
      </c>
      <c r="CP130" s="86">
        <f>'Raw Data'!CP131/100</f>
        <v>32.909999999999997</v>
      </c>
      <c r="CQ130" s="86">
        <f>'Raw Data'!CQ131/100</f>
        <v>33.06</v>
      </c>
      <c r="CR130" s="86">
        <f>'Raw Data'!CR131/100</f>
        <v>32.67</v>
      </c>
      <c r="CS130" s="86">
        <f>'Raw Data'!CS131/100</f>
        <v>32.229999999999997</v>
      </c>
      <c r="CT130" s="86">
        <f>'Raw Data'!CT131/100</f>
        <v>31.9</v>
      </c>
      <c r="CU130" s="382"/>
    </row>
    <row r="131" spans="4:99" s="86" customFormat="1" x14ac:dyDescent="0.2">
      <c r="D131" s="375"/>
      <c r="E131" s="164"/>
      <c r="F131" s="394"/>
      <c r="G131" s="86">
        <f>'Raw Data'!G132</f>
        <v>35</v>
      </c>
      <c r="H131" s="86">
        <f>'Raw Data'!H132</f>
        <v>33</v>
      </c>
      <c r="I131" s="86">
        <f>'Raw Data'!I132</f>
        <v>40</v>
      </c>
      <c r="J131" s="86">
        <f>'Raw Data'!J132</f>
        <v>31</v>
      </c>
      <c r="K131" s="86">
        <f>'Raw Data'!K132</f>
        <v>35</v>
      </c>
      <c r="L131" s="86">
        <f>'Raw Data'!L132</f>
        <v>33</v>
      </c>
      <c r="M131" s="86">
        <f>'Raw Data'!M132</f>
        <v>41</v>
      </c>
      <c r="N131" s="86">
        <f>'Raw Data'!N132</f>
        <v>35</v>
      </c>
      <c r="O131" s="86">
        <f>'Raw Data'!O132</f>
        <v>39</v>
      </c>
      <c r="P131" s="86">
        <f>'Raw Data'!P132</f>
        <v>35</v>
      </c>
      <c r="Q131" s="86">
        <f>'Raw Data'!Q132</f>
        <v>39</v>
      </c>
      <c r="R131" s="86">
        <f>'Raw Data'!R132</f>
        <v>36</v>
      </c>
      <c r="S131" s="86">
        <f>'Raw Data'!S132</f>
        <v>44</v>
      </c>
      <c r="T131" s="86">
        <f>'Raw Data'!T132</f>
        <v>40</v>
      </c>
      <c r="U131" s="86">
        <f>'Raw Data'!U132</f>
        <v>41</v>
      </c>
      <c r="V131" s="86">
        <f>'Raw Data'!V132</f>
        <v>34</v>
      </c>
      <c r="W131" s="86">
        <f>'Raw Data'!W132</f>
        <v>37</v>
      </c>
      <c r="X131" s="86">
        <f>'Raw Data'!X132</f>
        <v>43</v>
      </c>
      <c r="Y131" s="86">
        <f>'Raw Data'!Y132</f>
        <v>40</v>
      </c>
      <c r="Z131" s="86">
        <f>'Raw Data'!Z132</f>
        <v>43</v>
      </c>
      <c r="AA131" s="86">
        <f>'Raw Data'!AA132/10</f>
        <v>38.9</v>
      </c>
      <c r="AB131" s="86">
        <f>'Raw Data'!AB132/10</f>
        <v>41.3</v>
      </c>
      <c r="AC131" s="86">
        <f>'Raw Data'!AC132/10</f>
        <v>42.3</v>
      </c>
      <c r="AD131" s="86">
        <f>'Raw Data'!AD132/10</f>
        <v>40.5</v>
      </c>
      <c r="AE131" s="86">
        <f>'Raw Data'!AE132/10</f>
        <v>42.9</v>
      </c>
      <c r="AF131" s="86">
        <f>'Raw Data'!AF132/10</f>
        <v>41.7</v>
      </c>
      <c r="AG131" s="86">
        <f>'Raw Data'!AG132/10</f>
        <v>38.4</v>
      </c>
      <c r="AH131" s="86">
        <f>'Raw Data'!AH132/10</f>
        <v>38.4</v>
      </c>
      <c r="AI131" s="86">
        <f>'Raw Data'!AI132/10</f>
        <v>38.200000000000003</v>
      </c>
      <c r="AJ131" s="86">
        <f>'Raw Data'!AJ132/10</f>
        <v>39.799999999999997</v>
      </c>
      <c r="AK131" s="86">
        <f>'Raw Data'!AK132/10</f>
        <v>38.6</v>
      </c>
      <c r="AL131" s="86">
        <f>'Raw Data'!AL132/10</f>
        <v>38.4</v>
      </c>
      <c r="AM131" s="86">
        <f>'Raw Data'!AM132/10</f>
        <v>37.9</v>
      </c>
      <c r="AN131" s="86">
        <f>'Raw Data'!AN132/10</f>
        <v>40.700000000000003</v>
      </c>
      <c r="AO131" s="86">
        <f>'Raw Data'!AO132/10</f>
        <v>37.4</v>
      </c>
      <c r="AP131" s="86">
        <f>'Raw Data'!AP132/10</f>
        <v>38.9</v>
      </c>
      <c r="AQ131" s="86">
        <f>'Raw Data'!AQ132/10</f>
        <v>38.4</v>
      </c>
      <c r="AR131" s="86">
        <f>'Raw Data'!AR132/10</f>
        <v>39.200000000000003</v>
      </c>
      <c r="AS131" s="86">
        <f>'Raw Data'!AS132/10</f>
        <v>35.700000000000003</v>
      </c>
      <c r="AT131" s="86">
        <f>'Raw Data'!AT132/10</f>
        <v>34.299999999999997</v>
      </c>
      <c r="AU131" s="86">
        <f>'Raw Data'!AU132/10</f>
        <v>35.5</v>
      </c>
      <c r="AV131" s="86">
        <f>'Raw Data'!AV132/10</f>
        <v>36.1</v>
      </c>
      <c r="AW131" s="86">
        <f>'Raw Data'!AW132/10</f>
        <v>34.200000000000003</v>
      </c>
      <c r="AX131" s="86">
        <f>'Raw Data'!AX132/10</f>
        <v>34.200000000000003</v>
      </c>
      <c r="AY131" s="86">
        <f>'Raw Data'!AY132/10</f>
        <v>37.799999999999997</v>
      </c>
      <c r="AZ131" s="86">
        <f>'Raw Data'!AZ132/10</f>
        <v>37.6</v>
      </c>
      <c r="BA131" s="86">
        <f>'Raw Data'!BA132/10</f>
        <v>34.200000000000003</v>
      </c>
      <c r="BB131" s="86">
        <f>'Raw Data'!BB132/10</f>
        <v>33.9</v>
      </c>
      <c r="BC131" s="86">
        <f>'Raw Data'!BC132/10</f>
        <v>34.5</v>
      </c>
      <c r="BD131" s="86">
        <f>'Raw Data'!BD132/10</f>
        <v>32</v>
      </c>
      <c r="BE131" s="86">
        <f>'Raw Data'!BE132/10</f>
        <v>36.1</v>
      </c>
      <c r="BF131" s="86">
        <f>'Raw Data'!BF132/10</f>
        <v>33</v>
      </c>
      <c r="BG131" s="86">
        <f>'Raw Data'!BG132/10</f>
        <v>33.1</v>
      </c>
      <c r="BH131" s="86">
        <f>'Raw Data'!BH132/10</f>
        <v>32.799999999999997</v>
      </c>
      <c r="BI131" s="86">
        <f>'Raw Data'!BI132/10</f>
        <v>33.4</v>
      </c>
      <c r="BJ131" s="86">
        <f>'Raw Data'!BJ132/10</f>
        <v>34</v>
      </c>
      <c r="BK131" s="86">
        <f>'Raw Data'!BK132/10</f>
        <v>35.4</v>
      </c>
      <c r="BL131" s="86">
        <f>'Raw Data'!BL132/10</f>
        <v>34</v>
      </c>
      <c r="BM131" s="86">
        <f>'Raw Data'!BM132/10</f>
        <v>31.9</v>
      </c>
      <c r="BN131" s="86">
        <f>'Raw Data'!BN132/10</f>
        <v>33.6</v>
      </c>
      <c r="BO131" s="86">
        <f>'Raw Data'!BO132/10</f>
        <v>32.5</v>
      </c>
      <c r="BP131" s="86">
        <f>'Raw Data'!BP132/10</f>
        <v>31.3</v>
      </c>
      <c r="BQ131" s="86">
        <f>'Raw Data'!BQ132/10</f>
        <v>31.5</v>
      </c>
      <c r="BR131" s="86">
        <f>'Raw Data'!BR132/10</f>
        <v>33.799999999999997</v>
      </c>
      <c r="BS131" s="86">
        <f>'Raw Data'!BS132/10</f>
        <v>32.299999999999997</v>
      </c>
      <c r="BT131" s="86">
        <f>'Raw Data'!BT132/10</f>
        <v>33.799999999999997</v>
      </c>
      <c r="BU131" s="86">
        <f>'Raw Data'!BU132/10</f>
        <v>31.2</v>
      </c>
      <c r="BV131" s="86">
        <f>'Raw Data'!BV132/10</f>
        <v>34.200000000000003</v>
      </c>
      <c r="BW131" s="86">
        <f>'Raw Data'!BW132/10</f>
        <v>33.9</v>
      </c>
      <c r="BX131" s="86">
        <f>'Raw Data'!BX132/10</f>
        <v>35.299999999999997</v>
      </c>
      <c r="BY131" s="86">
        <f>'Raw Data'!BY132/10</f>
        <v>33.700000000000003</v>
      </c>
      <c r="BZ131" s="86">
        <f>'Raw Data'!BZ132/10</f>
        <v>32</v>
      </c>
      <c r="CA131" s="86">
        <f>'Raw Data'!CA132/10</f>
        <v>33</v>
      </c>
      <c r="CB131" s="86">
        <f>'Raw Data'!CB132/10</f>
        <v>35.200000000000003</v>
      </c>
      <c r="CC131" s="86">
        <f>'Raw Data'!CC132/10</f>
        <v>32.6</v>
      </c>
      <c r="CD131" s="86">
        <f>'Raw Data'!CD132/10</f>
        <v>30.5</v>
      </c>
      <c r="CE131" s="86">
        <f>'Raw Data'!CE132/10</f>
        <v>31.4</v>
      </c>
      <c r="CF131" s="86">
        <f>'Raw Data'!CF132/10</f>
        <v>32.299999999999997</v>
      </c>
      <c r="CG131" s="86">
        <f>'Raw Data'!CG132/100</f>
        <v>31.58</v>
      </c>
      <c r="CH131" s="86">
        <f>'Raw Data'!CH132/100</f>
        <v>30.86</v>
      </c>
      <c r="CI131" s="86">
        <f>'Raw Data'!CI132/100</f>
        <v>30.93</v>
      </c>
      <c r="CJ131" s="86">
        <f>'Raw Data'!CJ132/100</f>
        <v>29.88</v>
      </c>
      <c r="CK131" s="86">
        <f>'Raw Data'!CK132/100</f>
        <v>27.56</v>
      </c>
      <c r="CL131" s="86">
        <f>'Raw Data'!CL132/100</f>
        <v>28.79</v>
      </c>
      <c r="CM131" s="86">
        <f>'Raw Data'!CM132/100</f>
        <v>29.19</v>
      </c>
      <c r="CN131" s="86">
        <f>'Raw Data'!CN132/100</f>
        <v>28.99</v>
      </c>
      <c r="CO131" s="86">
        <f>'Raw Data'!CO132/100</f>
        <v>28.82</v>
      </c>
      <c r="CP131" s="86">
        <f>'Raw Data'!CP132/100</f>
        <v>28.2</v>
      </c>
      <c r="CQ131" s="86">
        <f>'Raw Data'!CQ132/100</f>
        <v>28.76</v>
      </c>
      <c r="CR131" s="86">
        <f>'Raw Data'!CR132/100</f>
        <v>28.64</v>
      </c>
      <c r="CS131" s="86">
        <f>'Raw Data'!CS132/100</f>
        <v>28.41</v>
      </c>
      <c r="CT131" s="86">
        <f>'Raw Data'!CT132/100</f>
        <v>27.7</v>
      </c>
      <c r="CU131" s="382"/>
    </row>
    <row r="132" spans="4:99" s="86" customFormat="1" x14ac:dyDescent="0.2">
      <c r="D132" s="375"/>
      <c r="E132" s="164"/>
      <c r="F132" s="394"/>
      <c r="G132" s="86">
        <f>'Raw Data'!G133</f>
        <v>35</v>
      </c>
      <c r="H132" s="86">
        <f>'Raw Data'!H133</f>
        <v>29</v>
      </c>
      <c r="I132" s="86">
        <f>'Raw Data'!I133</f>
        <v>23</v>
      </c>
      <c r="J132" s="86">
        <f>'Raw Data'!J133</f>
        <v>30</v>
      </c>
      <c r="K132" s="86">
        <f>'Raw Data'!K133</f>
        <v>26</v>
      </c>
      <c r="L132" s="86">
        <f>'Raw Data'!L133</f>
        <v>35</v>
      </c>
      <c r="M132" s="86">
        <f>'Raw Data'!M133</f>
        <v>36</v>
      </c>
      <c r="N132" s="86">
        <f>'Raw Data'!N133</f>
        <v>30</v>
      </c>
      <c r="O132" s="86">
        <f>'Raw Data'!O133</f>
        <v>27</v>
      </c>
      <c r="P132" s="86">
        <f>'Raw Data'!P133</f>
        <v>28</v>
      </c>
      <c r="Q132" s="86">
        <f>'Raw Data'!Q133</f>
        <v>28</v>
      </c>
      <c r="R132" s="86">
        <f>'Raw Data'!R133</f>
        <v>34</v>
      </c>
      <c r="S132" s="86">
        <f>'Raw Data'!S133</f>
        <v>33</v>
      </c>
      <c r="T132" s="86">
        <f>'Raw Data'!T133</f>
        <v>29</v>
      </c>
      <c r="U132" s="86">
        <f>'Raw Data'!U133</f>
        <v>29</v>
      </c>
      <c r="V132" s="86">
        <f>'Raw Data'!V133</f>
        <v>32</v>
      </c>
      <c r="W132" s="86">
        <f>'Raw Data'!W133</f>
        <v>27</v>
      </c>
      <c r="X132" s="86">
        <f>'Raw Data'!X133</f>
        <v>29</v>
      </c>
      <c r="Y132" s="86">
        <f>'Raw Data'!Y133</f>
        <v>25</v>
      </c>
      <c r="Z132" s="86">
        <f>'Raw Data'!Z133</f>
        <v>28</v>
      </c>
      <c r="AA132" s="86">
        <f>'Raw Data'!AA133/10</f>
        <v>29.6</v>
      </c>
      <c r="AB132" s="86">
        <f>'Raw Data'!AB133/10</f>
        <v>30.4</v>
      </c>
      <c r="AC132" s="86">
        <f>'Raw Data'!AC133/10</f>
        <v>31.7</v>
      </c>
      <c r="AD132" s="86">
        <f>'Raw Data'!AD133/10</f>
        <v>31.4</v>
      </c>
      <c r="AE132" s="86">
        <f>'Raw Data'!AE133/10</f>
        <v>29.7</v>
      </c>
      <c r="AF132" s="86">
        <f>'Raw Data'!AF133/10</f>
        <v>29.6</v>
      </c>
      <c r="AG132" s="86">
        <f>'Raw Data'!AG133/10</f>
        <v>28.6</v>
      </c>
      <c r="AH132" s="86">
        <f>'Raw Data'!AH133/10</f>
        <v>29.7</v>
      </c>
      <c r="AI132" s="86">
        <f>'Raw Data'!AI133/10</f>
        <v>29</v>
      </c>
      <c r="AJ132" s="86">
        <f>'Raw Data'!AJ133/10</f>
        <v>29.2</v>
      </c>
      <c r="AK132" s="86">
        <f>'Raw Data'!AK133/10</f>
        <v>29</v>
      </c>
      <c r="AL132" s="86">
        <f>'Raw Data'!AL133/10</f>
        <v>28.5</v>
      </c>
      <c r="AM132" s="86">
        <f>'Raw Data'!AM133/10</f>
        <v>29.1</v>
      </c>
      <c r="AN132" s="86">
        <f>'Raw Data'!AN133/10</f>
        <v>27.6</v>
      </c>
      <c r="AO132" s="86">
        <f>'Raw Data'!AO133/10</f>
        <v>26.1</v>
      </c>
      <c r="AP132" s="86">
        <f>'Raw Data'!AP133/10</f>
        <v>29.2</v>
      </c>
      <c r="AQ132" s="86">
        <f>'Raw Data'!AQ133/10</f>
        <v>26.7</v>
      </c>
      <c r="AR132" s="86">
        <f>'Raw Data'!AR133/10</f>
        <v>27.6</v>
      </c>
      <c r="AS132" s="86">
        <f>'Raw Data'!AS133/10</f>
        <v>26.9</v>
      </c>
      <c r="AT132" s="86">
        <f>'Raw Data'!AT133/10</f>
        <v>27.9</v>
      </c>
      <c r="AU132" s="86">
        <f>'Raw Data'!AU133/10</f>
        <v>26.8</v>
      </c>
      <c r="AV132" s="86">
        <f>'Raw Data'!AV133/10</f>
        <v>26.5</v>
      </c>
      <c r="AW132" s="86">
        <f>'Raw Data'!AW133/10</f>
        <v>26.4</v>
      </c>
      <c r="AX132" s="86">
        <f>'Raw Data'!AX133/10</f>
        <v>26.4</v>
      </c>
      <c r="AY132" s="86">
        <f>'Raw Data'!AY133/10</f>
        <v>28.6</v>
      </c>
      <c r="AZ132" s="86">
        <f>'Raw Data'!AZ133/10</f>
        <v>25.7</v>
      </c>
      <c r="BA132" s="86">
        <f>'Raw Data'!BA133/10</f>
        <v>25.3</v>
      </c>
      <c r="BB132" s="86">
        <f>'Raw Data'!BB133/10</f>
        <v>26.5</v>
      </c>
      <c r="BC132" s="86">
        <f>'Raw Data'!BC133/10</f>
        <v>25</v>
      </c>
      <c r="BD132" s="86">
        <f>'Raw Data'!BD133/10</f>
        <v>24.5</v>
      </c>
      <c r="BE132" s="86">
        <f>'Raw Data'!BE133/10</f>
        <v>27.9</v>
      </c>
      <c r="BF132" s="86">
        <f>'Raw Data'!BF133/10</f>
        <v>27.9</v>
      </c>
      <c r="BG132" s="86">
        <f>'Raw Data'!BG133/10</f>
        <v>25.6</v>
      </c>
      <c r="BH132" s="86">
        <f>'Raw Data'!BH133/10</f>
        <v>23.2</v>
      </c>
      <c r="BI132" s="86">
        <f>'Raw Data'!BI133/10</f>
        <v>25</v>
      </c>
      <c r="BJ132" s="86">
        <f>'Raw Data'!BJ133/10</f>
        <v>24.6</v>
      </c>
      <c r="BK132" s="86">
        <f>'Raw Data'!BK133/10</f>
        <v>25.1</v>
      </c>
      <c r="BL132" s="86">
        <f>'Raw Data'!BL133/10</f>
        <v>25.4</v>
      </c>
      <c r="BM132" s="86">
        <f>'Raw Data'!BM133/10</f>
        <v>26.4</v>
      </c>
      <c r="BN132" s="86">
        <f>'Raw Data'!BN133/10</f>
        <v>27.3</v>
      </c>
      <c r="BO132" s="86">
        <f>'Raw Data'!BO133/10</f>
        <v>26.3</v>
      </c>
      <c r="BP132" s="86">
        <f>'Raw Data'!BP133/10</f>
        <v>24.1</v>
      </c>
      <c r="BQ132" s="86">
        <f>'Raw Data'!BQ133/10</f>
        <v>25.7</v>
      </c>
      <c r="BR132" s="86">
        <f>'Raw Data'!BR133/10</f>
        <v>24.1</v>
      </c>
      <c r="BS132" s="86">
        <f>'Raw Data'!BS133/10</f>
        <v>25.7</v>
      </c>
      <c r="BT132" s="86">
        <f>'Raw Data'!BT133/10</f>
        <v>24.3</v>
      </c>
      <c r="BU132" s="86">
        <f>'Raw Data'!BU133/10</f>
        <v>25</v>
      </c>
      <c r="BV132" s="86">
        <f>'Raw Data'!BV133/10</f>
        <v>24.2</v>
      </c>
      <c r="BW132" s="86">
        <f>'Raw Data'!BW133/10</f>
        <v>25</v>
      </c>
      <c r="BX132" s="86">
        <f>'Raw Data'!BX133/10</f>
        <v>25.8</v>
      </c>
      <c r="BY132" s="86">
        <f>'Raw Data'!BY133/10</f>
        <v>24.1</v>
      </c>
      <c r="BZ132" s="86">
        <f>'Raw Data'!BZ133/10</f>
        <v>25.7</v>
      </c>
      <c r="CA132" s="86">
        <f>'Raw Data'!CA133/10</f>
        <v>25</v>
      </c>
      <c r="CB132" s="86">
        <f>'Raw Data'!CB133/10</f>
        <v>24.8</v>
      </c>
      <c r="CC132" s="86">
        <f>'Raw Data'!CC133/10</f>
        <v>24.6</v>
      </c>
      <c r="CD132" s="86">
        <f>'Raw Data'!CD133/10</f>
        <v>26</v>
      </c>
      <c r="CE132" s="86">
        <f>'Raw Data'!CE133/10</f>
        <v>25.1</v>
      </c>
      <c r="CF132" s="86">
        <f>'Raw Data'!CF133/10</f>
        <v>25.8</v>
      </c>
      <c r="CG132" s="86">
        <f>'Raw Data'!CG133/100</f>
        <v>23.87</v>
      </c>
      <c r="CH132" s="86">
        <f>'Raw Data'!CH133/100</f>
        <v>23.97</v>
      </c>
      <c r="CI132" s="86">
        <f>'Raw Data'!CI133/100</f>
        <v>23.97</v>
      </c>
      <c r="CJ132" s="86">
        <f>'Raw Data'!CJ133/100</f>
        <v>23.32</v>
      </c>
      <c r="CK132" s="86">
        <f>'Raw Data'!CK133/100</f>
        <v>23.65</v>
      </c>
      <c r="CL132" s="86">
        <f>'Raw Data'!CL133/100</f>
        <v>22.94</v>
      </c>
      <c r="CM132" s="86">
        <f>'Raw Data'!CM133/100</f>
        <v>22.99</v>
      </c>
      <c r="CN132" s="86">
        <f>'Raw Data'!CN133/100</f>
        <v>22.69</v>
      </c>
      <c r="CO132" s="86">
        <f>'Raw Data'!CO133/100</f>
        <v>22.33</v>
      </c>
      <c r="CP132" s="86">
        <f>'Raw Data'!CP133/100</f>
        <v>23.07</v>
      </c>
      <c r="CQ132" s="86">
        <f>'Raw Data'!CQ133/100</f>
        <v>22.55</v>
      </c>
      <c r="CR132" s="86">
        <f>'Raw Data'!CR133/100</f>
        <v>22.57</v>
      </c>
      <c r="CS132" s="86">
        <f>'Raw Data'!CS133/100</f>
        <v>22.41</v>
      </c>
      <c r="CT132" s="86">
        <f>'Raw Data'!CT133/100</f>
        <v>22.57</v>
      </c>
      <c r="CU132" s="382"/>
    </row>
    <row r="133" spans="4:99" s="86" customFormat="1" x14ac:dyDescent="0.2">
      <c r="D133" s="375"/>
      <c r="E133" s="164"/>
      <c r="F133" s="394"/>
      <c r="G133" s="86">
        <f>'Raw Data'!G134</f>
        <v>31</v>
      </c>
      <c r="H133" s="86">
        <f>'Raw Data'!H134</f>
        <v>35</v>
      </c>
      <c r="I133" s="86">
        <f>'Raw Data'!I134</f>
        <v>27</v>
      </c>
      <c r="J133" s="86">
        <f>'Raw Data'!J134</f>
        <v>30</v>
      </c>
      <c r="K133" s="86">
        <f>'Raw Data'!K134</f>
        <v>32</v>
      </c>
      <c r="L133" s="86">
        <f>'Raw Data'!L134</f>
        <v>26</v>
      </c>
      <c r="M133" s="86">
        <f>'Raw Data'!M134</f>
        <v>33</v>
      </c>
      <c r="N133" s="86">
        <f>'Raw Data'!N134</f>
        <v>36</v>
      </c>
      <c r="O133" s="86">
        <f>'Raw Data'!O134</f>
        <v>32</v>
      </c>
      <c r="P133" s="86">
        <f>'Raw Data'!P134</f>
        <v>36</v>
      </c>
      <c r="Q133" s="86">
        <f>'Raw Data'!Q134</f>
        <v>28</v>
      </c>
      <c r="R133" s="86">
        <f>'Raw Data'!R134</f>
        <v>38</v>
      </c>
      <c r="S133" s="86">
        <f>'Raw Data'!S134</f>
        <v>30</v>
      </c>
      <c r="T133" s="86">
        <f>'Raw Data'!T134</f>
        <v>34</v>
      </c>
      <c r="U133" s="86">
        <f>'Raw Data'!U134</f>
        <v>34</v>
      </c>
      <c r="V133" s="86">
        <f>'Raw Data'!V134</f>
        <v>23</v>
      </c>
      <c r="W133" s="86">
        <f>'Raw Data'!W134</f>
        <v>25</v>
      </c>
      <c r="X133" s="86">
        <f>'Raw Data'!X134</f>
        <v>31</v>
      </c>
      <c r="Y133" s="86">
        <f>'Raw Data'!Y134</f>
        <v>35</v>
      </c>
      <c r="Z133" s="86">
        <f>'Raw Data'!Z134</f>
        <v>33</v>
      </c>
      <c r="AA133" s="86">
        <f>'Raw Data'!AA134/10</f>
        <v>33.6</v>
      </c>
      <c r="AB133" s="86">
        <f>'Raw Data'!AB134/10</f>
        <v>33.1</v>
      </c>
      <c r="AC133" s="86">
        <f>'Raw Data'!AC134/10</f>
        <v>32.700000000000003</v>
      </c>
      <c r="AD133" s="86">
        <f>'Raw Data'!AD134/10</f>
        <v>32.5</v>
      </c>
      <c r="AE133" s="86">
        <f>'Raw Data'!AE134/10</f>
        <v>32.200000000000003</v>
      </c>
      <c r="AF133" s="86">
        <f>'Raw Data'!AF134/10</f>
        <v>32.4</v>
      </c>
      <c r="AG133" s="86">
        <f>'Raw Data'!AG134/10</f>
        <v>30.2</v>
      </c>
      <c r="AH133" s="86">
        <f>'Raw Data'!AH134/10</f>
        <v>34</v>
      </c>
      <c r="AI133" s="86">
        <f>'Raw Data'!AI134/10</f>
        <v>31.7</v>
      </c>
      <c r="AJ133" s="86">
        <f>'Raw Data'!AJ134/10</f>
        <v>29.5</v>
      </c>
      <c r="AK133" s="86">
        <f>'Raw Data'!AK134/10</f>
        <v>31.1</v>
      </c>
      <c r="AL133" s="86">
        <f>'Raw Data'!AL134/10</f>
        <v>31</v>
      </c>
      <c r="AM133" s="86">
        <f>'Raw Data'!AM134/10</f>
        <v>30.8</v>
      </c>
      <c r="AN133" s="86">
        <f>'Raw Data'!AN134/10</f>
        <v>31.5</v>
      </c>
      <c r="AO133" s="86">
        <f>'Raw Data'!AO134/10</f>
        <v>30.7</v>
      </c>
      <c r="AP133" s="86">
        <f>'Raw Data'!AP134/10</f>
        <v>27.8</v>
      </c>
      <c r="AQ133" s="86">
        <f>'Raw Data'!AQ134/10</f>
        <v>30.1</v>
      </c>
      <c r="AR133" s="86">
        <f>'Raw Data'!AR134/10</f>
        <v>28.5</v>
      </c>
      <c r="AS133" s="86">
        <f>'Raw Data'!AS134/10</f>
        <v>29.3</v>
      </c>
      <c r="AT133" s="86">
        <f>'Raw Data'!AT134/10</f>
        <v>31.3</v>
      </c>
      <c r="AU133" s="86">
        <f>'Raw Data'!AU134/10</f>
        <v>27.7</v>
      </c>
      <c r="AV133" s="86">
        <f>'Raw Data'!AV134/10</f>
        <v>27.7</v>
      </c>
      <c r="AW133" s="86">
        <f>'Raw Data'!AW134/10</f>
        <v>27.8</v>
      </c>
      <c r="AX133" s="86">
        <f>'Raw Data'!AX134/10</f>
        <v>29.9</v>
      </c>
      <c r="AY133" s="86">
        <f>'Raw Data'!AY134/10</f>
        <v>31.2</v>
      </c>
      <c r="AZ133" s="86">
        <f>'Raw Data'!AZ134/10</f>
        <v>29.9</v>
      </c>
      <c r="BA133" s="86">
        <f>'Raw Data'!BA134/10</f>
        <v>28.2</v>
      </c>
      <c r="BB133" s="86">
        <f>'Raw Data'!BB134/10</f>
        <v>29.2</v>
      </c>
      <c r="BC133" s="86">
        <f>'Raw Data'!BC134/10</f>
        <v>28.4</v>
      </c>
      <c r="BD133" s="86">
        <f>'Raw Data'!BD134/10</f>
        <v>28.7</v>
      </c>
      <c r="BE133" s="86">
        <f>'Raw Data'!BE134/10</f>
        <v>28.1</v>
      </c>
      <c r="BF133" s="86">
        <f>'Raw Data'!BF134/10</f>
        <v>26.3</v>
      </c>
      <c r="BG133" s="86">
        <f>'Raw Data'!BG134/10</f>
        <v>26.5</v>
      </c>
      <c r="BH133" s="86">
        <f>'Raw Data'!BH134/10</f>
        <v>28.9</v>
      </c>
      <c r="BI133" s="86">
        <f>'Raw Data'!BI134/10</f>
        <v>27.8</v>
      </c>
      <c r="BJ133" s="86">
        <f>'Raw Data'!BJ134/10</f>
        <v>28.2</v>
      </c>
      <c r="BK133" s="86">
        <f>'Raw Data'!BK134/10</f>
        <v>28.5</v>
      </c>
      <c r="BL133" s="86">
        <f>'Raw Data'!BL134/10</f>
        <v>25.5</v>
      </c>
      <c r="BM133" s="86">
        <f>'Raw Data'!BM134/10</f>
        <v>26</v>
      </c>
      <c r="BN133" s="86">
        <f>'Raw Data'!BN134/10</f>
        <v>24.9</v>
      </c>
      <c r="BO133" s="86">
        <f>'Raw Data'!BO134/10</f>
        <v>27.8</v>
      </c>
      <c r="BP133" s="86">
        <f>'Raw Data'!BP134/10</f>
        <v>28.5</v>
      </c>
      <c r="BQ133" s="86">
        <f>'Raw Data'!BQ134/10</f>
        <v>26.9</v>
      </c>
      <c r="BR133" s="86">
        <f>'Raw Data'!BR134/10</f>
        <v>22.4</v>
      </c>
      <c r="BS133" s="86">
        <f>'Raw Data'!BS134/10</f>
        <v>25.3</v>
      </c>
      <c r="BT133" s="86">
        <f>'Raw Data'!BT134/10</f>
        <v>26.2</v>
      </c>
      <c r="BU133" s="86">
        <f>'Raw Data'!BU134/10</f>
        <v>25</v>
      </c>
      <c r="BV133" s="86">
        <f>'Raw Data'!BV134/10</f>
        <v>24.8</v>
      </c>
      <c r="BW133" s="86">
        <f>'Raw Data'!BW134/10</f>
        <v>23.4</v>
      </c>
      <c r="BX133" s="86">
        <f>'Raw Data'!BX134/10</f>
        <v>25.8</v>
      </c>
      <c r="BY133" s="86">
        <f>'Raw Data'!BY134/10</f>
        <v>25.6</v>
      </c>
      <c r="BZ133" s="86">
        <f>'Raw Data'!BZ134/10</f>
        <v>26.7</v>
      </c>
      <c r="CA133" s="86">
        <f>'Raw Data'!CA134/10</f>
        <v>27.5</v>
      </c>
      <c r="CB133" s="86">
        <f>'Raw Data'!CB134/10</f>
        <v>25.8</v>
      </c>
      <c r="CC133" s="86">
        <f>'Raw Data'!CC134/10</f>
        <v>26.2</v>
      </c>
      <c r="CD133" s="86">
        <f>'Raw Data'!CD134/10</f>
        <v>24.9</v>
      </c>
      <c r="CE133" s="86">
        <f>'Raw Data'!CE134/10</f>
        <v>24.5</v>
      </c>
      <c r="CF133" s="86">
        <f>'Raw Data'!CF134/10</f>
        <v>23.3</v>
      </c>
      <c r="CG133" s="86">
        <f>'Raw Data'!CG134/100</f>
        <v>25.76</v>
      </c>
      <c r="CH133" s="86">
        <f>'Raw Data'!CH134/100</f>
        <v>24.68</v>
      </c>
      <c r="CI133" s="86">
        <f>'Raw Data'!CI134/100</f>
        <v>25.2</v>
      </c>
      <c r="CJ133" s="86">
        <f>'Raw Data'!CJ134/100</f>
        <v>23.92</v>
      </c>
      <c r="CK133" s="86">
        <f>'Raw Data'!CK134/100</f>
        <v>24.15</v>
      </c>
      <c r="CL133" s="86">
        <f>'Raw Data'!CL134/100</f>
        <v>24.91</v>
      </c>
      <c r="CM133" s="86">
        <f>'Raw Data'!CM134/100</f>
        <v>24.6</v>
      </c>
      <c r="CN133" s="86">
        <f>'Raw Data'!CN134/100</f>
        <v>23.74</v>
      </c>
      <c r="CO133" s="86">
        <f>'Raw Data'!CO134/100</f>
        <v>23.12</v>
      </c>
      <c r="CP133" s="86">
        <f>'Raw Data'!CP134/100</f>
        <v>23.5</v>
      </c>
      <c r="CQ133" s="86">
        <f>'Raw Data'!CQ134/100</f>
        <v>23.83</v>
      </c>
      <c r="CR133" s="86">
        <f>'Raw Data'!CR134/100</f>
        <v>23.17</v>
      </c>
      <c r="CS133" s="86">
        <f>'Raw Data'!CS134/100</f>
        <v>23.5</v>
      </c>
      <c r="CT133" s="86">
        <f>'Raw Data'!CT134/100</f>
        <v>22.94</v>
      </c>
      <c r="CU133" s="382"/>
    </row>
    <row r="134" spans="4:99" s="86" customFormat="1" x14ac:dyDescent="0.2">
      <c r="D134" s="375"/>
      <c r="E134" s="164"/>
      <c r="F134" s="394"/>
      <c r="G134" s="86">
        <f>'Raw Data'!G135</f>
        <v>37</v>
      </c>
      <c r="H134" s="86">
        <f>'Raw Data'!H135</f>
        <v>33</v>
      </c>
      <c r="I134" s="86">
        <f>'Raw Data'!I135</f>
        <v>44</v>
      </c>
      <c r="J134" s="86">
        <f>'Raw Data'!J135</f>
        <v>34</v>
      </c>
      <c r="K134" s="86">
        <f>'Raw Data'!K135</f>
        <v>33</v>
      </c>
      <c r="L134" s="86">
        <f>'Raw Data'!L135</f>
        <v>36</v>
      </c>
      <c r="M134" s="86">
        <f>'Raw Data'!M135</f>
        <v>46</v>
      </c>
      <c r="N134" s="86">
        <f>'Raw Data'!N135</f>
        <v>42</v>
      </c>
      <c r="O134" s="86">
        <f>'Raw Data'!O135</f>
        <v>41</v>
      </c>
      <c r="P134" s="86">
        <f>'Raw Data'!P135</f>
        <v>42</v>
      </c>
      <c r="Q134" s="86">
        <f>'Raw Data'!Q135</f>
        <v>40</v>
      </c>
      <c r="R134" s="86">
        <f>'Raw Data'!R135</f>
        <v>38</v>
      </c>
      <c r="S134" s="86">
        <f>'Raw Data'!S135</f>
        <v>38</v>
      </c>
      <c r="T134" s="86">
        <f>'Raw Data'!T135</f>
        <v>42</v>
      </c>
      <c r="U134" s="86">
        <f>'Raw Data'!U135</f>
        <v>42</v>
      </c>
      <c r="V134" s="86">
        <f>'Raw Data'!V135</f>
        <v>32</v>
      </c>
      <c r="W134" s="86">
        <f>'Raw Data'!W135</f>
        <v>35</v>
      </c>
      <c r="X134" s="86">
        <f>'Raw Data'!X135</f>
        <v>34</v>
      </c>
      <c r="Y134" s="86">
        <f>'Raw Data'!Y135</f>
        <v>35</v>
      </c>
      <c r="Z134" s="86">
        <f>'Raw Data'!Z135</f>
        <v>40</v>
      </c>
      <c r="AA134" s="86">
        <f>'Raw Data'!AA135/10</f>
        <v>39.799999999999997</v>
      </c>
      <c r="AB134" s="86">
        <f>'Raw Data'!AB135/10</f>
        <v>39.1</v>
      </c>
      <c r="AC134" s="86">
        <f>'Raw Data'!AC135/10</f>
        <v>41.3</v>
      </c>
      <c r="AD134" s="86">
        <f>'Raw Data'!AD135/10</f>
        <v>39.5</v>
      </c>
      <c r="AE134" s="86">
        <f>'Raw Data'!AE135/10</f>
        <v>38.4</v>
      </c>
      <c r="AF134" s="86">
        <f>'Raw Data'!AF135/10</f>
        <v>39.700000000000003</v>
      </c>
      <c r="AG134" s="86">
        <f>'Raw Data'!AG135/10</f>
        <v>39.9</v>
      </c>
      <c r="AH134" s="86">
        <f>'Raw Data'!AH135/10</f>
        <v>35.5</v>
      </c>
      <c r="AI134" s="86">
        <f>'Raw Data'!AI135/10</f>
        <v>39</v>
      </c>
      <c r="AJ134" s="86">
        <f>'Raw Data'!AJ135/10</f>
        <v>36.299999999999997</v>
      </c>
      <c r="AK134" s="86">
        <f>'Raw Data'!AK135/10</f>
        <v>35.6</v>
      </c>
      <c r="AL134" s="86">
        <f>'Raw Data'!AL135/10</f>
        <v>35.9</v>
      </c>
      <c r="AM134" s="86">
        <f>'Raw Data'!AM135/10</f>
        <v>37.6</v>
      </c>
      <c r="AN134" s="86">
        <f>'Raw Data'!AN135/10</f>
        <v>33.700000000000003</v>
      </c>
      <c r="AO134" s="86">
        <f>'Raw Data'!AO135/10</f>
        <v>35.9</v>
      </c>
      <c r="AP134" s="86">
        <f>'Raw Data'!AP135/10</f>
        <v>32.5</v>
      </c>
      <c r="AQ134" s="86">
        <f>'Raw Data'!AQ135/10</f>
        <v>33.6</v>
      </c>
      <c r="AR134" s="86">
        <f>'Raw Data'!AR135/10</f>
        <v>32.700000000000003</v>
      </c>
      <c r="AS134" s="86">
        <f>'Raw Data'!AS135/10</f>
        <v>34.9</v>
      </c>
      <c r="AT134" s="86">
        <f>'Raw Data'!AT135/10</f>
        <v>32.1</v>
      </c>
      <c r="AU134" s="86">
        <f>'Raw Data'!AU135/10</f>
        <v>33.5</v>
      </c>
      <c r="AV134" s="86">
        <f>'Raw Data'!AV135/10</f>
        <v>32</v>
      </c>
      <c r="AW134" s="86">
        <f>'Raw Data'!AW135/10</f>
        <v>32.299999999999997</v>
      </c>
      <c r="AX134" s="86">
        <f>'Raw Data'!AX135/10</f>
        <v>31.3</v>
      </c>
      <c r="AY134" s="86">
        <f>'Raw Data'!AY135/10</f>
        <v>34</v>
      </c>
      <c r="AZ134" s="86">
        <f>'Raw Data'!AZ135/10</f>
        <v>30</v>
      </c>
      <c r="BA134" s="86">
        <f>'Raw Data'!BA135/10</f>
        <v>35.1</v>
      </c>
      <c r="BB134" s="86">
        <f>'Raw Data'!BB135/10</f>
        <v>32.9</v>
      </c>
      <c r="BC134" s="86">
        <f>'Raw Data'!BC135/10</f>
        <v>34</v>
      </c>
      <c r="BD134" s="86">
        <f>'Raw Data'!BD135/10</f>
        <v>31.6</v>
      </c>
      <c r="BE134" s="86">
        <f>'Raw Data'!BE135/10</f>
        <v>34.200000000000003</v>
      </c>
      <c r="BF134" s="86">
        <f>'Raw Data'!BF135/10</f>
        <v>30.2</v>
      </c>
      <c r="BG134" s="86">
        <f>'Raw Data'!BG135/10</f>
        <v>31.6</v>
      </c>
      <c r="BH134" s="86">
        <f>'Raw Data'!BH135/10</f>
        <v>31.9</v>
      </c>
      <c r="BI134" s="86">
        <f>'Raw Data'!BI135/10</f>
        <v>31.4</v>
      </c>
      <c r="BJ134" s="86">
        <f>'Raw Data'!BJ135/10</f>
        <v>30.3</v>
      </c>
      <c r="BK134" s="86">
        <f>'Raw Data'!BK135/10</f>
        <v>28.5</v>
      </c>
      <c r="BL134" s="86">
        <f>'Raw Data'!BL135/10</f>
        <v>30.2</v>
      </c>
      <c r="BM134" s="86">
        <f>'Raw Data'!BM135/10</f>
        <v>27.9</v>
      </c>
      <c r="BN134" s="86">
        <f>'Raw Data'!BN135/10</f>
        <v>30.4</v>
      </c>
      <c r="BO134" s="86">
        <f>'Raw Data'!BO135/10</f>
        <v>28.2</v>
      </c>
      <c r="BP134" s="86">
        <f>'Raw Data'!BP135/10</f>
        <v>29.6</v>
      </c>
      <c r="BQ134" s="86">
        <f>'Raw Data'!BQ135/10</f>
        <v>32.1</v>
      </c>
      <c r="BR134" s="86">
        <f>'Raw Data'!BR135/10</f>
        <v>27.9</v>
      </c>
      <c r="BS134" s="86">
        <f>'Raw Data'!BS135/10</f>
        <v>27.5</v>
      </c>
      <c r="BT134" s="86">
        <f>'Raw Data'!BT135/10</f>
        <v>29.2</v>
      </c>
      <c r="BU134" s="86">
        <f>'Raw Data'!BU135/10</f>
        <v>29.3</v>
      </c>
      <c r="BV134" s="86">
        <f>'Raw Data'!BV135/10</f>
        <v>30</v>
      </c>
      <c r="BW134" s="86">
        <f>'Raw Data'!BW135/10</f>
        <v>29.2</v>
      </c>
      <c r="BX134" s="86">
        <f>'Raw Data'!BX135/10</f>
        <v>30</v>
      </c>
      <c r="BY134" s="86">
        <f>'Raw Data'!BY135/10</f>
        <v>28.6</v>
      </c>
      <c r="BZ134" s="86">
        <f>'Raw Data'!BZ135/10</f>
        <v>30.8</v>
      </c>
      <c r="CA134" s="86">
        <f>'Raw Data'!CA135/10</f>
        <v>29.3</v>
      </c>
      <c r="CB134" s="86">
        <f>'Raw Data'!CB135/10</f>
        <v>28.6</v>
      </c>
      <c r="CC134" s="86">
        <f>'Raw Data'!CC135/10</f>
        <v>27.3</v>
      </c>
      <c r="CD134" s="86">
        <f>'Raw Data'!CD135/10</f>
        <v>31.1</v>
      </c>
      <c r="CE134" s="86">
        <f>'Raw Data'!CE135/10</f>
        <v>28</v>
      </c>
      <c r="CF134" s="86">
        <f>'Raw Data'!CF135/10</f>
        <v>28.1</v>
      </c>
      <c r="CG134" s="86">
        <f>'Raw Data'!CG135/100</f>
        <v>28.35</v>
      </c>
      <c r="CH134" s="86">
        <f>'Raw Data'!CH135/100</f>
        <v>27.02</v>
      </c>
      <c r="CI134" s="86">
        <f>'Raw Data'!CI135/100</f>
        <v>26.23</v>
      </c>
      <c r="CJ134" s="86">
        <f>'Raw Data'!CJ135/100</f>
        <v>25.75</v>
      </c>
      <c r="CK134" s="86">
        <f>'Raw Data'!CK135/100</f>
        <v>25.12</v>
      </c>
      <c r="CL134" s="86">
        <f>'Raw Data'!CL135/100</f>
        <v>26.06</v>
      </c>
      <c r="CM134" s="86">
        <f>'Raw Data'!CM135/100</f>
        <v>25.12</v>
      </c>
      <c r="CN134" s="86">
        <f>'Raw Data'!CN135/100</f>
        <v>25</v>
      </c>
      <c r="CO134" s="86">
        <f>'Raw Data'!CO135/100</f>
        <v>24.78</v>
      </c>
      <c r="CP134" s="86">
        <f>'Raw Data'!CP135/100</f>
        <v>24.64</v>
      </c>
      <c r="CQ134" s="86">
        <f>'Raw Data'!CQ135/100</f>
        <v>23.94</v>
      </c>
      <c r="CR134" s="86">
        <f>'Raw Data'!CR135/100</f>
        <v>24.11</v>
      </c>
      <c r="CS134" s="86">
        <f>'Raw Data'!CS135/100</f>
        <v>24.05</v>
      </c>
      <c r="CT134" s="86">
        <f>'Raw Data'!CT135/100</f>
        <v>24.19</v>
      </c>
      <c r="CU134" s="382"/>
    </row>
    <row r="135" spans="4:99" s="86" customFormat="1" x14ac:dyDescent="0.2">
      <c r="D135" s="379"/>
      <c r="E135" s="381"/>
      <c r="F135" s="395"/>
      <c r="G135" s="87">
        <f>'Raw Data'!G136</f>
        <v>28</v>
      </c>
      <c r="H135" s="87">
        <f>'Raw Data'!H136</f>
        <v>36</v>
      </c>
      <c r="I135" s="87">
        <f>'Raw Data'!I136</f>
        <v>30</v>
      </c>
      <c r="J135" s="87">
        <f>'Raw Data'!J136</f>
        <v>25</v>
      </c>
      <c r="K135" s="87">
        <f>'Raw Data'!K136</f>
        <v>37</v>
      </c>
      <c r="L135" s="87">
        <f>'Raw Data'!L136</f>
        <v>32</v>
      </c>
      <c r="M135" s="87">
        <f>'Raw Data'!M136</f>
        <v>26</v>
      </c>
      <c r="N135" s="87">
        <f>'Raw Data'!N136</f>
        <v>27</v>
      </c>
      <c r="O135" s="87">
        <f>'Raw Data'!O136</f>
        <v>36</v>
      </c>
      <c r="P135" s="87">
        <f>'Raw Data'!P136</f>
        <v>26</v>
      </c>
      <c r="Q135" s="87">
        <f>'Raw Data'!Q136</f>
        <v>31</v>
      </c>
      <c r="R135" s="87">
        <f>'Raw Data'!R136</f>
        <v>30</v>
      </c>
      <c r="S135" s="87">
        <f>'Raw Data'!S136</f>
        <v>35</v>
      </c>
      <c r="T135" s="87">
        <f>'Raw Data'!T136</f>
        <v>34</v>
      </c>
      <c r="U135" s="87">
        <f>'Raw Data'!U136</f>
        <v>33</v>
      </c>
      <c r="V135" s="87">
        <f>'Raw Data'!V136</f>
        <v>32</v>
      </c>
      <c r="W135" s="87">
        <f>'Raw Data'!W136</f>
        <v>27</v>
      </c>
      <c r="X135" s="87">
        <f>'Raw Data'!X136</f>
        <v>31</v>
      </c>
      <c r="Y135" s="87">
        <f>'Raw Data'!Y136</f>
        <v>27</v>
      </c>
      <c r="Z135" s="87">
        <f>'Raw Data'!Z136</f>
        <v>27</v>
      </c>
      <c r="AA135" s="87">
        <f>'Raw Data'!AA136/10</f>
        <v>32.200000000000003</v>
      </c>
      <c r="AB135" s="87">
        <f>'Raw Data'!AB136/10</f>
        <v>30.8</v>
      </c>
      <c r="AC135" s="87">
        <f>'Raw Data'!AC136/10</f>
        <v>33.4</v>
      </c>
      <c r="AD135" s="87">
        <f>'Raw Data'!AD136/10</f>
        <v>33.5</v>
      </c>
      <c r="AE135" s="87">
        <f>'Raw Data'!AE136/10</f>
        <v>35.5</v>
      </c>
      <c r="AF135" s="87">
        <f>'Raw Data'!AF136/10</f>
        <v>34.299999999999997</v>
      </c>
      <c r="AG135" s="87">
        <f>'Raw Data'!AG136/10</f>
        <v>33.299999999999997</v>
      </c>
      <c r="AH135" s="87">
        <f>'Raw Data'!AH136/10</f>
        <v>31.7</v>
      </c>
      <c r="AI135" s="87">
        <f>'Raw Data'!AI136/10</f>
        <v>33</v>
      </c>
      <c r="AJ135" s="87">
        <f>'Raw Data'!AJ136/10</f>
        <v>31.3</v>
      </c>
      <c r="AK135" s="87">
        <f>'Raw Data'!AK136/10</f>
        <v>29.7</v>
      </c>
      <c r="AL135" s="87">
        <f>'Raw Data'!AL136/10</f>
        <v>30.2</v>
      </c>
      <c r="AM135" s="87">
        <f>'Raw Data'!AM136/10</f>
        <v>30.8</v>
      </c>
      <c r="AN135" s="87">
        <f>'Raw Data'!AN136/10</f>
        <v>30.1</v>
      </c>
      <c r="AO135" s="87">
        <f>'Raw Data'!AO136/10</f>
        <v>31</v>
      </c>
      <c r="AP135" s="87">
        <f>'Raw Data'!AP136/10</f>
        <v>30.5</v>
      </c>
      <c r="AQ135" s="87">
        <f>'Raw Data'!AQ136/10</f>
        <v>28</v>
      </c>
      <c r="AR135" s="87">
        <f>'Raw Data'!AR136/10</f>
        <v>31.5</v>
      </c>
      <c r="AS135" s="87">
        <f>'Raw Data'!AS136/10</f>
        <v>27.6</v>
      </c>
      <c r="AT135" s="87">
        <f>'Raw Data'!AT136/10</f>
        <v>28.2</v>
      </c>
      <c r="AU135" s="87">
        <f>'Raw Data'!AU136/10</f>
        <v>28.5</v>
      </c>
      <c r="AV135" s="87">
        <f>'Raw Data'!AV136/10</f>
        <v>29.2</v>
      </c>
      <c r="AW135" s="87">
        <f>'Raw Data'!AW136/10</f>
        <v>26.5</v>
      </c>
      <c r="AX135" s="87">
        <f>'Raw Data'!AX136/10</f>
        <v>26.6</v>
      </c>
      <c r="AY135" s="87">
        <f>'Raw Data'!AY136/10</f>
        <v>29.1</v>
      </c>
      <c r="AZ135" s="87">
        <f>'Raw Data'!AZ136/10</f>
        <v>28.4</v>
      </c>
      <c r="BA135" s="87">
        <f>'Raw Data'!BA136/10</f>
        <v>27.1</v>
      </c>
      <c r="BB135" s="87">
        <f>'Raw Data'!BB136/10</f>
        <v>28</v>
      </c>
      <c r="BC135" s="87">
        <f>'Raw Data'!BC136/10</f>
        <v>27.2</v>
      </c>
      <c r="BD135" s="87">
        <f>'Raw Data'!BD136/10</f>
        <v>25</v>
      </c>
      <c r="BE135" s="87">
        <f>'Raw Data'!BE136/10</f>
        <v>28.6</v>
      </c>
      <c r="BF135" s="87">
        <f>'Raw Data'!BF136/10</f>
        <v>26.8</v>
      </c>
      <c r="BG135" s="87">
        <f>'Raw Data'!BG136/10</f>
        <v>27.4</v>
      </c>
      <c r="BH135" s="87">
        <f>'Raw Data'!BH136/10</f>
        <v>28.6</v>
      </c>
      <c r="BI135" s="87">
        <f>'Raw Data'!BI136/10</f>
        <v>25.5</v>
      </c>
      <c r="BJ135" s="87">
        <f>'Raw Data'!BJ136/10</f>
        <v>25.8</v>
      </c>
      <c r="BK135" s="87">
        <f>'Raw Data'!BK136/10</f>
        <v>26.9</v>
      </c>
      <c r="BL135" s="87">
        <f>'Raw Data'!BL136/10</f>
        <v>25.8</v>
      </c>
      <c r="BM135" s="87">
        <f>'Raw Data'!BM136/10</f>
        <v>25.1</v>
      </c>
      <c r="BN135" s="87">
        <f>'Raw Data'!BN136/10</f>
        <v>26</v>
      </c>
      <c r="BO135" s="87">
        <f>'Raw Data'!BO136/10</f>
        <v>25.1</v>
      </c>
      <c r="BP135" s="87">
        <f>'Raw Data'!BP136/10</f>
        <v>25.6</v>
      </c>
      <c r="BQ135" s="87">
        <f>'Raw Data'!BQ136/10</f>
        <v>27.1</v>
      </c>
      <c r="BR135" s="87">
        <f>'Raw Data'!BR136/10</f>
        <v>25.3</v>
      </c>
      <c r="BS135" s="87">
        <f>'Raw Data'!BS136/10</f>
        <v>26.8</v>
      </c>
      <c r="BT135" s="87">
        <f>'Raw Data'!BT136/10</f>
        <v>26.9</v>
      </c>
      <c r="BU135" s="87">
        <f>'Raw Data'!BU136/10</f>
        <v>26</v>
      </c>
      <c r="BV135" s="87">
        <f>'Raw Data'!BV136/10</f>
        <v>24.1</v>
      </c>
      <c r="BW135" s="87">
        <f>'Raw Data'!BW136/10</f>
        <v>25.1</v>
      </c>
      <c r="BX135" s="87">
        <f>'Raw Data'!BX136/10</f>
        <v>26.6</v>
      </c>
      <c r="BY135" s="87">
        <f>'Raw Data'!BY136/10</f>
        <v>25.7</v>
      </c>
      <c r="BZ135" s="87">
        <f>'Raw Data'!BZ136/10</f>
        <v>26.9</v>
      </c>
      <c r="CA135" s="87">
        <f>'Raw Data'!CA136/10</f>
        <v>26</v>
      </c>
      <c r="CB135" s="87">
        <f>'Raw Data'!CB136/10</f>
        <v>28.2</v>
      </c>
      <c r="CC135" s="87">
        <f>'Raw Data'!CC136/10</f>
        <v>26.6</v>
      </c>
      <c r="CD135" s="87">
        <f>'Raw Data'!CD136/10</f>
        <v>25.6</v>
      </c>
      <c r="CE135" s="87">
        <f>'Raw Data'!CE136/10</f>
        <v>25.9</v>
      </c>
      <c r="CF135" s="87">
        <f>'Raw Data'!CF136/10</f>
        <v>26.1</v>
      </c>
      <c r="CG135" s="87">
        <f>'Raw Data'!CG136/100</f>
        <v>25.06</v>
      </c>
      <c r="CH135" s="87">
        <f>'Raw Data'!CH136/100</f>
        <v>24.38</v>
      </c>
      <c r="CI135" s="87">
        <f>'Raw Data'!CI136/100</f>
        <v>23.71</v>
      </c>
      <c r="CJ135" s="87">
        <f>'Raw Data'!CJ136/100</f>
        <v>22.96</v>
      </c>
      <c r="CK135" s="87">
        <f>'Raw Data'!CK136/100</f>
        <v>23.24</v>
      </c>
      <c r="CL135" s="87">
        <f>'Raw Data'!CL136/100</f>
        <v>23.45</v>
      </c>
      <c r="CM135" s="87">
        <f>'Raw Data'!CM136/100</f>
        <v>22.72</v>
      </c>
      <c r="CN135" s="87">
        <f>'Raw Data'!CN136/100</f>
        <v>22.64</v>
      </c>
      <c r="CO135" s="87">
        <f>'Raw Data'!CO136/100</f>
        <v>22.49</v>
      </c>
      <c r="CP135" s="87">
        <f>'Raw Data'!CP136/100</f>
        <v>22.18</v>
      </c>
      <c r="CQ135" s="87">
        <f>'Raw Data'!CQ136/100</f>
        <v>22.51</v>
      </c>
      <c r="CR135" s="87">
        <f>'Raw Data'!CR136/100</f>
        <v>21.68</v>
      </c>
      <c r="CS135" s="87">
        <f>'Raw Data'!CS136/100</f>
        <v>22.64</v>
      </c>
      <c r="CT135" s="87">
        <f>'Raw Data'!CT136/100</f>
        <v>22.44</v>
      </c>
      <c r="CU135" s="382"/>
    </row>
    <row r="136" spans="4:99" s="86" customFormat="1" x14ac:dyDescent="0.2">
      <c r="D136" s="376"/>
      <c r="E136" s="164"/>
      <c r="F136" s="394"/>
      <c r="G136" s="83">
        <f>'Raw Data'!G137</f>
        <v>208</v>
      </c>
      <c r="H136" s="83">
        <f>'Raw Data'!H137</f>
        <v>189</v>
      </c>
      <c r="I136" s="83">
        <f>'Raw Data'!I137</f>
        <v>206</v>
      </c>
      <c r="J136" s="83">
        <f>'Raw Data'!J137</f>
        <v>198</v>
      </c>
      <c r="K136" s="83">
        <f>'Raw Data'!K137</f>
        <v>187</v>
      </c>
      <c r="L136" s="83">
        <f>'Raw Data'!L137</f>
        <v>184</v>
      </c>
      <c r="M136" s="83">
        <f>'Raw Data'!M137</f>
        <v>198</v>
      </c>
      <c r="N136" s="83">
        <f>'Raw Data'!N137</f>
        <v>199</v>
      </c>
      <c r="O136" s="83">
        <f>'Raw Data'!O137</f>
        <v>190</v>
      </c>
      <c r="P136" s="83">
        <f>'Raw Data'!P137</f>
        <v>179</v>
      </c>
      <c r="Q136" s="83">
        <f>'Raw Data'!Q137</f>
        <v>196</v>
      </c>
      <c r="R136" s="83">
        <f>'Raw Data'!R137</f>
        <v>194</v>
      </c>
      <c r="S136" s="83">
        <f>'Raw Data'!S137</f>
        <v>204</v>
      </c>
      <c r="T136" s="83">
        <f>'Raw Data'!T137</f>
        <v>198</v>
      </c>
      <c r="U136" s="83">
        <f>'Raw Data'!U137</f>
        <v>188</v>
      </c>
      <c r="V136" s="83">
        <f>'Raw Data'!V137</f>
        <v>191</v>
      </c>
      <c r="W136" s="83">
        <f>'Raw Data'!W137</f>
        <v>196</v>
      </c>
      <c r="X136" s="83">
        <f>'Raw Data'!X137</f>
        <v>180</v>
      </c>
      <c r="Y136" s="83">
        <f>'Raw Data'!Y137</f>
        <v>199</v>
      </c>
      <c r="Z136" s="83">
        <f>'Raw Data'!Z137</f>
        <v>207</v>
      </c>
      <c r="AA136" s="83">
        <f>'Raw Data'!AA137/10</f>
        <v>188.5</v>
      </c>
      <c r="AB136" s="83">
        <f>'Raw Data'!AB137/10</f>
        <v>184.3</v>
      </c>
      <c r="AC136" s="83">
        <f>'Raw Data'!AC137/10</f>
        <v>178.5</v>
      </c>
      <c r="AD136" s="83">
        <f>'Raw Data'!AD137/10</f>
        <v>173.4</v>
      </c>
      <c r="AE136" s="83">
        <f>'Raw Data'!AE137/10</f>
        <v>164.7</v>
      </c>
      <c r="AF136" s="83">
        <f>'Raw Data'!AF137/10</f>
        <v>157.4</v>
      </c>
      <c r="AG136" s="83">
        <f>'Raw Data'!AG137/10</f>
        <v>149.69999999999999</v>
      </c>
      <c r="AH136" s="83">
        <f>'Raw Data'!AH137/10</f>
        <v>148.30000000000001</v>
      </c>
      <c r="AI136" s="83">
        <f>'Raw Data'!AI137/10</f>
        <v>138.5</v>
      </c>
      <c r="AJ136" s="83">
        <f>'Raw Data'!AJ137/10</f>
        <v>136</v>
      </c>
      <c r="AK136" s="83">
        <f>'Raw Data'!AK137/10</f>
        <v>132.30000000000001</v>
      </c>
      <c r="AL136" s="83">
        <f>'Raw Data'!AL137/10</f>
        <v>129.6</v>
      </c>
      <c r="AM136" s="83">
        <f>'Raw Data'!AM137/10</f>
        <v>123</v>
      </c>
      <c r="AN136" s="83">
        <f>'Raw Data'!AN137/10</f>
        <v>120.2</v>
      </c>
      <c r="AO136" s="83">
        <f>'Raw Data'!AO137/10</f>
        <v>116.7</v>
      </c>
      <c r="AP136" s="83">
        <f>'Raw Data'!AP137/10</f>
        <v>116.9</v>
      </c>
      <c r="AQ136" s="83">
        <f>'Raw Data'!AQ137/10</f>
        <v>110.1</v>
      </c>
      <c r="AR136" s="83">
        <f>'Raw Data'!AR137/10</f>
        <v>110.5</v>
      </c>
      <c r="AS136" s="83">
        <f>'Raw Data'!AS137/10</f>
        <v>103.5</v>
      </c>
      <c r="AT136" s="83">
        <f>'Raw Data'!AT137/10</f>
        <v>103</v>
      </c>
      <c r="AU136" s="83">
        <f>'Raw Data'!AU137/10</f>
        <v>95.5</v>
      </c>
      <c r="AV136" s="83">
        <f>'Raw Data'!AV137/10</f>
        <v>92.5</v>
      </c>
      <c r="AW136" s="83">
        <f>'Raw Data'!AW137/10</f>
        <v>95.6</v>
      </c>
      <c r="AX136" s="83">
        <f>'Raw Data'!AX137/10</f>
        <v>90.5</v>
      </c>
      <c r="AY136" s="83">
        <f>'Raw Data'!AY137/10</f>
        <v>87.8</v>
      </c>
      <c r="AZ136" s="83">
        <f>'Raw Data'!AZ137/10</f>
        <v>87.7</v>
      </c>
      <c r="BA136" s="83">
        <f>'Raw Data'!BA137/10</f>
        <v>84.8</v>
      </c>
      <c r="BB136" s="83">
        <f>'Raw Data'!BB137/10</f>
        <v>80.8</v>
      </c>
      <c r="BC136" s="83">
        <f>'Raw Data'!BC137/10</f>
        <v>84.1</v>
      </c>
      <c r="BD136" s="83">
        <f>'Raw Data'!BD137/10</f>
        <v>80.8</v>
      </c>
      <c r="BE136" s="83">
        <f>'Raw Data'!BE137/10</f>
        <v>80.099999999999994</v>
      </c>
      <c r="BF136" s="83">
        <f>'Raw Data'!BF137/10</f>
        <v>77.5</v>
      </c>
      <c r="BG136" s="83">
        <f>'Raw Data'!BG137/10</f>
        <v>75.5</v>
      </c>
      <c r="BH136" s="83">
        <f>'Raw Data'!BH137/10</f>
        <v>72.099999999999994</v>
      </c>
      <c r="BI136" s="83">
        <f>'Raw Data'!BI137/10</f>
        <v>70.3</v>
      </c>
      <c r="BJ136" s="83">
        <f>'Raw Data'!BJ137/10</f>
        <v>73.2</v>
      </c>
      <c r="BK136" s="83">
        <f>'Raw Data'!BK137/10</f>
        <v>68.8</v>
      </c>
      <c r="BL136" s="83">
        <f>'Raw Data'!BL137/10</f>
        <v>65.7</v>
      </c>
      <c r="BM136" s="83">
        <f>'Raw Data'!BM137/10</f>
        <v>69.099999999999994</v>
      </c>
      <c r="BN136" s="83">
        <f>'Raw Data'!BN137/10</f>
        <v>67.7</v>
      </c>
      <c r="BO136" s="83">
        <f>'Raw Data'!BO137/10</f>
        <v>62.2</v>
      </c>
      <c r="BP136" s="83">
        <f>'Raw Data'!BP137/10</f>
        <v>64.900000000000006</v>
      </c>
      <c r="BQ136" s="83">
        <f>'Raw Data'!BQ137/10</f>
        <v>63.6</v>
      </c>
      <c r="BR136" s="83">
        <f>'Raw Data'!BR137/10</f>
        <v>65.7</v>
      </c>
      <c r="BS136" s="83">
        <f>'Raw Data'!BS137/10</f>
        <v>62.4</v>
      </c>
      <c r="BT136" s="83">
        <f>'Raw Data'!BT137/10</f>
        <v>61</v>
      </c>
      <c r="BU136" s="83">
        <f>'Raw Data'!BU137/10</f>
        <v>59.4</v>
      </c>
      <c r="BV136" s="83">
        <f>'Raw Data'!BV137/10</f>
        <v>59.7</v>
      </c>
      <c r="BW136" s="83">
        <f>'Raw Data'!BW137/10</f>
        <v>59.9</v>
      </c>
      <c r="BX136" s="83">
        <f>'Raw Data'!BX137/10</f>
        <v>60.8</v>
      </c>
      <c r="BY136" s="83">
        <f>'Raw Data'!BY137/10</f>
        <v>55.9</v>
      </c>
      <c r="BZ136" s="83">
        <f>'Raw Data'!BZ137/10</f>
        <v>62.4</v>
      </c>
      <c r="CA136" s="83">
        <f>'Raw Data'!CA137/10</f>
        <v>56.6</v>
      </c>
      <c r="CB136" s="83">
        <f>'Raw Data'!CB137/10</f>
        <v>55.5</v>
      </c>
      <c r="CC136" s="83">
        <f>'Raw Data'!CC137/10</f>
        <v>56.3</v>
      </c>
      <c r="CD136" s="83">
        <f>'Raw Data'!CD137/10</f>
        <v>57</v>
      </c>
      <c r="CE136" s="83">
        <f>'Raw Data'!CE137/10</f>
        <v>55</v>
      </c>
      <c r="CF136" s="83">
        <f>'Raw Data'!CF137/10</f>
        <v>50.4</v>
      </c>
      <c r="CG136" s="83">
        <f>'Raw Data'!CG137/100</f>
        <v>51.14</v>
      </c>
      <c r="CH136" s="83">
        <f>'Raw Data'!CH137/100</f>
        <v>46.17</v>
      </c>
      <c r="CI136" s="83">
        <f>'Raw Data'!CI137/100</f>
        <v>43.16</v>
      </c>
      <c r="CJ136" s="83">
        <f>'Raw Data'!CJ137/100</f>
        <v>39.56</v>
      </c>
      <c r="CK136" s="83">
        <f>'Raw Data'!CK137/100</f>
        <v>38.549999999999997</v>
      </c>
      <c r="CL136" s="83">
        <f>'Raw Data'!CL137/100</f>
        <v>36.42</v>
      </c>
      <c r="CM136" s="83">
        <f>'Raw Data'!CM137/100</f>
        <v>35.36</v>
      </c>
      <c r="CN136" s="83">
        <f>'Raw Data'!CN137/100</f>
        <v>34.06</v>
      </c>
      <c r="CO136" s="83">
        <f>'Raw Data'!CO137/100</f>
        <v>32.75</v>
      </c>
      <c r="CP136" s="83">
        <f>'Raw Data'!CP137/100</f>
        <v>32</v>
      </c>
      <c r="CQ136" s="83">
        <f>'Raw Data'!CQ137/100</f>
        <v>30.88</v>
      </c>
      <c r="CR136" s="83">
        <f>'Raw Data'!CR137/100</f>
        <v>29.59</v>
      </c>
      <c r="CS136" s="83">
        <f>'Raw Data'!CS137/100</f>
        <v>29.39</v>
      </c>
      <c r="CT136" s="83">
        <f>'Raw Data'!CT137/100</f>
        <v>28.93</v>
      </c>
      <c r="CU136" s="382"/>
    </row>
    <row r="137" spans="4:99" s="86" customFormat="1" x14ac:dyDescent="0.2">
      <c r="D137" s="376"/>
      <c r="E137" s="164"/>
      <c r="F137" s="394"/>
      <c r="G137" s="83">
        <f>'Raw Data'!G138</f>
        <v>123</v>
      </c>
      <c r="H137" s="83">
        <f>'Raw Data'!H138</f>
        <v>111</v>
      </c>
      <c r="I137" s="83">
        <f>'Raw Data'!I138</f>
        <v>117</v>
      </c>
      <c r="J137" s="83">
        <f>'Raw Data'!J138</f>
        <v>110</v>
      </c>
      <c r="K137" s="83">
        <f>'Raw Data'!K138</f>
        <v>115</v>
      </c>
      <c r="L137" s="83">
        <f>'Raw Data'!L138</f>
        <v>119</v>
      </c>
      <c r="M137" s="83">
        <f>'Raw Data'!M138</f>
        <v>127</v>
      </c>
      <c r="N137" s="83">
        <f>'Raw Data'!N138</f>
        <v>134</v>
      </c>
      <c r="O137" s="83">
        <f>'Raw Data'!O138</f>
        <v>127</v>
      </c>
      <c r="P137" s="83">
        <f>'Raw Data'!P138</f>
        <v>115</v>
      </c>
      <c r="Q137" s="83">
        <f>'Raw Data'!Q138</f>
        <v>120</v>
      </c>
      <c r="R137" s="83">
        <f>'Raw Data'!R138</f>
        <v>130</v>
      </c>
      <c r="S137" s="83">
        <f>'Raw Data'!S138</f>
        <v>109</v>
      </c>
      <c r="T137" s="83">
        <f>'Raw Data'!T138</f>
        <v>109</v>
      </c>
      <c r="U137" s="83">
        <f>'Raw Data'!U138</f>
        <v>121</v>
      </c>
      <c r="V137" s="83">
        <f>'Raw Data'!V138</f>
        <v>121</v>
      </c>
      <c r="W137" s="83">
        <f>'Raw Data'!W138</f>
        <v>116</v>
      </c>
      <c r="X137" s="83">
        <f>'Raw Data'!X138</f>
        <v>127</v>
      </c>
      <c r="Y137" s="83">
        <f>'Raw Data'!Y138</f>
        <v>110</v>
      </c>
      <c r="Z137" s="83">
        <f>'Raw Data'!Z138</f>
        <v>121</v>
      </c>
      <c r="AA137" s="83">
        <f>'Raw Data'!AA138/10</f>
        <v>115.8</v>
      </c>
      <c r="AB137" s="83">
        <f>'Raw Data'!AB138/10</f>
        <v>112.6</v>
      </c>
      <c r="AC137" s="83">
        <f>'Raw Data'!AC138/10</f>
        <v>108.1</v>
      </c>
      <c r="AD137" s="83">
        <f>'Raw Data'!AD138/10</f>
        <v>112.2</v>
      </c>
      <c r="AE137" s="83">
        <f>'Raw Data'!AE138/10</f>
        <v>104.8</v>
      </c>
      <c r="AF137" s="83">
        <f>'Raw Data'!AF138/10</f>
        <v>101.3</v>
      </c>
      <c r="AG137" s="83">
        <f>'Raw Data'!AG138/10</f>
        <v>103.1</v>
      </c>
      <c r="AH137" s="83">
        <f>'Raw Data'!AH138/10</f>
        <v>95</v>
      </c>
      <c r="AI137" s="83">
        <f>'Raw Data'!AI138/10</f>
        <v>93.8</v>
      </c>
      <c r="AJ137" s="83">
        <f>'Raw Data'!AJ138/10</f>
        <v>86.6</v>
      </c>
      <c r="AK137" s="83">
        <f>'Raw Data'!AK138/10</f>
        <v>88.5</v>
      </c>
      <c r="AL137" s="83">
        <f>'Raw Data'!AL138/10</f>
        <v>85.9</v>
      </c>
      <c r="AM137" s="83">
        <f>'Raw Data'!AM138/10</f>
        <v>81.599999999999994</v>
      </c>
      <c r="AN137" s="83">
        <f>'Raw Data'!AN138/10</f>
        <v>80.7</v>
      </c>
      <c r="AO137" s="83">
        <f>'Raw Data'!AO138/10</f>
        <v>75.5</v>
      </c>
      <c r="AP137" s="83">
        <f>'Raw Data'!AP138/10</f>
        <v>72.400000000000006</v>
      </c>
      <c r="AQ137" s="83">
        <f>'Raw Data'!AQ138/10</f>
        <v>75.2</v>
      </c>
      <c r="AR137" s="83">
        <f>'Raw Data'!AR138/10</f>
        <v>73.7</v>
      </c>
      <c r="AS137" s="83">
        <f>'Raw Data'!AS138/10</f>
        <v>70</v>
      </c>
      <c r="AT137" s="83">
        <f>'Raw Data'!AT138/10</f>
        <v>68.5</v>
      </c>
      <c r="AU137" s="83">
        <f>'Raw Data'!AU138/10</f>
        <v>65.900000000000006</v>
      </c>
      <c r="AV137" s="83">
        <f>'Raw Data'!AV138/10</f>
        <v>68.7</v>
      </c>
      <c r="AW137" s="83">
        <f>'Raw Data'!AW138/10</f>
        <v>62.9</v>
      </c>
      <c r="AX137" s="83">
        <f>'Raw Data'!AX138/10</f>
        <v>61.9</v>
      </c>
      <c r="AY137" s="83">
        <f>'Raw Data'!AY138/10</f>
        <v>59.7</v>
      </c>
      <c r="AZ137" s="83">
        <f>'Raw Data'!AZ138/10</f>
        <v>60.9</v>
      </c>
      <c r="BA137" s="83">
        <f>'Raw Data'!BA138/10</f>
        <v>60.4</v>
      </c>
      <c r="BB137" s="83">
        <f>'Raw Data'!BB138/10</f>
        <v>58.6</v>
      </c>
      <c r="BC137" s="83">
        <f>'Raw Data'!BC138/10</f>
        <v>58.1</v>
      </c>
      <c r="BD137" s="83">
        <f>'Raw Data'!BD138/10</f>
        <v>54.4</v>
      </c>
      <c r="BE137" s="83">
        <f>'Raw Data'!BE138/10</f>
        <v>60.1</v>
      </c>
      <c r="BF137" s="83">
        <f>'Raw Data'!BF138/10</f>
        <v>51.9</v>
      </c>
      <c r="BG137" s="83">
        <f>'Raw Data'!BG138/10</f>
        <v>56.9</v>
      </c>
      <c r="BH137" s="83">
        <f>'Raw Data'!BH138/10</f>
        <v>54.9</v>
      </c>
      <c r="BI137" s="83">
        <f>'Raw Data'!BI138/10</f>
        <v>50.3</v>
      </c>
      <c r="BJ137" s="83">
        <f>'Raw Data'!BJ138/10</f>
        <v>53.7</v>
      </c>
      <c r="BK137" s="83">
        <f>'Raw Data'!BK138/10</f>
        <v>53.8</v>
      </c>
      <c r="BL137" s="83">
        <f>'Raw Data'!BL138/10</f>
        <v>48.4</v>
      </c>
      <c r="BM137" s="83">
        <f>'Raw Data'!BM138/10</f>
        <v>50</v>
      </c>
      <c r="BN137" s="83">
        <f>'Raw Data'!BN138/10</f>
        <v>48.7</v>
      </c>
      <c r="BO137" s="83">
        <f>'Raw Data'!BO138/10</f>
        <v>50.7</v>
      </c>
      <c r="BP137" s="83">
        <f>'Raw Data'!BP138/10</f>
        <v>47</v>
      </c>
      <c r="BQ137" s="83">
        <f>'Raw Data'!BQ138/10</f>
        <v>48.5</v>
      </c>
      <c r="BR137" s="83">
        <f>'Raw Data'!BR138/10</f>
        <v>48.1</v>
      </c>
      <c r="BS137" s="83">
        <f>'Raw Data'!BS138/10</f>
        <v>48.8</v>
      </c>
      <c r="BT137" s="83">
        <f>'Raw Data'!BT138/10</f>
        <v>47.2</v>
      </c>
      <c r="BU137" s="83">
        <f>'Raw Data'!BU138/10</f>
        <v>48.3</v>
      </c>
      <c r="BV137" s="83">
        <f>'Raw Data'!BV138/10</f>
        <v>44.9</v>
      </c>
      <c r="BW137" s="83">
        <f>'Raw Data'!BW138/10</f>
        <v>46.4</v>
      </c>
      <c r="BX137" s="83">
        <f>'Raw Data'!BX138/10</f>
        <v>43.7</v>
      </c>
      <c r="BY137" s="83">
        <f>'Raw Data'!BY138/10</f>
        <v>44.4</v>
      </c>
      <c r="BZ137" s="83">
        <f>'Raw Data'!BZ138/10</f>
        <v>43.6</v>
      </c>
      <c r="CA137" s="83">
        <f>'Raw Data'!CA138/10</f>
        <v>41.9</v>
      </c>
      <c r="CB137" s="83">
        <f>'Raw Data'!CB138/10</f>
        <v>41.9</v>
      </c>
      <c r="CC137" s="83">
        <f>'Raw Data'!CC138/10</f>
        <v>43</v>
      </c>
      <c r="CD137" s="83">
        <f>'Raw Data'!CD138/10</f>
        <v>43.8</v>
      </c>
      <c r="CE137" s="83">
        <f>'Raw Data'!CE138/10</f>
        <v>43.6</v>
      </c>
      <c r="CF137" s="83">
        <f>'Raw Data'!CF138/10</f>
        <v>41.1</v>
      </c>
      <c r="CG137" s="83">
        <f>'Raw Data'!CG138/100</f>
        <v>40.32</v>
      </c>
      <c r="CH137" s="83">
        <f>'Raw Data'!CH138/100</f>
        <v>37.58</v>
      </c>
      <c r="CI137" s="83">
        <f>'Raw Data'!CI138/100</f>
        <v>35.76</v>
      </c>
      <c r="CJ137" s="83">
        <f>'Raw Data'!CJ138/100</f>
        <v>34</v>
      </c>
      <c r="CK137" s="83">
        <f>'Raw Data'!CK138/100</f>
        <v>32.35</v>
      </c>
      <c r="CL137" s="83">
        <f>'Raw Data'!CL138/100</f>
        <v>31.33</v>
      </c>
      <c r="CM137" s="83">
        <f>'Raw Data'!CM138/100</f>
        <v>29.88</v>
      </c>
      <c r="CN137" s="83">
        <f>'Raw Data'!CN138/100</f>
        <v>29.19</v>
      </c>
      <c r="CO137" s="83">
        <f>'Raw Data'!CO138/100</f>
        <v>28</v>
      </c>
      <c r="CP137" s="83">
        <f>'Raw Data'!CP138/100</f>
        <v>27.81</v>
      </c>
      <c r="CQ137" s="83">
        <f>'Raw Data'!CQ138/100</f>
        <v>27.85</v>
      </c>
      <c r="CR137" s="83">
        <f>'Raw Data'!CR138/100</f>
        <v>26.85</v>
      </c>
      <c r="CS137" s="83">
        <f>'Raw Data'!CS138/100</f>
        <v>26.35</v>
      </c>
      <c r="CT137" s="83">
        <f>'Raw Data'!CT138/100</f>
        <v>25.22</v>
      </c>
      <c r="CU137" s="382"/>
    </row>
    <row r="138" spans="4:99" s="86" customFormat="1" x14ac:dyDescent="0.2">
      <c r="D138" s="376"/>
      <c r="E138" s="164"/>
      <c r="F138" s="394"/>
      <c r="G138" s="83">
        <f>'Raw Data'!G139</f>
        <v>89</v>
      </c>
      <c r="H138" s="83">
        <f>'Raw Data'!H139</f>
        <v>98</v>
      </c>
      <c r="I138" s="83">
        <f>'Raw Data'!I139</f>
        <v>79</v>
      </c>
      <c r="J138" s="83">
        <f>'Raw Data'!J139</f>
        <v>75</v>
      </c>
      <c r="K138" s="83">
        <f>'Raw Data'!K139</f>
        <v>74</v>
      </c>
      <c r="L138" s="83">
        <f>'Raw Data'!L139</f>
        <v>78</v>
      </c>
      <c r="M138" s="83">
        <f>'Raw Data'!M139</f>
        <v>86</v>
      </c>
      <c r="N138" s="83">
        <f>'Raw Data'!N139</f>
        <v>89</v>
      </c>
      <c r="O138" s="83">
        <f>'Raw Data'!O139</f>
        <v>70</v>
      </c>
      <c r="P138" s="83">
        <f>'Raw Data'!P139</f>
        <v>80</v>
      </c>
      <c r="Q138" s="83">
        <f>'Raw Data'!Q139</f>
        <v>75</v>
      </c>
      <c r="R138" s="83">
        <f>'Raw Data'!R139</f>
        <v>75</v>
      </c>
      <c r="S138" s="83">
        <f>'Raw Data'!S139</f>
        <v>74</v>
      </c>
      <c r="T138" s="83">
        <f>'Raw Data'!T139</f>
        <v>74</v>
      </c>
      <c r="U138" s="83">
        <f>'Raw Data'!U139</f>
        <v>77</v>
      </c>
      <c r="V138" s="83">
        <f>'Raw Data'!V139</f>
        <v>74</v>
      </c>
      <c r="W138" s="83">
        <f>'Raw Data'!W139</f>
        <v>83</v>
      </c>
      <c r="X138" s="83">
        <f>'Raw Data'!X139</f>
        <v>83</v>
      </c>
      <c r="Y138" s="83">
        <f>'Raw Data'!Y139</f>
        <v>84</v>
      </c>
      <c r="Z138" s="83">
        <f>'Raw Data'!Z139</f>
        <v>77</v>
      </c>
      <c r="AA138" s="83">
        <f>'Raw Data'!AA139/10</f>
        <v>76.2</v>
      </c>
      <c r="AB138" s="83">
        <f>'Raw Data'!AB139/10</f>
        <v>71.8</v>
      </c>
      <c r="AC138" s="83">
        <f>'Raw Data'!AC139/10</f>
        <v>78.3</v>
      </c>
      <c r="AD138" s="83">
        <f>'Raw Data'!AD139/10</f>
        <v>74.900000000000006</v>
      </c>
      <c r="AE138" s="83">
        <f>'Raw Data'!AE139/10</f>
        <v>69.599999999999994</v>
      </c>
      <c r="AF138" s="83">
        <f>'Raw Data'!AF139/10</f>
        <v>66.400000000000006</v>
      </c>
      <c r="AG138" s="83">
        <f>'Raw Data'!AG139/10</f>
        <v>65.400000000000006</v>
      </c>
      <c r="AH138" s="83">
        <f>'Raw Data'!AH139/10</f>
        <v>60.6</v>
      </c>
      <c r="AI138" s="83">
        <f>'Raw Data'!AI139/10</f>
        <v>59.3</v>
      </c>
      <c r="AJ138" s="83">
        <f>'Raw Data'!AJ139/10</f>
        <v>57.7</v>
      </c>
      <c r="AK138" s="83">
        <f>'Raw Data'!AK139/10</f>
        <v>57.1</v>
      </c>
      <c r="AL138" s="83">
        <f>'Raw Data'!AL139/10</f>
        <v>54.3</v>
      </c>
      <c r="AM138" s="83">
        <f>'Raw Data'!AM139/10</f>
        <v>56</v>
      </c>
      <c r="AN138" s="83">
        <f>'Raw Data'!AN139/10</f>
        <v>53.4</v>
      </c>
      <c r="AO138" s="83">
        <f>'Raw Data'!AO139/10</f>
        <v>53.3</v>
      </c>
      <c r="AP138" s="83">
        <f>'Raw Data'!AP139/10</f>
        <v>48.8</v>
      </c>
      <c r="AQ138" s="83">
        <f>'Raw Data'!AQ139/10</f>
        <v>48</v>
      </c>
      <c r="AR138" s="83">
        <f>'Raw Data'!AR139/10</f>
        <v>49.2</v>
      </c>
      <c r="AS138" s="83">
        <f>'Raw Data'!AS139/10</f>
        <v>48</v>
      </c>
      <c r="AT138" s="83">
        <f>'Raw Data'!AT139/10</f>
        <v>42.4</v>
      </c>
      <c r="AU138" s="83">
        <f>'Raw Data'!AU139/10</f>
        <v>42.3</v>
      </c>
      <c r="AV138" s="83">
        <f>'Raw Data'!AV139/10</f>
        <v>43.1</v>
      </c>
      <c r="AW138" s="83">
        <f>'Raw Data'!AW139/10</f>
        <v>40.4</v>
      </c>
      <c r="AX138" s="83">
        <f>'Raw Data'!AX139/10</f>
        <v>40.700000000000003</v>
      </c>
      <c r="AY138" s="83">
        <f>'Raw Data'!AY139/10</f>
        <v>38.9</v>
      </c>
      <c r="AZ138" s="83">
        <f>'Raw Data'!AZ139/10</f>
        <v>38.5</v>
      </c>
      <c r="BA138" s="83">
        <f>'Raw Data'!BA139/10</f>
        <v>40.4</v>
      </c>
      <c r="BB138" s="83">
        <f>'Raw Data'!BB139/10</f>
        <v>40.700000000000003</v>
      </c>
      <c r="BC138" s="83">
        <f>'Raw Data'!BC139/10</f>
        <v>38</v>
      </c>
      <c r="BD138" s="83">
        <f>'Raw Data'!BD139/10</f>
        <v>34</v>
      </c>
      <c r="BE138" s="83">
        <f>'Raw Data'!BE139/10</f>
        <v>35.6</v>
      </c>
      <c r="BF138" s="83">
        <f>'Raw Data'!BF139/10</f>
        <v>35.5</v>
      </c>
      <c r="BG138" s="83">
        <f>'Raw Data'!BG139/10</f>
        <v>35.299999999999997</v>
      </c>
      <c r="BH138" s="83">
        <f>'Raw Data'!BH139/10</f>
        <v>35.700000000000003</v>
      </c>
      <c r="BI138" s="83">
        <f>'Raw Data'!BI139/10</f>
        <v>36</v>
      </c>
      <c r="BJ138" s="83">
        <f>'Raw Data'!BJ139/10</f>
        <v>33.9</v>
      </c>
      <c r="BK138" s="83">
        <f>'Raw Data'!BK139/10</f>
        <v>34.200000000000003</v>
      </c>
      <c r="BL138" s="83">
        <f>'Raw Data'!BL139/10</f>
        <v>32.9</v>
      </c>
      <c r="BM138" s="83">
        <f>'Raw Data'!BM139/10</f>
        <v>30.3</v>
      </c>
      <c r="BN138" s="83">
        <f>'Raw Data'!BN139/10</f>
        <v>30.1</v>
      </c>
      <c r="BO138" s="83">
        <f>'Raw Data'!BO139/10</f>
        <v>30.3</v>
      </c>
      <c r="BP138" s="83">
        <f>'Raw Data'!BP139/10</f>
        <v>31</v>
      </c>
      <c r="BQ138" s="83">
        <f>'Raw Data'!BQ139/10</f>
        <v>30.8</v>
      </c>
      <c r="BR138" s="83">
        <f>'Raw Data'!BR139/10</f>
        <v>29.3</v>
      </c>
      <c r="BS138" s="83">
        <f>'Raw Data'!BS139/10</f>
        <v>29.9</v>
      </c>
      <c r="BT138" s="83">
        <f>'Raw Data'!BT139/10</f>
        <v>30.2</v>
      </c>
      <c r="BU138" s="83">
        <f>'Raw Data'!BU139/10</f>
        <v>30.5</v>
      </c>
      <c r="BV138" s="83">
        <f>'Raw Data'!BV139/10</f>
        <v>27.2</v>
      </c>
      <c r="BW138" s="83">
        <f>'Raw Data'!BW139/10</f>
        <v>28.3</v>
      </c>
      <c r="BX138" s="83">
        <f>'Raw Data'!BX139/10</f>
        <v>27.6</v>
      </c>
      <c r="BY138" s="83">
        <f>'Raw Data'!BY139/10</f>
        <v>27.6</v>
      </c>
      <c r="BZ138" s="83">
        <f>'Raw Data'!BZ139/10</f>
        <v>25.3</v>
      </c>
      <c r="CA138" s="83">
        <f>'Raw Data'!CA139/10</f>
        <v>28.8</v>
      </c>
      <c r="CB138" s="83">
        <f>'Raw Data'!CB139/10</f>
        <v>27.2</v>
      </c>
      <c r="CC138" s="83">
        <f>'Raw Data'!CC139/10</f>
        <v>27.6</v>
      </c>
      <c r="CD138" s="83">
        <f>'Raw Data'!CD139/10</f>
        <v>26.5</v>
      </c>
      <c r="CE138" s="83">
        <f>'Raw Data'!CE139/10</f>
        <v>26.3</v>
      </c>
      <c r="CF138" s="83">
        <f>'Raw Data'!CF139/10</f>
        <v>24.3</v>
      </c>
      <c r="CG138" s="83">
        <f>'Raw Data'!CG139/100</f>
        <v>24.5</v>
      </c>
      <c r="CH138" s="83">
        <f>'Raw Data'!CH139/100</f>
        <v>23.82</v>
      </c>
      <c r="CI138" s="83">
        <f>'Raw Data'!CI139/100</f>
        <v>22.2</v>
      </c>
      <c r="CJ138" s="83">
        <f>'Raw Data'!CJ139/100</f>
        <v>20.92</v>
      </c>
      <c r="CK138" s="83">
        <f>'Raw Data'!CK139/100</f>
        <v>20.28</v>
      </c>
      <c r="CL138" s="83">
        <f>'Raw Data'!CL139/100</f>
        <v>19.670000000000002</v>
      </c>
      <c r="CM138" s="83">
        <f>'Raw Data'!CM139/100</f>
        <v>18.84</v>
      </c>
      <c r="CN138" s="83">
        <f>'Raw Data'!CN139/100</f>
        <v>17.989999999999998</v>
      </c>
      <c r="CO138" s="83">
        <f>'Raw Data'!CO139/100</f>
        <v>18.05</v>
      </c>
      <c r="CP138" s="83">
        <f>'Raw Data'!CP139/100</f>
        <v>17.29</v>
      </c>
      <c r="CQ138" s="83">
        <f>'Raw Data'!CQ139/100</f>
        <v>17.61</v>
      </c>
      <c r="CR138" s="83">
        <f>'Raw Data'!CR139/100</f>
        <v>16.350000000000001</v>
      </c>
      <c r="CS138" s="83">
        <f>'Raw Data'!CS139/100</f>
        <v>16.329999999999998</v>
      </c>
      <c r="CT138" s="83">
        <f>'Raw Data'!CT139/100</f>
        <v>16.22</v>
      </c>
      <c r="CU138" s="382"/>
    </row>
    <row r="139" spans="4:99" s="86" customFormat="1" x14ac:dyDescent="0.2">
      <c r="D139" s="376"/>
      <c r="E139" s="164"/>
      <c r="F139" s="394"/>
      <c r="G139" s="83">
        <f>'Raw Data'!G140</f>
        <v>121</v>
      </c>
      <c r="H139" s="83">
        <f>'Raw Data'!H140</f>
        <v>119</v>
      </c>
      <c r="I139" s="83">
        <f>'Raw Data'!I140</f>
        <v>118</v>
      </c>
      <c r="J139" s="83">
        <f>'Raw Data'!J140</f>
        <v>111</v>
      </c>
      <c r="K139" s="83">
        <f>'Raw Data'!K140</f>
        <v>104</v>
      </c>
      <c r="L139" s="83">
        <f>'Raw Data'!L140</f>
        <v>109</v>
      </c>
      <c r="M139" s="83">
        <f>'Raw Data'!M140</f>
        <v>129</v>
      </c>
      <c r="N139" s="83">
        <f>'Raw Data'!N140</f>
        <v>120</v>
      </c>
      <c r="O139" s="83">
        <f>'Raw Data'!O140</f>
        <v>119</v>
      </c>
      <c r="P139" s="83">
        <f>'Raw Data'!P140</f>
        <v>111</v>
      </c>
      <c r="Q139" s="83">
        <f>'Raw Data'!Q140</f>
        <v>123</v>
      </c>
      <c r="R139" s="83">
        <f>'Raw Data'!R140</f>
        <v>114</v>
      </c>
      <c r="S139" s="83">
        <f>'Raw Data'!S140</f>
        <v>111</v>
      </c>
      <c r="T139" s="83">
        <f>'Raw Data'!T140</f>
        <v>98</v>
      </c>
      <c r="U139" s="83">
        <f>'Raw Data'!U140</f>
        <v>126</v>
      </c>
      <c r="V139" s="83">
        <f>'Raw Data'!V140</f>
        <v>112</v>
      </c>
      <c r="W139" s="83">
        <f>'Raw Data'!W140</f>
        <v>107</v>
      </c>
      <c r="X139" s="83">
        <f>'Raw Data'!X140</f>
        <v>111</v>
      </c>
      <c r="Y139" s="83">
        <f>'Raw Data'!Y140</f>
        <v>130</v>
      </c>
      <c r="Z139" s="83">
        <f>'Raw Data'!Z140</f>
        <v>108</v>
      </c>
      <c r="AA139" s="83">
        <f>'Raw Data'!AA140/10</f>
        <v>112.1</v>
      </c>
      <c r="AB139" s="83">
        <f>'Raw Data'!AB140/10</f>
        <v>107</v>
      </c>
      <c r="AC139" s="83">
        <f>'Raw Data'!AC140/10</f>
        <v>105.4</v>
      </c>
      <c r="AD139" s="83">
        <f>'Raw Data'!AD140/10</f>
        <v>100.4</v>
      </c>
      <c r="AE139" s="83">
        <f>'Raw Data'!AE140/10</f>
        <v>98.5</v>
      </c>
      <c r="AF139" s="83">
        <f>'Raw Data'!AF140/10</f>
        <v>95.8</v>
      </c>
      <c r="AG139" s="83">
        <f>'Raw Data'!AG140/10</f>
        <v>87.7</v>
      </c>
      <c r="AH139" s="83">
        <f>'Raw Data'!AH140/10</f>
        <v>90</v>
      </c>
      <c r="AI139" s="83">
        <f>'Raw Data'!AI140/10</f>
        <v>86.9</v>
      </c>
      <c r="AJ139" s="83">
        <f>'Raw Data'!AJ140/10</f>
        <v>82.3</v>
      </c>
      <c r="AK139" s="83">
        <f>'Raw Data'!AK140/10</f>
        <v>78.8</v>
      </c>
      <c r="AL139" s="83">
        <f>'Raw Data'!AL140/10</f>
        <v>73.7</v>
      </c>
      <c r="AM139" s="83">
        <f>'Raw Data'!AM140/10</f>
        <v>75.7</v>
      </c>
      <c r="AN139" s="83">
        <f>'Raw Data'!AN140/10</f>
        <v>75.3</v>
      </c>
      <c r="AO139" s="83">
        <f>'Raw Data'!AO140/10</f>
        <v>75.900000000000006</v>
      </c>
      <c r="AP139" s="83">
        <f>'Raw Data'!AP140/10</f>
        <v>68.2</v>
      </c>
      <c r="AQ139" s="83">
        <f>'Raw Data'!AQ140/10</f>
        <v>66.8</v>
      </c>
      <c r="AR139" s="83">
        <f>'Raw Data'!AR140/10</f>
        <v>66.7</v>
      </c>
      <c r="AS139" s="83">
        <f>'Raw Data'!AS140/10</f>
        <v>64.5</v>
      </c>
      <c r="AT139" s="83">
        <f>'Raw Data'!AT140/10</f>
        <v>62.4</v>
      </c>
      <c r="AU139" s="83">
        <f>'Raw Data'!AU140/10</f>
        <v>59.5</v>
      </c>
      <c r="AV139" s="83">
        <f>'Raw Data'!AV140/10</f>
        <v>59.7</v>
      </c>
      <c r="AW139" s="83">
        <f>'Raw Data'!AW140/10</f>
        <v>56.9</v>
      </c>
      <c r="AX139" s="83">
        <f>'Raw Data'!AX140/10</f>
        <v>58</v>
      </c>
      <c r="AY139" s="83">
        <f>'Raw Data'!AY140/10</f>
        <v>55.7</v>
      </c>
      <c r="AZ139" s="83">
        <f>'Raw Data'!AZ140/10</f>
        <v>55</v>
      </c>
      <c r="BA139" s="83">
        <f>'Raw Data'!BA140/10</f>
        <v>53.2</v>
      </c>
      <c r="BB139" s="83">
        <f>'Raw Data'!BB140/10</f>
        <v>49.1</v>
      </c>
      <c r="BC139" s="83">
        <f>'Raw Data'!BC140/10</f>
        <v>54.1</v>
      </c>
      <c r="BD139" s="83">
        <f>'Raw Data'!BD140/10</f>
        <v>47.9</v>
      </c>
      <c r="BE139" s="83">
        <f>'Raw Data'!BE140/10</f>
        <v>48.1</v>
      </c>
      <c r="BF139" s="83">
        <f>'Raw Data'!BF140/10</f>
        <v>47.3</v>
      </c>
      <c r="BG139" s="83">
        <f>'Raw Data'!BG140/10</f>
        <v>49</v>
      </c>
      <c r="BH139" s="83">
        <f>'Raw Data'!BH140/10</f>
        <v>47.8</v>
      </c>
      <c r="BI139" s="83">
        <f>'Raw Data'!BI140/10</f>
        <v>45.4</v>
      </c>
      <c r="BJ139" s="83">
        <f>'Raw Data'!BJ140/10</f>
        <v>43.5</v>
      </c>
      <c r="BK139" s="83">
        <f>'Raw Data'!BK140/10</f>
        <v>45.7</v>
      </c>
      <c r="BL139" s="83">
        <f>'Raw Data'!BL140/10</f>
        <v>45.6</v>
      </c>
      <c r="BM139" s="83">
        <f>'Raw Data'!BM140/10</f>
        <v>44.4</v>
      </c>
      <c r="BN139" s="83">
        <f>'Raw Data'!BN140/10</f>
        <v>43.3</v>
      </c>
      <c r="BO139" s="83">
        <f>'Raw Data'!BO140/10</f>
        <v>39</v>
      </c>
      <c r="BP139" s="83">
        <f>'Raw Data'!BP140/10</f>
        <v>44.7</v>
      </c>
      <c r="BQ139" s="83">
        <f>'Raw Data'!BQ140/10</f>
        <v>40.5</v>
      </c>
      <c r="BR139" s="83">
        <f>'Raw Data'!BR140/10</f>
        <v>41.1</v>
      </c>
      <c r="BS139" s="83">
        <f>'Raw Data'!BS140/10</f>
        <v>36.700000000000003</v>
      </c>
      <c r="BT139" s="83">
        <f>'Raw Data'!BT140/10</f>
        <v>38.5</v>
      </c>
      <c r="BU139" s="83">
        <f>'Raw Data'!BU140/10</f>
        <v>36.1</v>
      </c>
      <c r="BV139" s="83">
        <f>'Raw Data'!BV140/10</f>
        <v>37.700000000000003</v>
      </c>
      <c r="BW139" s="83">
        <f>'Raw Data'!BW140/10</f>
        <v>39</v>
      </c>
      <c r="BX139" s="83">
        <f>'Raw Data'!BX140/10</f>
        <v>34.6</v>
      </c>
      <c r="BY139" s="83">
        <f>'Raw Data'!BY140/10</f>
        <v>37</v>
      </c>
      <c r="BZ139" s="83">
        <f>'Raw Data'!BZ140/10</f>
        <v>37.6</v>
      </c>
      <c r="CA139" s="83">
        <f>'Raw Data'!CA140/10</f>
        <v>33.299999999999997</v>
      </c>
      <c r="CB139" s="83">
        <f>'Raw Data'!CB140/10</f>
        <v>35.799999999999997</v>
      </c>
      <c r="CC139" s="83">
        <f>'Raw Data'!CC140/10</f>
        <v>34.299999999999997</v>
      </c>
      <c r="CD139" s="83">
        <f>'Raw Data'!CD140/10</f>
        <v>38.299999999999997</v>
      </c>
      <c r="CE139" s="83">
        <f>'Raw Data'!CE140/10</f>
        <v>32.299999999999997</v>
      </c>
      <c r="CF139" s="83">
        <f>'Raw Data'!CF140/10</f>
        <v>33.6</v>
      </c>
      <c r="CG139" s="83">
        <f>'Raw Data'!CG140/100</f>
        <v>33.32</v>
      </c>
      <c r="CH139" s="83">
        <f>'Raw Data'!CH140/100</f>
        <v>29.85</v>
      </c>
      <c r="CI139" s="83">
        <f>'Raw Data'!CI140/100</f>
        <v>28.37</v>
      </c>
      <c r="CJ139" s="83">
        <f>'Raw Data'!CJ140/100</f>
        <v>26.74</v>
      </c>
      <c r="CK139" s="83">
        <f>'Raw Data'!CK140/100</f>
        <v>25.84</v>
      </c>
      <c r="CL139" s="83">
        <f>'Raw Data'!CL140/100</f>
        <v>24.72</v>
      </c>
      <c r="CM139" s="83">
        <f>'Raw Data'!CM140/100</f>
        <v>23.8</v>
      </c>
      <c r="CN139" s="83">
        <f>'Raw Data'!CN140/100</f>
        <v>23.25</v>
      </c>
      <c r="CO139" s="83">
        <f>'Raw Data'!CO140/100</f>
        <v>22.09</v>
      </c>
      <c r="CP139" s="83">
        <f>'Raw Data'!CP140/100</f>
        <v>21.52</v>
      </c>
      <c r="CQ139" s="83">
        <f>'Raw Data'!CQ140/100</f>
        <v>20.74</v>
      </c>
      <c r="CR139" s="83">
        <f>'Raw Data'!CR140/100</f>
        <v>20.49</v>
      </c>
      <c r="CS139" s="83">
        <f>'Raw Data'!CS140/100</f>
        <v>19.64</v>
      </c>
      <c r="CT139" s="83">
        <f>'Raw Data'!CT140/100</f>
        <v>19.79</v>
      </c>
      <c r="CU139" s="382"/>
    </row>
    <row r="140" spans="4:99" s="86" customFormat="1" x14ac:dyDescent="0.2">
      <c r="D140" s="376"/>
      <c r="E140" s="164"/>
      <c r="F140" s="394"/>
      <c r="G140" s="83">
        <f>'Raw Data'!G141</f>
        <v>136</v>
      </c>
      <c r="H140" s="83">
        <f>'Raw Data'!H141</f>
        <v>139</v>
      </c>
      <c r="I140" s="83">
        <f>'Raw Data'!I141</f>
        <v>153</v>
      </c>
      <c r="J140" s="83">
        <f>'Raw Data'!J141</f>
        <v>153</v>
      </c>
      <c r="K140" s="83">
        <f>'Raw Data'!K141</f>
        <v>132</v>
      </c>
      <c r="L140" s="83">
        <f>'Raw Data'!L141</f>
        <v>150</v>
      </c>
      <c r="M140" s="83">
        <f>'Raw Data'!M141</f>
        <v>142</v>
      </c>
      <c r="N140" s="83">
        <f>'Raw Data'!N141</f>
        <v>145</v>
      </c>
      <c r="O140" s="83">
        <f>'Raw Data'!O141</f>
        <v>133</v>
      </c>
      <c r="P140" s="83">
        <f>'Raw Data'!P141</f>
        <v>134</v>
      </c>
      <c r="Q140" s="83">
        <f>'Raw Data'!Q141</f>
        <v>147</v>
      </c>
      <c r="R140" s="83">
        <f>'Raw Data'!R141</f>
        <v>128</v>
      </c>
      <c r="S140" s="83">
        <f>'Raw Data'!S141</f>
        <v>130</v>
      </c>
      <c r="T140" s="83">
        <f>'Raw Data'!T141</f>
        <v>145</v>
      </c>
      <c r="U140" s="83">
        <f>'Raw Data'!U141</f>
        <v>135</v>
      </c>
      <c r="V140" s="83">
        <f>'Raw Data'!V141</f>
        <v>134</v>
      </c>
      <c r="W140" s="83">
        <f>'Raw Data'!W141</f>
        <v>118</v>
      </c>
      <c r="X140" s="83">
        <f>'Raw Data'!X141</f>
        <v>125</v>
      </c>
      <c r="Y140" s="83">
        <f>'Raw Data'!Y141</f>
        <v>132</v>
      </c>
      <c r="Z140" s="83">
        <f>'Raw Data'!Z141</f>
        <v>132</v>
      </c>
      <c r="AA140" s="83">
        <f>'Raw Data'!AA141/10</f>
        <v>134.80000000000001</v>
      </c>
      <c r="AB140" s="83">
        <f>'Raw Data'!AB141/10</f>
        <v>132.9</v>
      </c>
      <c r="AC140" s="83">
        <f>'Raw Data'!AC141/10</f>
        <v>123.1</v>
      </c>
      <c r="AD140" s="83">
        <f>'Raw Data'!AD141/10</f>
        <v>124.3</v>
      </c>
      <c r="AE140" s="83">
        <f>'Raw Data'!AE141/10</f>
        <v>118.5</v>
      </c>
      <c r="AF140" s="83">
        <f>'Raw Data'!AF141/10</f>
        <v>112.7</v>
      </c>
      <c r="AG140" s="83">
        <f>'Raw Data'!AG141/10</f>
        <v>108.4</v>
      </c>
      <c r="AH140" s="83">
        <f>'Raw Data'!AH141/10</f>
        <v>104.1</v>
      </c>
      <c r="AI140" s="83">
        <f>'Raw Data'!AI141/10</f>
        <v>104.4</v>
      </c>
      <c r="AJ140" s="83">
        <f>'Raw Data'!AJ141/10</f>
        <v>98.1</v>
      </c>
      <c r="AK140" s="83">
        <f>'Raw Data'!AK141/10</f>
        <v>96.6</v>
      </c>
      <c r="AL140" s="83">
        <f>'Raw Data'!AL141/10</f>
        <v>91</v>
      </c>
      <c r="AM140" s="83">
        <f>'Raw Data'!AM141/10</f>
        <v>91.9</v>
      </c>
      <c r="AN140" s="83">
        <f>'Raw Data'!AN141/10</f>
        <v>84.1</v>
      </c>
      <c r="AO140" s="83">
        <f>'Raw Data'!AO141/10</f>
        <v>84.4</v>
      </c>
      <c r="AP140" s="83">
        <f>'Raw Data'!AP141/10</f>
        <v>81.8</v>
      </c>
      <c r="AQ140" s="83">
        <f>'Raw Data'!AQ141/10</f>
        <v>80.2</v>
      </c>
      <c r="AR140" s="83">
        <f>'Raw Data'!AR141/10</f>
        <v>77.400000000000006</v>
      </c>
      <c r="AS140" s="83">
        <f>'Raw Data'!AS141/10</f>
        <v>73.2</v>
      </c>
      <c r="AT140" s="83">
        <f>'Raw Data'!AT141/10</f>
        <v>78.8</v>
      </c>
      <c r="AU140" s="83">
        <f>'Raw Data'!AU141/10</f>
        <v>72</v>
      </c>
      <c r="AV140" s="83">
        <f>'Raw Data'!AV141/10</f>
        <v>68.5</v>
      </c>
      <c r="AW140" s="83">
        <f>'Raw Data'!AW141/10</f>
        <v>65.400000000000006</v>
      </c>
      <c r="AX140" s="83">
        <f>'Raw Data'!AX141/10</f>
        <v>66</v>
      </c>
      <c r="AY140" s="83">
        <f>'Raw Data'!AY141/10</f>
        <v>63.8</v>
      </c>
      <c r="AZ140" s="83">
        <f>'Raw Data'!AZ141/10</f>
        <v>62.2</v>
      </c>
      <c r="BA140" s="83">
        <f>'Raw Data'!BA141/10</f>
        <v>62.6</v>
      </c>
      <c r="BB140" s="83">
        <f>'Raw Data'!BB141/10</f>
        <v>60.4</v>
      </c>
      <c r="BC140" s="83">
        <f>'Raw Data'!BC141/10</f>
        <v>58</v>
      </c>
      <c r="BD140" s="83">
        <f>'Raw Data'!BD141/10</f>
        <v>56.9</v>
      </c>
      <c r="BE140" s="83">
        <f>'Raw Data'!BE141/10</f>
        <v>51.4</v>
      </c>
      <c r="BF140" s="83">
        <f>'Raw Data'!BF141/10</f>
        <v>53.5</v>
      </c>
      <c r="BG140" s="83">
        <f>'Raw Data'!BG141/10</f>
        <v>53.7</v>
      </c>
      <c r="BH140" s="83">
        <f>'Raw Data'!BH141/10</f>
        <v>52.1</v>
      </c>
      <c r="BI140" s="83">
        <f>'Raw Data'!BI141/10</f>
        <v>50.3</v>
      </c>
      <c r="BJ140" s="83">
        <f>'Raw Data'!BJ141/10</f>
        <v>50.9</v>
      </c>
      <c r="BK140" s="83">
        <f>'Raw Data'!BK141/10</f>
        <v>46.1</v>
      </c>
      <c r="BL140" s="83">
        <f>'Raw Data'!BL141/10</f>
        <v>49.4</v>
      </c>
      <c r="BM140" s="83">
        <f>'Raw Data'!BM141/10</f>
        <v>47</v>
      </c>
      <c r="BN140" s="83">
        <f>'Raw Data'!BN141/10</f>
        <v>45.3</v>
      </c>
      <c r="BO140" s="83">
        <f>'Raw Data'!BO141/10</f>
        <v>46.7</v>
      </c>
      <c r="BP140" s="83">
        <f>'Raw Data'!BP141/10</f>
        <v>44.8</v>
      </c>
      <c r="BQ140" s="83">
        <f>'Raw Data'!BQ141/10</f>
        <v>45.4</v>
      </c>
      <c r="BR140" s="83">
        <f>'Raw Data'!BR141/10</f>
        <v>43.2</v>
      </c>
      <c r="BS140" s="83">
        <f>'Raw Data'!BS141/10</f>
        <v>42.3</v>
      </c>
      <c r="BT140" s="83">
        <f>'Raw Data'!BT141/10</f>
        <v>42.3</v>
      </c>
      <c r="BU140" s="83">
        <f>'Raw Data'!BU141/10</f>
        <v>40.6</v>
      </c>
      <c r="BV140" s="83">
        <f>'Raw Data'!BV141/10</f>
        <v>39.799999999999997</v>
      </c>
      <c r="BW140" s="83">
        <f>'Raw Data'!BW141/10</f>
        <v>41.5</v>
      </c>
      <c r="BX140" s="83">
        <f>'Raw Data'!BX141/10</f>
        <v>39.200000000000003</v>
      </c>
      <c r="BY140" s="83">
        <f>'Raw Data'!BY141/10</f>
        <v>40.4</v>
      </c>
      <c r="BZ140" s="83">
        <f>'Raw Data'!BZ141/10</f>
        <v>39.299999999999997</v>
      </c>
      <c r="CA140" s="83">
        <f>'Raw Data'!CA141/10</f>
        <v>35.9</v>
      </c>
      <c r="CB140" s="83">
        <f>'Raw Data'!CB141/10</f>
        <v>34.700000000000003</v>
      </c>
      <c r="CC140" s="83">
        <f>'Raw Data'!CC141/10</f>
        <v>37.299999999999997</v>
      </c>
      <c r="CD140" s="83">
        <f>'Raw Data'!CD141/10</f>
        <v>38.1</v>
      </c>
      <c r="CE140" s="83">
        <f>'Raw Data'!CE141/10</f>
        <v>39.4</v>
      </c>
      <c r="CF140" s="83">
        <f>'Raw Data'!CF141/10</f>
        <v>33</v>
      </c>
      <c r="CG140" s="83">
        <f>'Raw Data'!CG141/100</f>
        <v>35.31</v>
      </c>
      <c r="CH140" s="83">
        <f>'Raw Data'!CH141/100</f>
        <v>32.11</v>
      </c>
      <c r="CI140" s="83">
        <f>'Raw Data'!CI141/100</f>
        <v>29.71</v>
      </c>
      <c r="CJ140" s="83">
        <f>'Raw Data'!CJ141/100</f>
        <v>27.61</v>
      </c>
      <c r="CK140" s="83">
        <f>'Raw Data'!CK141/100</f>
        <v>25.66</v>
      </c>
      <c r="CL140" s="83">
        <f>'Raw Data'!CL141/100</f>
        <v>24.97</v>
      </c>
      <c r="CM140" s="83">
        <f>'Raw Data'!CM141/100</f>
        <v>24.16</v>
      </c>
      <c r="CN140" s="83">
        <f>'Raw Data'!CN141/100</f>
        <v>22.31</v>
      </c>
      <c r="CO140" s="83">
        <f>'Raw Data'!CO141/100</f>
        <v>22.22</v>
      </c>
      <c r="CP140" s="83">
        <f>'Raw Data'!CP141/100</f>
        <v>21.54</v>
      </c>
      <c r="CQ140" s="83">
        <f>'Raw Data'!CQ141/100</f>
        <v>20.98</v>
      </c>
      <c r="CR140" s="83">
        <f>'Raw Data'!CR141/100</f>
        <v>19.989999999999998</v>
      </c>
      <c r="CS140" s="83">
        <f>'Raw Data'!CS141/100</f>
        <v>19.36</v>
      </c>
      <c r="CT140" s="83">
        <f>'Raw Data'!CT141/100</f>
        <v>18.91</v>
      </c>
      <c r="CU140" s="382"/>
    </row>
    <row r="141" spans="4:99" s="86" customFormat="1" x14ac:dyDescent="0.2">
      <c r="D141" s="376"/>
      <c r="E141" s="164"/>
      <c r="F141" s="394"/>
      <c r="G141" s="83">
        <f>'Raw Data'!G142</f>
        <v>116</v>
      </c>
      <c r="H141" s="83">
        <f>'Raw Data'!H142</f>
        <v>121</v>
      </c>
      <c r="I141" s="83">
        <f>'Raw Data'!I142</f>
        <v>118</v>
      </c>
      <c r="J141" s="83">
        <f>'Raw Data'!J142</f>
        <v>105</v>
      </c>
      <c r="K141" s="83">
        <f>'Raw Data'!K142</f>
        <v>107</v>
      </c>
      <c r="L141" s="83">
        <f>'Raw Data'!L142</f>
        <v>107</v>
      </c>
      <c r="M141" s="83">
        <f>'Raw Data'!M142</f>
        <v>102</v>
      </c>
      <c r="N141" s="83">
        <f>'Raw Data'!N142</f>
        <v>112</v>
      </c>
      <c r="O141" s="83">
        <f>'Raw Data'!O142</f>
        <v>106</v>
      </c>
      <c r="P141" s="83">
        <f>'Raw Data'!P142</f>
        <v>109</v>
      </c>
      <c r="Q141" s="83">
        <f>'Raw Data'!Q142</f>
        <v>130</v>
      </c>
      <c r="R141" s="83">
        <f>'Raw Data'!R142</f>
        <v>127</v>
      </c>
      <c r="S141" s="83">
        <f>'Raw Data'!S142</f>
        <v>110</v>
      </c>
      <c r="T141" s="83">
        <f>'Raw Data'!T142</f>
        <v>125</v>
      </c>
      <c r="U141" s="83">
        <f>'Raw Data'!U142</f>
        <v>114</v>
      </c>
      <c r="V141" s="83">
        <f>'Raw Data'!V142</f>
        <v>114</v>
      </c>
      <c r="W141" s="83">
        <f>'Raw Data'!W142</f>
        <v>121</v>
      </c>
      <c r="X141" s="83">
        <f>'Raw Data'!X142</f>
        <v>106</v>
      </c>
      <c r="Y141" s="83">
        <f>'Raw Data'!Y142</f>
        <v>106</v>
      </c>
      <c r="Z141" s="83">
        <f>'Raw Data'!Z142</f>
        <v>118</v>
      </c>
      <c r="AA141" s="83">
        <f>'Raw Data'!AA142/10</f>
        <v>112.7</v>
      </c>
      <c r="AB141" s="83">
        <f>'Raw Data'!AB142/10</f>
        <v>109.5</v>
      </c>
      <c r="AC141" s="83">
        <f>'Raw Data'!AC142/10</f>
        <v>106.7</v>
      </c>
      <c r="AD141" s="83">
        <f>'Raw Data'!AD142/10</f>
        <v>102.3</v>
      </c>
      <c r="AE141" s="83">
        <f>'Raw Data'!AE142/10</f>
        <v>102.6</v>
      </c>
      <c r="AF141" s="83">
        <f>'Raw Data'!AF142/10</f>
        <v>93.2</v>
      </c>
      <c r="AG141" s="83">
        <f>'Raw Data'!AG142/10</f>
        <v>89.7</v>
      </c>
      <c r="AH141" s="83">
        <f>'Raw Data'!AH142/10</f>
        <v>92.3</v>
      </c>
      <c r="AI141" s="83">
        <f>'Raw Data'!AI142/10</f>
        <v>88.7</v>
      </c>
      <c r="AJ141" s="83">
        <f>'Raw Data'!AJ142/10</f>
        <v>85.5</v>
      </c>
      <c r="AK141" s="83">
        <f>'Raw Data'!AK142/10</f>
        <v>81</v>
      </c>
      <c r="AL141" s="83">
        <f>'Raw Data'!AL142/10</f>
        <v>80.900000000000006</v>
      </c>
      <c r="AM141" s="83">
        <f>'Raw Data'!AM142/10</f>
        <v>77.2</v>
      </c>
      <c r="AN141" s="83">
        <f>'Raw Data'!AN142/10</f>
        <v>74</v>
      </c>
      <c r="AO141" s="83">
        <f>'Raw Data'!AO142/10</f>
        <v>70.8</v>
      </c>
      <c r="AP141" s="83">
        <f>'Raw Data'!AP142/10</f>
        <v>71.900000000000006</v>
      </c>
      <c r="AQ141" s="83">
        <f>'Raw Data'!AQ142/10</f>
        <v>70.400000000000006</v>
      </c>
      <c r="AR141" s="83">
        <f>'Raw Data'!AR142/10</f>
        <v>66.7</v>
      </c>
      <c r="AS141" s="83">
        <f>'Raw Data'!AS142/10</f>
        <v>67.3</v>
      </c>
      <c r="AT141" s="83">
        <f>'Raw Data'!AT142/10</f>
        <v>67.3</v>
      </c>
      <c r="AU141" s="83">
        <f>'Raw Data'!AU142/10</f>
        <v>63.1</v>
      </c>
      <c r="AV141" s="83">
        <f>'Raw Data'!AV142/10</f>
        <v>62.1</v>
      </c>
      <c r="AW141" s="83">
        <f>'Raw Data'!AW142/10</f>
        <v>60.3</v>
      </c>
      <c r="AX141" s="83">
        <f>'Raw Data'!AX142/10</f>
        <v>62.1</v>
      </c>
      <c r="AY141" s="83">
        <f>'Raw Data'!AY142/10</f>
        <v>59.7</v>
      </c>
      <c r="AZ141" s="83">
        <f>'Raw Data'!AZ142/10</f>
        <v>59.6</v>
      </c>
      <c r="BA141" s="83">
        <f>'Raw Data'!BA142/10</f>
        <v>58.3</v>
      </c>
      <c r="BB141" s="83">
        <f>'Raw Data'!BB142/10</f>
        <v>56</v>
      </c>
      <c r="BC141" s="83">
        <f>'Raw Data'!BC142/10</f>
        <v>53.4</v>
      </c>
      <c r="BD141" s="83">
        <f>'Raw Data'!BD142/10</f>
        <v>53.4</v>
      </c>
      <c r="BE141" s="83">
        <f>'Raw Data'!BE142/10</f>
        <v>51.8</v>
      </c>
      <c r="BF141" s="83">
        <f>'Raw Data'!BF142/10</f>
        <v>51.2</v>
      </c>
      <c r="BG141" s="83">
        <f>'Raw Data'!BG142/10</f>
        <v>47</v>
      </c>
      <c r="BH141" s="83">
        <f>'Raw Data'!BH142/10</f>
        <v>50.4</v>
      </c>
      <c r="BI141" s="83">
        <f>'Raw Data'!BI142/10</f>
        <v>47.7</v>
      </c>
      <c r="BJ141" s="83">
        <f>'Raw Data'!BJ142/10</f>
        <v>48.2</v>
      </c>
      <c r="BK141" s="83">
        <f>'Raw Data'!BK142/10</f>
        <v>48.3</v>
      </c>
      <c r="BL141" s="83">
        <f>'Raw Data'!BL142/10</f>
        <v>47.5</v>
      </c>
      <c r="BM141" s="83">
        <f>'Raw Data'!BM142/10</f>
        <v>45.2</v>
      </c>
      <c r="BN141" s="83">
        <f>'Raw Data'!BN142/10</f>
        <v>46.1</v>
      </c>
      <c r="BO141" s="83">
        <f>'Raw Data'!BO142/10</f>
        <v>46.3</v>
      </c>
      <c r="BP141" s="83">
        <f>'Raw Data'!BP142/10</f>
        <v>44.8</v>
      </c>
      <c r="BQ141" s="83">
        <f>'Raw Data'!BQ142/10</f>
        <v>41.5</v>
      </c>
      <c r="BR141" s="83">
        <f>'Raw Data'!BR142/10</f>
        <v>42.2</v>
      </c>
      <c r="BS141" s="83">
        <f>'Raw Data'!BS142/10</f>
        <v>44.2</v>
      </c>
      <c r="BT141" s="83">
        <f>'Raw Data'!BT142/10</f>
        <v>43</v>
      </c>
      <c r="BU141" s="83">
        <f>'Raw Data'!BU142/10</f>
        <v>42.4</v>
      </c>
      <c r="BV141" s="83">
        <f>'Raw Data'!BV142/10</f>
        <v>38.799999999999997</v>
      </c>
      <c r="BW141" s="83">
        <f>'Raw Data'!BW142/10</f>
        <v>40.799999999999997</v>
      </c>
      <c r="BX141" s="83">
        <f>'Raw Data'!BX142/10</f>
        <v>40.700000000000003</v>
      </c>
      <c r="BY141" s="83">
        <f>'Raw Data'!BY142/10</f>
        <v>42.3</v>
      </c>
      <c r="BZ141" s="83">
        <f>'Raw Data'!BZ142/10</f>
        <v>37.700000000000003</v>
      </c>
      <c r="CA141" s="83">
        <f>'Raw Data'!CA142/10</f>
        <v>38.6</v>
      </c>
      <c r="CB141" s="83">
        <f>'Raw Data'!CB142/10</f>
        <v>36.299999999999997</v>
      </c>
      <c r="CC141" s="83">
        <f>'Raw Data'!CC142/10</f>
        <v>35.299999999999997</v>
      </c>
      <c r="CD141" s="83">
        <f>'Raw Data'!CD142/10</f>
        <v>38.5</v>
      </c>
      <c r="CE141" s="83">
        <f>'Raw Data'!CE142/10</f>
        <v>34.6</v>
      </c>
      <c r="CF141" s="83">
        <f>'Raw Data'!CF142/10</f>
        <v>37.1</v>
      </c>
      <c r="CG141" s="83">
        <f>'Raw Data'!CG142/100</f>
        <v>34.43</v>
      </c>
      <c r="CH141" s="83">
        <f>'Raw Data'!CH142/100</f>
        <v>32.21</v>
      </c>
      <c r="CI141" s="83">
        <f>'Raw Data'!CI142/100</f>
        <v>30.92</v>
      </c>
      <c r="CJ141" s="83">
        <f>'Raw Data'!CJ142/100</f>
        <v>29.14</v>
      </c>
      <c r="CK141" s="83">
        <f>'Raw Data'!CK142/100</f>
        <v>28.05</v>
      </c>
      <c r="CL141" s="83">
        <f>'Raw Data'!CL142/100</f>
        <v>26.1</v>
      </c>
      <c r="CM141" s="83">
        <f>'Raw Data'!CM142/100</f>
        <v>24.8</v>
      </c>
      <c r="CN141" s="83">
        <f>'Raw Data'!CN142/100</f>
        <v>23.99</v>
      </c>
      <c r="CO141" s="83">
        <f>'Raw Data'!CO142/100</f>
        <v>23.17</v>
      </c>
      <c r="CP141" s="83">
        <f>'Raw Data'!CP142/100</f>
        <v>22.64</v>
      </c>
      <c r="CQ141" s="83">
        <f>'Raw Data'!CQ142/100</f>
        <v>21.85</v>
      </c>
      <c r="CR141" s="83">
        <f>'Raw Data'!CR142/100</f>
        <v>21.24</v>
      </c>
      <c r="CS141" s="83">
        <f>'Raw Data'!CS142/100</f>
        <v>21.45</v>
      </c>
      <c r="CT141" s="83">
        <f>'Raw Data'!CT142/100</f>
        <v>20.56</v>
      </c>
      <c r="CU141" s="382"/>
    </row>
    <row r="142" spans="4:99" s="86" customFormat="1" x14ac:dyDescent="0.2">
      <c r="D142" s="376"/>
      <c r="E142" s="164"/>
      <c r="F142" s="394"/>
      <c r="G142" s="83">
        <f>'Raw Data'!G143</f>
        <v>295</v>
      </c>
      <c r="H142" s="83">
        <f>'Raw Data'!H143</f>
        <v>270</v>
      </c>
      <c r="I142" s="83">
        <f>'Raw Data'!I143</f>
        <v>266</v>
      </c>
      <c r="J142" s="83">
        <f>'Raw Data'!J143</f>
        <v>236</v>
      </c>
      <c r="K142" s="83">
        <f>'Raw Data'!K143</f>
        <v>263</v>
      </c>
      <c r="L142" s="83">
        <f>'Raw Data'!L143</f>
        <v>261</v>
      </c>
      <c r="M142" s="83">
        <f>'Raw Data'!M143</f>
        <v>251</v>
      </c>
      <c r="N142" s="83">
        <f>'Raw Data'!N143</f>
        <v>238</v>
      </c>
      <c r="O142" s="83">
        <f>'Raw Data'!O143</f>
        <v>257</v>
      </c>
      <c r="P142" s="83">
        <f>'Raw Data'!P143</f>
        <v>275</v>
      </c>
      <c r="Q142" s="83">
        <f>'Raw Data'!Q143</f>
        <v>262</v>
      </c>
      <c r="R142" s="83">
        <f>'Raw Data'!R143</f>
        <v>256</v>
      </c>
      <c r="S142" s="83">
        <f>'Raw Data'!S143</f>
        <v>241</v>
      </c>
      <c r="T142" s="83">
        <f>'Raw Data'!T143</f>
        <v>259</v>
      </c>
      <c r="U142" s="83">
        <f>'Raw Data'!U143</f>
        <v>251</v>
      </c>
      <c r="V142" s="83">
        <f>'Raw Data'!V143</f>
        <v>243</v>
      </c>
      <c r="W142" s="83">
        <f>'Raw Data'!W143</f>
        <v>259</v>
      </c>
      <c r="X142" s="83">
        <f>'Raw Data'!X143</f>
        <v>270</v>
      </c>
      <c r="Y142" s="83">
        <f>'Raw Data'!Y143</f>
        <v>260</v>
      </c>
      <c r="Z142" s="83">
        <f>'Raw Data'!Z143</f>
        <v>256</v>
      </c>
      <c r="AA142" s="83">
        <f>'Raw Data'!AA143/10</f>
        <v>254.2</v>
      </c>
      <c r="AB142" s="83">
        <f>'Raw Data'!AB143/10</f>
        <v>242.1</v>
      </c>
      <c r="AC142" s="83">
        <f>'Raw Data'!AC143/10</f>
        <v>233.6</v>
      </c>
      <c r="AD142" s="83">
        <f>'Raw Data'!AD143/10</f>
        <v>232.4</v>
      </c>
      <c r="AE142" s="83">
        <f>'Raw Data'!AE143/10</f>
        <v>220</v>
      </c>
      <c r="AF142" s="83">
        <f>'Raw Data'!AF143/10</f>
        <v>218.1</v>
      </c>
      <c r="AG142" s="83">
        <f>'Raw Data'!AG143/10</f>
        <v>200.9</v>
      </c>
      <c r="AH142" s="83">
        <f>'Raw Data'!AH143/10</f>
        <v>191.3</v>
      </c>
      <c r="AI142" s="83">
        <f>'Raw Data'!AI143/10</f>
        <v>196.3</v>
      </c>
      <c r="AJ142" s="83">
        <f>'Raw Data'!AJ143/10</f>
        <v>189.8</v>
      </c>
      <c r="AK142" s="83">
        <f>'Raw Data'!AK143/10</f>
        <v>180</v>
      </c>
      <c r="AL142" s="83">
        <f>'Raw Data'!AL143/10</f>
        <v>169.7</v>
      </c>
      <c r="AM142" s="83">
        <f>'Raw Data'!AM143/10</f>
        <v>166.4</v>
      </c>
      <c r="AN142" s="83">
        <f>'Raw Data'!AN143/10</f>
        <v>158.80000000000001</v>
      </c>
      <c r="AO142" s="83">
        <f>'Raw Data'!AO143/10</f>
        <v>154.9</v>
      </c>
      <c r="AP142" s="83">
        <f>'Raw Data'!AP143/10</f>
        <v>150.4</v>
      </c>
      <c r="AQ142" s="83">
        <f>'Raw Data'!AQ143/10</f>
        <v>142.9</v>
      </c>
      <c r="AR142" s="83">
        <f>'Raw Data'!AR143/10</f>
        <v>140.4</v>
      </c>
      <c r="AS142" s="83">
        <f>'Raw Data'!AS143/10</f>
        <v>135.4</v>
      </c>
      <c r="AT142" s="83">
        <f>'Raw Data'!AT143/10</f>
        <v>133</v>
      </c>
      <c r="AU142" s="83">
        <f>'Raw Data'!AU143/10</f>
        <v>129.5</v>
      </c>
      <c r="AV142" s="83">
        <f>'Raw Data'!AV143/10</f>
        <v>129</v>
      </c>
      <c r="AW142" s="83">
        <f>'Raw Data'!AW143/10</f>
        <v>119.1</v>
      </c>
      <c r="AX142" s="83">
        <f>'Raw Data'!AX143/10</f>
        <v>120.4</v>
      </c>
      <c r="AY142" s="83">
        <f>'Raw Data'!AY143/10</f>
        <v>117.5</v>
      </c>
      <c r="AZ142" s="83">
        <f>'Raw Data'!AZ143/10</f>
        <v>112.5</v>
      </c>
      <c r="BA142" s="83">
        <f>'Raw Data'!BA143/10</f>
        <v>106.5</v>
      </c>
      <c r="BB142" s="83">
        <f>'Raw Data'!BB143/10</f>
        <v>109.7</v>
      </c>
      <c r="BC142" s="83">
        <f>'Raw Data'!BC143/10</f>
        <v>101.4</v>
      </c>
      <c r="BD142" s="83">
        <f>'Raw Data'!BD143/10</f>
        <v>96</v>
      </c>
      <c r="BE142" s="83">
        <f>'Raw Data'!BE143/10</f>
        <v>99.3</v>
      </c>
      <c r="BF142" s="83">
        <f>'Raw Data'!BF143/10</f>
        <v>97.5</v>
      </c>
      <c r="BG142" s="83">
        <f>'Raw Data'!BG143/10</f>
        <v>93.5</v>
      </c>
      <c r="BH142" s="83">
        <f>'Raw Data'!BH143/10</f>
        <v>95.6</v>
      </c>
      <c r="BI142" s="83">
        <f>'Raw Data'!BI143/10</f>
        <v>94.6</v>
      </c>
      <c r="BJ142" s="83">
        <f>'Raw Data'!BJ143/10</f>
        <v>90.5</v>
      </c>
      <c r="BK142" s="83">
        <f>'Raw Data'!BK143/10</f>
        <v>90</v>
      </c>
      <c r="BL142" s="83">
        <f>'Raw Data'!BL143/10</f>
        <v>92.6</v>
      </c>
      <c r="BM142" s="83">
        <f>'Raw Data'!BM143/10</f>
        <v>82.4</v>
      </c>
      <c r="BN142" s="83">
        <f>'Raw Data'!BN143/10</f>
        <v>85.6</v>
      </c>
      <c r="BO142" s="83">
        <f>'Raw Data'!BO143/10</f>
        <v>84.5</v>
      </c>
      <c r="BP142" s="83">
        <f>'Raw Data'!BP143/10</f>
        <v>84.8</v>
      </c>
      <c r="BQ142" s="83">
        <f>'Raw Data'!BQ143/10</f>
        <v>76.900000000000006</v>
      </c>
      <c r="BR142" s="83">
        <f>'Raw Data'!BR143/10</f>
        <v>77.099999999999994</v>
      </c>
      <c r="BS142" s="83">
        <f>'Raw Data'!BS143/10</f>
        <v>78.400000000000006</v>
      </c>
      <c r="BT142" s="83">
        <f>'Raw Data'!BT143/10</f>
        <v>75.900000000000006</v>
      </c>
      <c r="BU142" s="83">
        <f>'Raw Data'!BU143/10</f>
        <v>78.599999999999994</v>
      </c>
      <c r="BV142" s="83">
        <f>'Raw Data'!BV143/10</f>
        <v>78.5</v>
      </c>
      <c r="BW142" s="83">
        <f>'Raw Data'!BW143/10</f>
        <v>70.099999999999994</v>
      </c>
      <c r="BX142" s="83">
        <f>'Raw Data'!BX143/10</f>
        <v>74.900000000000006</v>
      </c>
      <c r="BY142" s="83">
        <f>'Raw Data'!BY143/10</f>
        <v>66.599999999999994</v>
      </c>
      <c r="BZ142" s="83">
        <f>'Raw Data'!BZ143/10</f>
        <v>69.5</v>
      </c>
      <c r="CA142" s="83">
        <f>'Raw Data'!CA143/10</f>
        <v>69.099999999999994</v>
      </c>
      <c r="CB142" s="83">
        <f>'Raw Data'!CB143/10</f>
        <v>67.5</v>
      </c>
      <c r="CC142" s="83">
        <f>'Raw Data'!CC143/10</f>
        <v>70.900000000000006</v>
      </c>
      <c r="CD142" s="83">
        <f>'Raw Data'!CD143/10</f>
        <v>68.5</v>
      </c>
      <c r="CE142" s="83">
        <f>'Raw Data'!CE143/10</f>
        <v>65.900000000000006</v>
      </c>
      <c r="CF142" s="83">
        <f>'Raw Data'!CF143/10</f>
        <v>40.799999999999997</v>
      </c>
      <c r="CG142" s="83">
        <f>'Raw Data'!CG143/100</f>
        <v>62.68</v>
      </c>
      <c r="CH142" s="83">
        <f>'Raw Data'!CH143/100</f>
        <v>54.33</v>
      </c>
      <c r="CI142" s="83">
        <f>'Raw Data'!CI143/100</f>
        <v>50.55</v>
      </c>
      <c r="CJ142" s="83">
        <f>'Raw Data'!CJ143/100</f>
        <v>47.94</v>
      </c>
      <c r="CK142" s="83">
        <f>'Raw Data'!CK143/100</f>
        <v>43.05</v>
      </c>
      <c r="CL142" s="83">
        <f>'Raw Data'!CL143/100</f>
        <v>40.17</v>
      </c>
      <c r="CM142" s="83">
        <f>'Raw Data'!CM143/100</f>
        <v>38.909999999999997</v>
      </c>
      <c r="CN142" s="83">
        <f>'Raw Data'!CN143/100</f>
        <v>37.130000000000003</v>
      </c>
      <c r="CO142" s="83">
        <f>'Raw Data'!CO143/100</f>
        <v>35.65</v>
      </c>
      <c r="CP142" s="83">
        <f>'Raw Data'!CP143/100</f>
        <v>33.36</v>
      </c>
      <c r="CQ142" s="83">
        <f>'Raw Data'!CQ143/100</f>
        <v>32.22</v>
      </c>
      <c r="CR142" s="83">
        <f>'Raw Data'!CR143/100</f>
        <v>31.2</v>
      </c>
      <c r="CS142" s="83">
        <f>'Raw Data'!CS143/100</f>
        <v>30.23</v>
      </c>
      <c r="CT142" s="83">
        <f>'Raw Data'!CT143/100</f>
        <v>28.78</v>
      </c>
      <c r="CU142" s="382"/>
    </row>
    <row r="143" spans="4:99" s="86" customFormat="1" x14ac:dyDescent="0.2">
      <c r="D143" s="376"/>
      <c r="E143" s="164"/>
      <c r="F143" s="394"/>
      <c r="G143" s="83">
        <f>'Raw Data'!G144</f>
        <v>121</v>
      </c>
      <c r="H143" s="83">
        <f>'Raw Data'!H144</f>
        <v>128</v>
      </c>
      <c r="I143" s="83">
        <f>'Raw Data'!I144</f>
        <v>114</v>
      </c>
      <c r="J143" s="83">
        <f>'Raw Data'!J144</f>
        <v>126</v>
      </c>
      <c r="K143" s="83">
        <f>'Raw Data'!K144</f>
        <v>133</v>
      </c>
      <c r="L143" s="83">
        <f>'Raw Data'!L144</f>
        <v>121</v>
      </c>
      <c r="M143" s="83">
        <f>'Raw Data'!M144</f>
        <v>124</v>
      </c>
      <c r="N143" s="83">
        <f>'Raw Data'!N144</f>
        <v>124</v>
      </c>
      <c r="O143" s="83">
        <f>'Raw Data'!O144</f>
        <v>126</v>
      </c>
      <c r="P143" s="83">
        <f>'Raw Data'!P144</f>
        <v>123</v>
      </c>
      <c r="Q143" s="83">
        <f>'Raw Data'!Q144</f>
        <v>128</v>
      </c>
      <c r="R143" s="83">
        <f>'Raw Data'!R144</f>
        <v>115</v>
      </c>
      <c r="S143" s="83">
        <f>'Raw Data'!S144</f>
        <v>120</v>
      </c>
      <c r="T143" s="83">
        <f>'Raw Data'!T144</f>
        <v>124</v>
      </c>
      <c r="U143" s="83">
        <f>'Raw Data'!U144</f>
        <v>120</v>
      </c>
      <c r="V143" s="83">
        <f>'Raw Data'!V144</f>
        <v>124</v>
      </c>
      <c r="W143" s="83">
        <f>'Raw Data'!W144</f>
        <v>114</v>
      </c>
      <c r="X143" s="83">
        <f>'Raw Data'!X144</f>
        <v>144</v>
      </c>
      <c r="Y143" s="83">
        <f>'Raw Data'!Y144</f>
        <v>120</v>
      </c>
      <c r="Z143" s="83">
        <f>'Raw Data'!Z144</f>
        <v>116</v>
      </c>
      <c r="AA143" s="83">
        <f>'Raw Data'!AA144/10</f>
        <v>120.6</v>
      </c>
      <c r="AB143" s="83">
        <f>'Raw Data'!AB144/10</f>
        <v>125.6</v>
      </c>
      <c r="AC143" s="83">
        <f>'Raw Data'!AC144/10</f>
        <v>119.1</v>
      </c>
      <c r="AD143" s="83">
        <f>'Raw Data'!AD144/10</f>
        <v>111.7</v>
      </c>
      <c r="AE143" s="83">
        <f>'Raw Data'!AE144/10</f>
        <v>107.4</v>
      </c>
      <c r="AF143" s="83">
        <f>'Raw Data'!AF144/10</f>
        <v>109.2</v>
      </c>
      <c r="AG143" s="83">
        <f>'Raw Data'!AG144/10</f>
        <v>106.4</v>
      </c>
      <c r="AH143" s="83">
        <f>'Raw Data'!AH144/10</f>
        <v>97.7</v>
      </c>
      <c r="AI143" s="83">
        <f>'Raw Data'!AI144/10</f>
        <v>98.5</v>
      </c>
      <c r="AJ143" s="83">
        <f>'Raw Data'!AJ144/10</f>
        <v>93.2</v>
      </c>
      <c r="AK143" s="83">
        <f>'Raw Data'!AK144/10</f>
        <v>96.2</v>
      </c>
      <c r="AL143" s="83">
        <f>'Raw Data'!AL144/10</f>
        <v>85.8</v>
      </c>
      <c r="AM143" s="83">
        <f>'Raw Data'!AM144/10</f>
        <v>87.2</v>
      </c>
      <c r="AN143" s="83">
        <f>'Raw Data'!AN144/10</f>
        <v>86.8</v>
      </c>
      <c r="AO143" s="83">
        <f>'Raw Data'!AO144/10</f>
        <v>83</v>
      </c>
      <c r="AP143" s="83">
        <f>'Raw Data'!AP144/10</f>
        <v>80.8</v>
      </c>
      <c r="AQ143" s="83">
        <f>'Raw Data'!AQ144/10</f>
        <v>79.7</v>
      </c>
      <c r="AR143" s="83">
        <f>'Raw Data'!AR144/10</f>
        <v>78</v>
      </c>
      <c r="AS143" s="83">
        <f>'Raw Data'!AS144/10</f>
        <v>71.900000000000006</v>
      </c>
      <c r="AT143" s="83">
        <f>'Raw Data'!AT144/10</f>
        <v>75.7</v>
      </c>
      <c r="AU143" s="83">
        <f>'Raw Data'!AU144/10</f>
        <v>74.5</v>
      </c>
      <c r="AV143" s="83">
        <f>'Raw Data'!AV144/10</f>
        <v>71</v>
      </c>
      <c r="AW143" s="83">
        <f>'Raw Data'!AW144/10</f>
        <v>71.8</v>
      </c>
      <c r="AX143" s="83">
        <f>'Raw Data'!AX144/10</f>
        <v>63.2</v>
      </c>
      <c r="AY143" s="83">
        <f>'Raw Data'!AY144/10</f>
        <v>64.400000000000006</v>
      </c>
      <c r="AZ143" s="83">
        <f>'Raw Data'!AZ144/10</f>
        <v>64.7</v>
      </c>
      <c r="BA143" s="83">
        <f>'Raw Data'!BA144/10</f>
        <v>62.9</v>
      </c>
      <c r="BB143" s="83">
        <f>'Raw Data'!BB144/10</f>
        <v>62.7</v>
      </c>
      <c r="BC143" s="83">
        <f>'Raw Data'!BC144/10</f>
        <v>60.7</v>
      </c>
      <c r="BD143" s="83">
        <f>'Raw Data'!BD144/10</f>
        <v>64</v>
      </c>
      <c r="BE143" s="83">
        <f>'Raw Data'!BE144/10</f>
        <v>61.5</v>
      </c>
      <c r="BF143" s="83">
        <f>'Raw Data'!BF144/10</f>
        <v>58.6</v>
      </c>
      <c r="BG143" s="83">
        <f>'Raw Data'!BG144/10</f>
        <v>58.3</v>
      </c>
      <c r="BH143" s="83">
        <f>'Raw Data'!BH144/10</f>
        <v>55.3</v>
      </c>
      <c r="BI143" s="83">
        <f>'Raw Data'!BI144/10</f>
        <v>56</v>
      </c>
      <c r="BJ143" s="83">
        <f>'Raw Data'!BJ144/10</f>
        <v>55.1</v>
      </c>
      <c r="BK143" s="83">
        <f>'Raw Data'!BK144/10</f>
        <v>54</v>
      </c>
      <c r="BL143" s="83">
        <f>'Raw Data'!BL144/10</f>
        <v>52.1</v>
      </c>
      <c r="BM143" s="83">
        <f>'Raw Data'!BM144/10</f>
        <v>53.3</v>
      </c>
      <c r="BN143" s="83">
        <f>'Raw Data'!BN144/10</f>
        <v>51.3</v>
      </c>
      <c r="BO143" s="83">
        <f>'Raw Data'!BO144/10</f>
        <v>52.7</v>
      </c>
      <c r="BP143" s="83">
        <f>'Raw Data'!BP144/10</f>
        <v>54.9</v>
      </c>
      <c r="BQ143" s="83">
        <f>'Raw Data'!BQ144/10</f>
        <v>51.8</v>
      </c>
      <c r="BR143" s="83">
        <f>'Raw Data'!BR144/10</f>
        <v>49.5</v>
      </c>
      <c r="BS143" s="83">
        <f>'Raw Data'!BS144/10</f>
        <v>49.1</v>
      </c>
      <c r="BT143" s="83">
        <f>'Raw Data'!BT144/10</f>
        <v>49</v>
      </c>
      <c r="BU143" s="83">
        <f>'Raw Data'!BU144/10</f>
        <v>48.7</v>
      </c>
      <c r="BV143" s="83">
        <f>'Raw Data'!BV144/10</f>
        <v>50.1</v>
      </c>
      <c r="BW143" s="83">
        <f>'Raw Data'!BW144/10</f>
        <v>50</v>
      </c>
      <c r="BX143" s="83">
        <f>'Raw Data'!BX144/10</f>
        <v>48.1</v>
      </c>
      <c r="BY143" s="83">
        <f>'Raw Data'!BY144/10</f>
        <v>46.8</v>
      </c>
      <c r="BZ143" s="83">
        <f>'Raw Data'!BZ144/10</f>
        <v>47.5</v>
      </c>
      <c r="CA143" s="83">
        <f>'Raw Data'!CA144/10</f>
        <v>45.5</v>
      </c>
      <c r="CB143" s="83">
        <f>'Raw Data'!CB144/10</f>
        <v>46</v>
      </c>
      <c r="CC143" s="83">
        <f>'Raw Data'!CC144/10</f>
        <v>45.3</v>
      </c>
      <c r="CD143" s="83">
        <f>'Raw Data'!CD144/10</f>
        <v>42.9</v>
      </c>
      <c r="CE143" s="83">
        <f>'Raw Data'!CE144/10</f>
        <v>45.8</v>
      </c>
      <c r="CF143" s="83">
        <f>'Raw Data'!CF144/10</f>
        <v>45.3</v>
      </c>
      <c r="CG143" s="83">
        <f>'Raw Data'!CG144/100</f>
        <v>42.38</v>
      </c>
      <c r="CH143" s="83">
        <f>'Raw Data'!CH144/100</f>
        <v>39.31</v>
      </c>
      <c r="CI143" s="83">
        <f>'Raw Data'!CI144/100</f>
        <v>36.729999999999997</v>
      </c>
      <c r="CJ143" s="83">
        <f>'Raw Data'!CJ144/100</f>
        <v>34.869999999999997</v>
      </c>
      <c r="CK143" s="83">
        <f>'Raw Data'!CK144/100</f>
        <v>33.17</v>
      </c>
      <c r="CL143" s="83">
        <f>'Raw Data'!CL144/100</f>
        <v>32.26</v>
      </c>
      <c r="CM143" s="83">
        <f>'Raw Data'!CM144/100</f>
        <v>30.57</v>
      </c>
      <c r="CN143" s="83">
        <f>'Raw Data'!CN144/100</f>
        <v>29.56</v>
      </c>
      <c r="CO143" s="83">
        <f>'Raw Data'!CO144/100</f>
        <v>27.55</v>
      </c>
      <c r="CP143" s="83">
        <f>'Raw Data'!CP144/100</f>
        <v>27.98</v>
      </c>
      <c r="CQ143" s="83">
        <f>'Raw Data'!CQ144/100</f>
        <v>26.75</v>
      </c>
      <c r="CR143" s="83">
        <f>'Raw Data'!CR144/100</f>
        <v>26.76</v>
      </c>
      <c r="CS143" s="83">
        <f>'Raw Data'!CS144/100</f>
        <v>25.19</v>
      </c>
      <c r="CT143" s="83">
        <f>'Raw Data'!CT144/100</f>
        <v>25.61</v>
      </c>
      <c r="CU143" s="382"/>
    </row>
    <row r="144" spans="4:99" s="86" customFormat="1" x14ac:dyDescent="0.2">
      <c r="D144" s="376"/>
      <c r="E144" s="164"/>
      <c r="F144" s="394"/>
      <c r="G144" s="83">
        <f>'Raw Data'!G145</f>
        <v>10</v>
      </c>
      <c r="H144" s="83">
        <f>'Raw Data'!H145</f>
        <v>10</v>
      </c>
      <c r="I144" s="83">
        <f>'Raw Data'!I145</f>
        <v>10</v>
      </c>
      <c r="J144" s="83">
        <f>'Raw Data'!J145</f>
        <v>12</v>
      </c>
      <c r="K144" s="83">
        <f>'Raw Data'!K145</f>
        <v>12</v>
      </c>
      <c r="L144" s="83">
        <f>'Raw Data'!L145</f>
        <v>7</v>
      </c>
      <c r="M144" s="83">
        <f>'Raw Data'!M145</f>
        <v>13</v>
      </c>
      <c r="N144" s="83">
        <f>'Raw Data'!N145</f>
        <v>11</v>
      </c>
      <c r="O144" s="83">
        <f>'Raw Data'!O145</f>
        <v>9</v>
      </c>
      <c r="P144" s="83">
        <f>'Raw Data'!P145</f>
        <v>13</v>
      </c>
      <c r="Q144" s="83">
        <f>'Raw Data'!Q145</f>
        <v>7</v>
      </c>
      <c r="R144" s="83">
        <f>'Raw Data'!R145</f>
        <v>7</v>
      </c>
      <c r="S144" s="83">
        <f>'Raw Data'!S145</f>
        <v>6</v>
      </c>
      <c r="T144" s="83">
        <f>'Raw Data'!T145</f>
        <v>8</v>
      </c>
      <c r="U144" s="83">
        <f>'Raw Data'!U145</f>
        <v>12</v>
      </c>
      <c r="V144" s="83">
        <f>'Raw Data'!V145</f>
        <v>7</v>
      </c>
      <c r="W144" s="83">
        <f>'Raw Data'!W145</f>
        <v>11</v>
      </c>
      <c r="X144" s="83">
        <f>'Raw Data'!X145</f>
        <v>10</v>
      </c>
      <c r="Y144" s="83">
        <f>'Raw Data'!Y145</f>
        <v>7</v>
      </c>
      <c r="Z144" s="83">
        <f>'Raw Data'!Z145</f>
        <v>8</v>
      </c>
      <c r="AA144" s="83">
        <f>'Raw Data'!AA145/10</f>
        <v>8.6</v>
      </c>
      <c r="AB144" s="83">
        <f>'Raw Data'!AB145/10</f>
        <v>11</v>
      </c>
      <c r="AC144" s="83">
        <f>'Raw Data'!AC145/10</f>
        <v>10.6</v>
      </c>
      <c r="AD144" s="83">
        <f>'Raw Data'!AD145/10</f>
        <v>9.5</v>
      </c>
      <c r="AE144" s="83">
        <f>'Raw Data'!AE145/10</f>
        <v>9.6999999999999993</v>
      </c>
      <c r="AF144" s="83">
        <f>'Raw Data'!AF145/10</f>
        <v>10.5</v>
      </c>
      <c r="AG144" s="83">
        <f>'Raw Data'!AG145/10</f>
        <v>10.199999999999999</v>
      </c>
      <c r="AH144" s="83">
        <f>'Raw Data'!AH145/10</f>
        <v>9.6</v>
      </c>
      <c r="AI144" s="83">
        <f>'Raw Data'!AI145/10</f>
        <v>9.5</v>
      </c>
      <c r="AJ144" s="83">
        <f>'Raw Data'!AJ145/10</f>
        <v>11.4</v>
      </c>
      <c r="AK144" s="83">
        <f>'Raw Data'!AK145/10</f>
        <v>10.7</v>
      </c>
      <c r="AL144" s="83">
        <f>'Raw Data'!AL145/10</f>
        <v>10.199999999999999</v>
      </c>
      <c r="AM144" s="83">
        <f>'Raw Data'!AM145/10</f>
        <v>10.199999999999999</v>
      </c>
      <c r="AN144" s="83">
        <f>'Raw Data'!AN145/10</f>
        <v>9.8000000000000007</v>
      </c>
      <c r="AO144" s="83">
        <f>'Raw Data'!AO145/10</f>
        <v>10.7</v>
      </c>
      <c r="AP144" s="83">
        <f>'Raw Data'!AP145/10</f>
        <v>10.3</v>
      </c>
      <c r="AQ144" s="83">
        <f>'Raw Data'!AQ145/10</f>
        <v>11.8</v>
      </c>
      <c r="AR144" s="83">
        <f>'Raw Data'!AR145/10</f>
        <v>10.4</v>
      </c>
      <c r="AS144" s="83">
        <f>'Raw Data'!AS145/10</f>
        <v>11.2</v>
      </c>
      <c r="AT144" s="83">
        <f>'Raw Data'!AT145/10</f>
        <v>8.8000000000000007</v>
      </c>
      <c r="AU144" s="83">
        <f>'Raw Data'!AU145/10</f>
        <v>10.9</v>
      </c>
      <c r="AV144" s="83">
        <f>'Raw Data'!AV145/10</f>
        <v>11</v>
      </c>
      <c r="AW144" s="83">
        <f>'Raw Data'!AW145/10</f>
        <v>10</v>
      </c>
      <c r="AX144" s="83">
        <f>'Raw Data'!AX145/10</f>
        <v>10.8</v>
      </c>
      <c r="AY144" s="83">
        <f>'Raw Data'!AY145/10</f>
        <v>9.1</v>
      </c>
      <c r="AZ144" s="83">
        <f>'Raw Data'!AZ145/10</f>
        <v>9.8000000000000007</v>
      </c>
      <c r="BA144" s="83">
        <f>'Raw Data'!BA145/10</f>
        <v>10</v>
      </c>
      <c r="BB144" s="83">
        <f>'Raw Data'!BB145/10</f>
        <v>10.9</v>
      </c>
      <c r="BC144" s="83">
        <f>'Raw Data'!BC145/10</f>
        <v>9.4</v>
      </c>
      <c r="BD144" s="83">
        <f>'Raw Data'!BD145/10</f>
        <v>11</v>
      </c>
      <c r="BE144" s="83">
        <f>'Raw Data'!BE145/10</f>
        <v>9.6</v>
      </c>
      <c r="BF144" s="83">
        <f>'Raw Data'!BF145/10</f>
        <v>10.199999999999999</v>
      </c>
      <c r="BG144" s="83">
        <f>'Raw Data'!BG145/10</f>
        <v>8.4</v>
      </c>
      <c r="BH144" s="83">
        <f>'Raw Data'!BH145/10</f>
        <v>9.5</v>
      </c>
      <c r="BI144" s="83">
        <f>'Raw Data'!BI145/10</f>
        <v>10.4</v>
      </c>
      <c r="BJ144" s="83">
        <f>'Raw Data'!BJ145/10</f>
        <v>10.3</v>
      </c>
      <c r="BK144" s="83">
        <f>'Raw Data'!BK145/10</f>
        <v>8.5</v>
      </c>
      <c r="BL144" s="83">
        <f>'Raw Data'!BL145/10</f>
        <v>9.5</v>
      </c>
      <c r="BM144" s="83">
        <f>'Raw Data'!BM145/10</f>
        <v>10.199999999999999</v>
      </c>
      <c r="BN144" s="83">
        <f>'Raw Data'!BN145/10</f>
        <v>8.4</v>
      </c>
      <c r="BO144" s="83">
        <f>'Raw Data'!BO145/10</f>
        <v>10.9</v>
      </c>
      <c r="BP144" s="83">
        <f>'Raw Data'!BP145/10</f>
        <v>9.6</v>
      </c>
      <c r="BQ144" s="83">
        <f>'Raw Data'!BQ145/10</f>
        <v>9.8000000000000007</v>
      </c>
      <c r="BR144" s="83">
        <f>'Raw Data'!BR145/10</f>
        <v>8.1</v>
      </c>
      <c r="BS144" s="83">
        <f>'Raw Data'!BS145/10</f>
        <v>10.1</v>
      </c>
      <c r="BT144" s="83">
        <f>'Raw Data'!BT145/10</f>
        <v>9.8000000000000007</v>
      </c>
      <c r="BU144" s="83">
        <f>'Raw Data'!BU145/10</f>
        <v>9.5</v>
      </c>
      <c r="BV144" s="83">
        <f>'Raw Data'!BV145/10</f>
        <v>8.9</v>
      </c>
      <c r="BW144" s="83">
        <f>'Raw Data'!BW145/10</f>
        <v>9.1999999999999993</v>
      </c>
      <c r="BX144" s="83">
        <f>'Raw Data'!BX145/10</f>
        <v>10.199999999999999</v>
      </c>
      <c r="BY144" s="83">
        <f>'Raw Data'!BY145/10</f>
        <v>9</v>
      </c>
      <c r="BZ144" s="83">
        <f>'Raw Data'!BZ145/10</f>
        <v>11</v>
      </c>
      <c r="CA144" s="83">
        <f>'Raw Data'!CA145/10</f>
        <v>9.5</v>
      </c>
      <c r="CB144" s="83">
        <f>'Raw Data'!CB145/10</f>
        <v>8.9</v>
      </c>
      <c r="CC144" s="83">
        <f>'Raw Data'!CC145/10</f>
        <v>9</v>
      </c>
      <c r="CD144" s="83">
        <f>'Raw Data'!CD145/10</f>
        <v>9.5</v>
      </c>
      <c r="CE144" s="83">
        <f>'Raw Data'!CE145/10</f>
        <v>9.3000000000000007</v>
      </c>
      <c r="CF144" s="83">
        <f>'Raw Data'!CF145/10</f>
        <v>8.8000000000000007</v>
      </c>
      <c r="CG144" s="83">
        <f>'Raw Data'!CG145/100</f>
        <v>9.19</v>
      </c>
      <c r="CH144" s="83">
        <f>'Raw Data'!CH145/100</f>
        <v>9.16</v>
      </c>
      <c r="CI144" s="83">
        <f>'Raw Data'!CI145/100</f>
        <v>9.4499999999999993</v>
      </c>
      <c r="CJ144" s="83">
        <f>'Raw Data'!CJ145/100</f>
        <v>8.93</v>
      </c>
      <c r="CK144" s="83">
        <f>'Raw Data'!CK145/100</f>
        <v>8.84</v>
      </c>
      <c r="CL144" s="83">
        <f>'Raw Data'!CL145/100</f>
        <v>8.9499999999999993</v>
      </c>
      <c r="CM144" s="83">
        <f>'Raw Data'!CM145/100</f>
        <v>8.39</v>
      </c>
      <c r="CN144" s="83">
        <f>'Raw Data'!CN145/100</f>
        <v>8.9600000000000009</v>
      </c>
      <c r="CO144" s="83">
        <f>'Raw Data'!CO145/100</f>
        <v>8.82</v>
      </c>
      <c r="CP144" s="83">
        <f>'Raw Data'!CP145/100</f>
        <v>8.99</v>
      </c>
      <c r="CQ144" s="83">
        <f>'Raw Data'!CQ145/100</f>
        <v>8.68</v>
      </c>
      <c r="CR144" s="83">
        <f>'Raw Data'!CR145/100</f>
        <v>8.66</v>
      </c>
      <c r="CS144" s="83">
        <f>'Raw Data'!CS145/100</f>
        <v>8.59</v>
      </c>
      <c r="CT144" s="83">
        <f>'Raw Data'!CT145/100</f>
        <v>8.5299999999999994</v>
      </c>
      <c r="CU144" s="382"/>
    </row>
    <row r="145" spans="4:99" s="86" customFormat="1" x14ac:dyDescent="0.2">
      <c r="D145" s="376"/>
      <c r="E145" s="164"/>
      <c r="F145" s="394"/>
      <c r="G145" s="83">
        <f>'Raw Data'!G146</f>
        <v>103</v>
      </c>
      <c r="H145" s="83">
        <f>'Raw Data'!H146</f>
        <v>118</v>
      </c>
      <c r="I145" s="83">
        <f>'Raw Data'!I146</f>
        <v>111</v>
      </c>
      <c r="J145" s="83">
        <f>'Raw Data'!J146</f>
        <v>114</v>
      </c>
      <c r="K145" s="83">
        <f>'Raw Data'!K146</f>
        <v>104</v>
      </c>
      <c r="L145" s="83">
        <f>'Raw Data'!L146</f>
        <v>116</v>
      </c>
      <c r="M145" s="83">
        <f>'Raw Data'!M146</f>
        <v>95</v>
      </c>
      <c r="N145" s="83">
        <f>'Raw Data'!N146</f>
        <v>109</v>
      </c>
      <c r="O145" s="83">
        <f>'Raw Data'!O146</f>
        <v>113</v>
      </c>
      <c r="P145" s="83">
        <f>'Raw Data'!P146</f>
        <v>114</v>
      </c>
      <c r="Q145" s="83">
        <f>'Raw Data'!Q146</f>
        <v>124</v>
      </c>
      <c r="R145" s="83">
        <f>'Raw Data'!R146</f>
        <v>111</v>
      </c>
      <c r="S145" s="83">
        <f>'Raw Data'!S146</f>
        <v>114</v>
      </c>
      <c r="T145" s="83">
        <f>'Raw Data'!T146</f>
        <v>108</v>
      </c>
      <c r="U145" s="83">
        <f>'Raw Data'!U146</f>
        <v>112</v>
      </c>
      <c r="V145" s="83">
        <f>'Raw Data'!V146</f>
        <v>114</v>
      </c>
      <c r="W145" s="83">
        <f>'Raw Data'!W146</f>
        <v>117</v>
      </c>
      <c r="X145" s="83">
        <f>'Raw Data'!X146</f>
        <v>116</v>
      </c>
      <c r="Y145" s="83">
        <f>'Raw Data'!Y146</f>
        <v>112</v>
      </c>
      <c r="Z145" s="83">
        <f>'Raw Data'!Z146</f>
        <v>102</v>
      </c>
      <c r="AA145" s="83">
        <f>'Raw Data'!AA146/10</f>
        <v>112.6</v>
      </c>
      <c r="AB145" s="83">
        <f>'Raw Data'!AB146/10</f>
        <v>107.4</v>
      </c>
      <c r="AC145" s="83">
        <f>'Raw Data'!AC146/10</f>
        <v>101.8</v>
      </c>
      <c r="AD145" s="83">
        <f>'Raw Data'!AD146/10</f>
        <v>97.6</v>
      </c>
      <c r="AE145" s="83">
        <f>'Raw Data'!AE146/10</f>
        <v>95</v>
      </c>
      <c r="AF145" s="83">
        <f>'Raw Data'!AF146/10</f>
        <v>94.1</v>
      </c>
      <c r="AG145" s="83">
        <f>'Raw Data'!AG146/10</f>
        <v>90.1</v>
      </c>
      <c r="AH145" s="83">
        <f>'Raw Data'!AH146/10</f>
        <v>85.7</v>
      </c>
      <c r="AI145" s="83">
        <f>'Raw Data'!AI146/10</f>
        <v>80.5</v>
      </c>
      <c r="AJ145" s="83">
        <f>'Raw Data'!AJ146/10</f>
        <v>77.599999999999994</v>
      </c>
      <c r="AK145" s="83">
        <f>'Raw Data'!AK146/10</f>
        <v>75.900000000000006</v>
      </c>
      <c r="AL145" s="83">
        <f>'Raw Data'!AL146/10</f>
        <v>76.3</v>
      </c>
      <c r="AM145" s="83">
        <f>'Raw Data'!AM146/10</f>
        <v>74.099999999999994</v>
      </c>
      <c r="AN145" s="83">
        <f>'Raw Data'!AN146/10</f>
        <v>71.7</v>
      </c>
      <c r="AO145" s="83">
        <f>'Raw Data'!AO146/10</f>
        <v>68.599999999999994</v>
      </c>
      <c r="AP145" s="83">
        <f>'Raw Data'!AP146/10</f>
        <v>65.099999999999994</v>
      </c>
      <c r="AQ145" s="83">
        <f>'Raw Data'!AQ146/10</f>
        <v>63.7</v>
      </c>
      <c r="AR145" s="83">
        <f>'Raw Data'!AR146/10</f>
        <v>62.3</v>
      </c>
      <c r="AS145" s="83">
        <f>'Raw Data'!AS146/10</f>
        <v>61</v>
      </c>
      <c r="AT145" s="83">
        <f>'Raw Data'!AT146/10</f>
        <v>58</v>
      </c>
      <c r="AU145" s="83">
        <f>'Raw Data'!AU146/10</f>
        <v>56</v>
      </c>
      <c r="AV145" s="83">
        <f>'Raw Data'!AV146/10</f>
        <v>55.7</v>
      </c>
      <c r="AW145" s="83">
        <f>'Raw Data'!AW146/10</f>
        <v>55</v>
      </c>
      <c r="AX145" s="83">
        <f>'Raw Data'!AX146/10</f>
        <v>58.4</v>
      </c>
      <c r="AY145" s="83">
        <f>'Raw Data'!AY146/10</f>
        <v>51.9</v>
      </c>
      <c r="AZ145" s="83">
        <f>'Raw Data'!AZ146/10</f>
        <v>50.3</v>
      </c>
      <c r="BA145" s="83">
        <f>'Raw Data'!BA146/10</f>
        <v>48.1</v>
      </c>
      <c r="BB145" s="83">
        <f>'Raw Data'!BB146/10</f>
        <v>50.4</v>
      </c>
      <c r="BC145" s="83">
        <f>'Raw Data'!BC146/10</f>
        <v>48.4</v>
      </c>
      <c r="BD145" s="83">
        <f>'Raw Data'!BD146/10</f>
        <v>46.5</v>
      </c>
      <c r="BE145" s="83">
        <f>'Raw Data'!BE146/10</f>
        <v>49.1</v>
      </c>
      <c r="BF145" s="83">
        <f>'Raw Data'!BF146/10</f>
        <v>44.4</v>
      </c>
      <c r="BG145" s="83">
        <f>'Raw Data'!BG146/10</f>
        <v>44.6</v>
      </c>
      <c r="BH145" s="83">
        <f>'Raw Data'!BH146/10</f>
        <v>44.1</v>
      </c>
      <c r="BI145" s="83">
        <f>'Raw Data'!BI146/10</f>
        <v>43.5</v>
      </c>
      <c r="BJ145" s="83">
        <f>'Raw Data'!BJ146/10</f>
        <v>45</v>
      </c>
      <c r="BK145" s="83">
        <f>'Raw Data'!BK146/10</f>
        <v>43.6</v>
      </c>
      <c r="BL145" s="83">
        <f>'Raw Data'!BL146/10</f>
        <v>39.200000000000003</v>
      </c>
      <c r="BM145" s="83">
        <f>'Raw Data'!BM146/10</f>
        <v>41.9</v>
      </c>
      <c r="BN145" s="83">
        <f>'Raw Data'!BN146/10</f>
        <v>40.9</v>
      </c>
      <c r="BO145" s="83">
        <f>'Raw Data'!BO146/10</f>
        <v>39.6</v>
      </c>
      <c r="BP145" s="83">
        <f>'Raw Data'!BP146/10</f>
        <v>38.6</v>
      </c>
      <c r="BQ145" s="83">
        <f>'Raw Data'!BQ146/10</f>
        <v>39</v>
      </c>
      <c r="BR145" s="83">
        <f>'Raw Data'!BR146/10</f>
        <v>39</v>
      </c>
      <c r="BS145" s="83">
        <f>'Raw Data'!BS146/10</f>
        <v>34.700000000000003</v>
      </c>
      <c r="BT145" s="83">
        <f>'Raw Data'!BT146/10</f>
        <v>37</v>
      </c>
      <c r="BU145" s="83">
        <f>'Raw Data'!BU146/10</f>
        <v>36.4</v>
      </c>
      <c r="BV145" s="83">
        <f>'Raw Data'!BV146/10</f>
        <v>36.1</v>
      </c>
      <c r="BW145" s="83">
        <f>'Raw Data'!BW146/10</f>
        <v>34.9</v>
      </c>
      <c r="BX145" s="83">
        <f>'Raw Data'!BX146/10</f>
        <v>34.9</v>
      </c>
      <c r="BY145" s="83">
        <f>'Raw Data'!BY146/10</f>
        <v>35.9</v>
      </c>
      <c r="BZ145" s="83">
        <f>'Raw Data'!BZ146/10</f>
        <v>34.5</v>
      </c>
      <c r="CA145" s="83">
        <f>'Raw Data'!CA146/10</f>
        <v>34.799999999999997</v>
      </c>
      <c r="CB145" s="83">
        <f>'Raw Data'!CB146/10</f>
        <v>33.799999999999997</v>
      </c>
      <c r="CC145" s="83">
        <f>'Raw Data'!CC146/10</f>
        <v>34</v>
      </c>
      <c r="CD145" s="83">
        <f>'Raw Data'!CD146/10</f>
        <v>28.1</v>
      </c>
      <c r="CE145" s="83">
        <f>'Raw Data'!CE146/10</f>
        <v>31.4</v>
      </c>
      <c r="CF145" s="83">
        <f>'Raw Data'!CF146/10</f>
        <v>30.5</v>
      </c>
      <c r="CG145" s="83">
        <f>'Raw Data'!CG146/100</f>
        <v>30.51</v>
      </c>
      <c r="CH145" s="83">
        <f>'Raw Data'!CH146/100</f>
        <v>27.7</v>
      </c>
      <c r="CI145" s="83">
        <f>'Raw Data'!CI146/100</f>
        <v>25.83</v>
      </c>
      <c r="CJ145" s="83">
        <f>'Raw Data'!CJ146/100</f>
        <v>24.23</v>
      </c>
      <c r="CK145" s="83">
        <f>'Raw Data'!CK146/100</f>
        <v>23.01</v>
      </c>
      <c r="CL145" s="83">
        <f>'Raw Data'!CL146/100</f>
        <v>21.97</v>
      </c>
      <c r="CM145" s="83">
        <f>'Raw Data'!CM146/100</f>
        <v>21.23</v>
      </c>
      <c r="CN145" s="83">
        <f>'Raw Data'!CN146/100</f>
        <v>20.149999999999999</v>
      </c>
      <c r="CO145" s="83">
        <f>'Raw Data'!CO146/100</f>
        <v>19.600000000000001</v>
      </c>
      <c r="CP145" s="83">
        <f>'Raw Data'!CP146/100</f>
        <v>19.11</v>
      </c>
      <c r="CQ145" s="83">
        <f>'Raw Data'!CQ146/100</f>
        <v>18.21</v>
      </c>
      <c r="CR145" s="83">
        <f>'Raw Data'!CR146/100</f>
        <v>17.8</v>
      </c>
      <c r="CS145" s="83">
        <f>'Raw Data'!CS146/100</f>
        <v>17.559999999999999</v>
      </c>
      <c r="CT145" s="83">
        <f>'Raw Data'!CT146/100</f>
        <v>16.79</v>
      </c>
      <c r="CU145" s="382"/>
    </row>
    <row r="146" spans="4:99" s="86" customFormat="1" x14ac:dyDescent="0.2">
      <c r="D146" s="376"/>
      <c r="E146" s="164"/>
      <c r="F146" s="394"/>
      <c r="G146" s="83">
        <f>'Raw Data'!G147</f>
        <v>90</v>
      </c>
      <c r="H146" s="83">
        <f>'Raw Data'!H147</f>
        <v>80</v>
      </c>
      <c r="I146" s="83">
        <f>'Raw Data'!I147</f>
        <v>70</v>
      </c>
      <c r="J146" s="83">
        <f>'Raw Data'!J147</f>
        <v>91</v>
      </c>
      <c r="K146" s="83">
        <f>'Raw Data'!K147</f>
        <v>73</v>
      </c>
      <c r="L146" s="83">
        <f>'Raw Data'!L147</f>
        <v>74</v>
      </c>
      <c r="M146" s="83">
        <f>'Raw Data'!M147</f>
        <v>84</v>
      </c>
      <c r="N146" s="83">
        <f>'Raw Data'!N147</f>
        <v>77</v>
      </c>
      <c r="O146" s="83">
        <f>'Raw Data'!O147</f>
        <v>79</v>
      </c>
      <c r="P146" s="83">
        <f>'Raw Data'!P147</f>
        <v>66</v>
      </c>
      <c r="Q146" s="83">
        <f>'Raw Data'!Q147</f>
        <v>81</v>
      </c>
      <c r="R146" s="83">
        <f>'Raw Data'!R147</f>
        <v>87</v>
      </c>
      <c r="S146" s="83">
        <f>'Raw Data'!S147</f>
        <v>78</v>
      </c>
      <c r="T146" s="83">
        <f>'Raw Data'!T147</f>
        <v>87</v>
      </c>
      <c r="U146" s="83">
        <f>'Raw Data'!U147</f>
        <v>85</v>
      </c>
      <c r="V146" s="83">
        <f>'Raw Data'!V147</f>
        <v>86</v>
      </c>
      <c r="W146" s="83">
        <f>'Raw Data'!W147</f>
        <v>75</v>
      </c>
      <c r="X146" s="83">
        <f>'Raw Data'!X147</f>
        <v>82</v>
      </c>
      <c r="Y146" s="83">
        <f>'Raw Data'!Y147</f>
        <v>80</v>
      </c>
      <c r="Z146" s="83">
        <f>'Raw Data'!Z147</f>
        <v>72</v>
      </c>
      <c r="AA146" s="83">
        <f>'Raw Data'!AA147/10</f>
        <v>74</v>
      </c>
      <c r="AB146" s="83">
        <f>'Raw Data'!AB147/10</f>
        <v>75.7</v>
      </c>
      <c r="AC146" s="83">
        <f>'Raw Data'!AC147/10</f>
        <v>72.400000000000006</v>
      </c>
      <c r="AD146" s="83">
        <f>'Raw Data'!AD147/10</f>
        <v>69.900000000000006</v>
      </c>
      <c r="AE146" s="83">
        <f>'Raw Data'!AE147/10</f>
        <v>68.3</v>
      </c>
      <c r="AF146" s="83">
        <f>'Raw Data'!AF147/10</f>
        <v>63.7</v>
      </c>
      <c r="AG146" s="83">
        <f>'Raw Data'!AG147/10</f>
        <v>64.099999999999994</v>
      </c>
      <c r="AH146" s="83">
        <f>'Raw Data'!AH147/10</f>
        <v>59.2</v>
      </c>
      <c r="AI146" s="83">
        <f>'Raw Data'!AI147/10</f>
        <v>59.3</v>
      </c>
      <c r="AJ146" s="83">
        <f>'Raw Data'!AJ147/10</f>
        <v>56.9</v>
      </c>
      <c r="AK146" s="83">
        <f>'Raw Data'!AK147/10</f>
        <v>52.6</v>
      </c>
      <c r="AL146" s="83">
        <f>'Raw Data'!AL147/10</f>
        <v>52.7</v>
      </c>
      <c r="AM146" s="83">
        <f>'Raw Data'!AM147/10</f>
        <v>49.9</v>
      </c>
      <c r="AN146" s="83">
        <f>'Raw Data'!AN147/10</f>
        <v>49.1</v>
      </c>
      <c r="AO146" s="83">
        <f>'Raw Data'!AO147/10</f>
        <v>46.1</v>
      </c>
      <c r="AP146" s="83">
        <f>'Raw Data'!AP147/10</f>
        <v>44.9</v>
      </c>
      <c r="AQ146" s="83">
        <f>'Raw Data'!AQ147/10</f>
        <v>45</v>
      </c>
      <c r="AR146" s="83">
        <f>'Raw Data'!AR147/10</f>
        <v>45.4</v>
      </c>
      <c r="AS146" s="83">
        <f>'Raw Data'!AS147/10</f>
        <v>45.2</v>
      </c>
      <c r="AT146" s="83">
        <f>'Raw Data'!AT147/10</f>
        <v>41.1</v>
      </c>
      <c r="AU146" s="83">
        <f>'Raw Data'!AU147/10</f>
        <v>40.799999999999997</v>
      </c>
      <c r="AV146" s="83">
        <f>'Raw Data'!AV147/10</f>
        <v>38.299999999999997</v>
      </c>
      <c r="AW146" s="83">
        <f>'Raw Data'!AW147/10</f>
        <v>39</v>
      </c>
      <c r="AX146" s="83">
        <f>'Raw Data'!AX147/10</f>
        <v>37.799999999999997</v>
      </c>
      <c r="AY146" s="83">
        <f>'Raw Data'!AY147/10</f>
        <v>37.5</v>
      </c>
      <c r="AZ146" s="83">
        <f>'Raw Data'!AZ147/10</f>
        <v>38.9</v>
      </c>
      <c r="BA146" s="83">
        <f>'Raw Data'!BA147/10</f>
        <v>35.700000000000003</v>
      </c>
      <c r="BB146" s="83">
        <f>'Raw Data'!BB147/10</f>
        <v>34.5</v>
      </c>
      <c r="BC146" s="83">
        <f>'Raw Data'!BC147/10</f>
        <v>35.700000000000003</v>
      </c>
      <c r="BD146" s="83">
        <f>'Raw Data'!BD147/10</f>
        <v>33.4</v>
      </c>
      <c r="BE146" s="83">
        <f>'Raw Data'!BE147/10</f>
        <v>32.200000000000003</v>
      </c>
      <c r="BF146" s="83">
        <f>'Raw Data'!BF147/10</f>
        <v>33.200000000000003</v>
      </c>
      <c r="BG146" s="83">
        <f>'Raw Data'!BG147/10</f>
        <v>33.200000000000003</v>
      </c>
      <c r="BH146" s="83">
        <f>'Raw Data'!BH147/10</f>
        <v>28.8</v>
      </c>
      <c r="BI146" s="83">
        <f>'Raw Data'!BI147/10</f>
        <v>31.7</v>
      </c>
      <c r="BJ146" s="83">
        <f>'Raw Data'!BJ147/10</f>
        <v>31</v>
      </c>
      <c r="BK146" s="83">
        <f>'Raw Data'!BK147/10</f>
        <v>28.4</v>
      </c>
      <c r="BL146" s="83">
        <f>'Raw Data'!BL147/10</f>
        <v>29.1</v>
      </c>
      <c r="BM146" s="83">
        <f>'Raw Data'!BM147/10</f>
        <v>28</v>
      </c>
      <c r="BN146" s="83">
        <f>'Raw Data'!BN147/10</f>
        <v>27.2</v>
      </c>
      <c r="BO146" s="83">
        <f>'Raw Data'!BO147/10</f>
        <v>29</v>
      </c>
      <c r="BP146" s="83">
        <f>'Raw Data'!BP147/10</f>
        <v>28.3</v>
      </c>
      <c r="BQ146" s="83">
        <f>'Raw Data'!BQ147/10</f>
        <v>27.5</v>
      </c>
      <c r="BR146" s="83">
        <f>'Raw Data'!BR147/10</f>
        <v>25.6</v>
      </c>
      <c r="BS146" s="83">
        <f>'Raw Data'!BS147/10</f>
        <v>25.5</v>
      </c>
      <c r="BT146" s="83">
        <f>'Raw Data'!BT147/10</f>
        <v>24.9</v>
      </c>
      <c r="BU146" s="83">
        <f>'Raw Data'!BU147/10</f>
        <v>27.1</v>
      </c>
      <c r="BV146" s="83">
        <f>'Raw Data'!BV147/10</f>
        <v>25.4</v>
      </c>
      <c r="BW146" s="83">
        <f>'Raw Data'!BW147/10</f>
        <v>27.5</v>
      </c>
      <c r="BX146" s="83">
        <f>'Raw Data'!BX147/10</f>
        <v>25.5</v>
      </c>
      <c r="BY146" s="83">
        <f>'Raw Data'!BY147/10</f>
        <v>26.9</v>
      </c>
      <c r="BZ146" s="83">
        <f>'Raw Data'!BZ147/10</f>
        <v>22.4</v>
      </c>
      <c r="CA146" s="83">
        <f>'Raw Data'!CA147/10</f>
        <v>23.6</v>
      </c>
      <c r="CB146" s="83">
        <f>'Raw Data'!CB147/10</f>
        <v>21.5</v>
      </c>
      <c r="CC146" s="83">
        <f>'Raw Data'!CC147/10</f>
        <v>23.9</v>
      </c>
      <c r="CD146" s="83">
        <f>'Raw Data'!CD147/10</f>
        <v>24.2</v>
      </c>
      <c r="CE146" s="83">
        <f>'Raw Data'!CE147/10</f>
        <v>23.4</v>
      </c>
      <c r="CF146" s="83">
        <f>'Raw Data'!CF147/10</f>
        <v>22.1</v>
      </c>
      <c r="CG146" s="83">
        <f>'Raw Data'!CG147/100</f>
        <v>22.19</v>
      </c>
      <c r="CH146" s="83">
        <f>'Raw Data'!CH147/100</f>
        <v>20.76</v>
      </c>
      <c r="CI146" s="83">
        <f>'Raw Data'!CI147/100</f>
        <v>19.03</v>
      </c>
      <c r="CJ146" s="83">
        <f>'Raw Data'!CJ147/100</f>
        <v>18</v>
      </c>
      <c r="CK146" s="83">
        <f>'Raw Data'!CK147/100</f>
        <v>17.3</v>
      </c>
      <c r="CL146" s="83">
        <f>'Raw Data'!CL147/100</f>
        <v>16.66</v>
      </c>
      <c r="CM146" s="83">
        <f>'Raw Data'!CM147/100</f>
        <v>16.09</v>
      </c>
      <c r="CN146" s="83">
        <f>'Raw Data'!CN147/100</f>
        <v>15.47</v>
      </c>
      <c r="CO146" s="83">
        <f>'Raw Data'!CO147/100</f>
        <v>15.07</v>
      </c>
      <c r="CP146" s="83">
        <f>'Raw Data'!CP147/100</f>
        <v>14.56</v>
      </c>
      <c r="CQ146" s="83">
        <f>'Raw Data'!CQ147/100</f>
        <v>14.09</v>
      </c>
      <c r="CR146" s="83">
        <f>'Raw Data'!CR147/100</f>
        <v>13.57</v>
      </c>
      <c r="CS146" s="83">
        <f>'Raw Data'!CS147/100</f>
        <v>13.23</v>
      </c>
      <c r="CT146" s="83">
        <f>'Raw Data'!CT147/100</f>
        <v>13</v>
      </c>
      <c r="CU146" s="382"/>
    </row>
    <row r="147" spans="4:99" s="86" customFormat="1" x14ac:dyDescent="0.2">
      <c r="D147" s="376"/>
      <c r="E147" s="381"/>
      <c r="F147" s="395"/>
      <c r="G147" s="83">
        <f>'Raw Data'!G148</f>
        <v>109</v>
      </c>
      <c r="H147" s="83">
        <f>'Raw Data'!H148</f>
        <v>104</v>
      </c>
      <c r="I147" s="83">
        <f>'Raw Data'!I148</f>
        <v>118</v>
      </c>
      <c r="J147" s="83">
        <f>'Raw Data'!J148</f>
        <v>106</v>
      </c>
      <c r="K147" s="83">
        <f>'Raw Data'!K148</f>
        <v>115</v>
      </c>
      <c r="L147" s="83">
        <f>'Raw Data'!L148</f>
        <v>110</v>
      </c>
      <c r="M147" s="83">
        <f>'Raw Data'!M148</f>
        <v>104</v>
      </c>
      <c r="N147" s="83">
        <f>'Raw Data'!N148</f>
        <v>121</v>
      </c>
      <c r="O147" s="83">
        <f>'Raw Data'!O148</f>
        <v>117</v>
      </c>
      <c r="P147" s="83">
        <f>'Raw Data'!P148</f>
        <v>114</v>
      </c>
      <c r="Q147" s="83">
        <f>'Raw Data'!Q148</f>
        <v>105</v>
      </c>
      <c r="R147" s="83">
        <f>'Raw Data'!R148</f>
        <v>105</v>
      </c>
      <c r="S147" s="83">
        <f>'Raw Data'!S148</f>
        <v>111</v>
      </c>
      <c r="T147" s="83">
        <f>'Raw Data'!T148</f>
        <v>127</v>
      </c>
      <c r="U147" s="83">
        <f>'Raw Data'!U148</f>
        <v>111</v>
      </c>
      <c r="V147" s="83">
        <f>'Raw Data'!V148</f>
        <v>120</v>
      </c>
      <c r="W147" s="83">
        <f>'Raw Data'!W148</f>
        <v>117</v>
      </c>
      <c r="X147" s="83">
        <f>'Raw Data'!X148</f>
        <v>117</v>
      </c>
      <c r="Y147" s="83">
        <f>'Raw Data'!Y148</f>
        <v>111</v>
      </c>
      <c r="Z147" s="83">
        <f>'Raw Data'!Z148</f>
        <v>108</v>
      </c>
      <c r="AA147" s="83">
        <f>'Raw Data'!AA148/10</f>
        <v>113.9</v>
      </c>
      <c r="AB147" s="83">
        <f>'Raw Data'!AB148/10</f>
        <v>102.2</v>
      </c>
      <c r="AC147" s="83">
        <f>'Raw Data'!AC148/10</f>
        <v>99.6</v>
      </c>
      <c r="AD147" s="83">
        <f>'Raw Data'!AD148/10</f>
        <v>100.8</v>
      </c>
      <c r="AE147" s="83">
        <f>'Raw Data'!AE148/10</f>
        <v>96.2</v>
      </c>
      <c r="AF147" s="83">
        <f>'Raw Data'!AF148/10</f>
        <v>96</v>
      </c>
      <c r="AG147" s="83">
        <f>'Raw Data'!AG148/10</f>
        <v>88.2</v>
      </c>
      <c r="AH147" s="83">
        <f>'Raw Data'!AH148/10</f>
        <v>87</v>
      </c>
      <c r="AI147" s="83">
        <f>'Raw Data'!AI148/10</f>
        <v>81.3</v>
      </c>
      <c r="AJ147" s="83">
        <f>'Raw Data'!AJ148/10</f>
        <v>84.7</v>
      </c>
      <c r="AK147" s="83">
        <f>'Raw Data'!AK148/10</f>
        <v>78.599999999999994</v>
      </c>
      <c r="AL147" s="83">
        <f>'Raw Data'!AL148/10</f>
        <v>76.7</v>
      </c>
      <c r="AM147" s="83">
        <f>'Raw Data'!AM148/10</f>
        <v>72.099999999999994</v>
      </c>
      <c r="AN147" s="83">
        <f>'Raw Data'!AN148/10</f>
        <v>74.3</v>
      </c>
      <c r="AO147" s="83">
        <f>'Raw Data'!AO148/10</f>
        <v>69.099999999999994</v>
      </c>
      <c r="AP147" s="83">
        <f>'Raw Data'!AP148/10</f>
        <v>66.3</v>
      </c>
      <c r="AQ147" s="83">
        <f>'Raw Data'!AQ148/10</f>
        <v>66.3</v>
      </c>
      <c r="AR147" s="83">
        <f>'Raw Data'!AR148/10</f>
        <v>66.099999999999994</v>
      </c>
      <c r="AS147" s="83">
        <f>'Raw Data'!AS148/10</f>
        <v>61.7</v>
      </c>
      <c r="AT147" s="83">
        <f>'Raw Data'!AT148/10</f>
        <v>63.3</v>
      </c>
      <c r="AU147" s="83">
        <f>'Raw Data'!AU148/10</f>
        <v>55.8</v>
      </c>
      <c r="AV147" s="83">
        <f>'Raw Data'!AV148/10</f>
        <v>57</v>
      </c>
      <c r="AW147" s="83">
        <f>'Raw Data'!AW148/10</f>
        <v>58.1</v>
      </c>
      <c r="AX147" s="83">
        <f>'Raw Data'!AX148/10</f>
        <v>57</v>
      </c>
      <c r="AY147" s="83">
        <f>'Raw Data'!AY148/10</f>
        <v>53.1</v>
      </c>
      <c r="AZ147" s="83">
        <f>'Raw Data'!AZ148/10</f>
        <v>54.7</v>
      </c>
      <c r="BA147" s="83">
        <f>'Raw Data'!BA148/10</f>
        <v>50.4</v>
      </c>
      <c r="BB147" s="83">
        <f>'Raw Data'!BB148/10</f>
        <v>49.9</v>
      </c>
      <c r="BC147" s="83">
        <f>'Raw Data'!BC148/10</f>
        <v>49.5</v>
      </c>
      <c r="BD147" s="83">
        <f>'Raw Data'!BD148/10</f>
        <v>49.2</v>
      </c>
      <c r="BE147" s="83">
        <f>'Raw Data'!BE148/10</f>
        <v>46.4</v>
      </c>
      <c r="BF147" s="83">
        <f>'Raw Data'!BF148/10</f>
        <v>44.6</v>
      </c>
      <c r="BG147" s="83">
        <f>'Raw Data'!BG148/10</f>
        <v>47.2</v>
      </c>
      <c r="BH147" s="83">
        <f>'Raw Data'!BH148/10</f>
        <v>47.2</v>
      </c>
      <c r="BI147" s="83">
        <f>'Raw Data'!BI148/10</f>
        <v>45.6</v>
      </c>
      <c r="BJ147" s="83">
        <f>'Raw Data'!BJ148/10</f>
        <v>46.2</v>
      </c>
      <c r="BK147" s="83">
        <f>'Raw Data'!BK148/10</f>
        <v>44</v>
      </c>
      <c r="BL147" s="83">
        <f>'Raw Data'!BL148/10</f>
        <v>41.2</v>
      </c>
      <c r="BM147" s="83">
        <f>'Raw Data'!BM148/10</f>
        <v>44</v>
      </c>
      <c r="BN147" s="83">
        <f>'Raw Data'!BN148/10</f>
        <v>41.1</v>
      </c>
      <c r="BO147" s="83">
        <f>'Raw Data'!BO148/10</f>
        <v>41.6</v>
      </c>
      <c r="BP147" s="83">
        <f>'Raw Data'!BP148/10</f>
        <v>43.1</v>
      </c>
      <c r="BQ147" s="83">
        <f>'Raw Data'!BQ148/10</f>
        <v>39</v>
      </c>
      <c r="BR147" s="83">
        <f>'Raw Data'!BR148/10</f>
        <v>42</v>
      </c>
      <c r="BS147" s="83">
        <f>'Raw Data'!BS148/10</f>
        <v>38.1</v>
      </c>
      <c r="BT147" s="83">
        <f>'Raw Data'!BT148/10</f>
        <v>38.9</v>
      </c>
      <c r="BU147" s="83">
        <f>'Raw Data'!BU148/10</f>
        <v>37.700000000000003</v>
      </c>
      <c r="BV147" s="83">
        <f>'Raw Data'!BV148/10</f>
        <v>36.1</v>
      </c>
      <c r="BW147" s="83">
        <f>'Raw Data'!BW148/10</f>
        <v>36.299999999999997</v>
      </c>
      <c r="BX147" s="83">
        <f>'Raw Data'!BX148/10</f>
        <v>35.6</v>
      </c>
      <c r="BY147" s="83">
        <f>'Raw Data'!BY148/10</f>
        <v>35.9</v>
      </c>
      <c r="BZ147" s="83">
        <f>'Raw Data'!BZ148/10</f>
        <v>38.700000000000003</v>
      </c>
      <c r="CA147" s="83">
        <f>'Raw Data'!CA148/10</f>
        <v>34.700000000000003</v>
      </c>
      <c r="CB147" s="83">
        <f>'Raw Data'!CB148/10</f>
        <v>37.200000000000003</v>
      </c>
      <c r="CC147" s="83">
        <f>'Raw Data'!CC148/10</f>
        <v>32.700000000000003</v>
      </c>
      <c r="CD147" s="83">
        <f>'Raw Data'!CD148/10</f>
        <v>35.5</v>
      </c>
      <c r="CE147" s="83">
        <f>'Raw Data'!CE148/10</f>
        <v>34.5</v>
      </c>
      <c r="CF147" s="83">
        <f>'Raw Data'!CF148/10</f>
        <v>32.799999999999997</v>
      </c>
      <c r="CG147" s="83">
        <f>'Raw Data'!CG148/100</f>
        <v>31.75</v>
      </c>
      <c r="CH147" s="83">
        <f>'Raw Data'!CH148/100</f>
        <v>29.65</v>
      </c>
      <c r="CI147" s="83">
        <f>'Raw Data'!CI148/100</f>
        <v>27.54</v>
      </c>
      <c r="CJ147" s="83">
        <f>'Raw Data'!CJ148/100</f>
        <v>25.79</v>
      </c>
      <c r="CK147" s="83">
        <f>'Raw Data'!CK148/100</f>
        <v>24.39</v>
      </c>
      <c r="CL147" s="83">
        <f>'Raw Data'!CL148/100</f>
        <v>23.24</v>
      </c>
      <c r="CM147" s="83">
        <f>'Raw Data'!CM148/100</f>
        <v>22.12</v>
      </c>
      <c r="CN147" s="83">
        <f>'Raw Data'!CN148/100</f>
        <v>21.78</v>
      </c>
      <c r="CO147" s="83">
        <f>'Raw Data'!CO148/100</f>
        <v>20.94</v>
      </c>
      <c r="CP147" s="83">
        <f>'Raw Data'!CP148/100</f>
        <v>20.25</v>
      </c>
      <c r="CQ147" s="83">
        <f>'Raw Data'!CQ148/100</f>
        <v>19.260000000000002</v>
      </c>
      <c r="CR147" s="83">
        <f>'Raw Data'!CR148/100</f>
        <v>18.690000000000001</v>
      </c>
      <c r="CS147" s="83">
        <f>'Raw Data'!CS148/100</f>
        <v>17.920000000000002</v>
      </c>
      <c r="CT147" s="83">
        <f>'Raw Data'!CT148/100</f>
        <v>17.899999999999999</v>
      </c>
      <c r="CU147" s="382"/>
    </row>
    <row r="148" spans="4:99" s="86" customFormat="1" x14ac:dyDescent="0.2">
      <c r="D148" s="377"/>
      <c r="E148" s="164"/>
      <c r="F148" s="394"/>
      <c r="G148" s="85">
        <f>'Raw Data'!G149</f>
        <v>39</v>
      </c>
      <c r="H148" s="85">
        <f>'Raw Data'!H149</f>
        <v>45</v>
      </c>
      <c r="I148" s="85">
        <f>'Raw Data'!I149</f>
        <v>42</v>
      </c>
      <c r="J148" s="85">
        <f>'Raw Data'!J149</f>
        <v>41</v>
      </c>
      <c r="K148" s="85">
        <f>'Raw Data'!K149</f>
        <v>39</v>
      </c>
      <c r="L148" s="85">
        <f>'Raw Data'!L149</f>
        <v>37</v>
      </c>
      <c r="M148" s="85">
        <f>'Raw Data'!M149</f>
        <v>40</v>
      </c>
      <c r="N148" s="85">
        <f>'Raw Data'!N149</f>
        <v>33</v>
      </c>
      <c r="O148" s="85">
        <f>'Raw Data'!O149</f>
        <v>43</v>
      </c>
      <c r="P148" s="85">
        <f>'Raw Data'!P149</f>
        <v>33</v>
      </c>
      <c r="Q148" s="85">
        <f>'Raw Data'!Q149</f>
        <v>40</v>
      </c>
      <c r="R148" s="85">
        <f>'Raw Data'!R149</f>
        <v>45</v>
      </c>
      <c r="S148" s="85">
        <f>'Raw Data'!S149</f>
        <v>35</v>
      </c>
      <c r="T148" s="85">
        <f>'Raw Data'!T149</f>
        <v>32</v>
      </c>
      <c r="U148" s="85">
        <f>'Raw Data'!U149</f>
        <v>36</v>
      </c>
      <c r="V148" s="85">
        <f>'Raw Data'!V149</f>
        <v>42</v>
      </c>
      <c r="W148" s="85">
        <f>'Raw Data'!W149</f>
        <v>46</v>
      </c>
      <c r="X148" s="85">
        <f>'Raw Data'!X149</f>
        <v>49</v>
      </c>
      <c r="Y148" s="85">
        <f>'Raw Data'!Y149</f>
        <v>47</v>
      </c>
      <c r="Z148" s="85">
        <f>'Raw Data'!Z149</f>
        <v>42</v>
      </c>
      <c r="AA148" s="85">
        <f>'Raw Data'!AA149/10</f>
        <v>39.299999999999997</v>
      </c>
      <c r="AB148" s="85">
        <f>'Raw Data'!AB149/10</f>
        <v>42.3</v>
      </c>
      <c r="AC148" s="85">
        <f>'Raw Data'!AC149/10</f>
        <v>40.9</v>
      </c>
      <c r="AD148" s="85">
        <f>'Raw Data'!AD149/10</f>
        <v>44</v>
      </c>
      <c r="AE148" s="85">
        <f>'Raw Data'!AE149/10</f>
        <v>43.2</v>
      </c>
      <c r="AF148" s="85">
        <f>'Raw Data'!AF149/10</f>
        <v>38.200000000000003</v>
      </c>
      <c r="AG148" s="85">
        <f>'Raw Data'!AG149/10</f>
        <v>43.7</v>
      </c>
      <c r="AH148" s="85">
        <f>'Raw Data'!AH149/10</f>
        <v>39</v>
      </c>
      <c r="AI148" s="85">
        <f>'Raw Data'!AI149/10</f>
        <v>40.799999999999997</v>
      </c>
      <c r="AJ148" s="85">
        <f>'Raw Data'!AJ149/10</f>
        <v>41.4</v>
      </c>
      <c r="AK148" s="85">
        <f>'Raw Data'!AK149/10</f>
        <v>37</v>
      </c>
      <c r="AL148" s="85">
        <f>'Raw Data'!AL149/10</f>
        <v>40.4</v>
      </c>
      <c r="AM148" s="85">
        <f>'Raw Data'!AM149/10</f>
        <v>40.4</v>
      </c>
      <c r="AN148" s="85">
        <f>'Raw Data'!AN149/10</f>
        <v>36.299999999999997</v>
      </c>
      <c r="AO148" s="85">
        <f>'Raw Data'!AO149/10</f>
        <v>37.9</v>
      </c>
      <c r="AP148" s="85">
        <f>'Raw Data'!AP149/10</f>
        <v>38.4</v>
      </c>
      <c r="AQ148" s="85">
        <f>'Raw Data'!AQ149/10</f>
        <v>36.4</v>
      </c>
      <c r="AR148" s="85">
        <f>'Raw Data'!AR149/10</f>
        <v>34.9</v>
      </c>
      <c r="AS148" s="85">
        <f>'Raw Data'!AS149/10</f>
        <v>34.6</v>
      </c>
      <c r="AT148" s="85">
        <f>'Raw Data'!AT149/10</f>
        <v>36.700000000000003</v>
      </c>
      <c r="AU148" s="85">
        <f>'Raw Data'!AU149/10</f>
        <v>38.200000000000003</v>
      </c>
      <c r="AV148" s="85">
        <f>'Raw Data'!AV149/10</f>
        <v>34.5</v>
      </c>
      <c r="AW148" s="85">
        <f>'Raw Data'!AW149/10</f>
        <v>34.799999999999997</v>
      </c>
      <c r="AX148" s="85">
        <f>'Raw Data'!AX149/10</f>
        <v>34.1</v>
      </c>
      <c r="AY148" s="85">
        <f>'Raw Data'!AY149/10</f>
        <v>36.799999999999997</v>
      </c>
      <c r="AZ148" s="85">
        <f>'Raw Data'!AZ149/10</f>
        <v>32.6</v>
      </c>
      <c r="BA148" s="85">
        <f>'Raw Data'!BA149/10</f>
        <v>34.9</v>
      </c>
      <c r="BB148" s="85">
        <f>'Raw Data'!BB149/10</f>
        <v>34.5</v>
      </c>
      <c r="BC148" s="85">
        <f>'Raw Data'!BC149/10</f>
        <v>32.4</v>
      </c>
      <c r="BD148" s="85">
        <f>'Raw Data'!BD149/10</f>
        <v>31.4</v>
      </c>
      <c r="BE148" s="85">
        <f>'Raw Data'!BE149/10</f>
        <v>32.5</v>
      </c>
      <c r="BF148" s="85">
        <f>'Raw Data'!BF149/10</f>
        <v>32.9</v>
      </c>
      <c r="BG148" s="85">
        <f>'Raw Data'!BG149/10</f>
        <v>32.1</v>
      </c>
      <c r="BH148" s="85">
        <f>'Raw Data'!BH149/10</f>
        <v>34.200000000000003</v>
      </c>
      <c r="BI148" s="85">
        <f>'Raw Data'!BI149/10</f>
        <v>32.6</v>
      </c>
      <c r="BJ148" s="85">
        <f>'Raw Data'!BJ149/10</f>
        <v>35.700000000000003</v>
      </c>
      <c r="BK148" s="85">
        <f>'Raw Data'!BK149/10</f>
        <v>31.3</v>
      </c>
      <c r="BL148" s="85">
        <f>'Raw Data'!BL149/10</f>
        <v>31.5</v>
      </c>
      <c r="BM148" s="85">
        <f>'Raw Data'!BM149/10</f>
        <v>31.9</v>
      </c>
      <c r="BN148" s="85">
        <f>'Raw Data'!BN149/10</f>
        <v>33.1</v>
      </c>
      <c r="BO148" s="85">
        <f>'Raw Data'!BO149/10</f>
        <v>32.5</v>
      </c>
      <c r="BP148" s="85">
        <f>'Raw Data'!BP149/10</f>
        <v>30.6</v>
      </c>
      <c r="BQ148" s="85">
        <f>'Raw Data'!BQ149/10</f>
        <v>32.299999999999997</v>
      </c>
      <c r="BR148" s="85">
        <f>'Raw Data'!BR149/10</f>
        <v>32.5</v>
      </c>
      <c r="BS148" s="85">
        <f>'Raw Data'!BS149/10</f>
        <v>30.3</v>
      </c>
      <c r="BT148" s="85">
        <f>'Raw Data'!BT149/10</f>
        <v>30</v>
      </c>
      <c r="BU148" s="85">
        <f>'Raw Data'!BU149/10</f>
        <v>30.7</v>
      </c>
      <c r="BV148" s="85">
        <f>'Raw Data'!BV149/10</f>
        <v>29.2</v>
      </c>
      <c r="BW148" s="85">
        <f>'Raw Data'!BW149/10</f>
        <v>30.9</v>
      </c>
      <c r="BX148" s="85">
        <f>'Raw Data'!BX149/10</f>
        <v>30.2</v>
      </c>
      <c r="BY148" s="85">
        <f>'Raw Data'!BY149/10</f>
        <v>30.7</v>
      </c>
      <c r="BZ148" s="85">
        <f>'Raw Data'!BZ149/10</f>
        <v>29.6</v>
      </c>
      <c r="CA148" s="85">
        <f>'Raw Data'!CA149/10</f>
        <v>29.3</v>
      </c>
      <c r="CB148" s="85">
        <f>'Raw Data'!CB149/10</f>
        <v>30.7</v>
      </c>
      <c r="CC148" s="85">
        <f>'Raw Data'!CC149/10</f>
        <v>31.4</v>
      </c>
      <c r="CD148" s="85">
        <f>'Raw Data'!CD149/10</f>
        <v>29.9</v>
      </c>
      <c r="CE148" s="85">
        <f>'Raw Data'!CE149/10</f>
        <v>29.4</v>
      </c>
      <c r="CF148" s="85">
        <f>'Raw Data'!CF149/10</f>
        <v>29.6</v>
      </c>
      <c r="CG148" s="85">
        <f>'Raw Data'!CG149/100</f>
        <v>29.31</v>
      </c>
      <c r="CH148" s="85">
        <f>'Raw Data'!CH149/100</f>
        <v>28.45</v>
      </c>
      <c r="CI148" s="85">
        <f>'Raw Data'!CI149/100</f>
        <v>27.44</v>
      </c>
      <c r="CJ148" s="85">
        <f>'Raw Data'!CJ149/100</f>
        <v>27.08</v>
      </c>
      <c r="CK148" s="85">
        <f>'Raw Data'!CK149/100</f>
        <v>25.85</v>
      </c>
      <c r="CL148" s="85">
        <f>'Raw Data'!CL149/100</f>
        <v>25.54</v>
      </c>
      <c r="CM148" s="85">
        <f>'Raw Data'!CM149/100</f>
        <v>25.81</v>
      </c>
      <c r="CN148" s="85">
        <f>'Raw Data'!CN149/100</f>
        <v>25.1</v>
      </c>
      <c r="CO148" s="85">
        <f>'Raw Data'!CO149/100</f>
        <v>25.25</v>
      </c>
      <c r="CP148" s="85">
        <f>'Raw Data'!CP149/100</f>
        <v>24.12</v>
      </c>
      <c r="CQ148" s="85">
        <f>'Raw Data'!CQ149/100</f>
        <v>24.69</v>
      </c>
      <c r="CR148" s="85">
        <f>'Raw Data'!CR149/100</f>
        <v>23.66</v>
      </c>
      <c r="CS148" s="85">
        <f>'Raw Data'!CS149/100</f>
        <v>23.98</v>
      </c>
      <c r="CT148" s="85">
        <f>'Raw Data'!CT149/100</f>
        <v>23.72</v>
      </c>
      <c r="CU148" s="382"/>
    </row>
    <row r="149" spans="4:99" s="86" customFormat="1" x14ac:dyDescent="0.2">
      <c r="D149" s="375"/>
      <c r="E149" s="164"/>
      <c r="F149" s="394"/>
      <c r="G149" s="86">
        <f>'Raw Data'!G150</f>
        <v>29</v>
      </c>
      <c r="H149" s="86">
        <f>'Raw Data'!H150</f>
        <v>22</v>
      </c>
      <c r="I149" s="86">
        <f>'Raw Data'!I150</f>
        <v>34</v>
      </c>
      <c r="J149" s="86">
        <f>'Raw Data'!J150</f>
        <v>26</v>
      </c>
      <c r="K149" s="86">
        <f>'Raw Data'!K150</f>
        <v>24</v>
      </c>
      <c r="L149" s="86">
        <f>'Raw Data'!L150</f>
        <v>27</v>
      </c>
      <c r="M149" s="86">
        <f>'Raw Data'!M150</f>
        <v>22</v>
      </c>
      <c r="N149" s="86">
        <f>'Raw Data'!N150</f>
        <v>33</v>
      </c>
      <c r="O149" s="86">
        <f>'Raw Data'!O150</f>
        <v>29</v>
      </c>
      <c r="P149" s="86">
        <f>'Raw Data'!P150</f>
        <v>30</v>
      </c>
      <c r="Q149" s="86">
        <f>'Raw Data'!Q150</f>
        <v>24</v>
      </c>
      <c r="R149" s="86">
        <f>'Raw Data'!R150</f>
        <v>31</v>
      </c>
      <c r="S149" s="86">
        <f>'Raw Data'!S150</f>
        <v>25</v>
      </c>
      <c r="T149" s="86">
        <f>'Raw Data'!T150</f>
        <v>30</v>
      </c>
      <c r="U149" s="86">
        <f>'Raw Data'!U150</f>
        <v>32</v>
      </c>
      <c r="V149" s="86">
        <f>'Raw Data'!V150</f>
        <v>21</v>
      </c>
      <c r="W149" s="86">
        <f>'Raw Data'!W150</f>
        <v>30</v>
      </c>
      <c r="X149" s="86">
        <f>'Raw Data'!X150</f>
        <v>23</v>
      </c>
      <c r="Y149" s="86">
        <f>'Raw Data'!Y150</f>
        <v>28</v>
      </c>
      <c r="Z149" s="86">
        <f>'Raw Data'!Z150</f>
        <v>27</v>
      </c>
      <c r="AA149" s="86">
        <f>'Raw Data'!AA150/10</f>
        <v>27.5</v>
      </c>
      <c r="AB149" s="86">
        <f>'Raw Data'!AB150/10</f>
        <v>28</v>
      </c>
      <c r="AC149" s="86">
        <f>'Raw Data'!AC150/10</f>
        <v>29.9</v>
      </c>
      <c r="AD149" s="86">
        <f>'Raw Data'!AD150/10</f>
        <v>28.8</v>
      </c>
      <c r="AE149" s="86">
        <f>'Raw Data'!AE150/10</f>
        <v>28.6</v>
      </c>
      <c r="AF149" s="86">
        <f>'Raw Data'!AF150/10</f>
        <v>26.9</v>
      </c>
      <c r="AG149" s="86">
        <f>'Raw Data'!AG150/10</f>
        <v>29.4</v>
      </c>
      <c r="AH149" s="86">
        <f>'Raw Data'!AH150/10</f>
        <v>27.7</v>
      </c>
      <c r="AI149" s="86">
        <f>'Raw Data'!AI150/10</f>
        <v>28.7</v>
      </c>
      <c r="AJ149" s="86">
        <f>'Raw Data'!AJ150/10</f>
        <v>26.1</v>
      </c>
      <c r="AK149" s="86">
        <f>'Raw Data'!AK150/10</f>
        <v>26.7</v>
      </c>
      <c r="AL149" s="86">
        <f>'Raw Data'!AL150/10</f>
        <v>26.1</v>
      </c>
      <c r="AM149" s="86">
        <f>'Raw Data'!AM150/10</f>
        <v>27.5</v>
      </c>
      <c r="AN149" s="86">
        <f>'Raw Data'!AN150/10</f>
        <v>26.3</v>
      </c>
      <c r="AO149" s="86">
        <f>'Raw Data'!AO150/10</f>
        <v>27.4</v>
      </c>
      <c r="AP149" s="86">
        <f>'Raw Data'!AP150/10</f>
        <v>27.1</v>
      </c>
      <c r="AQ149" s="86">
        <f>'Raw Data'!AQ150/10</f>
        <v>25.7</v>
      </c>
      <c r="AR149" s="86">
        <f>'Raw Data'!AR150/10</f>
        <v>27.6</v>
      </c>
      <c r="AS149" s="86">
        <f>'Raw Data'!AS150/10</f>
        <v>25.7</v>
      </c>
      <c r="AT149" s="86">
        <f>'Raw Data'!AT150/10</f>
        <v>24.2</v>
      </c>
      <c r="AU149" s="86">
        <f>'Raw Data'!AU150/10</f>
        <v>26.6</v>
      </c>
      <c r="AV149" s="86">
        <f>'Raw Data'!AV150/10</f>
        <v>25.3</v>
      </c>
      <c r="AW149" s="86">
        <f>'Raw Data'!AW150/10</f>
        <v>21.8</v>
      </c>
      <c r="AX149" s="86">
        <f>'Raw Data'!AX150/10</f>
        <v>23.5</v>
      </c>
      <c r="AY149" s="86">
        <f>'Raw Data'!AY150/10</f>
        <v>23.6</v>
      </c>
      <c r="AZ149" s="86">
        <f>'Raw Data'!AZ150/10</f>
        <v>24.9</v>
      </c>
      <c r="BA149" s="86">
        <f>'Raw Data'!BA150/10</f>
        <v>23.9</v>
      </c>
      <c r="BB149" s="86">
        <f>'Raw Data'!BB150/10</f>
        <v>23.2</v>
      </c>
      <c r="BC149" s="86">
        <f>'Raw Data'!BC150/10</f>
        <v>24</v>
      </c>
      <c r="BD149" s="86">
        <f>'Raw Data'!BD150/10</f>
        <v>23.3</v>
      </c>
      <c r="BE149" s="86">
        <f>'Raw Data'!BE150/10</f>
        <v>25</v>
      </c>
      <c r="BF149" s="86">
        <f>'Raw Data'!BF150/10</f>
        <v>24.5</v>
      </c>
      <c r="BG149" s="86">
        <f>'Raw Data'!BG150/10</f>
        <v>25.3</v>
      </c>
      <c r="BH149" s="86">
        <f>'Raw Data'!BH150/10</f>
        <v>23.6</v>
      </c>
      <c r="BI149" s="86">
        <f>'Raw Data'!BI150/10</f>
        <v>23.3</v>
      </c>
      <c r="BJ149" s="86">
        <f>'Raw Data'!BJ150/10</f>
        <v>23.7</v>
      </c>
      <c r="BK149" s="86">
        <f>'Raw Data'!BK150/10</f>
        <v>21.6</v>
      </c>
      <c r="BL149" s="86">
        <f>'Raw Data'!BL150/10</f>
        <v>25.3</v>
      </c>
      <c r="BM149" s="86">
        <f>'Raw Data'!BM150/10</f>
        <v>22.3</v>
      </c>
      <c r="BN149" s="86">
        <f>'Raw Data'!BN150/10</f>
        <v>22.5</v>
      </c>
      <c r="BO149" s="86">
        <f>'Raw Data'!BO150/10</f>
        <v>21.4</v>
      </c>
      <c r="BP149" s="86">
        <f>'Raw Data'!BP150/10</f>
        <v>23.3</v>
      </c>
      <c r="BQ149" s="86">
        <f>'Raw Data'!BQ150/10</f>
        <v>23</v>
      </c>
      <c r="BR149" s="86">
        <f>'Raw Data'!BR150/10</f>
        <v>22.8</v>
      </c>
      <c r="BS149" s="86">
        <f>'Raw Data'!BS150/10</f>
        <v>21.7</v>
      </c>
      <c r="BT149" s="86">
        <f>'Raw Data'!BT150/10</f>
        <v>22.1</v>
      </c>
      <c r="BU149" s="86">
        <f>'Raw Data'!BU150/10</f>
        <v>22.7</v>
      </c>
      <c r="BV149" s="86">
        <f>'Raw Data'!BV150/10</f>
        <v>21</v>
      </c>
      <c r="BW149" s="86">
        <f>'Raw Data'!BW150/10</f>
        <v>23.8</v>
      </c>
      <c r="BX149" s="86">
        <f>'Raw Data'!BX150/10</f>
        <v>20.8</v>
      </c>
      <c r="BY149" s="86">
        <f>'Raw Data'!BY150/10</f>
        <v>21.9</v>
      </c>
      <c r="BZ149" s="86">
        <f>'Raw Data'!BZ150/10</f>
        <v>23.5</v>
      </c>
      <c r="CA149" s="86">
        <f>'Raw Data'!CA150/10</f>
        <v>22</v>
      </c>
      <c r="CB149" s="86">
        <f>'Raw Data'!CB150/10</f>
        <v>21</v>
      </c>
      <c r="CC149" s="86">
        <f>'Raw Data'!CC150/10</f>
        <v>21.8</v>
      </c>
      <c r="CD149" s="86">
        <f>'Raw Data'!CD150/10</f>
        <v>22.1</v>
      </c>
      <c r="CE149" s="86">
        <f>'Raw Data'!CE150/10</f>
        <v>21.8</v>
      </c>
      <c r="CF149" s="86">
        <f>'Raw Data'!CF150/10</f>
        <v>20.100000000000001</v>
      </c>
      <c r="CG149" s="86">
        <f>'Raw Data'!CG150/100</f>
        <v>21.31</v>
      </c>
      <c r="CH149" s="86">
        <f>'Raw Data'!CH150/100</f>
        <v>20.84</v>
      </c>
      <c r="CI149" s="86">
        <f>'Raw Data'!CI150/100</f>
        <v>20.93</v>
      </c>
      <c r="CJ149" s="86">
        <f>'Raw Data'!CJ150/100</f>
        <v>21.2</v>
      </c>
      <c r="CK149" s="86">
        <f>'Raw Data'!CK150/100</f>
        <v>19.920000000000002</v>
      </c>
      <c r="CL149" s="86">
        <f>'Raw Data'!CL150/100</f>
        <v>19.850000000000001</v>
      </c>
      <c r="CM149" s="86">
        <f>'Raw Data'!CM150/100</f>
        <v>19.32</v>
      </c>
      <c r="CN149" s="86">
        <f>'Raw Data'!CN150/100</f>
        <v>19.8</v>
      </c>
      <c r="CO149" s="86">
        <f>'Raw Data'!CO150/100</f>
        <v>19.829999999999998</v>
      </c>
      <c r="CP149" s="86">
        <f>'Raw Data'!CP150/100</f>
        <v>19.059999999999999</v>
      </c>
      <c r="CQ149" s="86">
        <f>'Raw Data'!CQ150/100</f>
        <v>18.670000000000002</v>
      </c>
      <c r="CR149" s="86">
        <f>'Raw Data'!CR150/100</f>
        <v>18.68</v>
      </c>
      <c r="CS149" s="86">
        <f>'Raw Data'!CS150/100</f>
        <v>19.2</v>
      </c>
      <c r="CT149" s="86">
        <f>'Raw Data'!CT150/100</f>
        <v>19.41</v>
      </c>
      <c r="CU149" s="382"/>
    </row>
    <row r="150" spans="4:99" s="86" customFormat="1" x14ac:dyDescent="0.2">
      <c r="D150" s="375"/>
      <c r="E150" s="164"/>
      <c r="F150" s="394"/>
      <c r="G150" s="86">
        <f>'Raw Data'!G151</f>
        <v>26</v>
      </c>
      <c r="H150" s="86">
        <f>'Raw Data'!H151</f>
        <v>18</v>
      </c>
      <c r="I150" s="86">
        <f>'Raw Data'!I151</f>
        <v>21</v>
      </c>
      <c r="J150" s="86">
        <f>'Raw Data'!J151</f>
        <v>25</v>
      </c>
      <c r="K150" s="86">
        <f>'Raw Data'!K151</f>
        <v>22</v>
      </c>
      <c r="L150" s="86">
        <f>'Raw Data'!L151</f>
        <v>26</v>
      </c>
      <c r="M150" s="86">
        <f>'Raw Data'!M151</f>
        <v>19</v>
      </c>
      <c r="N150" s="86">
        <f>'Raw Data'!N151</f>
        <v>19</v>
      </c>
      <c r="O150" s="86">
        <f>'Raw Data'!O151</f>
        <v>19</v>
      </c>
      <c r="P150" s="86">
        <f>'Raw Data'!P151</f>
        <v>18</v>
      </c>
      <c r="Q150" s="86">
        <f>'Raw Data'!Q151</f>
        <v>23</v>
      </c>
      <c r="R150" s="86">
        <f>'Raw Data'!R151</f>
        <v>26</v>
      </c>
      <c r="S150" s="86">
        <f>'Raw Data'!S151</f>
        <v>27</v>
      </c>
      <c r="T150" s="86">
        <f>'Raw Data'!T151</f>
        <v>25</v>
      </c>
      <c r="U150" s="86">
        <f>'Raw Data'!U151</f>
        <v>26</v>
      </c>
      <c r="V150" s="86">
        <f>'Raw Data'!V151</f>
        <v>27</v>
      </c>
      <c r="W150" s="86">
        <f>'Raw Data'!W151</f>
        <v>21</v>
      </c>
      <c r="X150" s="86">
        <f>'Raw Data'!X151</f>
        <v>29</v>
      </c>
      <c r="Y150" s="86">
        <f>'Raw Data'!Y151</f>
        <v>24</v>
      </c>
      <c r="Z150" s="86">
        <f>'Raw Data'!Z151</f>
        <v>24</v>
      </c>
      <c r="AA150" s="86">
        <f>'Raw Data'!AA151/10</f>
        <v>25.3</v>
      </c>
      <c r="AB150" s="86">
        <f>'Raw Data'!AB151/10</f>
        <v>24.5</v>
      </c>
      <c r="AC150" s="86">
        <f>'Raw Data'!AC151/10</f>
        <v>25.5</v>
      </c>
      <c r="AD150" s="86">
        <f>'Raw Data'!AD151/10</f>
        <v>26.4</v>
      </c>
      <c r="AE150" s="86">
        <f>'Raw Data'!AE151/10</f>
        <v>22.9</v>
      </c>
      <c r="AF150" s="86">
        <f>'Raw Data'!AF151/10</f>
        <v>23.4</v>
      </c>
      <c r="AG150" s="86">
        <f>'Raw Data'!AG151/10</f>
        <v>25.4</v>
      </c>
      <c r="AH150" s="86">
        <f>'Raw Data'!AH151/10</f>
        <v>22.7</v>
      </c>
      <c r="AI150" s="86">
        <f>'Raw Data'!AI151/10</f>
        <v>24.2</v>
      </c>
      <c r="AJ150" s="86">
        <f>'Raw Data'!AJ151/10</f>
        <v>23.7</v>
      </c>
      <c r="AK150" s="86">
        <f>'Raw Data'!AK151/10</f>
        <v>24.3</v>
      </c>
      <c r="AL150" s="86">
        <f>'Raw Data'!AL151/10</f>
        <v>22.4</v>
      </c>
      <c r="AM150" s="86">
        <f>'Raw Data'!AM151/10</f>
        <v>26</v>
      </c>
      <c r="AN150" s="86">
        <f>'Raw Data'!AN151/10</f>
        <v>23.7</v>
      </c>
      <c r="AO150" s="86">
        <f>'Raw Data'!AO151/10</f>
        <v>22.8</v>
      </c>
      <c r="AP150" s="86">
        <f>'Raw Data'!AP151/10</f>
        <v>22.3</v>
      </c>
      <c r="AQ150" s="86">
        <f>'Raw Data'!AQ151/10</f>
        <v>20.7</v>
      </c>
      <c r="AR150" s="86">
        <f>'Raw Data'!AR151/10</f>
        <v>22.7</v>
      </c>
      <c r="AS150" s="86">
        <f>'Raw Data'!AS151/10</f>
        <v>21.6</v>
      </c>
      <c r="AT150" s="86">
        <f>'Raw Data'!AT151/10</f>
        <v>20.8</v>
      </c>
      <c r="AU150" s="86">
        <f>'Raw Data'!AU151/10</f>
        <v>19</v>
      </c>
      <c r="AV150" s="86">
        <f>'Raw Data'!AV151/10</f>
        <v>22.2</v>
      </c>
      <c r="AW150" s="86">
        <f>'Raw Data'!AW151/10</f>
        <v>23.5</v>
      </c>
      <c r="AX150" s="86">
        <f>'Raw Data'!AX151/10</f>
        <v>20</v>
      </c>
      <c r="AY150" s="86">
        <f>'Raw Data'!AY151/10</f>
        <v>22.1</v>
      </c>
      <c r="AZ150" s="86">
        <f>'Raw Data'!AZ151/10</f>
        <v>20.5</v>
      </c>
      <c r="BA150" s="86">
        <f>'Raw Data'!BA151/10</f>
        <v>21.4</v>
      </c>
      <c r="BB150" s="86">
        <f>'Raw Data'!BB151/10</f>
        <v>19.600000000000001</v>
      </c>
      <c r="BC150" s="86">
        <f>'Raw Data'!BC151/10</f>
        <v>18.100000000000001</v>
      </c>
      <c r="BD150" s="86">
        <f>'Raw Data'!BD151/10</f>
        <v>18.399999999999999</v>
      </c>
      <c r="BE150" s="86">
        <f>'Raw Data'!BE151/10</f>
        <v>20.5</v>
      </c>
      <c r="BF150" s="86">
        <f>'Raw Data'!BF151/10</f>
        <v>21.3</v>
      </c>
      <c r="BG150" s="86">
        <f>'Raw Data'!BG151/10</f>
        <v>20.5</v>
      </c>
      <c r="BH150" s="86">
        <f>'Raw Data'!BH151/10</f>
        <v>18.600000000000001</v>
      </c>
      <c r="BI150" s="86">
        <f>'Raw Data'!BI151/10</f>
        <v>20.6</v>
      </c>
      <c r="BJ150" s="86">
        <f>'Raw Data'!BJ151/10</f>
        <v>20.3</v>
      </c>
      <c r="BK150" s="86">
        <f>'Raw Data'!BK151/10</f>
        <v>19.7</v>
      </c>
      <c r="BL150" s="86">
        <f>'Raw Data'!BL151/10</f>
        <v>19.899999999999999</v>
      </c>
      <c r="BM150" s="86">
        <f>'Raw Data'!BM151/10</f>
        <v>19.7</v>
      </c>
      <c r="BN150" s="86">
        <f>'Raw Data'!BN151/10</f>
        <v>18.3</v>
      </c>
      <c r="BO150" s="86">
        <f>'Raw Data'!BO151/10</f>
        <v>18.5</v>
      </c>
      <c r="BP150" s="86">
        <f>'Raw Data'!BP151/10</f>
        <v>17.8</v>
      </c>
      <c r="BQ150" s="86">
        <f>'Raw Data'!BQ151/10</f>
        <v>18.899999999999999</v>
      </c>
      <c r="BR150" s="86">
        <f>'Raw Data'!BR151/10</f>
        <v>20.3</v>
      </c>
      <c r="BS150" s="86">
        <f>'Raw Data'!BS151/10</f>
        <v>18.899999999999999</v>
      </c>
      <c r="BT150" s="86">
        <f>'Raw Data'!BT151/10</f>
        <v>18</v>
      </c>
      <c r="BU150" s="86">
        <f>'Raw Data'!BU151/10</f>
        <v>18.899999999999999</v>
      </c>
      <c r="BV150" s="86">
        <f>'Raw Data'!BV151/10</f>
        <v>19.2</v>
      </c>
      <c r="BW150" s="86">
        <f>'Raw Data'!BW151/10</f>
        <v>18.899999999999999</v>
      </c>
      <c r="BX150" s="86">
        <f>'Raw Data'!BX151/10</f>
        <v>17</v>
      </c>
      <c r="BY150" s="86">
        <f>'Raw Data'!BY151/10</f>
        <v>18.8</v>
      </c>
      <c r="BZ150" s="86">
        <f>'Raw Data'!BZ151/10</f>
        <v>17.600000000000001</v>
      </c>
      <c r="CA150" s="86">
        <f>'Raw Data'!CA151/10</f>
        <v>20</v>
      </c>
      <c r="CB150" s="86">
        <f>'Raw Data'!CB151/10</f>
        <v>18.7</v>
      </c>
      <c r="CC150" s="86">
        <f>'Raw Data'!CC151/10</f>
        <v>17.5</v>
      </c>
      <c r="CD150" s="86">
        <f>'Raw Data'!CD151/10</f>
        <v>18.600000000000001</v>
      </c>
      <c r="CE150" s="86">
        <f>'Raw Data'!CE151/10</f>
        <v>18.600000000000001</v>
      </c>
      <c r="CF150" s="86">
        <f>'Raw Data'!CF151/10</f>
        <v>18.600000000000001</v>
      </c>
      <c r="CG150" s="86">
        <f>'Raw Data'!CG151/100</f>
        <v>17.510000000000002</v>
      </c>
      <c r="CH150" s="86">
        <f>'Raw Data'!CH151/100</f>
        <v>17.41</v>
      </c>
      <c r="CI150" s="86">
        <f>'Raw Data'!CI151/100</f>
        <v>16.48</v>
      </c>
      <c r="CJ150" s="86">
        <f>'Raw Data'!CJ151/100</f>
        <v>16.149999999999999</v>
      </c>
      <c r="CK150" s="86">
        <f>'Raw Data'!CK151/100</f>
        <v>16.05</v>
      </c>
      <c r="CL150" s="86">
        <f>'Raw Data'!CL151/100</f>
        <v>15.45</v>
      </c>
      <c r="CM150" s="86">
        <f>'Raw Data'!CM151/100</f>
        <v>15.94</v>
      </c>
      <c r="CN150" s="86">
        <f>'Raw Data'!CN151/100</f>
        <v>15.69</v>
      </c>
      <c r="CO150" s="86">
        <f>'Raw Data'!CO151/100</f>
        <v>15.29</v>
      </c>
      <c r="CP150" s="86">
        <f>'Raw Data'!CP151/100</f>
        <v>15.17</v>
      </c>
      <c r="CQ150" s="86">
        <f>'Raw Data'!CQ151/100</f>
        <v>15.81</v>
      </c>
      <c r="CR150" s="86">
        <f>'Raw Data'!CR151/100</f>
        <v>14.78</v>
      </c>
      <c r="CS150" s="86">
        <f>'Raw Data'!CS151/100</f>
        <v>14.79</v>
      </c>
      <c r="CT150" s="86">
        <f>'Raw Data'!CT151/100</f>
        <v>14.88</v>
      </c>
      <c r="CU150" s="382"/>
    </row>
    <row r="151" spans="4:99" s="86" customFormat="1" x14ac:dyDescent="0.2">
      <c r="D151" s="375"/>
      <c r="E151" s="164"/>
      <c r="F151" s="394"/>
      <c r="G151" s="86">
        <f>'Raw Data'!G152</f>
        <v>22</v>
      </c>
      <c r="H151" s="86">
        <f>'Raw Data'!H152</f>
        <v>21</v>
      </c>
      <c r="I151" s="86">
        <f>'Raw Data'!I152</f>
        <v>24</v>
      </c>
      <c r="J151" s="86">
        <f>'Raw Data'!J152</f>
        <v>17</v>
      </c>
      <c r="K151" s="86">
        <f>'Raw Data'!K152</f>
        <v>19</v>
      </c>
      <c r="L151" s="86">
        <f>'Raw Data'!L152</f>
        <v>20</v>
      </c>
      <c r="M151" s="86">
        <f>'Raw Data'!M152</f>
        <v>20</v>
      </c>
      <c r="N151" s="86">
        <f>'Raw Data'!N152</f>
        <v>19</v>
      </c>
      <c r="O151" s="86">
        <f>'Raw Data'!O152</f>
        <v>21</v>
      </c>
      <c r="P151" s="86">
        <f>'Raw Data'!P152</f>
        <v>19</v>
      </c>
      <c r="Q151" s="86">
        <f>'Raw Data'!Q152</f>
        <v>19</v>
      </c>
      <c r="R151" s="86">
        <f>'Raw Data'!R152</f>
        <v>22</v>
      </c>
      <c r="S151" s="86">
        <f>'Raw Data'!S152</f>
        <v>22</v>
      </c>
      <c r="T151" s="86">
        <f>'Raw Data'!T152</f>
        <v>19</v>
      </c>
      <c r="U151" s="86">
        <f>'Raw Data'!U152</f>
        <v>21</v>
      </c>
      <c r="V151" s="86">
        <f>'Raw Data'!V152</f>
        <v>19</v>
      </c>
      <c r="W151" s="86">
        <f>'Raw Data'!W152</f>
        <v>25</v>
      </c>
      <c r="X151" s="86">
        <f>'Raw Data'!X152</f>
        <v>14</v>
      </c>
      <c r="Y151" s="86">
        <f>'Raw Data'!Y152</f>
        <v>28</v>
      </c>
      <c r="Z151" s="86">
        <f>'Raw Data'!Z152</f>
        <v>25</v>
      </c>
      <c r="AA151" s="86">
        <f>'Raw Data'!AA152/10</f>
        <v>20.399999999999999</v>
      </c>
      <c r="AB151" s="86">
        <f>'Raw Data'!AB152/10</f>
        <v>20.5</v>
      </c>
      <c r="AC151" s="86">
        <f>'Raw Data'!AC152/10</f>
        <v>22.9</v>
      </c>
      <c r="AD151" s="86">
        <f>'Raw Data'!AD152/10</f>
        <v>20.7</v>
      </c>
      <c r="AE151" s="86">
        <f>'Raw Data'!AE152/10</f>
        <v>22.1</v>
      </c>
      <c r="AF151" s="86">
        <f>'Raw Data'!AF152/10</f>
        <v>21</v>
      </c>
      <c r="AG151" s="86">
        <f>'Raw Data'!AG152/10</f>
        <v>20.6</v>
      </c>
      <c r="AH151" s="86">
        <f>'Raw Data'!AH152/10</f>
        <v>19.7</v>
      </c>
      <c r="AI151" s="86">
        <f>'Raw Data'!AI152/10</f>
        <v>19.8</v>
      </c>
      <c r="AJ151" s="86">
        <f>'Raw Data'!AJ152/10</f>
        <v>19.2</v>
      </c>
      <c r="AK151" s="86">
        <f>'Raw Data'!AK152/10</f>
        <v>20</v>
      </c>
      <c r="AL151" s="86">
        <f>'Raw Data'!AL152/10</f>
        <v>17.5</v>
      </c>
      <c r="AM151" s="86">
        <f>'Raw Data'!AM152/10</f>
        <v>18.5</v>
      </c>
      <c r="AN151" s="86">
        <f>'Raw Data'!AN152/10</f>
        <v>20.9</v>
      </c>
      <c r="AO151" s="86">
        <f>'Raw Data'!AO152/10</f>
        <v>18.100000000000001</v>
      </c>
      <c r="AP151" s="86">
        <f>'Raw Data'!AP152/10</f>
        <v>16.8</v>
      </c>
      <c r="AQ151" s="86">
        <f>'Raw Data'!AQ152/10</f>
        <v>19.100000000000001</v>
      </c>
      <c r="AR151" s="86">
        <f>'Raw Data'!AR152/10</f>
        <v>17.3</v>
      </c>
      <c r="AS151" s="86">
        <f>'Raw Data'!AS152/10</f>
        <v>16.7</v>
      </c>
      <c r="AT151" s="86">
        <f>'Raw Data'!AT152/10</f>
        <v>17.3</v>
      </c>
      <c r="AU151" s="86">
        <f>'Raw Data'!AU152/10</f>
        <v>18.100000000000001</v>
      </c>
      <c r="AV151" s="86">
        <f>'Raw Data'!AV152/10</f>
        <v>18.3</v>
      </c>
      <c r="AW151" s="86">
        <f>'Raw Data'!AW152/10</f>
        <v>17.399999999999999</v>
      </c>
      <c r="AX151" s="86">
        <f>'Raw Data'!AX152/10</f>
        <v>16.3</v>
      </c>
      <c r="AY151" s="86">
        <f>'Raw Data'!AY152/10</f>
        <v>16.600000000000001</v>
      </c>
      <c r="AZ151" s="86">
        <f>'Raw Data'!AZ152/10</f>
        <v>17.2</v>
      </c>
      <c r="BA151" s="86">
        <f>'Raw Data'!BA152/10</f>
        <v>17.899999999999999</v>
      </c>
      <c r="BB151" s="86">
        <f>'Raw Data'!BB152/10</f>
        <v>19.100000000000001</v>
      </c>
      <c r="BC151" s="86">
        <f>'Raw Data'!BC152/10</f>
        <v>16.8</v>
      </c>
      <c r="BD151" s="86">
        <f>'Raw Data'!BD152/10</f>
        <v>15.9</v>
      </c>
      <c r="BE151" s="86">
        <f>'Raw Data'!BE152/10</f>
        <v>16.7</v>
      </c>
      <c r="BF151" s="86">
        <f>'Raw Data'!BF152/10</f>
        <v>16.5</v>
      </c>
      <c r="BG151" s="86">
        <f>'Raw Data'!BG152/10</f>
        <v>16.3</v>
      </c>
      <c r="BH151" s="86">
        <f>'Raw Data'!BH152/10</f>
        <v>16.899999999999999</v>
      </c>
      <c r="BI151" s="86">
        <f>'Raw Data'!BI152/10</f>
        <v>16.5</v>
      </c>
      <c r="BJ151" s="86">
        <f>'Raw Data'!BJ152/10</f>
        <v>16.3</v>
      </c>
      <c r="BK151" s="86">
        <f>'Raw Data'!BK152/10</f>
        <v>16.399999999999999</v>
      </c>
      <c r="BL151" s="86">
        <f>'Raw Data'!BL152/10</f>
        <v>17.8</v>
      </c>
      <c r="BM151" s="86">
        <f>'Raw Data'!BM152/10</f>
        <v>15</v>
      </c>
      <c r="BN151" s="86">
        <f>'Raw Data'!BN152/10</f>
        <v>18</v>
      </c>
      <c r="BO151" s="86">
        <f>'Raw Data'!BO152/10</f>
        <v>15.9</v>
      </c>
      <c r="BP151" s="86">
        <f>'Raw Data'!BP152/10</f>
        <v>15.7</v>
      </c>
      <c r="BQ151" s="86">
        <f>'Raw Data'!BQ152/10</f>
        <v>15.9</v>
      </c>
      <c r="BR151" s="86">
        <f>'Raw Data'!BR152/10</f>
        <v>16.600000000000001</v>
      </c>
      <c r="BS151" s="86">
        <f>'Raw Data'!BS152/10</f>
        <v>14.9</v>
      </c>
      <c r="BT151" s="86">
        <f>'Raw Data'!BT152/10</f>
        <v>15</v>
      </c>
      <c r="BU151" s="86">
        <f>'Raw Data'!BU152/10</f>
        <v>15.9</v>
      </c>
      <c r="BV151" s="86">
        <f>'Raw Data'!BV152/10</f>
        <v>15.4</v>
      </c>
      <c r="BW151" s="86">
        <f>'Raw Data'!BW152/10</f>
        <v>15.8</v>
      </c>
      <c r="BX151" s="86">
        <f>'Raw Data'!BX152/10</f>
        <v>16.3</v>
      </c>
      <c r="BY151" s="86">
        <f>'Raw Data'!BY152/10</f>
        <v>15.2</v>
      </c>
      <c r="BZ151" s="86">
        <f>'Raw Data'!BZ152/10</f>
        <v>15.9</v>
      </c>
      <c r="CA151" s="86">
        <f>'Raw Data'!CA152/10</f>
        <v>16.100000000000001</v>
      </c>
      <c r="CB151" s="86">
        <f>'Raw Data'!CB152/10</f>
        <v>15.1</v>
      </c>
      <c r="CC151" s="86">
        <f>'Raw Data'!CC152/10</f>
        <v>14.4</v>
      </c>
      <c r="CD151" s="86">
        <f>'Raw Data'!CD152/10</f>
        <v>15.2</v>
      </c>
      <c r="CE151" s="86">
        <f>'Raw Data'!CE152/10</f>
        <v>15.2</v>
      </c>
      <c r="CF151" s="86">
        <f>'Raw Data'!CF152/10</f>
        <v>15.8</v>
      </c>
      <c r="CG151" s="86">
        <f>'Raw Data'!CG152/100</f>
        <v>15.1</v>
      </c>
      <c r="CH151" s="86">
        <f>'Raw Data'!CH152/100</f>
        <v>15.03</v>
      </c>
      <c r="CI151" s="86">
        <f>'Raw Data'!CI152/100</f>
        <v>14.57</v>
      </c>
      <c r="CJ151" s="86">
        <f>'Raw Data'!CJ152/100</f>
        <v>14.37</v>
      </c>
      <c r="CK151" s="86">
        <f>'Raw Data'!CK152/100</f>
        <v>14.31</v>
      </c>
      <c r="CL151" s="86">
        <f>'Raw Data'!CL152/100</f>
        <v>13.69</v>
      </c>
      <c r="CM151" s="86">
        <f>'Raw Data'!CM152/100</f>
        <v>14.05</v>
      </c>
      <c r="CN151" s="86">
        <f>'Raw Data'!CN152/100</f>
        <v>13.55</v>
      </c>
      <c r="CO151" s="86">
        <f>'Raw Data'!CO152/100</f>
        <v>14.07</v>
      </c>
      <c r="CP151" s="86">
        <f>'Raw Data'!CP152/100</f>
        <v>14.08</v>
      </c>
      <c r="CQ151" s="86">
        <f>'Raw Data'!CQ152/100</f>
        <v>13.41</v>
      </c>
      <c r="CR151" s="86">
        <f>'Raw Data'!CR152/100</f>
        <v>13.34</v>
      </c>
      <c r="CS151" s="86">
        <f>'Raw Data'!CS152/100</f>
        <v>13.39</v>
      </c>
      <c r="CT151" s="86">
        <f>'Raw Data'!CT152/100</f>
        <v>12.99</v>
      </c>
      <c r="CU151" s="382"/>
    </row>
    <row r="152" spans="4:99" s="86" customFormat="1" x14ac:dyDescent="0.2">
      <c r="D152" s="375"/>
      <c r="E152" s="164"/>
      <c r="F152" s="394"/>
      <c r="G152" s="86">
        <f>'Raw Data'!G153</f>
        <v>13</v>
      </c>
      <c r="H152" s="86">
        <f>'Raw Data'!H153</f>
        <v>18</v>
      </c>
      <c r="I152" s="86">
        <f>'Raw Data'!I153</f>
        <v>21</v>
      </c>
      <c r="J152" s="86">
        <f>'Raw Data'!J153</f>
        <v>14</v>
      </c>
      <c r="K152" s="86">
        <f>'Raw Data'!K153</f>
        <v>16</v>
      </c>
      <c r="L152" s="86">
        <f>'Raw Data'!L153</f>
        <v>18</v>
      </c>
      <c r="M152" s="86">
        <f>'Raw Data'!M153</f>
        <v>19</v>
      </c>
      <c r="N152" s="86">
        <f>'Raw Data'!N153</f>
        <v>17</v>
      </c>
      <c r="O152" s="86">
        <f>'Raw Data'!O153</f>
        <v>16</v>
      </c>
      <c r="P152" s="86">
        <f>'Raw Data'!P153</f>
        <v>20</v>
      </c>
      <c r="Q152" s="86">
        <f>'Raw Data'!Q153</f>
        <v>21</v>
      </c>
      <c r="R152" s="86">
        <f>'Raw Data'!R153</f>
        <v>22</v>
      </c>
      <c r="S152" s="86">
        <f>'Raw Data'!S153</f>
        <v>18</v>
      </c>
      <c r="T152" s="86">
        <f>'Raw Data'!T153</f>
        <v>22</v>
      </c>
      <c r="U152" s="86">
        <f>'Raw Data'!U153</f>
        <v>18</v>
      </c>
      <c r="V152" s="86">
        <f>'Raw Data'!V153</f>
        <v>25</v>
      </c>
      <c r="W152" s="86">
        <f>'Raw Data'!W153</f>
        <v>20</v>
      </c>
      <c r="X152" s="86">
        <f>'Raw Data'!X153</f>
        <v>19</v>
      </c>
      <c r="Y152" s="86">
        <f>'Raw Data'!Y153</f>
        <v>17</v>
      </c>
      <c r="Z152" s="86">
        <f>'Raw Data'!Z153</f>
        <v>18</v>
      </c>
      <c r="AA152" s="86">
        <f>'Raw Data'!AA153/10</f>
        <v>19</v>
      </c>
      <c r="AB152" s="86">
        <f>'Raw Data'!AB153/10</f>
        <v>20.3</v>
      </c>
      <c r="AC152" s="86">
        <f>'Raw Data'!AC153/10</f>
        <v>19.899999999999999</v>
      </c>
      <c r="AD152" s="86">
        <f>'Raw Data'!AD153/10</f>
        <v>19.8</v>
      </c>
      <c r="AE152" s="86">
        <f>'Raw Data'!AE153/10</f>
        <v>19.7</v>
      </c>
      <c r="AF152" s="86">
        <f>'Raw Data'!AF153/10</f>
        <v>20.2</v>
      </c>
      <c r="AG152" s="86">
        <f>'Raw Data'!AG153/10</f>
        <v>20</v>
      </c>
      <c r="AH152" s="86">
        <f>'Raw Data'!AH153/10</f>
        <v>20</v>
      </c>
      <c r="AI152" s="86">
        <f>'Raw Data'!AI153/10</f>
        <v>19.8</v>
      </c>
      <c r="AJ152" s="86">
        <f>'Raw Data'!AJ153/10</f>
        <v>17.5</v>
      </c>
      <c r="AK152" s="86">
        <f>'Raw Data'!AK153/10</f>
        <v>19.2</v>
      </c>
      <c r="AL152" s="86">
        <f>'Raw Data'!AL153/10</f>
        <v>17.899999999999999</v>
      </c>
      <c r="AM152" s="86">
        <f>'Raw Data'!AM153/10</f>
        <v>18.600000000000001</v>
      </c>
      <c r="AN152" s="86">
        <f>'Raw Data'!AN153/10</f>
        <v>18.100000000000001</v>
      </c>
      <c r="AO152" s="86">
        <f>'Raw Data'!AO153/10</f>
        <v>16.5</v>
      </c>
      <c r="AP152" s="86">
        <f>'Raw Data'!AP153/10</f>
        <v>17.3</v>
      </c>
      <c r="AQ152" s="86">
        <f>'Raw Data'!AQ153/10</f>
        <v>17.899999999999999</v>
      </c>
      <c r="AR152" s="86">
        <f>'Raw Data'!AR153/10</f>
        <v>16.899999999999999</v>
      </c>
      <c r="AS152" s="86">
        <f>'Raw Data'!AS153/10</f>
        <v>15.1</v>
      </c>
      <c r="AT152" s="86">
        <f>'Raw Data'!AT153/10</f>
        <v>17.399999999999999</v>
      </c>
      <c r="AU152" s="86">
        <f>'Raw Data'!AU153/10</f>
        <v>16.5</v>
      </c>
      <c r="AV152" s="86">
        <f>'Raw Data'!AV153/10</f>
        <v>17</v>
      </c>
      <c r="AW152" s="86">
        <f>'Raw Data'!AW153/10</f>
        <v>15.2</v>
      </c>
      <c r="AX152" s="86">
        <f>'Raw Data'!AX153/10</f>
        <v>16.5</v>
      </c>
      <c r="AY152" s="86">
        <f>'Raw Data'!AY153/10</f>
        <v>15.8</v>
      </c>
      <c r="AZ152" s="86">
        <f>'Raw Data'!AZ153/10</f>
        <v>16.399999999999999</v>
      </c>
      <c r="BA152" s="86">
        <f>'Raw Data'!BA153/10</f>
        <v>16.3</v>
      </c>
      <c r="BB152" s="86">
        <f>'Raw Data'!BB153/10</f>
        <v>15.4</v>
      </c>
      <c r="BC152" s="86">
        <f>'Raw Data'!BC153/10</f>
        <v>15</v>
      </c>
      <c r="BD152" s="86">
        <f>'Raw Data'!BD153/10</f>
        <v>15.9</v>
      </c>
      <c r="BE152" s="86">
        <f>'Raw Data'!BE153/10</f>
        <v>14.4</v>
      </c>
      <c r="BF152" s="86">
        <f>'Raw Data'!BF153/10</f>
        <v>16.5</v>
      </c>
      <c r="BG152" s="86">
        <f>'Raw Data'!BG153/10</f>
        <v>15.5</v>
      </c>
      <c r="BH152" s="86">
        <f>'Raw Data'!BH153/10</f>
        <v>13.7</v>
      </c>
      <c r="BI152" s="86">
        <f>'Raw Data'!BI153/10</f>
        <v>15</v>
      </c>
      <c r="BJ152" s="86">
        <f>'Raw Data'!BJ153/10</f>
        <v>14.5</v>
      </c>
      <c r="BK152" s="86">
        <f>'Raw Data'!BK153/10</f>
        <v>15.3</v>
      </c>
      <c r="BL152" s="86">
        <f>'Raw Data'!BL153/10</f>
        <v>15.1</v>
      </c>
      <c r="BM152" s="86">
        <f>'Raw Data'!BM153/10</f>
        <v>13.5</v>
      </c>
      <c r="BN152" s="86">
        <f>'Raw Data'!BN153/10</f>
        <v>16.2</v>
      </c>
      <c r="BO152" s="86">
        <f>'Raw Data'!BO153/10</f>
        <v>14.5</v>
      </c>
      <c r="BP152" s="86">
        <f>'Raw Data'!BP153/10</f>
        <v>14.3</v>
      </c>
      <c r="BQ152" s="86">
        <f>'Raw Data'!BQ153/10</f>
        <v>14.4</v>
      </c>
      <c r="BR152" s="86">
        <f>'Raw Data'!BR153/10</f>
        <v>15.3</v>
      </c>
      <c r="BS152" s="86">
        <f>'Raw Data'!BS153/10</f>
        <v>12.8</v>
      </c>
      <c r="BT152" s="86">
        <f>'Raw Data'!BT153/10</f>
        <v>14</v>
      </c>
      <c r="BU152" s="86">
        <f>'Raw Data'!BU153/10</f>
        <v>14</v>
      </c>
      <c r="BV152" s="86">
        <f>'Raw Data'!BV153/10</f>
        <v>12.5</v>
      </c>
      <c r="BW152" s="86">
        <f>'Raw Data'!BW153/10</f>
        <v>13.4</v>
      </c>
      <c r="BX152" s="86">
        <f>'Raw Data'!BX153/10</f>
        <v>15.3</v>
      </c>
      <c r="BY152" s="86">
        <f>'Raw Data'!BY153/10</f>
        <v>13.2</v>
      </c>
      <c r="BZ152" s="86">
        <f>'Raw Data'!BZ153/10</f>
        <v>14.3</v>
      </c>
      <c r="CA152" s="86">
        <f>'Raw Data'!CA153/10</f>
        <v>15.5</v>
      </c>
      <c r="CB152" s="86">
        <f>'Raw Data'!CB153/10</f>
        <v>13.5</v>
      </c>
      <c r="CC152" s="86">
        <f>'Raw Data'!CC153/10</f>
        <v>15.3</v>
      </c>
      <c r="CD152" s="86">
        <f>'Raw Data'!CD153/10</f>
        <v>15</v>
      </c>
      <c r="CE152" s="86">
        <f>'Raw Data'!CE153/10</f>
        <v>13.3</v>
      </c>
      <c r="CF152" s="86">
        <f>'Raw Data'!CF153/10</f>
        <v>15.5</v>
      </c>
      <c r="CG152" s="86">
        <f>'Raw Data'!CG153/100</f>
        <v>13.34</v>
      </c>
      <c r="CH152" s="86">
        <f>'Raw Data'!CH153/100</f>
        <v>13.25</v>
      </c>
      <c r="CI152" s="86">
        <f>'Raw Data'!CI153/100</f>
        <v>13.59</v>
      </c>
      <c r="CJ152" s="86">
        <f>'Raw Data'!CJ153/100</f>
        <v>12.32</v>
      </c>
      <c r="CK152" s="86">
        <f>'Raw Data'!CK153/100</f>
        <v>12.3</v>
      </c>
      <c r="CL152" s="86">
        <f>'Raw Data'!CL153/100</f>
        <v>12.44</v>
      </c>
      <c r="CM152" s="86">
        <f>'Raw Data'!CM153/100</f>
        <v>12.04</v>
      </c>
      <c r="CN152" s="86">
        <f>'Raw Data'!CN153/100</f>
        <v>11.88</v>
      </c>
      <c r="CO152" s="86">
        <f>'Raw Data'!CO153/100</f>
        <v>12.1</v>
      </c>
      <c r="CP152" s="86">
        <f>'Raw Data'!CP153/100</f>
        <v>11.97</v>
      </c>
      <c r="CQ152" s="86">
        <f>'Raw Data'!CQ153/100</f>
        <v>11.91</v>
      </c>
      <c r="CR152" s="86">
        <f>'Raw Data'!CR153/100</f>
        <v>11.72</v>
      </c>
      <c r="CS152" s="86">
        <f>'Raw Data'!CS153/100</f>
        <v>12.07</v>
      </c>
      <c r="CT152" s="86">
        <f>'Raw Data'!CT153/100</f>
        <v>11.94</v>
      </c>
      <c r="CU152" s="382"/>
    </row>
    <row r="153" spans="4:99" s="86" customFormat="1" x14ac:dyDescent="0.2">
      <c r="D153" s="375"/>
      <c r="E153" s="164"/>
      <c r="F153" s="394"/>
      <c r="G153" s="86">
        <f>'Raw Data'!G154</f>
        <v>21</v>
      </c>
      <c r="H153" s="86">
        <f>'Raw Data'!H154</f>
        <v>12</v>
      </c>
      <c r="I153" s="86">
        <f>'Raw Data'!I154</f>
        <v>22</v>
      </c>
      <c r="J153" s="86">
        <f>'Raw Data'!J154</f>
        <v>16</v>
      </c>
      <c r="K153" s="86">
        <f>'Raw Data'!K154</f>
        <v>19</v>
      </c>
      <c r="L153" s="86">
        <f>'Raw Data'!L154</f>
        <v>19</v>
      </c>
      <c r="M153" s="86">
        <f>'Raw Data'!M154</f>
        <v>19</v>
      </c>
      <c r="N153" s="86">
        <f>'Raw Data'!N154</f>
        <v>19</v>
      </c>
      <c r="O153" s="86">
        <f>'Raw Data'!O154</f>
        <v>19</v>
      </c>
      <c r="P153" s="86">
        <f>'Raw Data'!P154</f>
        <v>19</v>
      </c>
      <c r="Q153" s="86">
        <f>'Raw Data'!Q154</f>
        <v>15</v>
      </c>
      <c r="R153" s="86">
        <f>'Raw Data'!R154</f>
        <v>15</v>
      </c>
      <c r="S153" s="86">
        <f>'Raw Data'!S154</f>
        <v>19</v>
      </c>
      <c r="T153" s="86">
        <f>'Raw Data'!T154</f>
        <v>15</v>
      </c>
      <c r="U153" s="86">
        <f>'Raw Data'!U154</f>
        <v>20</v>
      </c>
      <c r="V153" s="86">
        <f>'Raw Data'!V154</f>
        <v>20</v>
      </c>
      <c r="W153" s="86">
        <f>'Raw Data'!W154</f>
        <v>22</v>
      </c>
      <c r="X153" s="86">
        <f>'Raw Data'!X154</f>
        <v>12</v>
      </c>
      <c r="Y153" s="86">
        <f>'Raw Data'!Y154</f>
        <v>18</v>
      </c>
      <c r="Z153" s="86">
        <f>'Raw Data'!Z154</f>
        <v>17</v>
      </c>
      <c r="AA153" s="86">
        <f>'Raw Data'!AA154/10</f>
        <v>18.8</v>
      </c>
      <c r="AB153" s="86">
        <f>'Raw Data'!AB154/10</f>
        <v>16.8</v>
      </c>
      <c r="AC153" s="86">
        <f>'Raw Data'!AC154/10</f>
        <v>17.2</v>
      </c>
      <c r="AD153" s="86">
        <f>'Raw Data'!AD154/10</f>
        <v>17.600000000000001</v>
      </c>
      <c r="AE153" s="86">
        <f>'Raw Data'!AE154/10</f>
        <v>17.2</v>
      </c>
      <c r="AF153" s="86">
        <f>'Raw Data'!AF154/10</f>
        <v>17.3</v>
      </c>
      <c r="AG153" s="86">
        <f>'Raw Data'!AG154/10</f>
        <v>17.100000000000001</v>
      </c>
      <c r="AH153" s="86">
        <f>'Raw Data'!AH154/10</f>
        <v>16.399999999999999</v>
      </c>
      <c r="AI153" s="86">
        <f>'Raw Data'!AI154/10</f>
        <v>15.8</v>
      </c>
      <c r="AJ153" s="86">
        <f>'Raw Data'!AJ154/10</f>
        <v>17.399999999999999</v>
      </c>
      <c r="AK153" s="86">
        <f>'Raw Data'!AK154/10</f>
        <v>17.399999999999999</v>
      </c>
      <c r="AL153" s="86">
        <f>'Raw Data'!AL154/10</f>
        <v>16.3</v>
      </c>
      <c r="AM153" s="86">
        <f>'Raw Data'!AM154/10</f>
        <v>18.5</v>
      </c>
      <c r="AN153" s="86">
        <f>'Raw Data'!AN154/10</f>
        <v>17.5</v>
      </c>
      <c r="AO153" s="86">
        <f>'Raw Data'!AO154/10</f>
        <v>16.600000000000001</v>
      </c>
      <c r="AP153" s="86">
        <f>'Raw Data'!AP154/10</f>
        <v>15.3</v>
      </c>
      <c r="AQ153" s="86">
        <f>'Raw Data'!AQ154/10</f>
        <v>14.6</v>
      </c>
      <c r="AR153" s="86">
        <f>'Raw Data'!AR154/10</f>
        <v>14.4</v>
      </c>
      <c r="AS153" s="86">
        <f>'Raw Data'!AS154/10</f>
        <v>16.399999999999999</v>
      </c>
      <c r="AT153" s="86">
        <f>'Raw Data'!AT154/10</f>
        <v>15.3</v>
      </c>
      <c r="AU153" s="86">
        <f>'Raw Data'!AU154/10</f>
        <v>15</v>
      </c>
      <c r="AV153" s="86">
        <f>'Raw Data'!AV154/10</f>
        <v>14.8</v>
      </c>
      <c r="AW153" s="86">
        <f>'Raw Data'!AW154/10</f>
        <v>14.9</v>
      </c>
      <c r="AX153" s="86">
        <f>'Raw Data'!AX154/10</f>
        <v>15</v>
      </c>
      <c r="AY153" s="86">
        <f>'Raw Data'!AY154/10</f>
        <v>13.9</v>
      </c>
      <c r="AZ153" s="86">
        <f>'Raw Data'!AZ154/10</f>
        <v>13.9</v>
      </c>
      <c r="BA153" s="86">
        <f>'Raw Data'!BA154/10</f>
        <v>14.3</v>
      </c>
      <c r="BB153" s="86">
        <f>'Raw Data'!BB154/10</f>
        <v>13.4</v>
      </c>
      <c r="BC153" s="86">
        <f>'Raw Data'!BC154/10</f>
        <v>14.8</v>
      </c>
      <c r="BD153" s="86">
        <f>'Raw Data'!BD154/10</f>
        <v>14.9</v>
      </c>
      <c r="BE153" s="86">
        <f>'Raw Data'!BE154/10</f>
        <v>13.3</v>
      </c>
      <c r="BF153" s="86">
        <f>'Raw Data'!BF154/10</f>
        <v>14.2</v>
      </c>
      <c r="BG153" s="86">
        <f>'Raw Data'!BG154/10</f>
        <v>13.6</v>
      </c>
      <c r="BH153" s="86">
        <f>'Raw Data'!BH154/10</f>
        <v>12.9</v>
      </c>
      <c r="BI153" s="86">
        <f>'Raw Data'!BI154/10</f>
        <v>13.8</v>
      </c>
      <c r="BJ153" s="86">
        <f>'Raw Data'!BJ154/10</f>
        <v>13</v>
      </c>
      <c r="BK153" s="86">
        <f>'Raw Data'!BK154/10</f>
        <v>14.6</v>
      </c>
      <c r="BL153" s="86">
        <f>'Raw Data'!BL154/10</f>
        <v>12.2</v>
      </c>
      <c r="BM153" s="86">
        <f>'Raw Data'!BM154/10</f>
        <v>14</v>
      </c>
      <c r="BN153" s="86">
        <f>'Raw Data'!BN154/10</f>
        <v>12.8</v>
      </c>
      <c r="BO153" s="86">
        <f>'Raw Data'!BO154/10</f>
        <v>14</v>
      </c>
      <c r="BP153" s="86">
        <f>'Raw Data'!BP154/10</f>
        <v>12.6</v>
      </c>
      <c r="BQ153" s="86">
        <f>'Raw Data'!BQ154/10</f>
        <v>12.4</v>
      </c>
      <c r="BR153" s="86">
        <f>'Raw Data'!BR154/10</f>
        <v>13.8</v>
      </c>
      <c r="BS153" s="86">
        <f>'Raw Data'!BS154/10</f>
        <v>14.5</v>
      </c>
      <c r="BT153" s="86">
        <f>'Raw Data'!BT154/10</f>
        <v>12.5</v>
      </c>
      <c r="BU153" s="86">
        <f>'Raw Data'!BU154/10</f>
        <v>14.9</v>
      </c>
      <c r="BV153" s="86">
        <f>'Raw Data'!BV154/10</f>
        <v>14.2</v>
      </c>
      <c r="BW153" s="86">
        <f>'Raw Data'!BW154/10</f>
        <v>12.5</v>
      </c>
      <c r="BX153" s="86">
        <f>'Raw Data'!BX154/10</f>
        <v>12.1</v>
      </c>
      <c r="BY153" s="86">
        <f>'Raw Data'!BY154/10</f>
        <v>11.5</v>
      </c>
      <c r="BZ153" s="86">
        <f>'Raw Data'!BZ154/10</f>
        <v>13.2</v>
      </c>
      <c r="CA153" s="86">
        <f>'Raw Data'!CA154/10</f>
        <v>13.7</v>
      </c>
      <c r="CB153" s="86">
        <f>'Raw Data'!CB154/10</f>
        <v>12.9</v>
      </c>
      <c r="CC153" s="86">
        <f>'Raw Data'!CC154/10</f>
        <v>13.1</v>
      </c>
      <c r="CD153" s="86">
        <f>'Raw Data'!CD154/10</f>
        <v>12.6</v>
      </c>
      <c r="CE153" s="86">
        <f>'Raw Data'!CE154/10</f>
        <v>14.1</v>
      </c>
      <c r="CF153" s="86">
        <f>'Raw Data'!CF154/10</f>
        <v>13.1</v>
      </c>
      <c r="CG153" s="86">
        <f>'Raw Data'!CG154/100</f>
        <v>12.49</v>
      </c>
      <c r="CH153" s="86">
        <f>'Raw Data'!CH154/100</f>
        <v>12.68</v>
      </c>
      <c r="CI153" s="86">
        <f>'Raw Data'!CI154/100</f>
        <v>11.86</v>
      </c>
      <c r="CJ153" s="86">
        <f>'Raw Data'!CJ154/100</f>
        <v>11.76</v>
      </c>
      <c r="CK153" s="86">
        <f>'Raw Data'!CK154/100</f>
        <v>11.88</v>
      </c>
      <c r="CL153" s="86">
        <f>'Raw Data'!CL154/100</f>
        <v>11.71</v>
      </c>
      <c r="CM153" s="86">
        <f>'Raw Data'!CM154/100</f>
        <v>11.63</v>
      </c>
      <c r="CN153" s="86">
        <f>'Raw Data'!CN154/100</f>
        <v>11.17</v>
      </c>
      <c r="CO153" s="86">
        <f>'Raw Data'!CO154/100</f>
        <v>11.34</v>
      </c>
      <c r="CP153" s="86">
        <f>'Raw Data'!CP154/100</f>
        <v>11.46</v>
      </c>
      <c r="CQ153" s="86">
        <f>'Raw Data'!CQ154/100</f>
        <v>11.38</v>
      </c>
      <c r="CR153" s="86">
        <f>'Raw Data'!CR154/100</f>
        <v>10.51</v>
      </c>
      <c r="CS153" s="86">
        <f>'Raw Data'!CS154/100</f>
        <v>10.66</v>
      </c>
      <c r="CT153" s="86">
        <f>'Raw Data'!CT154/100</f>
        <v>11.28</v>
      </c>
      <c r="CU153" s="382"/>
    </row>
    <row r="154" spans="4:99" s="86" customFormat="1" x14ac:dyDescent="0.2">
      <c r="D154" s="375"/>
      <c r="E154" s="164"/>
      <c r="F154" s="394"/>
      <c r="G154" s="86">
        <f>'Raw Data'!G155</f>
        <v>21</v>
      </c>
      <c r="H154" s="86">
        <f>'Raw Data'!H155</f>
        <v>17</v>
      </c>
      <c r="I154" s="86">
        <f>'Raw Data'!I155</f>
        <v>15</v>
      </c>
      <c r="J154" s="86">
        <f>'Raw Data'!J155</f>
        <v>15</v>
      </c>
      <c r="K154" s="86">
        <f>'Raw Data'!K155</f>
        <v>14</v>
      </c>
      <c r="L154" s="86">
        <f>'Raw Data'!L155</f>
        <v>22</v>
      </c>
      <c r="M154" s="86">
        <f>'Raw Data'!M155</f>
        <v>20</v>
      </c>
      <c r="N154" s="86">
        <f>'Raw Data'!N155</f>
        <v>24</v>
      </c>
      <c r="O154" s="86">
        <f>'Raw Data'!O155</f>
        <v>17</v>
      </c>
      <c r="P154" s="86">
        <f>'Raw Data'!P155</f>
        <v>18</v>
      </c>
      <c r="Q154" s="86">
        <f>'Raw Data'!Q155</f>
        <v>21</v>
      </c>
      <c r="R154" s="86">
        <f>'Raw Data'!R155</f>
        <v>18</v>
      </c>
      <c r="S154" s="86">
        <f>'Raw Data'!S155</f>
        <v>21</v>
      </c>
      <c r="T154" s="86">
        <f>'Raw Data'!T155</f>
        <v>15</v>
      </c>
      <c r="U154" s="86">
        <f>'Raw Data'!U155</f>
        <v>21</v>
      </c>
      <c r="V154" s="86">
        <f>'Raw Data'!V155</f>
        <v>21</v>
      </c>
      <c r="W154" s="86">
        <f>'Raw Data'!W155</f>
        <v>17</v>
      </c>
      <c r="X154" s="86">
        <f>'Raw Data'!X155</f>
        <v>20</v>
      </c>
      <c r="Y154" s="86">
        <f>'Raw Data'!Y155</f>
        <v>16</v>
      </c>
      <c r="Z154" s="86">
        <f>'Raw Data'!Z155</f>
        <v>17</v>
      </c>
      <c r="AA154" s="86">
        <f>'Raw Data'!AA155/10</f>
        <v>19</v>
      </c>
      <c r="AB154" s="86">
        <f>'Raw Data'!AB155/10</f>
        <v>20.5</v>
      </c>
      <c r="AC154" s="86">
        <f>'Raw Data'!AC155/10</f>
        <v>19.899999999999999</v>
      </c>
      <c r="AD154" s="86">
        <f>'Raw Data'!AD155/10</f>
        <v>19.100000000000001</v>
      </c>
      <c r="AE154" s="86">
        <f>'Raw Data'!AE155/10</f>
        <v>19.7</v>
      </c>
      <c r="AF154" s="86">
        <f>'Raw Data'!AF155/10</f>
        <v>18</v>
      </c>
      <c r="AG154" s="86">
        <f>'Raw Data'!AG155/10</f>
        <v>19.399999999999999</v>
      </c>
      <c r="AH154" s="86">
        <f>'Raw Data'!AH155/10</f>
        <v>19</v>
      </c>
      <c r="AI154" s="86">
        <f>'Raw Data'!AI155/10</f>
        <v>19.899999999999999</v>
      </c>
      <c r="AJ154" s="86">
        <f>'Raw Data'!AJ155/10</f>
        <v>18.8</v>
      </c>
      <c r="AK154" s="86">
        <f>'Raw Data'!AK155/10</f>
        <v>17.5</v>
      </c>
      <c r="AL154" s="86">
        <f>'Raw Data'!AL155/10</f>
        <v>18.5</v>
      </c>
      <c r="AM154" s="86">
        <f>'Raw Data'!AM155/10</f>
        <v>16.7</v>
      </c>
      <c r="AN154" s="86">
        <f>'Raw Data'!AN155/10</f>
        <v>18.100000000000001</v>
      </c>
      <c r="AO154" s="86">
        <f>'Raw Data'!AO155/10</f>
        <v>17.600000000000001</v>
      </c>
      <c r="AP154" s="86">
        <f>'Raw Data'!AP155/10</f>
        <v>16</v>
      </c>
      <c r="AQ154" s="86">
        <f>'Raw Data'!AQ155/10</f>
        <v>15.3</v>
      </c>
      <c r="AR154" s="86">
        <f>'Raw Data'!AR155/10</f>
        <v>17</v>
      </c>
      <c r="AS154" s="86">
        <f>'Raw Data'!AS155/10</f>
        <v>16.2</v>
      </c>
      <c r="AT154" s="86">
        <f>'Raw Data'!AT155/10</f>
        <v>17</v>
      </c>
      <c r="AU154" s="86">
        <f>'Raw Data'!AU155/10</f>
        <v>16.5</v>
      </c>
      <c r="AV154" s="86">
        <f>'Raw Data'!AV155/10</f>
        <v>16.899999999999999</v>
      </c>
      <c r="AW154" s="86">
        <f>'Raw Data'!AW155/10</f>
        <v>14.8</v>
      </c>
      <c r="AX154" s="86">
        <f>'Raw Data'!AX155/10</f>
        <v>14.2</v>
      </c>
      <c r="AY154" s="86">
        <f>'Raw Data'!AY155/10</f>
        <v>14.9</v>
      </c>
      <c r="AZ154" s="86">
        <f>'Raw Data'!AZ155/10</f>
        <v>15.6</v>
      </c>
      <c r="BA154" s="86">
        <f>'Raw Data'!BA155/10</f>
        <v>15.9</v>
      </c>
      <c r="BB154" s="86">
        <f>'Raw Data'!BB155/10</f>
        <v>14.7</v>
      </c>
      <c r="BC154" s="86">
        <f>'Raw Data'!BC155/10</f>
        <v>16.7</v>
      </c>
      <c r="BD154" s="86">
        <f>'Raw Data'!BD155/10</f>
        <v>16.2</v>
      </c>
      <c r="BE154" s="86">
        <f>'Raw Data'!BE155/10</f>
        <v>14.9</v>
      </c>
      <c r="BF154" s="86">
        <f>'Raw Data'!BF155/10</f>
        <v>15.1</v>
      </c>
      <c r="BG154" s="86">
        <f>'Raw Data'!BG155/10</f>
        <v>14.5</v>
      </c>
      <c r="BH154" s="86">
        <f>'Raw Data'!BH155/10</f>
        <v>15.1</v>
      </c>
      <c r="BI154" s="86">
        <f>'Raw Data'!BI155/10</f>
        <v>15.3</v>
      </c>
      <c r="BJ154" s="86">
        <f>'Raw Data'!BJ155/10</f>
        <v>15.8</v>
      </c>
      <c r="BK154" s="86">
        <f>'Raw Data'!BK155/10</f>
        <v>14.7</v>
      </c>
      <c r="BL154" s="86">
        <f>'Raw Data'!BL155/10</f>
        <v>14.3</v>
      </c>
      <c r="BM154" s="86">
        <f>'Raw Data'!BM155/10</f>
        <v>15</v>
      </c>
      <c r="BN154" s="86">
        <f>'Raw Data'!BN155/10</f>
        <v>12.8</v>
      </c>
      <c r="BO154" s="86">
        <f>'Raw Data'!BO155/10</f>
        <v>13.5</v>
      </c>
      <c r="BP154" s="86">
        <f>'Raw Data'!BP155/10</f>
        <v>15.3</v>
      </c>
      <c r="BQ154" s="86">
        <f>'Raw Data'!BQ155/10</f>
        <v>13.6</v>
      </c>
      <c r="BR154" s="86">
        <f>'Raw Data'!BR155/10</f>
        <v>13.9</v>
      </c>
      <c r="BS154" s="86">
        <f>'Raw Data'!BS155/10</f>
        <v>14.9</v>
      </c>
      <c r="BT154" s="86">
        <f>'Raw Data'!BT155/10</f>
        <v>11.9</v>
      </c>
      <c r="BU154" s="86">
        <f>'Raw Data'!BU155/10</f>
        <v>10.7</v>
      </c>
      <c r="BV154" s="86">
        <f>'Raw Data'!BV155/10</f>
        <v>13.2</v>
      </c>
      <c r="BW154" s="86">
        <f>'Raw Data'!BW155/10</f>
        <v>12.3</v>
      </c>
      <c r="BX154" s="86">
        <f>'Raw Data'!BX155/10</f>
        <v>15</v>
      </c>
      <c r="BY154" s="86">
        <f>'Raw Data'!BY155/10</f>
        <v>13.7</v>
      </c>
      <c r="BZ154" s="86">
        <f>'Raw Data'!BZ155/10</f>
        <v>14.2</v>
      </c>
      <c r="CA154" s="86">
        <f>'Raw Data'!CA155/10</f>
        <v>12.7</v>
      </c>
      <c r="CB154" s="86">
        <f>'Raw Data'!CB155/10</f>
        <v>13.6</v>
      </c>
      <c r="CC154" s="86">
        <f>'Raw Data'!CC155/10</f>
        <v>12.9</v>
      </c>
      <c r="CD154" s="86">
        <f>'Raw Data'!CD155/10</f>
        <v>13.3</v>
      </c>
      <c r="CE154" s="86">
        <f>'Raw Data'!CE155/10</f>
        <v>12.1</v>
      </c>
      <c r="CF154" s="86">
        <f>'Raw Data'!CF155/10</f>
        <v>14.8</v>
      </c>
      <c r="CG154" s="86">
        <f>'Raw Data'!CG155/100</f>
        <v>12.51</v>
      </c>
      <c r="CH154" s="86">
        <f>'Raw Data'!CH155/100</f>
        <v>12.33</v>
      </c>
      <c r="CI154" s="86">
        <f>'Raw Data'!CI155/100</f>
        <v>12.17</v>
      </c>
      <c r="CJ154" s="86">
        <f>'Raw Data'!CJ155/100</f>
        <v>12.07</v>
      </c>
      <c r="CK154" s="86">
        <f>'Raw Data'!CK155/100</f>
        <v>12.04</v>
      </c>
      <c r="CL154" s="86">
        <f>'Raw Data'!CL155/100</f>
        <v>11.52</v>
      </c>
      <c r="CM154" s="86">
        <f>'Raw Data'!CM155/100</f>
        <v>11.35</v>
      </c>
      <c r="CN154" s="86">
        <f>'Raw Data'!CN155/100</f>
        <v>11.06</v>
      </c>
      <c r="CO154" s="86">
        <f>'Raw Data'!CO155/100</f>
        <v>11.2</v>
      </c>
      <c r="CP154" s="86">
        <f>'Raw Data'!CP155/100</f>
        <v>10.66</v>
      </c>
      <c r="CQ154" s="86">
        <f>'Raw Data'!CQ155/100</f>
        <v>10.39</v>
      </c>
      <c r="CR154" s="86">
        <f>'Raw Data'!CR155/100</f>
        <v>10.44</v>
      </c>
      <c r="CS154" s="86">
        <f>'Raw Data'!CS155/100</f>
        <v>10.37</v>
      </c>
      <c r="CT154" s="86">
        <f>'Raw Data'!CT155/100</f>
        <v>10.81</v>
      </c>
      <c r="CU154" s="382"/>
    </row>
    <row r="155" spans="4:99" s="86" customFormat="1" x14ac:dyDescent="0.2">
      <c r="D155" s="375"/>
      <c r="E155" s="164"/>
      <c r="F155" s="394"/>
      <c r="G155" s="86">
        <f>'Raw Data'!G156</f>
        <v>17</v>
      </c>
      <c r="H155" s="86">
        <f>'Raw Data'!H156</f>
        <v>11</v>
      </c>
      <c r="I155" s="86">
        <f>'Raw Data'!I156</f>
        <v>12</v>
      </c>
      <c r="J155" s="86">
        <f>'Raw Data'!J156</f>
        <v>15</v>
      </c>
      <c r="K155" s="86">
        <f>'Raw Data'!K156</f>
        <v>12</v>
      </c>
      <c r="L155" s="86">
        <f>'Raw Data'!L156</f>
        <v>15</v>
      </c>
      <c r="M155" s="86">
        <f>'Raw Data'!M156</f>
        <v>10</v>
      </c>
      <c r="N155" s="86">
        <f>'Raw Data'!N156</f>
        <v>15</v>
      </c>
      <c r="O155" s="86">
        <f>'Raw Data'!O156</f>
        <v>16</v>
      </c>
      <c r="P155" s="86">
        <f>'Raw Data'!P156</f>
        <v>15</v>
      </c>
      <c r="Q155" s="86">
        <f>'Raw Data'!Q156</f>
        <v>19</v>
      </c>
      <c r="R155" s="86">
        <f>'Raw Data'!R156</f>
        <v>13</v>
      </c>
      <c r="S155" s="86">
        <f>'Raw Data'!S156</f>
        <v>11</v>
      </c>
      <c r="T155" s="86">
        <f>'Raw Data'!T156</f>
        <v>13</v>
      </c>
      <c r="U155" s="86">
        <f>'Raw Data'!U156</f>
        <v>20</v>
      </c>
      <c r="V155" s="86">
        <f>'Raw Data'!V156</f>
        <v>15</v>
      </c>
      <c r="W155" s="86">
        <f>'Raw Data'!W156</f>
        <v>20</v>
      </c>
      <c r="X155" s="86">
        <f>'Raw Data'!X156</f>
        <v>15</v>
      </c>
      <c r="Y155" s="86">
        <f>'Raw Data'!Y156</f>
        <v>12</v>
      </c>
      <c r="Z155" s="86">
        <f>'Raw Data'!Z156</f>
        <v>20</v>
      </c>
      <c r="AA155" s="86">
        <f>'Raw Data'!AA156/10</f>
        <v>16.7</v>
      </c>
      <c r="AB155" s="86">
        <f>'Raw Data'!AB156/10</f>
        <v>15.8</v>
      </c>
      <c r="AC155" s="86">
        <f>'Raw Data'!AC156/10</f>
        <v>15.4</v>
      </c>
      <c r="AD155" s="86">
        <f>'Raw Data'!AD156/10</f>
        <v>16.7</v>
      </c>
      <c r="AE155" s="86">
        <f>'Raw Data'!AE156/10</f>
        <v>15.1</v>
      </c>
      <c r="AF155" s="86">
        <f>'Raw Data'!AF156/10</f>
        <v>16.600000000000001</v>
      </c>
      <c r="AG155" s="86">
        <f>'Raw Data'!AG156/10</f>
        <v>16.7</v>
      </c>
      <c r="AH155" s="86">
        <f>'Raw Data'!AH156/10</f>
        <v>15.8</v>
      </c>
      <c r="AI155" s="86">
        <f>'Raw Data'!AI156/10</f>
        <v>15.1</v>
      </c>
      <c r="AJ155" s="86">
        <f>'Raw Data'!AJ156/10</f>
        <v>15.4</v>
      </c>
      <c r="AK155" s="86">
        <f>'Raw Data'!AK156/10</f>
        <v>15.1</v>
      </c>
      <c r="AL155" s="86">
        <f>'Raw Data'!AL156/10</f>
        <v>15.2</v>
      </c>
      <c r="AM155" s="86">
        <f>'Raw Data'!AM156/10</f>
        <v>13.5</v>
      </c>
      <c r="AN155" s="86">
        <f>'Raw Data'!AN156/10</f>
        <v>14.4</v>
      </c>
      <c r="AO155" s="86">
        <f>'Raw Data'!AO156/10</f>
        <v>14</v>
      </c>
      <c r="AP155" s="86">
        <f>'Raw Data'!AP156/10</f>
        <v>14</v>
      </c>
      <c r="AQ155" s="86">
        <f>'Raw Data'!AQ156/10</f>
        <v>13.7</v>
      </c>
      <c r="AR155" s="86">
        <f>'Raw Data'!AR156/10</f>
        <v>13.7</v>
      </c>
      <c r="AS155" s="86">
        <f>'Raw Data'!AS156/10</f>
        <v>13.7</v>
      </c>
      <c r="AT155" s="86">
        <f>'Raw Data'!AT156/10</f>
        <v>13.4</v>
      </c>
      <c r="AU155" s="86">
        <f>'Raw Data'!AU156/10</f>
        <v>12.7</v>
      </c>
      <c r="AV155" s="86">
        <f>'Raw Data'!AV156/10</f>
        <v>14.2</v>
      </c>
      <c r="AW155" s="86">
        <f>'Raw Data'!AW156/10</f>
        <v>13.2</v>
      </c>
      <c r="AX155" s="86">
        <f>'Raw Data'!AX156/10</f>
        <v>13.8</v>
      </c>
      <c r="AY155" s="86">
        <f>'Raw Data'!AY156/10</f>
        <v>13.6</v>
      </c>
      <c r="AZ155" s="86">
        <f>'Raw Data'!AZ156/10</f>
        <v>12.9</v>
      </c>
      <c r="BA155" s="86">
        <f>'Raw Data'!BA156/10</f>
        <v>15</v>
      </c>
      <c r="BB155" s="86">
        <f>'Raw Data'!BB156/10</f>
        <v>13.4</v>
      </c>
      <c r="BC155" s="86">
        <f>'Raw Data'!BC156/10</f>
        <v>12.6</v>
      </c>
      <c r="BD155" s="86">
        <f>'Raw Data'!BD156/10</f>
        <v>13</v>
      </c>
      <c r="BE155" s="86">
        <f>'Raw Data'!BE156/10</f>
        <v>14.8</v>
      </c>
      <c r="BF155" s="86">
        <f>'Raw Data'!BF156/10</f>
        <v>12.7</v>
      </c>
      <c r="BG155" s="86">
        <f>'Raw Data'!BG156/10</f>
        <v>12.7</v>
      </c>
      <c r="BH155" s="86">
        <f>'Raw Data'!BH156/10</f>
        <v>11.6</v>
      </c>
      <c r="BI155" s="86">
        <f>'Raw Data'!BI156/10</f>
        <v>12.1</v>
      </c>
      <c r="BJ155" s="86">
        <f>'Raw Data'!BJ156/10</f>
        <v>13.3</v>
      </c>
      <c r="BK155" s="86">
        <f>'Raw Data'!BK156/10</f>
        <v>11</v>
      </c>
      <c r="BL155" s="86">
        <f>'Raw Data'!BL156/10</f>
        <v>13.3</v>
      </c>
      <c r="BM155" s="86">
        <f>'Raw Data'!BM156/10</f>
        <v>10</v>
      </c>
      <c r="BN155" s="86">
        <f>'Raw Data'!BN156/10</f>
        <v>11.6</v>
      </c>
      <c r="BO155" s="86">
        <f>'Raw Data'!BO156/10</f>
        <v>12.2</v>
      </c>
      <c r="BP155" s="86">
        <f>'Raw Data'!BP156/10</f>
        <v>12.3</v>
      </c>
      <c r="BQ155" s="86">
        <f>'Raw Data'!BQ156/10</f>
        <v>14.5</v>
      </c>
      <c r="BR155" s="86">
        <f>'Raw Data'!BR156/10</f>
        <v>10.8</v>
      </c>
      <c r="BS155" s="86">
        <f>'Raw Data'!BS156/10</f>
        <v>10.9</v>
      </c>
      <c r="BT155" s="86">
        <f>'Raw Data'!BT156/10</f>
        <v>13.9</v>
      </c>
      <c r="BU155" s="86">
        <f>'Raw Data'!BU156/10</f>
        <v>11</v>
      </c>
      <c r="BV155" s="86">
        <f>'Raw Data'!BV156/10</f>
        <v>11.8</v>
      </c>
      <c r="BW155" s="86">
        <f>'Raw Data'!BW156/10</f>
        <v>11.7</v>
      </c>
      <c r="BX155" s="86">
        <f>'Raw Data'!BX156/10</f>
        <v>11</v>
      </c>
      <c r="BY155" s="86">
        <f>'Raw Data'!BY156/10</f>
        <v>12.6</v>
      </c>
      <c r="BZ155" s="86">
        <f>'Raw Data'!BZ156/10</f>
        <v>11.4</v>
      </c>
      <c r="CA155" s="86">
        <f>'Raw Data'!CA156/10</f>
        <v>10.9</v>
      </c>
      <c r="CB155" s="86">
        <f>'Raw Data'!CB156/10</f>
        <v>10.6</v>
      </c>
      <c r="CC155" s="86">
        <f>'Raw Data'!CC156/10</f>
        <v>11.4</v>
      </c>
      <c r="CD155" s="86">
        <f>'Raw Data'!CD156/10</f>
        <v>12.3</v>
      </c>
      <c r="CE155" s="86">
        <f>'Raw Data'!CE156/10</f>
        <v>11.3</v>
      </c>
      <c r="CF155" s="86">
        <f>'Raw Data'!CF156/10</f>
        <v>13.1</v>
      </c>
      <c r="CG155" s="86">
        <f>'Raw Data'!CG156/100</f>
        <v>11.27</v>
      </c>
      <c r="CH155" s="86">
        <f>'Raw Data'!CH156/100</f>
        <v>10.74</v>
      </c>
      <c r="CI155" s="86">
        <f>'Raw Data'!CI156/100</f>
        <v>10.99</v>
      </c>
      <c r="CJ155" s="86">
        <f>'Raw Data'!CJ156/100</f>
        <v>11.1</v>
      </c>
      <c r="CK155" s="86">
        <f>'Raw Data'!CK156/100</f>
        <v>10.82</v>
      </c>
      <c r="CL155" s="86">
        <f>'Raw Data'!CL156/100</f>
        <v>10.97</v>
      </c>
      <c r="CM155" s="86">
        <f>'Raw Data'!CM156/100</f>
        <v>10.76</v>
      </c>
      <c r="CN155" s="86">
        <f>'Raw Data'!CN156/100</f>
        <v>10.95</v>
      </c>
      <c r="CO155" s="86">
        <f>'Raw Data'!CO156/100</f>
        <v>10.16</v>
      </c>
      <c r="CP155" s="86">
        <f>'Raw Data'!CP156/100</f>
        <v>9.73</v>
      </c>
      <c r="CQ155" s="86">
        <f>'Raw Data'!CQ156/100</f>
        <v>10.07</v>
      </c>
      <c r="CR155" s="86">
        <f>'Raw Data'!CR156/100</f>
        <v>9.9</v>
      </c>
      <c r="CS155" s="86">
        <f>'Raw Data'!CS156/100</f>
        <v>9.61</v>
      </c>
      <c r="CT155" s="86">
        <f>'Raw Data'!CT156/100</f>
        <v>9.49</v>
      </c>
      <c r="CU155" s="382"/>
    </row>
    <row r="156" spans="4:99" s="86" customFormat="1" x14ac:dyDescent="0.2">
      <c r="D156" s="375"/>
      <c r="E156" s="164"/>
      <c r="F156" s="394"/>
      <c r="G156" s="86">
        <f>'Raw Data'!G157</f>
        <v>11</v>
      </c>
      <c r="H156" s="86">
        <f>'Raw Data'!H157</f>
        <v>7</v>
      </c>
      <c r="I156" s="86">
        <f>'Raw Data'!I157</f>
        <v>11</v>
      </c>
      <c r="J156" s="86">
        <f>'Raw Data'!J157</f>
        <v>12</v>
      </c>
      <c r="K156" s="86">
        <f>'Raw Data'!K157</f>
        <v>8</v>
      </c>
      <c r="L156" s="86">
        <f>'Raw Data'!L157</f>
        <v>11</v>
      </c>
      <c r="M156" s="86">
        <f>'Raw Data'!M157</f>
        <v>10</v>
      </c>
      <c r="N156" s="86">
        <f>'Raw Data'!N157</f>
        <v>10</v>
      </c>
      <c r="O156" s="86">
        <f>'Raw Data'!O157</f>
        <v>9</v>
      </c>
      <c r="P156" s="86">
        <f>'Raw Data'!P157</f>
        <v>11</v>
      </c>
      <c r="Q156" s="86">
        <f>'Raw Data'!Q157</f>
        <v>10</v>
      </c>
      <c r="R156" s="86">
        <f>'Raw Data'!R157</f>
        <v>15</v>
      </c>
      <c r="S156" s="86">
        <f>'Raw Data'!S157</f>
        <v>14</v>
      </c>
      <c r="T156" s="86">
        <f>'Raw Data'!T157</f>
        <v>9</v>
      </c>
      <c r="U156" s="86">
        <f>'Raw Data'!U157</f>
        <v>15</v>
      </c>
      <c r="V156" s="86">
        <f>'Raw Data'!V157</f>
        <v>12</v>
      </c>
      <c r="W156" s="86">
        <f>'Raw Data'!W157</f>
        <v>14</v>
      </c>
      <c r="X156" s="86">
        <f>'Raw Data'!X157</f>
        <v>13</v>
      </c>
      <c r="Y156" s="86">
        <f>'Raw Data'!Y157</f>
        <v>12</v>
      </c>
      <c r="Z156" s="86">
        <f>'Raw Data'!Z157</f>
        <v>10</v>
      </c>
      <c r="AA156" s="86">
        <f>'Raw Data'!AA157/10</f>
        <v>11.9</v>
      </c>
      <c r="AB156" s="86">
        <f>'Raw Data'!AB157/10</f>
        <v>11.4</v>
      </c>
      <c r="AC156" s="86">
        <f>'Raw Data'!AC157/10</f>
        <v>12</v>
      </c>
      <c r="AD156" s="86">
        <f>'Raw Data'!AD157/10</f>
        <v>13.1</v>
      </c>
      <c r="AE156" s="86">
        <f>'Raw Data'!AE157/10</f>
        <v>12.2</v>
      </c>
      <c r="AF156" s="86">
        <f>'Raw Data'!AF157/10</f>
        <v>12.2</v>
      </c>
      <c r="AG156" s="86">
        <f>'Raw Data'!AG157/10</f>
        <v>12</v>
      </c>
      <c r="AH156" s="86">
        <f>'Raw Data'!AH157/10</f>
        <v>10.9</v>
      </c>
      <c r="AI156" s="86">
        <f>'Raw Data'!AI157/10</f>
        <v>12.8</v>
      </c>
      <c r="AJ156" s="86">
        <f>'Raw Data'!AJ157/10</f>
        <v>13</v>
      </c>
      <c r="AK156" s="86">
        <f>'Raw Data'!AK157/10</f>
        <v>11.6</v>
      </c>
      <c r="AL156" s="86">
        <f>'Raw Data'!AL157/10</f>
        <v>11.1</v>
      </c>
      <c r="AM156" s="86">
        <f>'Raw Data'!AM157/10</f>
        <v>11.6</v>
      </c>
      <c r="AN156" s="86">
        <f>'Raw Data'!AN157/10</f>
        <v>11.8</v>
      </c>
      <c r="AO156" s="86">
        <f>'Raw Data'!AO157/10</f>
        <v>10.4</v>
      </c>
      <c r="AP156" s="86">
        <f>'Raw Data'!AP157/10</f>
        <v>12</v>
      </c>
      <c r="AQ156" s="86">
        <f>'Raw Data'!AQ157/10</f>
        <v>10.1</v>
      </c>
      <c r="AR156" s="86">
        <f>'Raw Data'!AR157/10</f>
        <v>11.3</v>
      </c>
      <c r="AS156" s="86">
        <f>'Raw Data'!AS157/10</f>
        <v>12.1</v>
      </c>
      <c r="AT156" s="86">
        <f>'Raw Data'!AT157/10</f>
        <v>10.199999999999999</v>
      </c>
      <c r="AU156" s="86">
        <f>'Raw Data'!AU157/10</f>
        <v>10.199999999999999</v>
      </c>
      <c r="AV156" s="86">
        <f>'Raw Data'!AV157/10</f>
        <v>10.199999999999999</v>
      </c>
      <c r="AW156" s="86">
        <f>'Raw Data'!AW157/10</f>
        <v>9.9</v>
      </c>
      <c r="AX156" s="86">
        <f>'Raw Data'!AX157/10</f>
        <v>10.1</v>
      </c>
      <c r="AY156" s="86">
        <f>'Raw Data'!AY157/10</f>
        <v>11.5</v>
      </c>
      <c r="AZ156" s="86">
        <f>'Raw Data'!AZ157/10</f>
        <v>11.5</v>
      </c>
      <c r="BA156" s="86">
        <f>'Raw Data'!BA157/10</f>
        <v>10.6</v>
      </c>
      <c r="BB156" s="86">
        <f>'Raw Data'!BB157/10</f>
        <v>11</v>
      </c>
      <c r="BC156" s="86">
        <f>'Raw Data'!BC157/10</f>
        <v>10</v>
      </c>
      <c r="BD156" s="86">
        <f>'Raw Data'!BD157/10</f>
        <v>9.5</v>
      </c>
      <c r="BE156" s="86">
        <f>'Raw Data'!BE157/10</f>
        <v>8.6999999999999993</v>
      </c>
      <c r="BF156" s="86">
        <f>'Raw Data'!BF157/10</f>
        <v>10.7</v>
      </c>
      <c r="BG156" s="86">
        <f>'Raw Data'!BG157/10</f>
        <v>10.5</v>
      </c>
      <c r="BH156" s="86">
        <f>'Raw Data'!BH157/10</f>
        <v>9.8000000000000007</v>
      </c>
      <c r="BI156" s="86">
        <f>'Raw Data'!BI157/10</f>
        <v>10.5</v>
      </c>
      <c r="BJ156" s="86">
        <f>'Raw Data'!BJ157/10</f>
        <v>9.1</v>
      </c>
      <c r="BK156" s="86">
        <f>'Raw Data'!BK157/10</f>
        <v>9.1</v>
      </c>
      <c r="BL156" s="86">
        <f>'Raw Data'!BL157/10</f>
        <v>8.9</v>
      </c>
      <c r="BM156" s="86">
        <f>'Raw Data'!BM157/10</f>
        <v>9.9</v>
      </c>
      <c r="BN156" s="86">
        <f>'Raw Data'!BN157/10</f>
        <v>9.5</v>
      </c>
      <c r="BO156" s="86">
        <f>'Raw Data'!BO157/10</f>
        <v>9</v>
      </c>
      <c r="BP156" s="86">
        <f>'Raw Data'!BP157/10</f>
        <v>10.8</v>
      </c>
      <c r="BQ156" s="86">
        <f>'Raw Data'!BQ157/10</f>
        <v>8.6</v>
      </c>
      <c r="BR156" s="86">
        <f>'Raw Data'!BR157/10</f>
        <v>9.5</v>
      </c>
      <c r="BS156" s="86">
        <f>'Raw Data'!BS157/10</f>
        <v>8.5</v>
      </c>
      <c r="BT156" s="86">
        <f>'Raw Data'!BT157/10</f>
        <v>10.199999999999999</v>
      </c>
      <c r="BU156" s="86">
        <f>'Raw Data'!BU157/10</f>
        <v>10.5</v>
      </c>
      <c r="BV156" s="86">
        <f>'Raw Data'!BV157/10</f>
        <v>8.6999999999999993</v>
      </c>
      <c r="BW156" s="86">
        <f>'Raw Data'!BW157/10</f>
        <v>9</v>
      </c>
      <c r="BX156" s="86">
        <f>'Raw Data'!BX157/10</f>
        <v>9.3000000000000007</v>
      </c>
      <c r="BY156" s="86">
        <f>'Raw Data'!BY157/10</f>
        <v>8.8000000000000007</v>
      </c>
      <c r="BZ156" s="86">
        <f>'Raw Data'!BZ157/10</f>
        <v>10</v>
      </c>
      <c r="CA156" s="86">
        <f>'Raw Data'!CA157/10</f>
        <v>9.1</v>
      </c>
      <c r="CB156" s="86">
        <f>'Raw Data'!CB157/10</f>
        <v>10</v>
      </c>
      <c r="CC156" s="86">
        <f>'Raw Data'!CC157/10</f>
        <v>9</v>
      </c>
      <c r="CD156" s="86">
        <f>'Raw Data'!CD157/10</f>
        <v>10.3</v>
      </c>
      <c r="CE156" s="86">
        <f>'Raw Data'!CE157/10</f>
        <v>10.199999999999999</v>
      </c>
      <c r="CF156" s="86">
        <f>'Raw Data'!CF157/10</f>
        <v>8.1</v>
      </c>
      <c r="CG156" s="86">
        <f>'Raw Data'!CG157/100</f>
        <v>9.23</v>
      </c>
      <c r="CH156" s="86">
        <f>'Raw Data'!CH157/100</f>
        <v>8.75</v>
      </c>
      <c r="CI156" s="86">
        <f>'Raw Data'!CI157/100</f>
        <v>9.08</v>
      </c>
      <c r="CJ156" s="86">
        <f>'Raw Data'!CJ157/100</f>
        <v>8.74</v>
      </c>
      <c r="CK156" s="86">
        <f>'Raw Data'!CK157/100</f>
        <v>8.8800000000000008</v>
      </c>
      <c r="CL156" s="86">
        <f>'Raw Data'!CL157/100</f>
        <v>8.6</v>
      </c>
      <c r="CM156" s="86">
        <f>'Raw Data'!CM157/100</f>
        <v>8.56</v>
      </c>
      <c r="CN156" s="86">
        <f>'Raw Data'!CN157/100</f>
        <v>8.8699999999999992</v>
      </c>
      <c r="CO156" s="86">
        <f>'Raw Data'!CO157/100</f>
        <v>8.69</v>
      </c>
      <c r="CP156" s="86">
        <f>'Raw Data'!CP157/100</f>
        <v>8.83</v>
      </c>
      <c r="CQ156" s="86">
        <f>'Raw Data'!CQ157/100</f>
        <v>8.86</v>
      </c>
      <c r="CR156" s="86">
        <f>'Raw Data'!CR157/100</f>
        <v>8.58</v>
      </c>
      <c r="CS156" s="86">
        <f>'Raw Data'!CS157/100</f>
        <v>8.5</v>
      </c>
      <c r="CT156" s="86">
        <f>'Raw Data'!CT157/100</f>
        <v>8.48</v>
      </c>
      <c r="CU156" s="382"/>
    </row>
    <row r="157" spans="4:99" s="86" customFormat="1" x14ac:dyDescent="0.2">
      <c r="D157" s="375"/>
      <c r="E157" s="164"/>
      <c r="F157" s="394"/>
      <c r="G157" s="86">
        <f>'Raw Data'!G158</f>
        <v>13</v>
      </c>
      <c r="H157" s="86">
        <f>'Raw Data'!H158</f>
        <v>10</v>
      </c>
      <c r="I157" s="86">
        <f>'Raw Data'!I158</f>
        <v>14</v>
      </c>
      <c r="J157" s="86">
        <f>'Raw Data'!J158</f>
        <v>10</v>
      </c>
      <c r="K157" s="86">
        <f>'Raw Data'!K158</f>
        <v>12</v>
      </c>
      <c r="L157" s="86">
        <f>'Raw Data'!L158</f>
        <v>13</v>
      </c>
      <c r="M157" s="86">
        <f>'Raw Data'!M158</f>
        <v>17</v>
      </c>
      <c r="N157" s="86">
        <f>'Raw Data'!N158</f>
        <v>15</v>
      </c>
      <c r="O157" s="86">
        <f>'Raw Data'!O158</f>
        <v>14</v>
      </c>
      <c r="P157" s="86">
        <f>'Raw Data'!P158</f>
        <v>16</v>
      </c>
      <c r="Q157" s="86">
        <f>'Raw Data'!Q158</f>
        <v>16</v>
      </c>
      <c r="R157" s="86">
        <f>'Raw Data'!R158</f>
        <v>11</v>
      </c>
      <c r="S157" s="86">
        <f>'Raw Data'!S158</f>
        <v>18</v>
      </c>
      <c r="T157" s="86">
        <f>'Raw Data'!T158</f>
        <v>15</v>
      </c>
      <c r="U157" s="86">
        <f>'Raw Data'!U158</f>
        <v>13</v>
      </c>
      <c r="V157" s="86">
        <f>'Raw Data'!V158</f>
        <v>20</v>
      </c>
      <c r="W157" s="86">
        <f>'Raw Data'!W158</f>
        <v>11</v>
      </c>
      <c r="X157" s="86">
        <f>'Raw Data'!X158</f>
        <v>12</v>
      </c>
      <c r="Y157" s="86">
        <f>'Raw Data'!Y158</f>
        <v>9</v>
      </c>
      <c r="Z157" s="86">
        <f>'Raw Data'!Z158</f>
        <v>19</v>
      </c>
      <c r="AA157" s="86">
        <f>'Raw Data'!AA158/10</f>
        <v>15.3</v>
      </c>
      <c r="AB157" s="86">
        <f>'Raw Data'!AB158/10</f>
        <v>13.5</v>
      </c>
      <c r="AC157" s="86">
        <f>'Raw Data'!AC158/10</f>
        <v>14.2</v>
      </c>
      <c r="AD157" s="86">
        <f>'Raw Data'!AD158/10</f>
        <v>15.2</v>
      </c>
      <c r="AE157" s="86">
        <f>'Raw Data'!AE158/10</f>
        <v>14</v>
      </c>
      <c r="AF157" s="86">
        <f>'Raw Data'!AF158/10</f>
        <v>12.9</v>
      </c>
      <c r="AG157" s="86">
        <f>'Raw Data'!AG158/10</f>
        <v>12.7</v>
      </c>
      <c r="AH157" s="86">
        <f>'Raw Data'!AH158/10</f>
        <v>14.7</v>
      </c>
      <c r="AI157" s="86">
        <f>'Raw Data'!AI158/10</f>
        <v>14.1</v>
      </c>
      <c r="AJ157" s="86">
        <f>'Raw Data'!AJ158/10</f>
        <v>12.6</v>
      </c>
      <c r="AK157" s="86">
        <f>'Raw Data'!AK158/10</f>
        <v>13.4</v>
      </c>
      <c r="AL157" s="86">
        <f>'Raw Data'!AL158/10</f>
        <v>12.3</v>
      </c>
      <c r="AM157" s="86">
        <f>'Raw Data'!AM158/10</f>
        <v>12.4</v>
      </c>
      <c r="AN157" s="86">
        <f>'Raw Data'!AN158/10</f>
        <v>13.7</v>
      </c>
      <c r="AO157" s="86">
        <f>'Raw Data'!AO158/10</f>
        <v>11.5</v>
      </c>
      <c r="AP157" s="86">
        <f>'Raw Data'!AP158/10</f>
        <v>11.1</v>
      </c>
      <c r="AQ157" s="86">
        <f>'Raw Data'!AQ158/10</f>
        <v>11.7</v>
      </c>
      <c r="AR157" s="86">
        <f>'Raw Data'!AR158/10</f>
        <v>11.2</v>
      </c>
      <c r="AS157" s="86">
        <f>'Raw Data'!AS158/10</f>
        <v>12.7</v>
      </c>
      <c r="AT157" s="86">
        <f>'Raw Data'!AT158/10</f>
        <v>13.4</v>
      </c>
      <c r="AU157" s="86">
        <f>'Raw Data'!AU158/10</f>
        <v>13.2</v>
      </c>
      <c r="AV157" s="86">
        <f>'Raw Data'!AV158/10</f>
        <v>12.2</v>
      </c>
      <c r="AW157" s="86">
        <f>'Raw Data'!AW158/10</f>
        <v>12.4</v>
      </c>
      <c r="AX157" s="86">
        <f>'Raw Data'!AX158/10</f>
        <v>11.2</v>
      </c>
      <c r="AY157" s="86">
        <f>'Raw Data'!AY158/10</f>
        <v>11.2</v>
      </c>
      <c r="AZ157" s="86">
        <f>'Raw Data'!AZ158/10</f>
        <v>10.1</v>
      </c>
      <c r="BA157" s="86">
        <f>'Raw Data'!BA158/10</f>
        <v>11.9</v>
      </c>
      <c r="BB157" s="86">
        <f>'Raw Data'!BB158/10</f>
        <v>12.1</v>
      </c>
      <c r="BC157" s="86">
        <f>'Raw Data'!BC158/10</f>
        <v>10.7</v>
      </c>
      <c r="BD157" s="86">
        <f>'Raw Data'!BD158/10</f>
        <v>10.8</v>
      </c>
      <c r="BE157" s="86">
        <f>'Raw Data'!BE158/10</f>
        <v>12.9</v>
      </c>
      <c r="BF157" s="86">
        <f>'Raw Data'!BF158/10</f>
        <v>10.1</v>
      </c>
      <c r="BG157" s="86">
        <f>'Raw Data'!BG158/10</f>
        <v>9.4</v>
      </c>
      <c r="BH157" s="86">
        <f>'Raw Data'!BH158/10</f>
        <v>10.7</v>
      </c>
      <c r="BI157" s="86">
        <f>'Raw Data'!BI158/10</f>
        <v>9.8000000000000007</v>
      </c>
      <c r="BJ157" s="86">
        <f>'Raw Data'!BJ158/10</f>
        <v>9.8000000000000007</v>
      </c>
      <c r="BK157" s="86">
        <f>'Raw Data'!BK158/10</f>
        <v>11.3</v>
      </c>
      <c r="BL157" s="86">
        <f>'Raw Data'!BL158/10</f>
        <v>12.2</v>
      </c>
      <c r="BM157" s="86">
        <f>'Raw Data'!BM158/10</f>
        <v>9.6999999999999993</v>
      </c>
      <c r="BN157" s="86">
        <f>'Raw Data'!BN158/10</f>
        <v>11.6</v>
      </c>
      <c r="BO157" s="86">
        <f>'Raw Data'!BO158/10</f>
        <v>10.4</v>
      </c>
      <c r="BP157" s="86">
        <f>'Raw Data'!BP158/10</f>
        <v>11.5</v>
      </c>
      <c r="BQ157" s="86">
        <f>'Raw Data'!BQ158/10</f>
        <v>10.6</v>
      </c>
      <c r="BR157" s="86">
        <f>'Raw Data'!BR158/10</f>
        <v>9.1</v>
      </c>
      <c r="BS157" s="86">
        <f>'Raw Data'!BS158/10</f>
        <v>11.3</v>
      </c>
      <c r="BT157" s="86">
        <f>'Raw Data'!BT158/10</f>
        <v>10.4</v>
      </c>
      <c r="BU157" s="86">
        <f>'Raw Data'!BU158/10</f>
        <v>9.8000000000000007</v>
      </c>
      <c r="BV157" s="86">
        <f>'Raw Data'!BV158/10</f>
        <v>11</v>
      </c>
      <c r="BW157" s="86">
        <f>'Raw Data'!BW158/10</f>
        <v>10.1</v>
      </c>
      <c r="BX157" s="86">
        <f>'Raw Data'!BX158/10</f>
        <v>10.7</v>
      </c>
      <c r="BY157" s="86">
        <f>'Raw Data'!BY158/10</f>
        <v>10</v>
      </c>
      <c r="BZ157" s="86">
        <f>'Raw Data'!BZ158/10</f>
        <v>10.8</v>
      </c>
      <c r="CA157" s="86">
        <f>'Raw Data'!CA158/10</f>
        <v>10.199999999999999</v>
      </c>
      <c r="CB157" s="86">
        <f>'Raw Data'!CB158/10</f>
        <v>8.9</v>
      </c>
      <c r="CC157" s="86">
        <f>'Raw Data'!CC158/10</f>
        <v>11.1</v>
      </c>
      <c r="CD157" s="86">
        <f>'Raw Data'!CD158/10</f>
        <v>9.6999999999999993</v>
      </c>
      <c r="CE157" s="86">
        <f>'Raw Data'!CE158/10</f>
        <v>9.9</v>
      </c>
      <c r="CF157" s="86">
        <f>'Raw Data'!CF158/10</f>
        <v>9.1</v>
      </c>
      <c r="CG157" s="86">
        <f>'Raw Data'!CG158/100</f>
        <v>10.1</v>
      </c>
      <c r="CH157" s="86">
        <f>'Raw Data'!CH158/100</f>
        <v>9.77</v>
      </c>
      <c r="CI157" s="86">
        <f>'Raw Data'!CI158/100</f>
        <v>10.18</v>
      </c>
      <c r="CJ157" s="86">
        <f>'Raw Data'!CJ158/100</f>
        <v>9.61</v>
      </c>
      <c r="CK157" s="86">
        <f>'Raw Data'!CK158/100</f>
        <v>10.3</v>
      </c>
      <c r="CL157" s="86">
        <f>'Raw Data'!CL158/100</f>
        <v>9.68</v>
      </c>
      <c r="CM157" s="86">
        <f>'Raw Data'!CM158/100</f>
        <v>9.5</v>
      </c>
      <c r="CN157" s="86">
        <f>'Raw Data'!CN158/100</f>
        <v>9.26</v>
      </c>
      <c r="CO157" s="86">
        <f>'Raw Data'!CO158/100</f>
        <v>8.6199999999999992</v>
      </c>
      <c r="CP157" s="86">
        <f>'Raw Data'!CP158/100</f>
        <v>8.9600000000000009</v>
      </c>
      <c r="CQ157" s="86">
        <f>'Raw Data'!CQ158/100</f>
        <v>8.74</v>
      </c>
      <c r="CR157" s="86">
        <f>'Raw Data'!CR158/100</f>
        <v>8.64</v>
      </c>
      <c r="CS157" s="86">
        <f>'Raw Data'!CS158/100</f>
        <v>8.5299999999999994</v>
      </c>
      <c r="CT157" s="86">
        <f>'Raw Data'!CT158/100</f>
        <v>8.8000000000000007</v>
      </c>
      <c r="CU157" s="382"/>
    </row>
    <row r="158" spans="4:99" s="86" customFormat="1" x14ac:dyDescent="0.2">
      <c r="D158" s="375"/>
      <c r="E158" s="164"/>
      <c r="F158" s="394"/>
      <c r="G158" s="86">
        <f>'Raw Data'!G159</f>
        <v>12</v>
      </c>
      <c r="H158" s="86">
        <f>'Raw Data'!H159</f>
        <v>19</v>
      </c>
      <c r="I158" s="86">
        <f>'Raw Data'!I159</f>
        <v>17</v>
      </c>
      <c r="J158" s="86">
        <f>'Raw Data'!J159</f>
        <v>9</v>
      </c>
      <c r="K158" s="86">
        <f>'Raw Data'!K159</f>
        <v>8</v>
      </c>
      <c r="L158" s="86">
        <f>'Raw Data'!L159</f>
        <v>17</v>
      </c>
      <c r="M158" s="86">
        <f>'Raw Data'!M159</f>
        <v>9</v>
      </c>
      <c r="N158" s="86">
        <f>'Raw Data'!N159</f>
        <v>13</v>
      </c>
      <c r="O158" s="86">
        <f>'Raw Data'!O159</f>
        <v>13</v>
      </c>
      <c r="P158" s="86">
        <f>'Raw Data'!P159</f>
        <v>14</v>
      </c>
      <c r="Q158" s="86">
        <f>'Raw Data'!Q159</f>
        <v>16</v>
      </c>
      <c r="R158" s="86">
        <f>'Raw Data'!R159</f>
        <v>18</v>
      </c>
      <c r="S158" s="86">
        <f>'Raw Data'!S159</f>
        <v>8</v>
      </c>
      <c r="T158" s="86">
        <f>'Raw Data'!T159</f>
        <v>21</v>
      </c>
      <c r="U158" s="86">
        <f>'Raw Data'!U159</f>
        <v>13</v>
      </c>
      <c r="V158" s="86">
        <f>'Raw Data'!V159</f>
        <v>15</v>
      </c>
      <c r="W158" s="86">
        <f>'Raw Data'!W159</f>
        <v>14</v>
      </c>
      <c r="X158" s="86">
        <f>'Raw Data'!X159</f>
        <v>20</v>
      </c>
      <c r="Y158" s="86">
        <f>'Raw Data'!Y159</f>
        <v>18</v>
      </c>
      <c r="Z158" s="86">
        <f>'Raw Data'!Z159</f>
        <v>9</v>
      </c>
      <c r="AA158" s="86">
        <f>'Raw Data'!AA159/10</f>
        <v>13.5</v>
      </c>
      <c r="AB158" s="86">
        <f>'Raw Data'!AB159/10</f>
        <v>14.1</v>
      </c>
      <c r="AC158" s="86">
        <f>'Raw Data'!AC159/10</f>
        <v>12.5</v>
      </c>
      <c r="AD158" s="86">
        <f>'Raw Data'!AD159/10</f>
        <v>14.1</v>
      </c>
      <c r="AE158" s="86">
        <f>'Raw Data'!AE159/10</f>
        <v>13.5</v>
      </c>
      <c r="AF158" s="86">
        <f>'Raw Data'!AF159/10</f>
        <v>11.2</v>
      </c>
      <c r="AG158" s="86">
        <f>'Raw Data'!AG159/10</f>
        <v>14.9</v>
      </c>
      <c r="AH158" s="86">
        <f>'Raw Data'!AH159/10</f>
        <v>12</v>
      </c>
      <c r="AI158" s="86">
        <f>'Raw Data'!AI159/10</f>
        <v>12.7</v>
      </c>
      <c r="AJ158" s="86">
        <f>'Raw Data'!AJ159/10</f>
        <v>11.9</v>
      </c>
      <c r="AK158" s="86">
        <f>'Raw Data'!AK159/10</f>
        <v>11.4</v>
      </c>
      <c r="AL158" s="86">
        <f>'Raw Data'!AL159/10</f>
        <v>12.1</v>
      </c>
      <c r="AM158" s="86">
        <f>'Raw Data'!AM159/10</f>
        <v>12.9</v>
      </c>
      <c r="AN158" s="86">
        <f>'Raw Data'!AN159/10</f>
        <v>12.3</v>
      </c>
      <c r="AO158" s="86">
        <f>'Raw Data'!AO159/10</f>
        <v>12</v>
      </c>
      <c r="AP158" s="86">
        <f>'Raw Data'!AP159/10</f>
        <v>11.4</v>
      </c>
      <c r="AQ158" s="86">
        <f>'Raw Data'!AQ159/10</f>
        <v>12.4</v>
      </c>
      <c r="AR158" s="86">
        <f>'Raw Data'!AR159/10</f>
        <v>11.3</v>
      </c>
      <c r="AS158" s="86">
        <f>'Raw Data'!AS159/10</f>
        <v>11.4</v>
      </c>
      <c r="AT158" s="86">
        <f>'Raw Data'!AT159/10</f>
        <v>10.7</v>
      </c>
      <c r="AU158" s="86">
        <f>'Raw Data'!AU159/10</f>
        <v>11.9</v>
      </c>
      <c r="AV158" s="86">
        <f>'Raw Data'!AV159/10</f>
        <v>11.3</v>
      </c>
      <c r="AW158" s="86">
        <f>'Raw Data'!AW159/10</f>
        <v>11.3</v>
      </c>
      <c r="AX158" s="86">
        <f>'Raw Data'!AX159/10</f>
        <v>10.1</v>
      </c>
      <c r="AY158" s="86">
        <f>'Raw Data'!AY159/10</f>
        <v>11.5</v>
      </c>
      <c r="AZ158" s="86">
        <f>'Raw Data'!AZ159/10</f>
        <v>12</v>
      </c>
      <c r="BA158" s="86">
        <f>'Raw Data'!BA159/10</f>
        <v>9.6999999999999993</v>
      </c>
      <c r="BB158" s="86">
        <f>'Raw Data'!BB159/10</f>
        <v>10.3</v>
      </c>
      <c r="BC158" s="86">
        <f>'Raw Data'!BC159/10</f>
        <v>11.4</v>
      </c>
      <c r="BD158" s="86">
        <f>'Raw Data'!BD159/10</f>
        <v>11.5</v>
      </c>
      <c r="BE158" s="86">
        <f>'Raw Data'!BE159/10</f>
        <v>10.6</v>
      </c>
      <c r="BF158" s="86">
        <f>'Raw Data'!BF159/10</f>
        <v>11.3</v>
      </c>
      <c r="BG158" s="86">
        <f>'Raw Data'!BG159/10</f>
        <v>10.4</v>
      </c>
      <c r="BH158" s="86">
        <f>'Raw Data'!BH159/10</f>
        <v>9.6999999999999993</v>
      </c>
      <c r="BI158" s="86">
        <f>'Raw Data'!BI159/10</f>
        <v>10.4</v>
      </c>
      <c r="BJ158" s="86">
        <f>'Raw Data'!BJ159/10</f>
        <v>9</v>
      </c>
      <c r="BK158" s="86">
        <f>'Raw Data'!BK159/10</f>
        <v>9.9</v>
      </c>
      <c r="BL158" s="86">
        <f>'Raw Data'!BL159/10</f>
        <v>10.1</v>
      </c>
      <c r="BM158" s="86">
        <f>'Raw Data'!BM159/10</f>
        <v>10.3</v>
      </c>
      <c r="BN158" s="86">
        <f>'Raw Data'!BN159/10</f>
        <v>10.3</v>
      </c>
      <c r="BO158" s="86">
        <f>'Raw Data'!BO159/10</f>
        <v>9.6999999999999993</v>
      </c>
      <c r="BP158" s="86">
        <f>'Raw Data'!BP159/10</f>
        <v>9.5</v>
      </c>
      <c r="BQ158" s="86">
        <f>'Raw Data'!BQ159/10</f>
        <v>8.9</v>
      </c>
      <c r="BR158" s="86">
        <f>'Raw Data'!BR159/10</f>
        <v>8.8000000000000007</v>
      </c>
      <c r="BS158" s="86">
        <f>'Raw Data'!BS159/10</f>
        <v>8.9</v>
      </c>
      <c r="BT158" s="86">
        <f>'Raw Data'!BT159/10</f>
        <v>11.2</v>
      </c>
      <c r="BU158" s="86">
        <f>'Raw Data'!BU159/10</f>
        <v>9.1999999999999993</v>
      </c>
      <c r="BV158" s="86">
        <f>'Raw Data'!BV159/10</f>
        <v>10.5</v>
      </c>
      <c r="BW158" s="86">
        <f>'Raw Data'!BW159/10</f>
        <v>10.3</v>
      </c>
      <c r="BX158" s="86">
        <f>'Raw Data'!BX159/10</f>
        <v>10.5</v>
      </c>
      <c r="BY158" s="86">
        <f>'Raw Data'!BY159/10</f>
        <v>9.9</v>
      </c>
      <c r="BZ158" s="86">
        <f>'Raw Data'!BZ159/10</f>
        <v>9.9</v>
      </c>
      <c r="CA158" s="86">
        <f>'Raw Data'!CA159/10</f>
        <v>8.9</v>
      </c>
      <c r="CB158" s="86">
        <f>'Raw Data'!CB159/10</f>
        <v>10.8</v>
      </c>
      <c r="CC158" s="86">
        <f>'Raw Data'!CC159/10</f>
        <v>9.5</v>
      </c>
      <c r="CD158" s="86">
        <f>'Raw Data'!CD159/10</f>
        <v>10.199999999999999</v>
      </c>
      <c r="CE158" s="86">
        <f>'Raw Data'!CE159/10</f>
        <v>10.199999999999999</v>
      </c>
      <c r="CF158" s="86">
        <f>'Raw Data'!CF159/10</f>
        <v>10.199999999999999</v>
      </c>
      <c r="CG158" s="86">
        <f>'Raw Data'!CG159/100</f>
        <v>9.19</v>
      </c>
      <c r="CH158" s="86">
        <f>'Raw Data'!CH159/100</f>
        <v>9.43</v>
      </c>
      <c r="CI158" s="86">
        <f>'Raw Data'!CI159/100</f>
        <v>9.33</v>
      </c>
      <c r="CJ158" s="86">
        <f>'Raw Data'!CJ159/100</f>
        <v>9.15</v>
      </c>
      <c r="CK158" s="86">
        <f>'Raw Data'!CK159/100</f>
        <v>8.74</v>
      </c>
      <c r="CL158" s="86">
        <f>'Raw Data'!CL159/100</f>
        <v>8.92</v>
      </c>
      <c r="CM158" s="86">
        <f>'Raw Data'!CM159/100</f>
        <v>8.6999999999999993</v>
      </c>
      <c r="CN158" s="86">
        <f>'Raw Data'!CN159/100</f>
        <v>8.67</v>
      </c>
      <c r="CO158" s="86">
        <f>'Raw Data'!CO159/100</f>
        <v>8.93</v>
      </c>
      <c r="CP158" s="86">
        <f>'Raw Data'!CP159/100</f>
        <v>8.34</v>
      </c>
      <c r="CQ158" s="86">
        <f>'Raw Data'!CQ159/100</f>
        <v>8.6999999999999993</v>
      </c>
      <c r="CR158" s="86">
        <f>'Raw Data'!CR159/100</f>
        <v>8.1</v>
      </c>
      <c r="CS158" s="86">
        <f>'Raw Data'!CS159/100</f>
        <v>8.1300000000000008</v>
      </c>
      <c r="CT158" s="86">
        <f>'Raw Data'!CT159/100</f>
        <v>8.2799999999999994</v>
      </c>
      <c r="CU158" s="382"/>
    </row>
    <row r="159" spans="4:99" s="86" customFormat="1" x14ac:dyDescent="0.2">
      <c r="D159" s="379"/>
      <c r="E159" s="381"/>
      <c r="F159" s="395"/>
      <c r="G159" s="87">
        <f>'Raw Data'!G160</f>
        <v>16</v>
      </c>
      <c r="H159" s="87">
        <f>'Raw Data'!H160</f>
        <v>10</v>
      </c>
      <c r="I159" s="87">
        <f>'Raw Data'!I160</f>
        <v>15</v>
      </c>
      <c r="J159" s="87">
        <f>'Raw Data'!J160</f>
        <v>20</v>
      </c>
      <c r="K159" s="87">
        <f>'Raw Data'!K160</f>
        <v>15</v>
      </c>
      <c r="L159" s="87">
        <f>'Raw Data'!L160</f>
        <v>12</v>
      </c>
      <c r="M159" s="87">
        <f>'Raw Data'!M160</f>
        <v>19</v>
      </c>
      <c r="N159" s="87">
        <f>'Raw Data'!N160</f>
        <v>18</v>
      </c>
      <c r="O159" s="87">
        <f>'Raw Data'!O160</f>
        <v>14</v>
      </c>
      <c r="P159" s="87">
        <f>'Raw Data'!P160</f>
        <v>16</v>
      </c>
      <c r="Q159" s="87">
        <f>'Raw Data'!Q160</f>
        <v>17</v>
      </c>
      <c r="R159" s="87">
        <f>'Raw Data'!R160</f>
        <v>15</v>
      </c>
      <c r="S159" s="87">
        <f>'Raw Data'!S160</f>
        <v>15</v>
      </c>
      <c r="T159" s="87">
        <f>'Raw Data'!T160</f>
        <v>13</v>
      </c>
      <c r="U159" s="87">
        <f>'Raw Data'!U160</f>
        <v>9</v>
      </c>
      <c r="V159" s="87">
        <f>'Raw Data'!V160</f>
        <v>16</v>
      </c>
      <c r="W159" s="87">
        <f>'Raw Data'!W160</f>
        <v>14</v>
      </c>
      <c r="X159" s="87">
        <f>'Raw Data'!X160</f>
        <v>16</v>
      </c>
      <c r="Y159" s="87">
        <f>'Raw Data'!Y160</f>
        <v>17</v>
      </c>
      <c r="Z159" s="87">
        <f>'Raw Data'!Z160</f>
        <v>11</v>
      </c>
      <c r="AA159" s="87">
        <f>'Raw Data'!AA160/10</f>
        <v>13.6</v>
      </c>
      <c r="AB159" s="87">
        <f>'Raw Data'!AB160/10</f>
        <v>14.4</v>
      </c>
      <c r="AC159" s="87">
        <f>'Raw Data'!AC160/10</f>
        <v>13.4</v>
      </c>
      <c r="AD159" s="87">
        <f>'Raw Data'!AD160/10</f>
        <v>15.6</v>
      </c>
      <c r="AE159" s="87">
        <f>'Raw Data'!AE160/10</f>
        <v>13.2</v>
      </c>
      <c r="AF159" s="87">
        <f>'Raw Data'!AF160/10</f>
        <v>14.7</v>
      </c>
      <c r="AG159" s="87">
        <f>'Raw Data'!AG160/10</f>
        <v>12.7</v>
      </c>
      <c r="AH159" s="87">
        <f>'Raw Data'!AH160/10</f>
        <v>12.5</v>
      </c>
      <c r="AI159" s="87">
        <f>'Raw Data'!AI160/10</f>
        <v>13.5</v>
      </c>
      <c r="AJ159" s="87">
        <f>'Raw Data'!AJ160/10</f>
        <v>12.6</v>
      </c>
      <c r="AK159" s="87">
        <f>'Raw Data'!AK160/10</f>
        <v>13</v>
      </c>
      <c r="AL159" s="87">
        <f>'Raw Data'!AL160/10</f>
        <v>12.2</v>
      </c>
      <c r="AM159" s="87">
        <f>'Raw Data'!AM160/10</f>
        <v>13</v>
      </c>
      <c r="AN159" s="87">
        <f>'Raw Data'!AN160/10</f>
        <v>11.6</v>
      </c>
      <c r="AO159" s="87">
        <f>'Raw Data'!AO160/10</f>
        <v>14.2</v>
      </c>
      <c r="AP159" s="87">
        <f>'Raw Data'!AP160/10</f>
        <v>13.2</v>
      </c>
      <c r="AQ159" s="87">
        <f>'Raw Data'!AQ160/10</f>
        <v>11.1</v>
      </c>
      <c r="AR159" s="87">
        <f>'Raw Data'!AR160/10</f>
        <v>11.6</v>
      </c>
      <c r="AS159" s="87">
        <f>'Raw Data'!AS160/10</f>
        <v>11.1</v>
      </c>
      <c r="AT159" s="87">
        <f>'Raw Data'!AT160/10</f>
        <v>11.3</v>
      </c>
      <c r="AU159" s="87">
        <f>'Raw Data'!AU160/10</f>
        <v>11.6</v>
      </c>
      <c r="AV159" s="87">
        <f>'Raw Data'!AV160/10</f>
        <v>13</v>
      </c>
      <c r="AW159" s="87">
        <f>'Raw Data'!AW160/10</f>
        <v>10.9</v>
      </c>
      <c r="AX159" s="87">
        <f>'Raw Data'!AX160/10</f>
        <v>12</v>
      </c>
      <c r="AY159" s="87">
        <f>'Raw Data'!AY160/10</f>
        <v>11.2</v>
      </c>
      <c r="AZ159" s="87">
        <f>'Raw Data'!AZ160/10</f>
        <v>12</v>
      </c>
      <c r="BA159" s="87">
        <f>'Raw Data'!BA160/10</f>
        <v>11.6</v>
      </c>
      <c r="BB159" s="87">
        <f>'Raw Data'!BB160/10</f>
        <v>10.3</v>
      </c>
      <c r="BC159" s="87">
        <f>'Raw Data'!BC160/10</f>
        <v>12.6</v>
      </c>
      <c r="BD159" s="87">
        <f>'Raw Data'!BD160/10</f>
        <v>11.4</v>
      </c>
      <c r="BE159" s="87">
        <f>'Raw Data'!BE160/10</f>
        <v>11.1</v>
      </c>
      <c r="BF159" s="87">
        <f>'Raw Data'!BF160/10</f>
        <v>9.6999999999999993</v>
      </c>
      <c r="BG159" s="87">
        <f>'Raw Data'!BG160/10</f>
        <v>10.4</v>
      </c>
      <c r="BH159" s="87">
        <f>'Raw Data'!BH160/10</f>
        <v>10</v>
      </c>
      <c r="BI159" s="87">
        <f>'Raw Data'!BI160/10</f>
        <v>9.6999999999999993</v>
      </c>
      <c r="BJ159" s="87">
        <f>'Raw Data'!BJ160/10</f>
        <v>10.6</v>
      </c>
      <c r="BK159" s="87">
        <f>'Raw Data'!BK160/10</f>
        <v>10.3</v>
      </c>
      <c r="BL159" s="87">
        <f>'Raw Data'!BL160/10</f>
        <v>9.1</v>
      </c>
      <c r="BM159" s="87">
        <f>'Raw Data'!BM160/10</f>
        <v>11</v>
      </c>
      <c r="BN159" s="87">
        <f>'Raw Data'!BN160/10</f>
        <v>9.8000000000000007</v>
      </c>
      <c r="BO159" s="87">
        <f>'Raw Data'!BO160/10</f>
        <v>10.7</v>
      </c>
      <c r="BP159" s="87">
        <f>'Raw Data'!BP160/10</f>
        <v>9.8000000000000007</v>
      </c>
      <c r="BQ159" s="87">
        <f>'Raw Data'!BQ160/10</f>
        <v>9.6</v>
      </c>
      <c r="BR159" s="87">
        <f>'Raw Data'!BR160/10</f>
        <v>10</v>
      </c>
      <c r="BS159" s="87">
        <f>'Raw Data'!BS160/10</f>
        <v>10.199999999999999</v>
      </c>
      <c r="BT159" s="87">
        <f>'Raw Data'!BT160/10</f>
        <v>10.4</v>
      </c>
      <c r="BU159" s="87">
        <f>'Raw Data'!BU160/10</f>
        <v>9</v>
      </c>
      <c r="BV159" s="87">
        <f>'Raw Data'!BV160/10</f>
        <v>9.8000000000000007</v>
      </c>
      <c r="BW159" s="87">
        <f>'Raw Data'!BW160/10</f>
        <v>9.1999999999999993</v>
      </c>
      <c r="BX159" s="87">
        <f>'Raw Data'!BX160/10</f>
        <v>8.6</v>
      </c>
      <c r="BY159" s="87">
        <f>'Raw Data'!BY160/10</f>
        <v>10.5</v>
      </c>
      <c r="BZ159" s="87">
        <f>'Raw Data'!BZ160/10</f>
        <v>9.6</v>
      </c>
      <c r="CA159" s="87">
        <f>'Raw Data'!CA160/10</f>
        <v>8.1</v>
      </c>
      <c r="CB159" s="87">
        <f>'Raw Data'!CB160/10</f>
        <v>8.8000000000000007</v>
      </c>
      <c r="CC159" s="87">
        <f>'Raw Data'!CC160/10</f>
        <v>9.6</v>
      </c>
      <c r="CD159" s="87">
        <f>'Raw Data'!CD160/10</f>
        <v>9.1999999999999993</v>
      </c>
      <c r="CE159" s="87">
        <f>'Raw Data'!CE160/10</f>
        <v>9.6</v>
      </c>
      <c r="CF159" s="87">
        <f>'Raw Data'!CF160/10</f>
        <v>10.8</v>
      </c>
      <c r="CG159" s="87">
        <f>'Raw Data'!CG160/100</f>
        <v>9.36</v>
      </c>
      <c r="CH159" s="87">
        <f>'Raw Data'!CH160/100</f>
        <v>9.52</v>
      </c>
      <c r="CI159" s="87">
        <f>'Raw Data'!CI160/100</f>
        <v>9.16</v>
      </c>
      <c r="CJ159" s="87">
        <f>'Raw Data'!CJ160/100</f>
        <v>8.7200000000000006</v>
      </c>
      <c r="CK159" s="87">
        <f>'Raw Data'!CK160/100</f>
        <v>9.17</v>
      </c>
      <c r="CL159" s="87">
        <f>'Raw Data'!CL160/100</f>
        <v>8.8000000000000007</v>
      </c>
      <c r="CM159" s="87">
        <f>'Raw Data'!CM160/100</f>
        <v>8.65</v>
      </c>
      <c r="CN159" s="87">
        <f>'Raw Data'!CN160/100</f>
        <v>8.65</v>
      </c>
      <c r="CO159" s="87">
        <f>'Raw Data'!CO160/100</f>
        <v>8.16</v>
      </c>
      <c r="CP159" s="87">
        <f>'Raw Data'!CP160/100</f>
        <v>8.43</v>
      </c>
      <c r="CQ159" s="87">
        <f>'Raw Data'!CQ160/100</f>
        <v>8.1300000000000008</v>
      </c>
      <c r="CR159" s="87">
        <f>'Raw Data'!CR160/100</f>
        <v>8.65</v>
      </c>
      <c r="CS159" s="87">
        <f>'Raw Data'!CS160/100</f>
        <v>8.24</v>
      </c>
      <c r="CT159" s="87">
        <f>'Raw Data'!CT160/100</f>
        <v>8.52</v>
      </c>
      <c r="CU159" s="382"/>
    </row>
    <row r="160" spans="4:99" s="86" customFormat="1" x14ac:dyDescent="0.2">
      <c r="D160" s="376"/>
      <c r="E160" s="164"/>
      <c r="F160" s="394"/>
      <c r="G160" s="86">
        <f>'Raw Data'!G161</f>
        <v>83</v>
      </c>
      <c r="H160" s="86">
        <f>'Raw Data'!H161</f>
        <v>88</v>
      </c>
      <c r="I160" s="86">
        <f>'Raw Data'!I161</f>
        <v>74</v>
      </c>
      <c r="J160" s="86">
        <f>'Raw Data'!J161</f>
        <v>91</v>
      </c>
      <c r="K160" s="86">
        <f>'Raw Data'!K161</f>
        <v>73</v>
      </c>
      <c r="L160" s="86">
        <f>'Raw Data'!L161</f>
        <v>78</v>
      </c>
      <c r="M160" s="86">
        <f>'Raw Data'!M161</f>
        <v>67</v>
      </c>
      <c r="N160" s="86">
        <f>'Raw Data'!N161</f>
        <v>81</v>
      </c>
      <c r="O160" s="86">
        <f>'Raw Data'!O161</f>
        <v>87</v>
      </c>
      <c r="P160" s="86">
        <f>'Raw Data'!P161</f>
        <v>99</v>
      </c>
      <c r="Q160" s="86">
        <f>'Raw Data'!Q161</f>
        <v>90</v>
      </c>
      <c r="R160" s="86">
        <f>'Raw Data'!R161</f>
        <v>84</v>
      </c>
      <c r="S160" s="86">
        <f>'Raw Data'!S161</f>
        <v>101</v>
      </c>
      <c r="T160" s="86">
        <f>'Raw Data'!T161</f>
        <v>90</v>
      </c>
      <c r="U160" s="86">
        <f>'Raw Data'!U161</f>
        <v>96</v>
      </c>
      <c r="V160" s="86">
        <f>'Raw Data'!V161</f>
        <v>91</v>
      </c>
      <c r="W160" s="86">
        <f>'Raw Data'!W161</f>
        <v>83</v>
      </c>
      <c r="X160" s="86">
        <f>'Raw Data'!X161</f>
        <v>93</v>
      </c>
      <c r="Y160" s="86">
        <f>'Raw Data'!Y161</f>
        <v>86</v>
      </c>
      <c r="Z160" s="86">
        <f>'Raw Data'!Z161</f>
        <v>106</v>
      </c>
      <c r="AA160" s="83">
        <f>'Raw Data'!AA161/10</f>
        <v>88.1</v>
      </c>
      <c r="AB160" s="83">
        <f>'Raw Data'!AB161/10</f>
        <v>83.6</v>
      </c>
      <c r="AC160" s="83">
        <f>'Raw Data'!AC161/10</f>
        <v>91.6</v>
      </c>
      <c r="AD160" s="83">
        <f>'Raw Data'!AD161/10</f>
        <v>87.5</v>
      </c>
      <c r="AE160" s="83">
        <f>'Raw Data'!AE161/10</f>
        <v>84.6</v>
      </c>
      <c r="AF160" s="83">
        <f>'Raw Data'!AF161/10</f>
        <v>88.4</v>
      </c>
      <c r="AG160" s="83">
        <f>'Raw Data'!AG161/10</f>
        <v>85.1</v>
      </c>
      <c r="AH160" s="83">
        <f>'Raw Data'!AH161/10</f>
        <v>86.1</v>
      </c>
      <c r="AI160" s="83">
        <f>'Raw Data'!AI161/10</f>
        <v>79.099999999999994</v>
      </c>
      <c r="AJ160" s="83">
        <f>'Raw Data'!AJ161/10</f>
        <v>85.3</v>
      </c>
      <c r="AK160" s="83">
        <f>'Raw Data'!AK161/10</f>
        <v>76.3</v>
      </c>
      <c r="AL160" s="83">
        <f>'Raw Data'!AL161/10</f>
        <v>81.7</v>
      </c>
      <c r="AM160" s="83">
        <f>'Raw Data'!AM161/10</f>
        <v>76.900000000000006</v>
      </c>
      <c r="AN160" s="83">
        <f>'Raw Data'!AN161/10</f>
        <v>74.3</v>
      </c>
      <c r="AO160" s="83">
        <f>'Raw Data'!AO161/10</f>
        <v>72.5</v>
      </c>
      <c r="AP160" s="83">
        <f>'Raw Data'!AP161/10</f>
        <v>72.599999999999994</v>
      </c>
      <c r="AQ160" s="83">
        <f>'Raw Data'!AQ161/10</f>
        <v>72.599999999999994</v>
      </c>
      <c r="AR160" s="83">
        <f>'Raw Data'!AR161/10</f>
        <v>74.5</v>
      </c>
      <c r="AS160" s="83">
        <f>'Raw Data'!AS161/10</f>
        <v>72.5</v>
      </c>
      <c r="AT160" s="83">
        <f>'Raw Data'!AT161/10</f>
        <v>67.099999999999994</v>
      </c>
      <c r="AU160" s="83">
        <f>'Raw Data'!AU161/10</f>
        <v>75.099999999999994</v>
      </c>
      <c r="AV160" s="83">
        <f>'Raw Data'!AV161/10</f>
        <v>67.599999999999994</v>
      </c>
      <c r="AW160" s="83">
        <f>'Raw Data'!AW161/10</f>
        <v>71.2</v>
      </c>
      <c r="AX160" s="83">
        <f>'Raw Data'!AX161/10</f>
        <v>68.400000000000006</v>
      </c>
      <c r="AY160" s="83">
        <f>'Raw Data'!AY161/10</f>
        <v>69.7</v>
      </c>
      <c r="AZ160" s="83">
        <f>'Raw Data'!AZ161/10</f>
        <v>66.900000000000006</v>
      </c>
      <c r="BA160" s="83">
        <f>'Raw Data'!BA161/10</f>
        <v>69.7</v>
      </c>
      <c r="BB160" s="83">
        <f>'Raw Data'!BB161/10</f>
        <v>63.4</v>
      </c>
      <c r="BC160" s="83">
        <f>'Raw Data'!BC161/10</f>
        <v>68.400000000000006</v>
      </c>
      <c r="BD160" s="83">
        <f>'Raw Data'!BD161/10</f>
        <v>66.400000000000006</v>
      </c>
      <c r="BE160" s="83">
        <f>'Raw Data'!BE161/10</f>
        <v>67.400000000000006</v>
      </c>
      <c r="BF160" s="83">
        <f>'Raw Data'!BF161/10</f>
        <v>65.900000000000006</v>
      </c>
      <c r="BG160" s="83">
        <f>'Raw Data'!BG161/10</f>
        <v>63.9</v>
      </c>
      <c r="BH160" s="83">
        <f>'Raw Data'!BH161/10</f>
        <v>66.599999999999994</v>
      </c>
      <c r="BI160" s="83">
        <f>'Raw Data'!BI161/10</f>
        <v>62.4</v>
      </c>
      <c r="BJ160" s="83">
        <f>'Raw Data'!BJ161/10</f>
        <v>67.599999999999994</v>
      </c>
      <c r="BK160" s="83">
        <f>'Raw Data'!BK161/10</f>
        <v>63.5</v>
      </c>
      <c r="BL160" s="83">
        <f>'Raw Data'!BL161/10</f>
        <v>66</v>
      </c>
      <c r="BM160" s="83">
        <f>'Raw Data'!BM161/10</f>
        <v>63.6</v>
      </c>
      <c r="BN160" s="83">
        <f>'Raw Data'!BN161/10</f>
        <v>68</v>
      </c>
      <c r="BO160" s="83">
        <f>'Raw Data'!BO161/10</f>
        <v>62</v>
      </c>
      <c r="BP160" s="83">
        <f>'Raw Data'!BP161/10</f>
        <v>61.2</v>
      </c>
      <c r="BQ160" s="83">
        <f>'Raw Data'!BQ161/10</f>
        <v>63.5</v>
      </c>
      <c r="BR160" s="83">
        <f>'Raw Data'!BR161/10</f>
        <v>61.8</v>
      </c>
      <c r="BS160" s="83">
        <f>'Raw Data'!BS161/10</f>
        <v>61.9</v>
      </c>
      <c r="BT160" s="83">
        <f>'Raw Data'!BT161/10</f>
        <v>64.2</v>
      </c>
      <c r="BU160" s="83">
        <f>'Raw Data'!BU161/10</f>
        <v>60</v>
      </c>
      <c r="BV160" s="83">
        <f>'Raw Data'!BV161/10</f>
        <v>59.8</v>
      </c>
      <c r="BW160" s="83">
        <f>'Raw Data'!BW161/10</f>
        <v>61.8</v>
      </c>
      <c r="BX160" s="83">
        <f>'Raw Data'!BX161/10</f>
        <v>60.4</v>
      </c>
      <c r="BY160" s="83">
        <f>'Raw Data'!BY161/10</f>
        <v>60.2</v>
      </c>
      <c r="BZ160" s="83">
        <f>'Raw Data'!BZ161/10</f>
        <v>60.2</v>
      </c>
      <c r="CA160" s="83">
        <f>'Raw Data'!CA161/10</f>
        <v>63.3</v>
      </c>
      <c r="CB160" s="83">
        <f>'Raw Data'!CB161/10</f>
        <v>59.5</v>
      </c>
      <c r="CC160" s="83">
        <f>'Raw Data'!CC161/10</f>
        <v>61.2</v>
      </c>
      <c r="CD160" s="83">
        <f>'Raw Data'!CD161/10</f>
        <v>57.8</v>
      </c>
      <c r="CE160" s="83">
        <f>'Raw Data'!CE161/10</f>
        <v>63.9</v>
      </c>
      <c r="CF160" s="83">
        <f>'Raw Data'!CF161/10</f>
        <v>58.5</v>
      </c>
      <c r="CG160" s="83">
        <f>'Raw Data'!CG161/100</f>
        <v>57.91</v>
      </c>
      <c r="CH160" s="83">
        <f>'Raw Data'!CH161/100</f>
        <v>57.13</v>
      </c>
      <c r="CI160" s="83">
        <f>'Raw Data'!CI161/100</f>
        <v>54.53</v>
      </c>
      <c r="CJ160" s="83">
        <f>'Raw Data'!CJ161/100</f>
        <v>54.9</v>
      </c>
      <c r="CK160" s="83">
        <f>'Raw Data'!CK161/100</f>
        <v>52.9</v>
      </c>
      <c r="CL160" s="83">
        <f>'Raw Data'!CL161/100</f>
        <v>52.06</v>
      </c>
      <c r="CM160" s="83">
        <f>'Raw Data'!CM161/100</f>
        <v>51.13</v>
      </c>
      <c r="CN160" s="83">
        <f>'Raw Data'!CN161/100</f>
        <v>49.87</v>
      </c>
      <c r="CO160" s="83">
        <f>'Raw Data'!CO161/100</f>
        <v>50.19</v>
      </c>
      <c r="CP160" s="83">
        <f>'Raw Data'!CP161/100</f>
        <v>49.29</v>
      </c>
      <c r="CQ160" s="83">
        <f>'Raw Data'!CQ161/100</f>
        <v>47.87</v>
      </c>
      <c r="CR160" s="83">
        <f>'Raw Data'!CR161/100</f>
        <v>48.13</v>
      </c>
      <c r="CS160" s="83">
        <f>'Raw Data'!CS161/100</f>
        <v>48.47</v>
      </c>
      <c r="CT160" s="83">
        <f>'Raw Data'!CT161/100</f>
        <v>47.92</v>
      </c>
      <c r="CU160" s="382"/>
    </row>
    <row r="161" spans="4:99" s="86" customFormat="1" x14ac:dyDescent="0.2">
      <c r="D161" s="376"/>
      <c r="E161" s="164"/>
      <c r="F161" s="394"/>
      <c r="G161" s="86">
        <f>'Raw Data'!G162</f>
        <v>50</v>
      </c>
      <c r="H161" s="86">
        <f>'Raw Data'!H162</f>
        <v>49</v>
      </c>
      <c r="I161" s="86">
        <f>'Raw Data'!I162</f>
        <v>54</v>
      </c>
      <c r="J161" s="86">
        <f>'Raw Data'!J162</f>
        <v>53</v>
      </c>
      <c r="K161" s="86">
        <f>'Raw Data'!K162</f>
        <v>53</v>
      </c>
      <c r="L161" s="86">
        <f>'Raw Data'!L162</f>
        <v>58</v>
      </c>
      <c r="M161" s="86">
        <f>'Raw Data'!M162</f>
        <v>55</v>
      </c>
      <c r="N161" s="86">
        <f>'Raw Data'!N162</f>
        <v>54</v>
      </c>
      <c r="O161" s="86">
        <f>'Raw Data'!O162</f>
        <v>64</v>
      </c>
      <c r="P161" s="86">
        <f>'Raw Data'!P162</f>
        <v>60</v>
      </c>
      <c r="Q161" s="86">
        <f>'Raw Data'!Q162</f>
        <v>59</v>
      </c>
      <c r="R161" s="86">
        <f>'Raw Data'!R162</f>
        <v>60</v>
      </c>
      <c r="S161" s="86">
        <f>'Raw Data'!S162</f>
        <v>60</v>
      </c>
      <c r="T161" s="86">
        <f>'Raw Data'!T162</f>
        <v>57</v>
      </c>
      <c r="U161" s="86">
        <f>'Raw Data'!U162</f>
        <v>63</v>
      </c>
      <c r="V161" s="86">
        <f>'Raw Data'!V162</f>
        <v>62</v>
      </c>
      <c r="W161" s="86">
        <f>'Raw Data'!W162</f>
        <v>59</v>
      </c>
      <c r="X161" s="86">
        <f>'Raw Data'!X162</f>
        <v>61</v>
      </c>
      <c r="Y161" s="86">
        <f>'Raw Data'!Y162</f>
        <v>65</v>
      </c>
      <c r="Z161" s="86">
        <f>'Raw Data'!Z162</f>
        <v>57</v>
      </c>
      <c r="AA161" s="83">
        <f>'Raw Data'!AA162/10</f>
        <v>61.6</v>
      </c>
      <c r="AB161" s="83">
        <f>'Raw Data'!AB162/10</f>
        <v>62.6</v>
      </c>
      <c r="AC161" s="83">
        <f>'Raw Data'!AC162/10</f>
        <v>60.4</v>
      </c>
      <c r="AD161" s="83">
        <f>'Raw Data'!AD162/10</f>
        <v>60.8</v>
      </c>
      <c r="AE161" s="83">
        <f>'Raw Data'!AE162/10</f>
        <v>59.2</v>
      </c>
      <c r="AF161" s="83">
        <f>'Raw Data'!AF162/10</f>
        <v>59.2</v>
      </c>
      <c r="AG161" s="83">
        <f>'Raw Data'!AG162/10</f>
        <v>57.7</v>
      </c>
      <c r="AH161" s="83">
        <f>'Raw Data'!AH162/10</f>
        <v>55.1</v>
      </c>
      <c r="AI161" s="83">
        <f>'Raw Data'!AI162/10</f>
        <v>56.9</v>
      </c>
      <c r="AJ161" s="83">
        <f>'Raw Data'!AJ162/10</f>
        <v>57.5</v>
      </c>
      <c r="AK161" s="83">
        <f>'Raw Data'!AK162/10</f>
        <v>54.4</v>
      </c>
      <c r="AL161" s="83">
        <f>'Raw Data'!AL162/10</f>
        <v>53.9</v>
      </c>
      <c r="AM161" s="83">
        <f>'Raw Data'!AM162/10</f>
        <v>55.3</v>
      </c>
      <c r="AN161" s="83">
        <f>'Raw Data'!AN162/10</f>
        <v>55.9</v>
      </c>
      <c r="AO161" s="83">
        <f>'Raw Data'!AO162/10</f>
        <v>48.8</v>
      </c>
      <c r="AP161" s="83">
        <f>'Raw Data'!AP162/10</f>
        <v>50.5</v>
      </c>
      <c r="AQ161" s="83">
        <f>'Raw Data'!AQ162/10</f>
        <v>53.2</v>
      </c>
      <c r="AR161" s="83">
        <f>'Raw Data'!AR162/10</f>
        <v>51.9</v>
      </c>
      <c r="AS161" s="83">
        <f>'Raw Data'!AS162/10</f>
        <v>50.3</v>
      </c>
      <c r="AT161" s="83">
        <f>'Raw Data'!AT162/10</f>
        <v>48.8</v>
      </c>
      <c r="AU161" s="83">
        <f>'Raw Data'!AU162/10</f>
        <v>52.3</v>
      </c>
      <c r="AV161" s="83">
        <f>'Raw Data'!AV162/10</f>
        <v>52.9</v>
      </c>
      <c r="AW161" s="83">
        <f>'Raw Data'!AW162/10</f>
        <v>49.8</v>
      </c>
      <c r="AX161" s="83">
        <f>'Raw Data'!AX162/10</f>
        <v>48.7</v>
      </c>
      <c r="AY161" s="83">
        <f>'Raw Data'!AY162/10</f>
        <v>46.2</v>
      </c>
      <c r="AZ161" s="83">
        <f>'Raw Data'!AZ162/10</f>
        <v>50.9</v>
      </c>
      <c r="BA161" s="83">
        <f>'Raw Data'!BA162/10</f>
        <v>48.6</v>
      </c>
      <c r="BB161" s="83">
        <f>'Raw Data'!BB162/10</f>
        <v>47.9</v>
      </c>
      <c r="BC161" s="83">
        <f>'Raw Data'!BC162/10</f>
        <v>47.6</v>
      </c>
      <c r="BD161" s="83">
        <f>'Raw Data'!BD162/10</f>
        <v>49.8</v>
      </c>
      <c r="BE161" s="83">
        <f>'Raw Data'!BE162/10</f>
        <v>48.7</v>
      </c>
      <c r="BF161" s="83">
        <f>'Raw Data'!BF162/10</f>
        <v>48.6</v>
      </c>
      <c r="BG161" s="83">
        <f>'Raw Data'!BG162/10</f>
        <v>44.8</v>
      </c>
      <c r="BH161" s="83">
        <f>'Raw Data'!BH162/10</f>
        <v>47.4</v>
      </c>
      <c r="BI161" s="83">
        <f>'Raw Data'!BI162/10</f>
        <v>46.1</v>
      </c>
      <c r="BJ161" s="83">
        <f>'Raw Data'!BJ162/10</f>
        <v>45.8</v>
      </c>
      <c r="BK161" s="83">
        <f>'Raw Data'!BK162/10</f>
        <v>44.7</v>
      </c>
      <c r="BL161" s="83">
        <f>'Raw Data'!BL162/10</f>
        <v>47.8</v>
      </c>
      <c r="BM161" s="83">
        <f>'Raw Data'!BM162/10</f>
        <v>41.4</v>
      </c>
      <c r="BN161" s="83">
        <f>'Raw Data'!BN162/10</f>
        <v>44.5</v>
      </c>
      <c r="BO161" s="83">
        <f>'Raw Data'!BO162/10</f>
        <v>45.8</v>
      </c>
      <c r="BP161" s="83">
        <f>'Raw Data'!BP162/10</f>
        <v>45.9</v>
      </c>
      <c r="BQ161" s="83">
        <f>'Raw Data'!BQ162/10</f>
        <v>44.8</v>
      </c>
      <c r="BR161" s="83">
        <f>'Raw Data'!BR162/10</f>
        <v>42.1</v>
      </c>
      <c r="BS161" s="83">
        <f>'Raw Data'!BS162/10</f>
        <v>46.2</v>
      </c>
      <c r="BT161" s="83">
        <f>'Raw Data'!BT162/10</f>
        <v>44.7</v>
      </c>
      <c r="BU161" s="83">
        <f>'Raw Data'!BU162/10</f>
        <v>44.9</v>
      </c>
      <c r="BV161" s="83">
        <f>'Raw Data'!BV162/10</f>
        <v>45</v>
      </c>
      <c r="BW161" s="83">
        <f>'Raw Data'!BW162/10</f>
        <v>43</v>
      </c>
      <c r="BX161" s="83">
        <f>'Raw Data'!BX162/10</f>
        <v>45.1</v>
      </c>
      <c r="BY161" s="83">
        <f>'Raw Data'!BY162/10</f>
        <v>41.8</v>
      </c>
      <c r="BZ161" s="83">
        <f>'Raw Data'!BZ162/10</f>
        <v>42.5</v>
      </c>
      <c r="CA161" s="83">
        <f>'Raw Data'!CA162/10</f>
        <v>44.3</v>
      </c>
      <c r="CB161" s="83">
        <f>'Raw Data'!CB162/10</f>
        <v>42.7</v>
      </c>
      <c r="CC161" s="83">
        <f>'Raw Data'!CC162/10</f>
        <v>42.5</v>
      </c>
      <c r="CD161" s="83">
        <f>'Raw Data'!CD162/10</f>
        <v>41.2</v>
      </c>
      <c r="CE161" s="83">
        <f>'Raw Data'!CE162/10</f>
        <v>42</v>
      </c>
      <c r="CF161" s="83">
        <f>'Raw Data'!CF162/10</f>
        <v>43.5</v>
      </c>
      <c r="CG161" s="83">
        <f>'Raw Data'!CG162/100</f>
        <v>42.4</v>
      </c>
      <c r="CH161" s="83">
        <f>'Raw Data'!CH162/100</f>
        <v>41.97</v>
      </c>
      <c r="CI161" s="83">
        <f>'Raw Data'!CI162/100</f>
        <v>41.16</v>
      </c>
      <c r="CJ161" s="83">
        <f>'Raw Data'!CJ162/100</f>
        <v>40.74</v>
      </c>
      <c r="CK161" s="83">
        <f>'Raw Data'!CK162/100</f>
        <v>40.25</v>
      </c>
      <c r="CL161" s="83">
        <f>'Raw Data'!CL162/100</f>
        <v>39.340000000000003</v>
      </c>
      <c r="CM161" s="83">
        <f>'Raw Data'!CM162/100</f>
        <v>38.69</v>
      </c>
      <c r="CN161" s="83">
        <f>'Raw Data'!CN162/100</f>
        <v>39.78</v>
      </c>
      <c r="CO161" s="83">
        <f>'Raw Data'!CO162/100</f>
        <v>38.28</v>
      </c>
      <c r="CP161" s="83">
        <f>'Raw Data'!CP162/100</f>
        <v>38.17</v>
      </c>
      <c r="CQ161" s="83">
        <f>'Raw Data'!CQ162/100</f>
        <v>38.340000000000003</v>
      </c>
      <c r="CR161" s="83">
        <f>'Raw Data'!CR162/100</f>
        <v>37.78</v>
      </c>
      <c r="CS161" s="83">
        <f>'Raw Data'!CS162/100</f>
        <v>37.31</v>
      </c>
      <c r="CT161" s="83">
        <f>'Raw Data'!CT162/100</f>
        <v>37.700000000000003</v>
      </c>
      <c r="CU161" s="382"/>
    </row>
    <row r="162" spans="4:99" s="86" customFormat="1" x14ac:dyDescent="0.2">
      <c r="D162" s="376"/>
      <c r="E162" s="164"/>
      <c r="F162" s="394"/>
      <c r="G162" s="86">
        <f>'Raw Data'!G163</f>
        <v>53</v>
      </c>
      <c r="H162" s="86">
        <f>'Raw Data'!H163</f>
        <v>64</v>
      </c>
      <c r="I162" s="86">
        <f>'Raw Data'!I163</f>
        <v>60</v>
      </c>
      <c r="J162" s="86">
        <f>'Raw Data'!J163</f>
        <v>63</v>
      </c>
      <c r="K162" s="86">
        <f>'Raw Data'!K163</f>
        <v>50</v>
      </c>
      <c r="L162" s="86">
        <f>'Raw Data'!L163</f>
        <v>54</v>
      </c>
      <c r="M162" s="86">
        <f>'Raw Data'!M163</f>
        <v>56</v>
      </c>
      <c r="N162" s="86">
        <f>'Raw Data'!N163</f>
        <v>54</v>
      </c>
      <c r="O162" s="86">
        <f>'Raw Data'!O163</f>
        <v>55</v>
      </c>
      <c r="P162" s="86">
        <f>'Raw Data'!P163</f>
        <v>52</v>
      </c>
      <c r="Q162" s="86">
        <f>'Raw Data'!Q163</f>
        <v>62</v>
      </c>
      <c r="R162" s="86">
        <f>'Raw Data'!R163</f>
        <v>48</v>
      </c>
      <c r="S162" s="86">
        <f>'Raw Data'!S163</f>
        <v>60</v>
      </c>
      <c r="T162" s="86">
        <f>'Raw Data'!T163</f>
        <v>53</v>
      </c>
      <c r="U162" s="86">
        <f>'Raw Data'!U163</f>
        <v>54</v>
      </c>
      <c r="V162" s="86">
        <f>'Raw Data'!V163</f>
        <v>62</v>
      </c>
      <c r="W162" s="86">
        <f>'Raw Data'!W163</f>
        <v>69</v>
      </c>
      <c r="X162" s="86">
        <f>'Raw Data'!X163</f>
        <v>46</v>
      </c>
      <c r="Y162" s="86">
        <f>'Raw Data'!Y163</f>
        <v>45</v>
      </c>
      <c r="Z162" s="86">
        <f>'Raw Data'!Z163</f>
        <v>51</v>
      </c>
      <c r="AA162" s="83">
        <f>'Raw Data'!AA163/10</f>
        <v>60.3</v>
      </c>
      <c r="AB162" s="83">
        <f>'Raw Data'!AB163/10</f>
        <v>57.2</v>
      </c>
      <c r="AC162" s="83">
        <f>'Raw Data'!AC163/10</f>
        <v>56.6</v>
      </c>
      <c r="AD162" s="83">
        <f>'Raw Data'!AD163/10</f>
        <v>59.2</v>
      </c>
      <c r="AE162" s="83">
        <f>'Raw Data'!AE163/10</f>
        <v>57.1</v>
      </c>
      <c r="AF162" s="83">
        <f>'Raw Data'!AF163/10</f>
        <v>59.5</v>
      </c>
      <c r="AG162" s="83">
        <f>'Raw Data'!AG163/10</f>
        <v>55.6</v>
      </c>
      <c r="AH162" s="83">
        <f>'Raw Data'!AH163/10</f>
        <v>55.5</v>
      </c>
      <c r="AI162" s="83">
        <f>'Raw Data'!AI163/10</f>
        <v>52.6</v>
      </c>
      <c r="AJ162" s="83">
        <f>'Raw Data'!AJ163/10</f>
        <v>54.8</v>
      </c>
      <c r="AK162" s="83">
        <f>'Raw Data'!AK163/10</f>
        <v>52.9</v>
      </c>
      <c r="AL162" s="83">
        <f>'Raw Data'!AL163/10</f>
        <v>53.7</v>
      </c>
      <c r="AM162" s="83">
        <f>'Raw Data'!AM163/10</f>
        <v>53.3</v>
      </c>
      <c r="AN162" s="83">
        <f>'Raw Data'!AN163/10</f>
        <v>51.8</v>
      </c>
      <c r="AO162" s="83">
        <f>'Raw Data'!AO163/10</f>
        <v>51.6</v>
      </c>
      <c r="AP162" s="83">
        <f>'Raw Data'!AP163/10</f>
        <v>47.6</v>
      </c>
      <c r="AQ162" s="83">
        <f>'Raw Data'!AQ163/10</f>
        <v>51.6</v>
      </c>
      <c r="AR162" s="83">
        <f>'Raw Data'!AR163/10</f>
        <v>47.9</v>
      </c>
      <c r="AS162" s="83">
        <f>'Raw Data'!AS163/10</f>
        <v>49.4</v>
      </c>
      <c r="AT162" s="83">
        <f>'Raw Data'!AT163/10</f>
        <v>48.2</v>
      </c>
      <c r="AU162" s="83">
        <f>'Raw Data'!AU163/10</f>
        <v>48.6</v>
      </c>
      <c r="AV162" s="83">
        <f>'Raw Data'!AV163/10</f>
        <v>48.1</v>
      </c>
      <c r="AW162" s="83">
        <f>'Raw Data'!AW163/10</f>
        <v>45.4</v>
      </c>
      <c r="AX162" s="83">
        <f>'Raw Data'!AX163/10</f>
        <v>47.5</v>
      </c>
      <c r="AY162" s="83">
        <f>'Raw Data'!AY163/10</f>
        <v>47.5</v>
      </c>
      <c r="AZ162" s="83">
        <f>'Raw Data'!AZ163/10</f>
        <v>44.2</v>
      </c>
      <c r="BA162" s="83">
        <f>'Raw Data'!BA163/10</f>
        <v>46.5</v>
      </c>
      <c r="BB162" s="83">
        <f>'Raw Data'!BB163/10</f>
        <v>44.9</v>
      </c>
      <c r="BC162" s="83">
        <f>'Raw Data'!BC163/10</f>
        <v>44.6</v>
      </c>
      <c r="BD162" s="83">
        <f>'Raw Data'!BD163/10</f>
        <v>42.5</v>
      </c>
      <c r="BE162" s="83">
        <f>'Raw Data'!BE163/10</f>
        <v>44.8</v>
      </c>
      <c r="BF162" s="83">
        <f>'Raw Data'!BF163/10</f>
        <v>42</v>
      </c>
      <c r="BG162" s="83">
        <f>'Raw Data'!BG163/10</f>
        <v>44.6</v>
      </c>
      <c r="BH162" s="83">
        <f>'Raw Data'!BH163/10</f>
        <v>42.3</v>
      </c>
      <c r="BI162" s="83">
        <f>'Raw Data'!BI163/10</f>
        <v>43.1</v>
      </c>
      <c r="BJ162" s="83">
        <f>'Raw Data'!BJ163/10</f>
        <v>39.6</v>
      </c>
      <c r="BK162" s="83">
        <f>'Raw Data'!BK163/10</f>
        <v>40.6</v>
      </c>
      <c r="BL162" s="83">
        <f>'Raw Data'!BL163/10</f>
        <v>43.5</v>
      </c>
      <c r="BM162" s="83">
        <f>'Raw Data'!BM163/10</f>
        <v>42.9</v>
      </c>
      <c r="BN162" s="83">
        <f>'Raw Data'!BN163/10</f>
        <v>41.6</v>
      </c>
      <c r="BO162" s="83">
        <f>'Raw Data'!BO163/10</f>
        <v>40.799999999999997</v>
      </c>
      <c r="BP162" s="83">
        <f>'Raw Data'!BP163/10</f>
        <v>41.5</v>
      </c>
      <c r="BQ162" s="83">
        <f>'Raw Data'!BQ163/10</f>
        <v>42.1</v>
      </c>
      <c r="BR162" s="83">
        <f>'Raw Data'!BR163/10</f>
        <v>41.2</v>
      </c>
      <c r="BS162" s="83">
        <f>'Raw Data'!BS163/10</f>
        <v>41.7</v>
      </c>
      <c r="BT162" s="83">
        <f>'Raw Data'!BT163/10</f>
        <v>42</v>
      </c>
      <c r="BU162" s="83">
        <f>'Raw Data'!BU163/10</f>
        <v>39.799999999999997</v>
      </c>
      <c r="BV162" s="83">
        <f>'Raw Data'!BV163/10</f>
        <v>40.5</v>
      </c>
      <c r="BW162" s="83">
        <f>'Raw Data'!BW163/10</f>
        <v>38.700000000000003</v>
      </c>
      <c r="BX162" s="83">
        <f>'Raw Data'!BX163/10</f>
        <v>39.6</v>
      </c>
      <c r="BY162" s="83">
        <f>'Raw Data'!BY163/10</f>
        <v>39.799999999999997</v>
      </c>
      <c r="BZ162" s="83">
        <f>'Raw Data'!BZ163/10</f>
        <v>41</v>
      </c>
      <c r="CA162" s="83">
        <f>'Raw Data'!CA163/10</f>
        <v>38.9</v>
      </c>
      <c r="CB162" s="83">
        <f>'Raw Data'!CB163/10</f>
        <v>37.5</v>
      </c>
      <c r="CC162" s="83">
        <f>'Raw Data'!CC163/10</f>
        <v>40.700000000000003</v>
      </c>
      <c r="CD162" s="83">
        <f>'Raw Data'!CD163/10</f>
        <v>39.9</v>
      </c>
      <c r="CE162" s="83">
        <f>'Raw Data'!CE163/10</f>
        <v>39.6</v>
      </c>
      <c r="CF162" s="83">
        <f>'Raw Data'!CF163/10</f>
        <v>40.799999999999997</v>
      </c>
      <c r="CG162" s="83">
        <f>'Raw Data'!CG163/100</f>
        <v>38.479999999999997</v>
      </c>
      <c r="CH162" s="83">
        <f>'Raw Data'!CH163/100</f>
        <v>36.590000000000003</v>
      </c>
      <c r="CI162" s="83">
        <f>'Raw Data'!CI163/100</f>
        <v>36.43</v>
      </c>
      <c r="CJ162" s="83">
        <f>'Raw Data'!CJ163/100</f>
        <v>35.950000000000003</v>
      </c>
      <c r="CK162" s="83">
        <f>'Raw Data'!CK163/100</f>
        <v>34.119999999999997</v>
      </c>
      <c r="CL162" s="83">
        <f>'Raw Data'!CL163/100</f>
        <v>34.340000000000003</v>
      </c>
      <c r="CM162" s="83">
        <f>'Raw Data'!CM163/100</f>
        <v>33.78</v>
      </c>
      <c r="CN162" s="83">
        <f>'Raw Data'!CN163/100</f>
        <v>33.58</v>
      </c>
      <c r="CO162" s="83">
        <f>'Raw Data'!CO163/100</f>
        <v>33.04</v>
      </c>
      <c r="CP162" s="83">
        <f>'Raw Data'!CP163/100</f>
        <v>32.56</v>
      </c>
      <c r="CQ162" s="83">
        <f>'Raw Data'!CQ163/100</f>
        <v>32.880000000000003</v>
      </c>
      <c r="CR162" s="83">
        <f>'Raw Data'!CR163/100</f>
        <v>31.88</v>
      </c>
      <c r="CS162" s="83">
        <f>'Raw Data'!CS163/100</f>
        <v>31.71</v>
      </c>
      <c r="CT162" s="83">
        <f>'Raw Data'!CT163/100</f>
        <v>31.69</v>
      </c>
      <c r="CU162" s="382"/>
    </row>
    <row r="163" spans="4:99" s="86" customFormat="1" x14ac:dyDescent="0.2">
      <c r="D163" s="376"/>
      <c r="E163" s="164"/>
      <c r="F163" s="394"/>
      <c r="G163" s="86">
        <f>'Raw Data'!G164</f>
        <v>45</v>
      </c>
      <c r="H163" s="86">
        <f>'Raw Data'!H164</f>
        <v>50</v>
      </c>
      <c r="I163" s="86">
        <f>'Raw Data'!I164</f>
        <v>42</v>
      </c>
      <c r="J163" s="86">
        <f>'Raw Data'!J164</f>
        <v>44</v>
      </c>
      <c r="K163" s="86">
        <f>'Raw Data'!K164</f>
        <v>41</v>
      </c>
      <c r="L163" s="86">
        <f>'Raw Data'!L164</f>
        <v>47</v>
      </c>
      <c r="M163" s="86">
        <f>'Raw Data'!M164</f>
        <v>36</v>
      </c>
      <c r="N163" s="86">
        <f>'Raw Data'!N164</f>
        <v>34</v>
      </c>
      <c r="O163" s="86">
        <f>'Raw Data'!O164</f>
        <v>45</v>
      </c>
      <c r="P163" s="86">
        <f>'Raw Data'!P164</f>
        <v>46</v>
      </c>
      <c r="Q163" s="86">
        <f>'Raw Data'!Q164</f>
        <v>45</v>
      </c>
      <c r="R163" s="86">
        <f>'Raw Data'!R164</f>
        <v>40</v>
      </c>
      <c r="S163" s="86">
        <f>'Raw Data'!S164</f>
        <v>43</v>
      </c>
      <c r="T163" s="86">
        <f>'Raw Data'!T164</f>
        <v>52</v>
      </c>
      <c r="U163" s="86">
        <f>'Raw Data'!U164</f>
        <v>37</v>
      </c>
      <c r="V163" s="86">
        <f>'Raw Data'!V164</f>
        <v>35</v>
      </c>
      <c r="W163" s="86">
        <f>'Raw Data'!W164</f>
        <v>34</v>
      </c>
      <c r="X163" s="86">
        <f>'Raw Data'!X164</f>
        <v>41</v>
      </c>
      <c r="Y163" s="86">
        <f>'Raw Data'!Y164</f>
        <v>43</v>
      </c>
      <c r="Z163" s="86">
        <f>'Raw Data'!Z164</f>
        <v>36</v>
      </c>
      <c r="AA163" s="83">
        <f>'Raw Data'!AA164/10</f>
        <v>45.9</v>
      </c>
      <c r="AB163" s="83">
        <f>'Raw Data'!AB164/10</f>
        <v>43.5</v>
      </c>
      <c r="AC163" s="83">
        <f>'Raw Data'!AC164/10</f>
        <v>42.7</v>
      </c>
      <c r="AD163" s="83">
        <f>'Raw Data'!AD164/10</f>
        <v>44.3</v>
      </c>
      <c r="AE163" s="83">
        <f>'Raw Data'!AE164/10</f>
        <v>44</v>
      </c>
      <c r="AF163" s="83">
        <f>'Raw Data'!AF164/10</f>
        <v>44.9</v>
      </c>
      <c r="AG163" s="83">
        <f>'Raw Data'!AG164/10</f>
        <v>42.4</v>
      </c>
      <c r="AH163" s="83">
        <f>'Raw Data'!AH164/10</f>
        <v>42.2</v>
      </c>
      <c r="AI163" s="83">
        <f>'Raw Data'!AI164/10</f>
        <v>42.1</v>
      </c>
      <c r="AJ163" s="83">
        <f>'Raw Data'!AJ164/10</f>
        <v>43</v>
      </c>
      <c r="AK163" s="83">
        <f>'Raw Data'!AK164/10</f>
        <v>38.5</v>
      </c>
      <c r="AL163" s="83">
        <f>'Raw Data'!AL164/10</f>
        <v>41</v>
      </c>
      <c r="AM163" s="83">
        <f>'Raw Data'!AM164/10</f>
        <v>40.4</v>
      </c>
      <c r="AN163" s="83">
        <f>'Raw Data'!AN164/10</f>
        <v>40.6</v>
      </c>
      <c r="AO163" s="83">
        <f>'Raw Data'!AO164/10</f>
        <v>36.5</v>
      </c>
      <c r="AP163" s="83">
        <f>'Raw Data'!AP164/10</f>
        <v>39</v>
      </c>
      <c r="AQ163" s="83">
        <f>'Raw Data'!AQ164/10</f>
        <v>39.200000000000003</v>
      </c>
      <c r="AR163" s="83">
        <f>'Raw Data'!AR164/10</f>
        <v>36.6</v>
      </c>
      <c r="AS163" s="83">
        <f>'Raw Data'!AS164/10</f>
        <v>40.700000000000003</v>
      </c>
      <c r="AT163" s="83">
        <f>'Raw Data'!AT164/10</f>
        <v>36.799999999999997</v>
      </c>
      <c r="AU163" s="83">
        <f>'Raw Data'!AU164/10</f>
        <v>37.200000000000003</v>
      </c>
      <c r="AV163" s="83">
        <f>'Raw Data'!AV164/10</f>
        <v>34.6</v>
      </c>
      <c r="AW163" s="83">
        <f>'Raw Data'!AW164/10</f>
        <v>36.5</v>
      </c>
      <c r="AX163" s="83">
        <f>'Raw Data'!AX164/10</f>
        <v>36.1</v>
      </c>
      <c r="AY163" s="83">
        <f>'Raw Data'!AY164/10</f>
        <v>36.299999999999997</v>
      </c>
      <c r="AZ163" s="83">
        <f>'Raw Data'!AZ164/10</f>
        <v>38.299999999999997</v>
      </c>
      <c r="BA163" s="83">
        <f>'Raw Data'!BA164/10</f>
        <v>38</v>
      </c>
      <c r="BB163" s="83">
        <f>'Raw Data'!BB164/10</f>
        <v>35.200000000000003</v>
      </c>
      <c r="BC163" s="83">
        <f>'Raw Data'!BC164/10</f>
        <v>33.1</v>
      </c>
      <c r="BD163" s="83">
        <f>'Raw Data'!BD164/10</f>
        <v>37.700000000000003</v>
      </c>
      <c r="BE163" s="83">
        <f>'Raw Data'!BE164/10</f>
        <v>37.200000000000003</v>
      </c>
      <c r="BF163" s="83">
        <f>'Raw Data'!BF164/10</f>
        <v>34.4</v>
      </c>
      <c r="BG163" s="83">
        <f>'Raw Data'!BG164/10</f>
        <v>36.6</v>
      </c>
      <c r="BH163" s="83">
        <f>'Raw Data'!BH164/10</f>
        <v>37.200000000000003</v>
      </c>
      <c r="BI163" s="83">
        <f>'Raw Data'!BI164/10</f>
        <v>35.9</v>
      </c>
      <c r="BJ163" s="83">
        <f>'Raw Data'!BJ164/10</f>
        <v>35.5</v>
      </c>
      <c r="BK163" s="83">
        <f>'Raw Data'!BK164/10</f>
        <v>33.799999999999997</v>
      </c>
      <c r="BL163" s="83">
        <f>'Raw Data'!BL164/10</f>
        <v>32.4</v>
      </c>
      <c r="BM163" s="83">
        <f>'Raw Data'!BM164/10</f>
        <v>31.9</v>
      </c>
      <c r="BN163" s="83">
        <f>'Raw Data'!BN164/10</f>
        <v>34</v>
      </c>
      <c r="BO163" s="83">
        <f>'Raw Data'!BO164/10</f>
        <v>32.200000000000003</v>
      </c>
      <c r="BP163" s="83">
        <f>'Raw Data'!BP164/10</f>
        <v>33.700000000000003</v>
      </c>
      <c r="BQ163" s="83">
        <f>'Raw Data'!BQ164/10</f>
        <v>33.1</v>
      </c>
      <c r="BR163" s="83">
        <f>'Raw Data'!BR164/10</f>
        <v>33.200000000000003</v>
      </c>
      <c r="BS163" s="83">
        <f>'Raw Data'!BS164/10</f>
        <v>32.4</v>
      </c>
      <c r="BT163" s="83">
        <f>'Raw Data'!BT164/10</f>
        <v>31.7</v>
      </c>
      <c r="BU163" s="83">
        <f>'Raw Data'!BU164/10</f>
        <v>32.6</v>
      </c>
      <c r="BV163" s="83">
        <f>'Raw Data'!BV164/10</f>
        <v>34.700000000000003</v>
      </c>
      <c r="BW163" s="83">
        <f>'Raw Data'!BW164/10</f>
        <v>33.9</v>
      </c>
      <c r="BX163" s="83">
        <f>'Raw Data'!BX164/10</f>
        <v>34.799999999999997</v>
      </c>
      <c r="BY163" s="83">
        <f>'Raw Data'!BY164/10</f>
        <v>33.299999999999997</v>
      </c>
      <c r="BZ163" s="83">
        <f>'Raw Data'!BZ164/10</f>
        <v>33.299999999999997</v>
      </c>
      <c r="CA163" s="83">
        <f>'Raw Data'!CA164/10</f>
        <v>31</v>
      </c>
      <c r="CB163" s="83">
        <f>'Raw Data'!CB164/10</f>
        <v>31.7</v>
      </c>
      <c r="CC163" s="83">
        <f>'Raw Data'!CC164/10</f>
        <v>32.799999999999997</v>
      </c>
      <c r="CD163" s="83">
        <f>'Raw Data'!CD164/10</f>
        <v>32.799999999999997</v>
      </c>
      <c r="CE163" s="83">
        <f>'Raw Data'!CE164/10</f>
        <v>31.3</v>
      </c>
      <c r="CF163" s="83">
        <f>'Raw Data'!CF164/10</f>
        <v>31</v>
      </c>
      <c r="CG163" s="83">
        <f>'Raw Data'!CG164/100</f>
        <v>31.01</v>
      </c>
      <c r="CH163" s="83">
        <f>'Raw Data'!CH164/100</f>
        <v>30.96</v>
      </c>
      <c r="CI163" s="83">
        <f>'Raw Data'!CI164/100</f>
        <v>30.21</v>
      </c>
      <c r="CJ163" s="83">
        <f>'Raw Data'!CJ164/100</f>
        <v>29.64</v>
      </c>
      <c r="CK163" s="83">
        <f>'Raw Data'!CK164/100</f>
        <v>29.76</v>
      </c>
      <c r="CL163" s="83">
        <f>'Raw Data'!CL164/100</f>
        <v>29.39</v>
      </c>
      <c r="CM163" s="83">
        <f>'Raw Data'!CM164/100</f>
        <v>28.61</v>
      </c>
      <c r="CN163" s="83">
        <f>'Raw Data'!CN164/100</f>
        <v>29.15</v>
      </c>
      <c r="CO163" s="83">
        <f>'Raw Data'!CO164/100</f>
        <v>28.11</v>
      </c>
      <c r="CP163" s="83">
        <f>'Raw Data'!CP164/100</f>
        <v>28.6</v>
      </c>
      <c r="CQ163" s="83">
        <f>'Raw Data'!CQ164/100</f>
        <v>28.3</v>
      </c>
      <c r="CR163" s="83">
        <f>'Raw Data'!CR164/100</f>
        <v>27.39</v>
      </c>
      <c r="CS163" s="83">
        <f>'Raw Data'!CS164/100</f>
        <v>27.04</v>
      </c>
      <c r="CT163" s="83">
        <f>'Raw Data'!CT164/100</f>
        <v>26.96</v>
      </c>
      <c r="CU163" s="382"/>
    </row>
    <row r="164" spans="4:99" s="86" customFormat="1" x14ac:dyDescent="0.2">
      <c r="D164" s="376"/>
      <c r="E164" s="164"/>
      <c r="F164" s="394"/>
      <c r="G164" s="86">
        <f>'Raw Data'!G165</f>
        <v>43</v>
      </c>
      <c r="H164" s="86">
        <f>'Raw Data'!H165</f>
        <v>45</v>
      </c>
      <c r="I164" s="86">
        <f>'Raw Data'!I165</f>
        <v>31</v>
      </c>
      <c r="J164" s="86">
        <f>'Raw Data'!J165</f>
        <v>34</v>
      </c>
      <c r="K164" s="86">
        <f>'Raw Data'!K165</f>
        <v>39</v>
      </c>
      <c r="L164" s="86">
        <f>'Raw Data'!L165</f>
        <v>41</v>
      </c>
      <c r="M164" s="86">
        <f>'Raw Data'!M165</f>
        <v>44</v>
      </c>
      <c r="N164" s="86">
        <f>'Raw Data'!N165</f>
        <v>36</v>
      </c>
      <c r="O164" s="86">
        <f>'Raw Data'!O165</f>
        <v>38</v>
      </c>
      <c r="P164" s="86">
        <f>'Raw Data'!P165</f>
        <v>32</v>
      </c>
      <c r="Q164" s="86">
        <f>'Raw Data'!Q165</f>
        <v>47</v>
      </c>
      <c r="R164" s="86">
        <f>'Raw Data'!R165</f>
        <v>32</v>
      </c>
      <c r="S164" s="86">
        <f>'Raw Data'!S165</f>
        <v>44</v>
      </c>
      <c r="T164" s="86">
        <f>'Raw Data'!T165</f>
        <v>37</v>
      </c>
      <c r="U164" s="86">
        <f>'Raw Data'!U165</f>
        <v>41</v>
      </c>
      <c r="V164" s="86">
        <f>'Raw Data'!V165</f>
        <v>39</v>
      </c>
      <c r="W164" s="86">
        <f>'Raw Data'!W165</f>
        <v>39</v>
      </c>
      <c r="X164" s="86">
        <f>'Raw Data'!X165</f>
        <v>34</v>
      </c>
      <c r="Y164" s="86">
        <f>'Raw Data'!Y165</f>
        <v>45</v>
      </c>
      <c r="Z164" s="86">
        <f>'Raw Data'!Z165</f>
        <v>44</v>
      </c>
      <c r="AA164" s="83">
        <f>'Raw Data'!AA165/10</f>
        <v>41.9</v>
      </c>
      <c r="AB164" s="83">
        <f>'Raw Data'!AB165/10</f>
        <v>41.3</v>
      </c>
      <c r="AC164" s="83">
        <f>'Raw Data'!AC165/10</f>
        <v>41.5</v>
      </c>
      <c r="AD164" s="83">
        <f>'Raw Data'!AD165/10</f>
        <v>40.299999999999997</v>
      </c>
      <c r="AE164" s="83">
        <f>'Raw Data'!AE165/10</f>
        <v>40.9</v>
      </c>
      <c r="AF164" s="83">
        <f>'Raw Data'!AF165/10</f>
        <v>40.6</v>
      </c>
      <c r="AG164" s="83">
        <f>'Raw Data'!AG165/10</f>
        <v>38.4</v>
      </c>
      <c r="AH164" s="83">
        <f>'Raw Data'!AH165/10</f>
        <v>37.6</v>
      </c>
      <c r="AI164" s="83">
        <f>'Raw Data'!AI165/10</f>
        <v>40.200000000000003</v>
      </c>
      <c r="AJ164" s="83">
        <f>'Raw Data'!AJ165/10</f>
        <v>40.299999999999997</v>
      </c>
      <c r="AK164" s="83">
        <f>'Raw Data'!AK165/10</f>
        <v>36.5</v>
      </c>
      <c r="AL164" s="83">
        <f>'Raw Data'!AL165/10</f>
        <v>35.5</v>
      </c>
      <c r="AM164" s="83">
        <f>'Raw Data'!AM165/10</f>
        <v>37.5</v>
      </c>
      <c r="AN164" s="83">
        <f>'Raw Data'!AN165/10</f>
        <v>40.1</v>
      </c>
      <c r="AO164" s="83">
        <f>'Raw Data'!AO165/10</f>
        <v>35.299999999999997</v>
      </c>
      <c r="AP164" s="83">
        <f>'Raw Data'!AP165/10</f>
        <v>36.700000000000003</v>
      </c>
      <c r="AQ164" s="83">
        <f>'Raw Data'!AQ165/10</f>
        <v>33.6</v>
      </c>
      <c r="AR164" s="83">
        <f>'Raw Data'!AR165/10</f>
        <v>33.1</v>
      </c>
      <c r="AS164" s="83">
        <f>'Raw Data'!AS165/10</f>
        <v>35.700000000000003</v>
      </c>
      <c r="AT164" s="83">
        <f>'Raw Data'!AT165/10</f>
        <v>35.1</v>
      </c>
      <c r="AU164" s="83">
        <f>'Raw Data'!AU165/10</f>
        <v>36.200000000000003</v>
      </c>
      <c r="AV164" s="83">
        <f>'Raw Data'!AV165/10</f>
        <v>32.5</v>
      </c>
      <c r="AW164" s="83">
        <f>'Raw Data'!AW165/10</f>
        <v>33.9</v>
      </c>
      <c r="AX164" s="83">
        <f>'Raw Data'!AX165/10</f>
        <v>32.5</v>
      </c>
      <c r="AY164" s="83">
        <f>'Raw Data'!AY165/10</f>
        <v>33.299999999999997</v>
      </c>
      <c r="AZ164" s="83">
        <f>'Raw Data'!AZ165/10</f>
        <v>33.200000000000003</v>
      </c>
      <c r="BA164" s="83">
        <f>'Raw Data'!BA165/10</f>
        <v>33.1</v>
      </c>
      <c r="BB164" s="83">
        <f>'Raw Data'!BB165/10</f>
        <v>32.299999999999997</v>
      </c>
      <c r="BC164" s="83">
        <f>'Raw Data'!BC165/10</f>
        <v>32</v>
      </c>
      <c r="BD164" s="83">
        <f>'Raw Data'!BD165/10</f>
        <v>30.9</v>
      </c>
      <c r="BE164" s="83">
        <f>'Raw Data'!BE165/10</f>
        <v>30.2</v>
      </c>
      <c r="BF164" s="83">
        <f>'Raw Data'!BF165/10</f>
        <v>30.1</v>
      </c>
      <c r="BG164" s="83">
        <f>'Raw Data'!BG165/10</f>
        <v>33.5</v>
      </c>
      <c r="BH164" s="83">
        <f>'Raw Data'!BH165/10</f>
        <v>34</v>
      </c>
      <c r="BI164" s="83">
        <f>'Raw Data'!BI165/10</f>
        <v>30</v>
      </c>
      <c r="BJ164" s="83">
        <f>'Raw Data'!BJ165/10</f>
        <v>32.200000000000003</v>
      </c>
      <c r="BK164" s="83">
        <f>'Raw Data'!BK165/10</f>
        <v>31.7</v>
      </c>
      <c r="BL164" s="83">
        <f>'Raw Data'!BL165/10</f>
        <v>32.9</v>
      </c>
      <c r="BM164" s="83">
        <f>'Raw Data'!BM165/10</f>
        <v>28.8</v>
      </c>
      <c r="BN164" s="83">
        <f>'Raw Data'!BN165/10</f>
        <v>29.5</v>
      </c>
      <c r="BO164" s="83">
        <f>'Raw Data'!BO165/10</f>
        <v>28.7</v>
      </c>
      <c r="BP164" s="83">
        <f>'Raw Data'!BP165/10</f>
        <v>30.4</v>
      </c>
      <c r="BQ164" s="83">
        <f>'Raw Data'!BQ165/10</f>
        <v>30.6</v>
      </c>
      <c r="BR164" s="83">
        <f>'Raw Data'!BR165/10</f>
        <v>30.5</v>
      </c>
      <c r="BS164" s="83">
        <f>'Raw Data'!BS165/10</f>
        <v>31.5</v>
      </c>
      <c r="BT164" s="83">
        <f>'Raw Data'!BT165/10</f>
        <v>31.6</v>
      </c>
      <c r="BU164" s="83">
        <f>'Raw Data'!BU165/10</f>
        <v>28.5</v>
      </c>
      <c r="BV164" s="83">
        <f>'Raw Data'!BV165/10</f>
        <v>29.2</v>
      </c>
      <c r="BW164" s="83">
        <f>'Raw Data'!BW165/10</f>
        <v>30.1</v>
      </c>
      <c r="BX164" s="83">
        <f>'Raw Data'!BX165/10</f>
        <v>31.2</v>
      </c>
      <c r="BY164" s="83">
        <f>'Raw Data'!BY165/10</f>
        <v>30.3</v>
      </c>
      <c r="BZ164" s="83">
        <f>'Raw Data'!BZ165/10</f>
        <v>28.2</v>
      </c>
      <c r="CA164" s="83">
        <f>'Raw Data'!CA165/10</f>
        <v>29.4</v>
      </c>
      <c r="CB164" s="83">
        <f>'Raw Data'!CB165/10</f>
        <v>27.7</v>
      </c>
      <c r="CC164" s="83">
        <f>'Raw Data'!CC165/10</f>
        <v>28.2</v>
      </c>
      <c r="CD164" s="83">
        <f>'Raw Data'!CD165/10</f>
        <v>28.3</v>
      </c>
      <c r="CE164" s="83">
        <f>'Raw Data'!CE165/10</f>
        <v>29.7</v>
      </c>
      <c r="CF164" s="83">
        <f>'Raw Data'!CF165/10</f>
        <v>27.7</v>
      </c>
      <c r="CG164" s="83">
        <f>'Raw Data'!CG165/100</f>
        <v>28.65</v>
      </c>
      <c r="CH164" s="83">
        <f>'Raw Data'!CH165/100</f>
        <v>27.33</v>
      </c>
      <c r="CI164" s="83">
        <f>'Raw Data'!CI165/100</f>
        <v>27.05</v>
      </c>
      <c r="CJ164" s="83">
        <f>'Raw Data'!CJ165/100</f>
        <v>26.92</v>
      </c>
      <c r="CK164" s="83">
        <f>'Raw Data'!CK165/100</f>
        <v>25.7</v>
      </c>
      <c r="CL164" s="83">
        <f>'Raw Data'!CL165/100</f>
        <v>25.7</v>
      </c>
      <c r="CM164" s="83">
        <f>'Raw Data'!CM165/100</f>
        <v>26.1</v>
      </c>
      <c r="CN164" s="83">
        <f>'Raw Data'!CN165/100</f>
        <v>25.81</v>
      </c>
      <c r="CO164" s="83">
        <f>'Raw Data'!CO165/100</f>
        <v>25.52</v>
      </c>
      <c r="CP164" s="83">
        <f>'Raw Data'!CP165/100</f>
        <v>24.38</v>
      </c>
      <c r="CQ164" s="83">
        <f>'Raw Data'!CQ165/100</f>
        <v>24.6</v>
      </c>
      <c r="CR164" s="83">
        <f>'Raw Data'!CR165/100</f>
        <v>24.19</v>
      </c>
      <c r="CS164" s="83">
        <f>'Raw Data'!CS165/100</f>
        <v>24.2</v>
      </c>
      <c r="CT164" s="83">
        <f>'Raw Data'!CT165/100</f>
        <v>24.59</v>
      </c>
      <c r="CU164" s="382"/>
    </row>
    <row r="165" spans="4:99" s="86" customFormat="1" x14ac:dyDescent="0.2">
      <c r="D165" s="376"/>
      <c r="E165" s="164"/>
      <c r="F165" s="394"/>
      <c r="G165" s="86">
        <f>'Raw Data'!G166</f>
        <v>23</v>
      </c>
      <c r="H165" s="86">
        <f>'Raw Data'!H166</f>
        <v>35</v>
      </c>
      <c r="I165" s="86">
        <f>'Raw Data'!I166</f>
        <v>36</v>
      </c>
      <c r="J165" s="86">
        <f>'Raw Data'!J166</f>
        <v>27</v>
      </c>
      <c r="K165" s="86">
        <f>'Raw Data'!K166</f>
        <v>31</v>
      </c>
      <c r="L165" s="86">
        <f>'Raw Data'!L166</f>
        <v>34</v>
      </c>
      <c r="M165" s="86">
        <f>'Raw Data'!M166</f>
        <v>33</v>
      </c>
      <c r="N165" s="86">
        <f>'Raw Data'!N166</f>
        <v>39</v>
      </c>
      <c r="O165" s="86">
        <f>'Raw Data'!O166</f>
        <v>34</v>
      </c>
      <c r="P165" s="86">
        <f>'Raw Data'!P166</f>
        <v>36</v>
      </c>
      <c r="Q165" s="86">
        <f>'Raw Data'!Q166</f>
        <v>28</v>
      </c>
      <c r="R165" s="86">
        <f>'Raw Data'!R166</f>
        <v>36</v>
      </c>
      <c r="S165" s="86">
        <f>'Raw Data'!S166</f>
        <v>36</v>
      </c>
      <c r="T165" s="86">
        <f>'Raw Data'!T166</f>
        <v>43</v>
      </c>
      <c r="U165" s="86">
        <f>'Raw Data'!U166</f>
        <v>45</v>
      </c>
      <c r="V165" s="86">
        <f>'Raw Data'!V166</f>
        <v>28</v>
      </c>
      <c r="W165" s="86">
        <f>'Raw Data'!W166</f>
        <v>33</v>
      </c>
      <c r="X165" s="86">
        <f>'Raw Data'!X166</f>
        <v>32</v>
      </c>
      <c r="Y165" s="86">
        <f>'Raw Data'!Y166</f>
        <v>33</v>
      </c>
      <c r="Z165" s="86">
        <f>'Raw Data'!Z166</f>
        <v>31</v>
      </c>
      <c r="AA165" s="83">
        <f>'Raw Data'!AA166/10</f>
        <v>37.299999999999997</v>
      </c>
      <c r="AB165" s="83">
        <f>'Raw Data'!AB166/10</f>
        <v>39.700000000000003</v>
      </c>
      <c r="AC165" s="83">
        <f>'Raw Data'!AC166/10</f>
        <v>37.700000000000003</v>
      </c>
      <c r="AD165" s="83">
        <f>'Raw Data'!AD166/10</f>
        <v>37.6</v>
      </c>
      <c r="AE165" s="83">
        <f>'Raw Data'!AE166/10</f>
        <v>33.799999999999997</v>
      </c>
      <c r="AF165" s="83">
        <f>'Raw Data'!AF166/10</f>
        <v>37.799999999999997</v>
      </c>
      <c r="AG165" s="83">
        <f>'Raw Data'!AG166/10</f>
        <v>38.4</v>
      </c>
      <c r="AH165" s="83">
        <f>'Raw Data'!AH166/10</f>
        <v>36.700000000000003</v>
      </c>
      <c r="AI165" s="83">
        <f>'Raw Data'!AI166/10</f>
        <v>34.1</v>
      </c>
      <c r="AJ165" s="83">
        <f>'Raw Data'!AJ166/10</f>
        <v>37.4</v>
      </c>
      <c r="AK165" s="83">
        <f>'Raw Data'!AK166/10</f>
        <v>31.7</v>
      </c>
      <c r="AL165" s="83">
        <f>'Raw Data'!AL166/10</f>
        <v>31.2</v>
      </c>
      <c r="AM165" s="83">
        <f>'Raw Data'!AM166/10</f>
        <v>31.9</v>
      </c>
      <c r="AN165" s="83">
        <f>'Raw Data'!AN166/10</f>
        <v>34.700000000000003</v>
      </c>
      <c r="AO165" s="83">
        <f>'Raw Data'!AO166/10</f>
        <v>32.4</v>
      </c>
      <c r="AP165" s="83">
        <f>'Raw Data'!AP166/10</f>
        <v>32.700000000000003</v>
      </c>
      <c r="AQ165" s="83">
        <f>'Raw Data'!AQ166/10</f>
        <v>32.1</v>
      </c>
      <c r="AR165" s="83">
        <f>'Raw Data'!AR166/10</f>
        <v>30.9</v>
      </c>
      <c r="AS165" s="83">
        <f>'Raw Data'!AS166/10</f>
        <v>30.4</v>
      </c>
      <c r="AT165" s="83">
        <f>'Raw Data'!AT166/10</f>
        <v>29.7</v>
      </c>
      <c r="AU165" s="83">
        <f>'Raw Data'!AU166/10</f>
        <v>28.9</v>
      </c>
      <c r="AV165" s="83">
        <f>'Raw Data'!AV166/10</f>
        <v>30.2</v>
      </c>
      <c r="AW165" s="83">
        <f>'Raw Data'!AW166/10</f>
        <v>29</v>
      </c>
      <c r="AX165" s="83">
        <f>'Raw Data'!AX166/10</f>
        <v>27.4</v>
      </c>
      <c r="AY165" s="83">
        <f>'Raw Data'!AY166/10</f>
        <v>31.1</v>
      </c>
      <c r="AZ165" s="83">
        <f>'Raw Data'!AZ166/10</f>
        <v>31</v>
      </c>
      <c r="BA165" s="83">
        <f>'Raw Data'!BA166/10</f>
        <v>30</v>
      </c>
      <c r="BB165" s="83">
        <f>'Raw Data'!BB166/10</f>
        <v>29.4</v>
      </c>
      <c r="BC165" s="83">
        <f>'Raw Data'!BC166/10</f>
        <v>30.2</v>
      </c>
      <c r="BD165" s="83">
        <f>'Raw Data'!BD166/10</f>
        <v>28.8</v>
      </c>
      <c r="BE165" s="83">
        <f>'Raw Data'!BE166/10</f>
        <v>31.3</v>
      </c>
      <c r="BF165" s="83">
        <f>'Raw Data'!BF166/10</f>
        <v>29.4</v>
      </c>
      <c r="BG165" s="83">
        <f>'Raw Data'!BG166/10</f>
        <v>27.5</v>
      </c>
      <c r="BH165" s="83">
        <f>'Raw Data'!BH166/10</f>
        <v>29.4</v>
      </c>
      <c r="BI165" s="83">
        <f>'Raw Data'!BI166/10</f>
        <v>26.7</v>
      </c>
      <c r="BJ165" s="83">
        <f>'Raw Data'!BJ166/10</f>
        <v>26.4</v>
      </c>
      <c r="BK165" s="83">
        <f>'Raw Data'!BK166/10</f>
        <v>28.5</v>
      </c>
      <c r="BL165" s="83">
        <f>'Raw Data'!BL166/10</f>
        <v>30.4</v>
      </c>
      <c r="BM165" s="83">
        <f>'Raw Data'!BM166/10</f>
        <v>28.4</v>
      </c>
      <c r="BN165" s="83">
        <f>'Raw Data'!BN166/10</f>
        <v>27.6</v>
      </c>
      <c r="BO165" s="83">
        <f>'Raw Data'!BO166/10</f>
        <v>30.1</v>
      </c>
      <c r="BP165" s="83">
        <f>'Raw Data'!BP166/10</f>
        <v>26.5</v>
      </c>
      <c r="BQ165" s="83">
        <f>'Raw Data'!BQ166/10</f>
        <v>27.1</v>
      </c>
      <c r="BR165" s="83">
        <f>'Raw Data'!BR166/10</f>
        <v>27.1</v>
      </c>
      <c r="BS165" s="83">
        <f>'Raw Data'!BS166/10</f>
        <v>25.6</v>
      </c>
      <c r="BT165" s="83">
        <f>'Raw Data'!BT166/10</f>
        <v>26.9</v>
      </c>
      <c r="BU165" s="83">
        <f>'Raw Data'!BU166/10</f>
        <v>28.5</v>
      </c>
      <c r="BV165" s="83">
        <f>'Raw Data'!BV166/10</f>
        <v>27.1</v>
      </c>
      <c r="BW165" s="83">
        <f>'Raw Data'!BW166/10</f>
        <v>27.3</v>
      </c>
      <c r="BX165" s="83">
        <f>'Raw Data'!BX166/10</f>
        <v>26.9</v>
      </c>
      <c r="BY165" s="83">
        <f>'Raw Data'!BY166/10</f>
        <v>27.4</v>
      </c>
      <c r="BZ165" s="83">
        <f>'Raw Data'!BZ166/10</f>
        <v>28.3</v>
      </c>
      <c r="CA165" s="83">
        <f>'Raw Data'!CA166/10</f>
        <v>28.1</v>
      </c>
      <c r="CB165" s="83">
        <f>'Raw Data'!CB166/10</f>
        <v>26.5</v>
      </c>
      <c r="CC165" s="83">
        <f>'Raw Data'!CC166/10</f>
        <v>25</v>
      </c>
      <c r="CD165" s="83">
        <f>'Raw Data'!CD166/10</f>
        <v>25.1</v>
      </c>
      <c r="CE165" s="83">
        <f>'Raw Data'!CE166/10</f>
        <v>26.7</v>
      </c>
      <c r="CF165" s="83">
        <f>'Raw Data'!CF166/10</f>
        <v>26.7</v>
      </c>
      <c r="CG165" s="83">
        <f>'Raw Data'!CG166/100</f>
        <v>26.79</v>
      </c>
      <c r="CH165" s="83">
        <f>'Raw Data'!CH166/100</f>
        <v>25.59</v>
      </c>
      <c r="CI165" s="83">
        <f>'Raw Data'!CI166/100</f>
        <v>25.05</v>
      </c>
      <c r="CJ165" s="83">
        <f>'Raw Data'!CJ166/100</f>
        <v>24.92</v>
      </c>
      <c r="CK165" s="83">
        <f>'Raw Data'!CK166/100</f>
        <v>25.27</v>
      </c>
      <c r="CL165" s="83">
        <f>'Raw Data'!CL166/100</f>
        <v>23.79</v>
      </c>
      <c r="CM165" s="83">
        <f>'Raw Data'!CM166/100</f>
        <v>23.29</v>
      </c>
      <c r="CN165" s="83">
        <f>'Raw Data'!CN166/100</f>
        <v>23.94</v>
      </c>
      <c r="CO165" s="83">
        <f>'Raw Data'!CO166/100</f>
        <v>23.28</v>
      </c>
      <c r="CP165" s="83">
        <f>'Raw Data'!CP166/100</f>
        <v>23.42</v>
      </c>
      <c r="CQ165" s="83">
        <f>'Raw Data'!CQ166/100</f>
        <v>23.13</v>
      </c>
      <c r="CR165" s="83">
        <f>'Raw Data'!CR166/100</f>
        <v>22.59</v>
      </c>
      <c r="CS165" s="83">
        <f>'Raw Data'!CS166/100</f>
        <v>23.29</v>
      </c>
      <c r="CT165" s="83">
        <f>'Raw Data'!CT166/100</f>
        <v>22.86</v>
      </c>
      <c r="CU165" s="382"/>
    </row>
    <row r="166" spans="4:99" s="86" customFormat="1" x14ac:dyDescent="0.2">
      <c r="D166" s="376"/>
      <c r="E166" s="164"/>
      <c r="F166" s="394"/>
      <c r="G166" s="86">
        <f>'Raw Data'!G167</f>
        <v>40</v>
      </c>
      <c r="H166" s="86">
        <f>'Raw Data'!H167</f>
        <v>36</v>
      </c>
      <c r="I166" s="86">
        <f>'Raw Data'!I167</f>
        <v>41</v>
      </c>
      <c r="J166" s="86">
        <f>'Raw Data'!J167</f>
        <v>37</v>
      </c>
      <c r="K166" s="86">
        <f>'Raw Data'!K167</f>
        <v>38</v>
      </c>
      <c r="L166" s="86">
        <f>'Raw Data'!L167</f>
        <v>32</v>
      </c>
      <c r="M166" s="86">
        <f>'Raw Data'!M167</f>
        <v>29</v>
      </c>
      <c r="N166" s="86">
        <f>'Raw Data'!N167</f>
        <v>39</v>
      </c>
      <c r="O166" s="86">
        <f>'Raw Data'!O167</f>
        <v>39</v>
      </c>
      <c r="P166" s="86">
        <f>'Raw Data'!P167</f>
        <v>44</v>
      </c>
      <c r="Q166" s="86">
        <f>'Raw Data'!Q167</f>
        <v>46</v>
      </c>
      <c r="R166" s="86">
        <f>'Raw Data'!R167</f>
        <v>38</v>
      </c>
      <c r="S166" s="86">
        <f>'Raw Data'!S167</f>
        <v>37</v>
      </c>
      <c r="T166" s="86">
        <f>'Raw Data'!T167</f>
        <v>39</v>
      </c>
      <c r="U166" s="86">
        <f>'Raw Data'!U167</f>
        <v>41</v>
      </c>
      <c r="V166" s="86">
        <f>'Raw Data'!V167</f>
        <v>39</v>
      </c>
      <c r="W166" s="86">
        <f>'Raw Data'!W167</f>
        <v>34</v>
      </c>
      <c r="X166" s="86">
        <f>'Raw Data'!X167</f>
        <v>37</v>
      </c>
      <c r="Y166" s="86">
        <f>'Raw Data'!Y167</f>
        <v>38</v>
      </c>
      <c r="Z166" s="86">
        <f>'Raw Data'!Z167</f>
        <v>39</v>
      </c>
      <c r="AA166" s="83">
        <f>'Raw Data'!AA167/10</f>
        <v>40</v>
      </c>
      <c r="AB166" s="83">
        <f>'Raw Data'!AB167/10</f>
        <v>39.6</v>
      </c>
      <c r="AC166" s="83">
        <f>'Raw Data'!AC167/10</f>
        <v>41.2</v>
      </c>
      <c r="AD166" s="83">
        <f>'Raw Data'!AD167/10</f>
        <v>40.799999999999997</v>
      </c>
      <c r="AE166" s="83">
        <f>'Raw Data'!AE167/10</f>
        <v>39.200000000000003</v>
      </c>
      <c r="AF166" s="83">
        <f>'Raw Data'!AF167/10</f>
        <v>40.299999999999997</v>
      </c>
      <c r="AG166" s="83">
        <f>'Raw Data'!AG167/10</f>
        <v>37.299999999999997</v>
      </c>
      <c r="AH166" s="83">
        <f>'Raw Data'!AH167/10</f>
        <v>37.6</v>
      </c>
      <c r="AI166" s="83">
        <f>'Raw Data'!AI167/10</f>
        <v>35.700000000000003</v>
      </c>
      <c r="AJ166" s="83">
        <f>'Raw Data'!AJ167/10</f>
        <v>35.4</v>
      </c>
      <c r="AK166" s="83">
        <f>'Raw Data'!AK167/10</f>
        <v>34.4</v>
      </c>
      <c r="AL166" s="83">
        <f>'Raw Data'!AL167/10</f>
        <v>36.4</v>
      </c>
      <c r="AM166" s="83">
        <f>'Raw Data'!AM167/10</f>
        <v>38.6</v>
      </c>
      <c r="AN166" s="83">
        <f>'Raw Data'!AN167/10</f>
        <v>36.700000000000003</v>
      </c>
      <c r="AO166" s="83">
        <f>'Raw Data'!AO167/10</f>
        <v>35.200000000000003</v>
      </c>
      <c r="AP166" s="83">
        <f>'Raw Data'!AP167/10</f>
        <v>33.9</v>
      </c>
      <c r="AQ166" s="83">
        <f>'Raw Data'!AQ167/10</f>
        <v>35.799999999999997</v>
      </c>
      <c r="AR166" s="83">
        <f>'Raw Data'!AR167/10</f>
        <v>34.200000000000003</v>
      </c>
      <c r="AS166" s="83">
        <f>'Raw Data'!AS167/10</f>
        <v>33</v>
      </c>
      <c r="AT166" s="83">
        <f>'Raw Data'!AT167/10</f>
        <v>33.299999999999997</v>
      </c>
      <c r="AU166" s="83">
        <f>'Raw Data'!AU167/10</f>
        <v>32.1</v>
      </c>
      <c r="AV166" s="83">
        <f>'Raw Data'!AV167/10</f>
        <v>34</v>
      </c>
      <c r="AW166" s="83">
        <f>'Raw Data'!AW167/10</f>
        <v>31.5</v>
      </c>
      <c r="AX166" s="83">
        <f>'Raw Data'!AX167/10</f>
        <v>29.6</v>
      </c>
      <c r="AY166" s="83">
        <f>'Raw Data'!AY167/10</f>
        <v>31.4</v>
      </c>
      <c r="AZ166" s="83">
        <f>'Raw Data'!AZ167/10</f>
        <v>31.7</v>
      </c>
      <c r="BA166" s="83">
        <f>'Raw Data'!BA167/10</f>
        <v>33.4</v>
      </c>
      <c r="BB166" s="83">
        <f>'Raw Data'!BB167/10</f>
        <v>31.3</v>
      </c>
      <c r="BC166" s="83">
        <f>'Raw Data'!BC167/10</f>
        <v>30.3</v>
      </c>
      <c r="BD166" s="83">
        <f>'Raw Data'!BD167/10</f>
        <v>29.4</v>
      </c>
      <c r="BE166" s="83">
        <f>'Raw Data'!BE167/10</f>
        <v>28</v>
      </c>
      <c r="BF166" s="83">
        <f>'Raw Data'!BF167/10</f>
        <v>30.8</v>
      </c>
      <c r="BG166" s="83">
        <f>'Raw Data'!BG167/10</f>
        <v>32.1</v>
      </c>
      <c r="BH166" s="83">
        <f>'Raw Data'!BH167/10</f>
        <v>31.3</v>
      </c>
      <c r="BI166" s="83">
        <f>'Raw Data'!BI167/10</f>
        <v>30.4</v>
      </c>
      <c r="BJ166" s="83">
        <f>'Raw Data'!BJ167/10</f>
        <v>28.5</v>
      </c>
      <c r="BK166" s="83">
        <f>'Raw Data'!BK167/10</f>
        <v>30.3</v>
      </c>
      <c r="BL166" s="83">
        <f>'Raw Data'!BL167/10</f>
        <v>29.3</v>
      </c>
      <c r="BM166" s="83">
        <f>'Raw Data'!BM167/10</f>
        <v>30.4</v>
      </c>
      <c r="BN166" s="83">
        <f>'Raw Data'!BN167/10</f>
        <v>29.8</v>
      </c>
      <c r="BO166" s="83">
        <f>'Raw Data'!BO167/10</f>
        <v>27.4</v>
      </c>
      <c r="BP166" s="83">
        <f>'Raw Data'!BP167/10</f>
        <v>28.5</v>
      </c>
      <c r="BQ166" s="83">
        <f>'Raw Data'!BQ167/10</f>
        <v>29.7</v>
      </c>
      <c r="BR166" s="83">
        <f>'Raw Data'!BR167/10</f>
        <v>27</v>
      </c>
      <c r="BS166" s="83">
        <f>'Raw Data'!BS167/10</f>
        <v>28.7</v>
      </c>
      <c r="BT166" s="83">
        <f>'Raw Data'!BT167/10</f>
        <v>30.7</v>
      </c>
      <c r="BU166" s="83">
        <f>'Raw Data'!BU167/10</f>
        <v>31</v>
      </c>
      <c r="BV166" s="83">
        <f>'Raw Data'!BV167/10</f>
        <v>29.5</v>
      </c>
      <c r="BW166" s="83">
        <f>'Raw Data'!BW167/10</f>
        <v>28.5</v>
      </c>
      <c r="BX166" s="83">
        <f>'Raw Data'!BX167/10</f>
        <v>28.3</v>
      </c>
      <c r="BY166" s="83">
        <f>'Raw Data'!BY167/10</f>
        <v>28</v>
      </c>
      <c r="BZ166" s="83">
        <f>'Raw Data'!BZ167/10</f>
        <v>28.8</v>
      </c>
      <c r="CA166" s="83">
        <f>'Raw Data'!CA167/10</f>
        <v>28.4</v>
      </c>
      <c r="CB166" s="83">
        <f>'Raw Data'!CB167/10</f>
        <v>26.1</v>
      </c>
      <c r="CC166" s="83">
        <f>'Raw Data'!CC167/10</f>
        <v>29</v>
      </c>
      <c r="CD166" s="83">
        <f>'Raw Data'!CD167/10</f>
        <v>29</v>
      </c>
      <c r="CE166" s="83">
        <f>'Raw Data'!CE167/10</f>
        <v>25.8</v>
      </c>
      <c r="CF166" s="83">
        <f>'Raw Data'!CF167/10</f>
        <v>27.7</v>
      </c>
      <c r="CG166" s="83">
        <f>'Raw Data'!CG167/100</f>
        <v>26.74</v>
      </c>
      <c r="CH166" s="83">
        <f>'Raw Data'!CH167/100</f>
        <v>25.96</v>
      </c>
      <c r="CI166" s="83">
        <f>'Raw Data'!CI167/100</f>
        <v>25.12</v>
      </c>
      <c r="CJ166" s="83">
        <f>'Raw Data'!CJ167/100</f>
        <v>24.87</v>
      </c>
      <c r="CK166" s="83">
        <f>'Raw Data'!CK167/100</f>
        <v>24.53</v>
      </c>
      <c r="CL166" s="83">
        <f>'Raw Data'!CL167/100</f>
        <v>24.1</v>
      </c>
      <c r="CM166" s="83">
        <f>'Raw Data'!CM167/100</f>
        <v>25.19</v>
      </c>
      <c r="CN166" s="83">
        <f>'Raw Data'!CN167/100</f>
        <v>23.13</v>
      </c>
      <c r="CO166" s="83">
        <f>'Raw Data'!CO167/100</f>
        <v>23.56</v>
      </c>
      <c r="CP166" s="83">
        <f>'Raw Data'!CP167/100</f>
        <v>22.74</v>
      </c>
      <c r="CQ166" s="83">
        <f>'Raw Data'!CQ167/100</f>
        <v>23.05</v>
      </c>
      <c r="CR166" s="83">
        <f>'Raw Data'!CR167/100</f>
        <v>23.52</v>
      </c>
      <c r="CS166" s="83">
        <f>'Raw Data'!CS167/100</f>
        <v>22.77</v>
      </c>
      <c r="CT166" s="83">
        <f>'Raw Data'!CT167/100</f>
        <v>22.56</v>
      </c>
      <c r="CU166" s="382"/>
    </row>
    <row r="167" spans="4:99" s="86" customFormat="1" x14ac:dyDescent="0.2">
      <c r="D167" s="376"/>
      <c r="E167" s="164"/>
      <c r="F167" s="394"/>
      <c r="G167" s="86">
        <f>'Raw Data'!G168</f>
        <v>25</v>
      </c>
      <c r="H167" s="86">
        <f>'Raw Data'!H168</f>
        <v>31</v>
      </c>
      <c r="I167" s="86">
        <f>'Raw Data'!I168</f>
        <v>25</v>
      </c>
      <c r="J167" s="86">
        <f>'Raw Data'!J168</f>
        <v>29</v>
      </c>
      <c r="K167" s="86">
        <f>'Raw Data'!K168</f>
        <v>36</v>
      </c>
      <c r="L167" s="86">
        <f>'Raw Data'!L168</f>
        <v>35</v>
      </c>
      <c r="M167" s="86">
        <f>'Raw Data'!M168</f>
        <v>35</v>
      </c>
      <c r="N167" s="86">
        <f>'Raw Data'!N168</f>
        <v>25</v>
      </c>
      <c r="O167" s="86">
        <f>'Raw Data'!O168</f>
        <v>30</v>
      </c>
      <c r="P167" s="86">
        <f>'Raw Data'!P168</f>
        <v>35</v>
      </c>
      <c r="Q167" s="86">
        <f>'Raw Data'!Q168</f>
        <v>32</v>
      </c>
      <c r="R167" s="86">
        <f>'Raw Data'!R168</f>
        <v>28</v>
      </c>
      <c r="S167" s="86">
        <f>'Raw Data'!S168</f>
        <v>33</v>
      </c>
      <c r="T167" s="86">
        <f>'Raw Data'!T168</f>
        <v>37</v>
      </c>
      <c r="U167" s="86">
        <f>'Raw Data'!U168</f>
        <v>35</v>
      </c>
      <c r="V167" s="86">
        <f>'Raw Data'!V168</f>
        <v>38</v>
      </c>
      <c r="W167" s="86">
        <f>'Raw Data'!W168</f>
        <v>28</v>
      </c>
      <c r="X167" s="86">
        <f>'Raw Data'!X168</f>
        <v>40</v>
      </c>
      <c r="Y167" s="86">
        <f>'Raw Data'!Y168</f>
        <v>40</v>
      </c>
      <c r="Z167" s="86">
        <f>'Raw Data'!Z168</f>
        <v>31</v>
      </c>
      <c r="AA167" s="83">
        <f>'Raw Data'!AA168/10</f>
        <v>36.1</v>
      </c>
      <c r="AB167" s="83">
        <f>'Raw Data'!AB168/10</f>
        <v>35.6</v>
      </c>
      <c r="AC167" s="83">
        <f>'Raw Data'!AC168/10</f>
        <v>35.5</v>
      </c>
      <c r="AD167" s="83">
        <f>'Raw Data'!AD168/10</f>
        <v>36.299999999999997</v>
      </c>
      <c r="AE167" s="83">
        <f>'Raw Data'!AE168/10</f>
        <v>37.4</v>
      </c>
      <c r="AF167" s="83">
        <f>'Raw Data'!AF168/10</f>
        <v>34.1</v>
      </c>
      <c r="AG167" s="83">
        <f>'Raw Data'!AG168/10</f>
        <v>33.700000000000003</v>
      </c>
      <c r="AH167" s="83">
        <f>'Raw Data'!AH168/10</f>
        <v>33.5</v>
      </c>
      <c r="AI167" s="83">
        <f>'Raw Data'!AI168/10</f>
        <v>31.6</v>
      </c>
      <c r="AJ167" s="83">
        <f>'Raw Data'!AJ168/10</f>
        <v>30.2</v>
      </c>
      <c r="AK167" s="83">
        <f>'Raw Data'!AK168/10</f>
        <v>32.5</v>
      </c>
      <c r="AL167" s="83">
        <f>'Raw Data'!AL168/10</f>
        <v>30.4</v>
      </c>
      <c r="AM167" s="83">
        <f>'Raw Data'!AM168/10</f>
        <v>29.8</v>
      </c>
      <c r="AN167" s="83">
        <f>'Raw Data'!AN168/10</f>
        <v>32.1</v>
      </c>
      <c r="AO167" s="83">
        <f>'Raw Data'!AO168/10</f>
        <v>31.6</v>
      </c>
      <c r="AP167" s="83">
        <f>'Raw Data'!AP168/10</f>
        <v>29.7</v>
      </c>
      <c r="AQ167" s="83">
        <f>'Raw Data'!AQ168/10</f>
        <v>30.1</v>
      </c>
      <c r="AR167" s="83">
        <f>'Raw Data'!AR168/10</f>
        <v>28.8</v>
      </c>
      <c r="AS167" s="83">
        <f>'Raw Data'!AS168/10</f>
        <v>29.7</v>
      </c>
      <c r="AT167" s="83">
        <f>'Raw Data'!AT168/10</f>
        <v>28.3</v>
      </c>
      <c r="AU167" s="83">
        <f>'Raw Data'!AU168/10</f>
        <v>28.4</v>
      </c>
      <c r="AV167" s="83">
        <f>'Raw Data'!AV168/10</f>
        <v>28.9</v>
      </c>
      <c r="AW167" s="83">
        <f>'Raw Data'!AW168/10</f>
        <v>30.6</v>
      </c>
      <c r="AX167" s="83">
        <f>'Raw Data'!AX168/10</f>
        <v>27.2</v>
      </c>
      <c r="AY167" s="83">
        <f>'Raw Data'!AY168/10</f>
        <v>31.3</v>
      </c>
      <c r="AZ167" s="83">
        <f>'Raw Data'!AZ168/10</f>
        <v>28.9</v>
      </c>
      <c r="BA167" s="83">
        <f>'Raw Data'!BA168/10</f>
        <v>27.1</v>
      </c>
      <c r="BB167" s="83">
        <f>'Raw Data'!BB168/10</f>
        <v>27.6</v>
      </c>
      <c r="BC167" s="83">
        <f>'Raw Data'!BC168/10</f>
        <v>26</v>
      </c>
      <c r="BD167" s="83">
        <f>'Raw Data'!BD168/10</f>
        <v>27.8</v>
      </c>
      <c r="BE167" s="83">
        <f>'Raw Data'!BE168/10</f>
        <v>27.1</v>
      </c>
      <c r="BF167" s="83">
        <f>'Raw Data'!BF168/10</f>
        <v>28.1</v>
      </c>
      <c r="BG167" s="83">
        <f>'Raw Data'!BG168/10</f>
        <v>28.1</v>
      </c>
      <c r="BH167" s="83">
        <f>'Raw Data'!BH168/10</f>
        <v>24.8</v>
      </c>
      <c r="BI167" s="83">
        <f>'Raw Data'!BI168/10</f>
        <v>27.4</v>
      </c>
      <c r="BJ167" s="83">
        <f>'Raw Data'!BJ168/10</f>
        <v>25.2</v>
      </c>
      <c r="BK167" s="83">
        <f>'Raw Data'!BK168/10</f>
        <v>28.8</v>
      </c>
      <c r="BL167" s="83">
        <f>'Raw Data'!BL168/10</f>
        <v>25</v>
      </c>
      <c r="BM167" s="83">
        <f>'Raw Data'!BM168/10</f>
        <v>24.5</v>
      </c>
      <c r="BN167" s="83">
        <f>'Raw Data'!BN168/10</f>
        <v>26.8</v>
      </c>
      <c r="BO167" s="83">
        <f>'Raw Data'!BO168/10</f>
        <v>24.8</v>
      </c>
      <c r="BP167" s="83">
        <f>'Raw Data'!BP168/10</f>
        <v>24.9</v>
      </c>
      <c r="BQ167" s="83">
        <f>'Raw Data'!BQ168/10</f>
        <v>24.7</v>
      </c>
      <c r="BR167" s="83">
        <f>'Raw Data'!BR168/10</f>
        <v>26.4</v>
      </c>
      <c r="BS167" s="83">
        <f>'Raw Data'!BS168/10</f>
        <v>26.3</v>
      </c>
      <c r="BT167" s="83">
        <f>'Raw Data'!BT168/10</f>
        <v>24.4</v>
      </c>
      <c r="BU167" s="83">
        <f>'Raw Data'!BU168/10</f>
        <v>25.1</v>
      </c>
      <c r="BV167" s="83">
        <f>'Raw Data'!BV168/10</f>
        <v>25.5</v>
      </c>
      <c r="BW167" s="83">
        <f>'Raw Data'!BW168/10</f>
        <v>25.9</v>
      </c>
      <c r="BX167" s="83">
        <f>'Raw Data'!BX168/10</f>
        <v>24.1</v>
      </c>
      <c r="BY167" s="83">
        <f>'Raw Data'!BY168/10</f>
        <v>25.3</v>
      </c>
      <c r="BZ167" s="83">
        <f>'Raw Data'!BZ168/10</f>
        <v>25.4</v>
      </c>
      <c r="CA167" s="83">
        <f>'Raw Data'!CA168/10</f>
        <v>25.3</v>
      </c>
      <c r="CB167" s="83">
        <f>'Raw Data'!CB168/10</f>
        <v>23.8</v>
      </c>
      <c r="CC167" s="83">
        <f>'Raw Data'!CC168/10</f>
        <v>24.4</v>
      </c>
      <c r="CD167" s="83">
        <f>'Raw Data'!CD168/10</f>
        <v>23.6</v>
      </c>
      <c r="CE167" s="83">
        <f>'Raw Data'!CE168/10</f>
        <v>22.2</v>
      </c>
      <c r="CF167" s="83">
        <f>'Raw Data'!CF168/10</f>
        <v>25.1</v>
      </c>
      <c r="CG167" s="83">
        <f>'Raw Data'!CG168/100</f>
        <v>24.5</v>
      </c>
      <c r="CH167" s="83">
        <f>'Raw Data'!CH168/100</f>
        <v>21.01</v>
      </c>
      <c r="CI167" s="83">
        <f>'Raw Data'!CI168/100</f>
        <v>23.38</v>
      </c>
      <c r="CJ167" s="83">
        <f>'Raw Data'!CJ168/100</f>
        <v>22.8</v>
      </c>
      <c r="CK167" s="83">
        <f>'Raw Data'!CK168/100</f>
        <v>23.16</v>
      </c>
      <c r="CL167" s="83">
        <f>'Raw Data'!CL168/100</f>
        <v>22.32</v>
      </c>
      <c r="CM167" s="83">
        <f>'Raw Data'!CM168/100</f>
        <v>21.93</v>
      </c>
      <c r="CN167" s="83">
        <f>'Raw Data'!CN168/100</f>
        <v>21.99</v>
      </c>
      <c r="CO167" s="83">
        <f>'Raw Data'!CO168/100</f>
        <v>21.92</v>
      </c>
      <c r="CP167" s="83">
        <f>'Raw Data'!CP168/100</f>
        <v>21.39</v>
      </c>
      <c r="CQ167" s="83">
        <f>'Raw Data'!CQ168/100</f>
        <v>21.08</v>
      </c>
      <c r="CR167" s="83">
        <f>'Raw Data'!CR168/100</f>
        <v>21.43</v>
      </c>
      <c r="CS167" s="83">
        <f>'Raw Data'!CS168/100</f>
        <v>20.92</v>
      </c>
      <c r="CT167" s="83">
        <f>'Raw Data'!CT168/100</f>
        <v>20.52</v>
      </c>
      <c r="CU167" s="382"/>
    </row>
    <row r="168" spans="4:99" s="86" customFormat="1" x14ac:dyDescent="0.2">
      <c r="D168" s="376"/>
      <c r="E168" s="164"/>
      <c r="F168" s="394"/>
      <c r="G168" s="86">
        <f>'Raw Data'!G169</f>
        <v>21</v>
      </c>
      <c r="H168" s="86">
        <f>'Raw Data'!H169</f>
        <v>25</v>
      </c>
      <c r="I168" s="86">
        <f>'Raw Data'!I169</f>
        <v>25</v>
      </c>
      <c r="J168" s="86">
        <f>'Raw Data'!J169</f>
        <v>27</v>
      </c>
      <c r="K168" s="86">
        <f>'Raw Data'!K169</f>
        <v>20</v>
      </c>
      <c r="L168" s="86">
        <f>'Raw Data'!L169</f>
        <v>22</v>
      </c>
      <c r="M168" s="86">
        <f>'Raw Data'!M169</f>
        <v>25</v>
      </c>
      <c r="N168" s="86">
        <f>'Raw Data'!N169</f>
        <v>27</v>
      </c>
      <c r="O168" s="86">
        <f>'Raw Data'!O169</f>
        <v>26</v>
      </c>
      <c r="P168" s="86">
        <f>'Raw Data'!P169</f>
        <v>30</v>
      </c>
      <c r="Q168" s="86">
        <f>'Raw Data'!Q169</f>
        <v>27</v>
      </c>
      <c r="R168" s="86">
        <f>'Raw Data'!R169</f>
        <v>30</v>
      </c>
      <c r="S168" s="86">
        <f>'Raw Data'!S169</f>
        <v>36</v>
      </c>
      <c r="T168" s="86">
        <f>'Raw Data'!T169</f>
        <v>30</v>
      </c>
      <c r="U168" s="86">
        <f>'Raw Data'!U169</f>
        <v>28</v>
      </c>
      <c r="V168" s="86">
        <f>'Raw Data'!V169</f>
        <v>29</v>
      </c>
      <c r="W168" s="86">
        <f>'Raw Data'!W169</f>
        <v>22</v>
      </c>
      <c r="X168" s="86">
        <f>'Raw Data'!X169</f>
        <v>27</v>
      </c>
      <c r="Y168" s="86">
        <f>'Raw Data'!Y169</f>
        <v>31</v>
      </c>
      <c r="Z168" s="86">
        <f>'Raw Data'!Z169</f>
        <v>29</v>
      </c>
      <c r="AA168" s="83">
        <f>'Raw Data'!AA169/10</f>
        <v>29.1</v>
      </c>
      <c r="AB168" s="83">
        <f>'Raw Data'!AB169/10</f>
        <v>27.2</v>
      </c>
      <c r="AC168" s="83">
        <f>'Raw Data'!AC169/10</f>
        <v>26.5</v>
      </c>
      <c r="AD168" s="83">
        <f>'Raw Data'!AD169/10</f>
        <v>26</v>
      </c>
      <c r="AE168" s="83">
        <f>'Raw Data'!AE169/10</f>
        <v>28.4</v>
      </c>
      <c r="AF168" s="83">
        <f>'Raw Data'!AF169/10</f>
        <v>27.2</v>
      </c>
      <c r="AG168" s="83">
        <f>'Raw Data'!AG169/10</f>
        <v>26.4</v>
      </c>
      <c r="AH168" s="83">
        <f>'Raw Data'!AH169/10</f>
        <v>25.9</v>
      </c>
      <c r="AI168" s="83">
        <f>'Raw Data'!AI169/10</f>
        <v>25.7</v>
      </c>
      <c r="AJ168" s="83">
        <f>'Raw Data'!AJ169/10</f>
        <v>26.6</v>
      </c>
      <c r="AK168" s="83">
        <f>'Raw Data'!AK169/10</f>
        <v>27.4</v>
      </c>
      <c r="AL168" s="83">
        <f>'Raw Data'!AL169/10</f>
        <v>25.7</v>
      </c>
      <c r="AM168" s="83">
        <f>'Raw Data'!AM169/10</f>
        <v>23.1</v>
      </c>
      <c r="AN168" s="83">
        <f>'Raw Data'!AN169/10</f>
        <v>26.5</v>
      </c>
      <c r="AO168" s="83">
        <f>'Raw Data'!AO169/10</f>
        <v>25.4</v>
      </c>
      <c r="AP168" s="83">
        <f>'Raw Data'!AP169/10</f>
        <v>24.3</v>
      </c>
      <c r="AQ168" s="83">
        <f>'Raw Data'!AQ169/10</f>
        <v>23.9</v>
      </c>
      <c r="AR168" s="83">
        <f>'Raw Data'!AR169/10</f>
        <v>22.8</v>
      </c>
      <c r="AS168" s="83">
        <f>'Raw Data'!AS169/10</f>
        <v>23.9</v>
      </c>
      <c r="AT168" s="83">
        <f>'Raw Data'!AT169/10</f>
        <v>23.6</v>
      </c>
      <c r="AU168" s="83">
        <f>'Raw Data'!AU169/10</f>
        <v>24.3</v>
      </c>
      <c r="AV168" s="83">
        <f>'Raw Data'!AV169/10</f>
        <v>23.9</v>
      </c>
      <c r="AW168" s="83">
        <f>'Raw Data'!AW169/10</f>
        <v>23.8</v>
      </c>
      <c r="AX168" s="83">
        <f>'Raw Data'!AX169/10</f>
        <v>22.9</v>
      </c>
      <c r="AY168" s="83">
        <f>'Raw Data'!AY169/10</f>
        <v>22.4</v>
      </c>
      <c r="AZ168" s="83">
        <f>'Raw Data'!AZ169/10</f>
        <v>22.1</v>
      </c>
      <c r="BA168" s="83">
        <f>'Raw Data'!BA169/10</f>
        <v>21.8</v>
      </c>
      <c r="BB168" s="83">
        <f>'Raw Data'!BB169/10</f>
        <v>21</v>
      </c>
      <c r="BC168" s="83">
        <f>'Raw Data'!BC169/10</f>
        <v>23.7</v>
      </c>
      <c r="BD168" s="83">
        <f>'Raw Data'!BD169/10</f>
        <v>22.2</v>
      </c>
      <c r="BE168" s="83">
        <f>'Raw Data'!BE169/10</f>
        <v>20.3</v>
      </c>
      <c r="BF168" s="83">
        <f>'Raw Data'!BF169/10</f>
        <v>21.8</v>
      </c>
      <c r="BG168" s="83">
        <f>'Raw Data'!BG169/10</f>
        <v>21.9</v>
      </c>
      <c r="BH168" s="83">
        <f>'Raw Data'!BH169/10</f>
        <v>22.2</v>
      </c>
      <c r="BI168" s="83">
        <f>'Raw Data'!BI169/10</f>
        <v>22.4</v>
      </c>
      <c r="BJ168" s="83">
        <f>'Raw Data'!BJ169/10</f>
        <v>22.9</v>
      </c>
      <c r="BK168" s="83">
        <f>'Raw Data'!BK169/10</f>
        <v>20.8</v>
      </c>
      <c r="BL168" s="83">
        <f>'Raw Data'!BL169/10</f>
        <v>21.9</v>
      </c>
      <c r="BM168" s="83">
        <f>'Raw Data'!BM169/10</f>
        <v>22.6</v>
      </c>
      <c r="BN168" s="83">
        <f>'Raw Data'!BN169/10</f>
        <v>22.6</v>
      </c>
      <c r="BO168" s="83">
        <f>'Raw Data'!BO169/10</f>
        <v>20.399999999999999</v>
      </c>
      <c r="BP168" s="83">
        <f>'Raw Data'!BP169/10</f>
        <v>19.8</v>
      </c>
      <c r="BQ168" s="83">
        <f>'Raw Data'!BQ169/10</f>
        <v>20.7</v>
      </c>
      <c r="BR168" s="83">
        <f>'Raw Data'!BR169/10</f>
        <v>20.9</v>
      </c>
      <c r="BS168" s="83">
        <f>'Raw Data'!BS169/10</f>
        <v>22.2</v>
      </c>
      <c r="BT168" s="83">
        <f>'Raw Data'!BT169/10</f>
        <v>20</v>
      </c>
      <c r="BU168" s="83">
        <f>'Raw Data'!BU169/10</f>
        <v>23.8</v>
      </c>
      <c r="BV168" s="83">
        <f>'Raw Data'!BV169/10</f>
        <v>21.8</v>
      </c>
      <c r="BW168" s="83">
        <f>'Raw Data'!BW169/10</f>
        <v>21.7</v>
      </c>
      <c r="BX168" s="83">
        <f>'Raw Data'!BX169/10</f>
        <v>20.2</v>
      </c>
      <c r="BY168" s="83">
        <f>'Raw Data'!BY169/10</f>
        <v>21</v>
      </c>
      <c r="BZ168" s="83">
        <f>'Raw Data'!BZ169/10</f>
        <v>19.600000000000001</v>
      </c>
      <c r="CA168" s="83">
        <f>'Raw Data'!CA169/10</f>
        <v>21.8</v>
      </c>
      <c r="CB168" s="83">
        <f>'Raw Data'!CB169/10</f>
        <v>18.5</v>
      </c>
      <c r="CC168" s="83">
        <f>'Raw Data'!CC169/10</f>
        <v>19.600000000000001</v>
      </c>
      <c r="CD168" s="83">
        <f>'Raw Data'!CD169/10</f>
        <v>22.9</v>
      </c>
      <c r="CE168" s="83">
        <f>'Raw Data'!CE169/10</f>
        <v>21.8</v>
      </c>
      <c r="CF168" s="83">
        <f>'Raw Data'!CF169/10</f>
        <v>20.6</v>
      </c>
      <c r="CG168" s="83">
        <f>'Raw Data'!CG169/100</f>
        <v>20.239999999999998</v>
      </c>
      <c r="CH168" s="83">
        <f>'Raw Data'!CH169/100</f>
        <v>20.12</v>
      </c>
      <c r="CI168" s="83">
        <f>'Raw Data'!CI169/100</f>
        <v>18.73</v>
      </c>
      <c r="CJ168" s="83">
        <f>'Raw Data'!CJ169/100</f>
        <v>19.71</v>
      </c>
      <c r="CK168" s="83">
        <f>'Raw Data'!CK169/100</f>
        <v>18.829999999999998</v>
      </c>
      <c r="CL168" s="83">
        <f>'Raw Data'!CL169/100</f>
        <v>19.37</v>
      </c>
      <c r="CM168" s="83">
        <f>'Raw Data'!CM169/100</f>
        <v>19.260000000000002</v>
      </c>
      <c r="CN168" s="83">
        <f>'Raw Data'!CN169/100</f>
        <v>18.559999999999999</v>
      </c>
      <c r="CO168" s="83">
        <f>'Raw Data'!CO169/100</f>
        <v>18.670000000000002</v>
      </c>
      <c r="CP168" s="83">
        <f>'Raw Data'!CP169/100</f>
        <v>17.940000000000001</v>
      </c>
      <c r="CQ168" s="83">
        <f>'Raw Data'!CQ169/100</f>
        <v>18.05</v>
      </c>
      <c r="CR168" s="83">
        <f>'Raw Data'!CR169/100</f>
        <v>18</v>
      </c>
      <c r="CS168" s="83">
        <f>'Raw Data'!CS169/100</f>
        <v>18.420000000000002</v>
      </c>
      <c r="CT168" s="83">
        <f>'Raw Data'!CT169/100</f>
        <v>18.12</v>
      </c>
      <c r="CU168" s="382"/>
    </row>
    <row r="169" spans="4:99" s="86" customFormat="1" x14ac:dyDescent="0.2">
      <c r="D169" s="376"/>
      <c r="E169" s="164"/>
      <c r="F169" s="394"/>
      <c r="G169" s="86">
        <f>'Raw Data'!G170</f>
        <v>25</v>
      </c>
      <c r="H169" s="86">
        <f>'Raw Data'!H170</f>
        <v>32</v>
      </c>
      <c r="I169" s="86">
        <f>'Raw Data'!I170</f>
        <v>27</v>
      </c>
      <c r="J169" s="86">
        <f>'Raw Data'!J170</f>
        <v>25</v>
      </c>
      <c r="K169" s="86">
        <f>'Raw Data'!K170</f>
        <v>34</v>
      </c>
      <c r="L169" s="86">
        <f>'Raw Data'!L170</f>
        <v>31</v>
      </c>
      <c r="M169" s="86">
        <f>'Raw Data'!M170</f>
        <v>31</v>
      </c>
      <c r="N169" s="86">
        <f>'Raw Data'!N170</f>
        <v>32</v>
      </c>
      <c r="O169" s="86">
        <f>'Raw Data'!O170</f>
        <v>30</v>
      </c>
      <c r="P169" s="86">
        <f>'Raw Data'!P170</f>
        <v>27</v>
      </c>
      <c r="Q169" s="86">
        <f>'Raw Data'!Q170</f>
        <v>36</v>
      </c>
      <c r="R169" s="86">
        <f>'Raw Data'!R170</f>
        <v>30</v>
      </c>
      <c r="S169" s="86">
        <f>'Raw Data'!S170</f>
        <v>25</v>
      </c>
      <c r="T169" s="86">
        <f>'Raw Data'!T170</f>
        <v>27</v>
      </c>
      <c r="U169" s="86">
        <f>'Raw Data'!U170</f>
        <v>30</v>
      </c>
      <c r="V169" s="86">
        <f>'Raw Data'!V170</f>
        <v>25</v>
      </c>
      <c r="W169" s="86">
        <f>'Raw Data'!W170</f>
        <v>26</v>
      </c>
      <c r="X169" s="86">
        <f>'Raw Data'!X170</f>
        <v>31</v>
      </c>
      <c r="Y169" s="86">
        <f>'Raw Data'!Y170</f>
        <v>30</v>
      </c>
      <c r="Z169" s="86">
        <f>'Raw Data'!Z170</f>
        <v>25</v>
      </c>
      <c r="AA169" s="83">
        <f>'Raw Data'!AA170/10</f>
        <v>32.700000000000003</v>
      </c>
      <c r="AB169" s="83">
        <f>'Raw Data'!AB170/10</f>
        <v>32</v>
      </c>
      <c r="AC169" s="83">
        <f>'Raw Data'!AC170/10</f>
        <v>32.9</v>
      </c>
      <c r="AD169" s="83">
        <f>'Raw Data'!AD170/10</f>
        <v>30.6</v>
      </c>
      <c r="AE169" s="83">
        <f>'Raw Data'!AE170/10</f>
        <v>30.2</v>
      </c>
      <c r="AF169" s="83">
        <f>'Raw Data'!AF170/10</f>
        <v>30.9</v>
      </c>
      <c r="AG169" s="83">
        <f>'Raw Data'!AG170/10</f>
        <v>29.8</v>
      </c>
      <c r="AH169" s="83">
        <f>'Raw Data'!AH170/10</f>
        <v>27</v>
      </c>
      <c r="AI169" s="83">
        <f>'Raw Data'!AI170/10</f>
        <v>28</v>
      </c>
      <c r="AJ169" s="83">
        <f>'Raw Data'!AJ170/10</f>
        <v>30.4</v>
      </c>
      <c r="AK169" s="83">
        <f>'Raw Data'!AK170/10</f>
        <v>28.6</v>
      </c>
      <c r="AL169" s="83">
        <f>'Raw Data'!AL170/10</f>
        <v>26.2</v>
      </c>
      <c r="AM169" s="83">
        <f>'Raw Data'!AM170/10</f>
        <v>25.9</v>
      </c>
      <c r="AN169" s="83">
        <f>'Raw Data'!AN170/10</f>
        <v>29</v>
      </c>
      <c r="AO169" s="83">
        <f>'Raw Data'!AO170/10</f>
        <v>26.2</v>
      </c>
      <c r="AP169" s="83">
        <f>'Raw Data'!AP170/10</f>
        <v>24.2</v>
      </c>
      <c r="AQ169" s="83">
        <f>'Raw Data'!AQ170/10</f>
        <v>23.7</v>
      </c>
      <c r="AR169" s="83">
        <f>'Raw Data'!AR170/10</f>
        <v>23.6</v>
      </c>
      <c r="AS169" s="83">
        <f>'Raw Data'!AS170/10</f>
        <v>23.5</v>
      </c>
      <c r="AT169" s="83">
        <f>'Raw Data'!AT170/10</f>
        <v>26.8</v>
      </c>
      <c r="AU169" s="83">
        <f>'Raw Data'!AU170/10</f>
        <v>26.8</v>
      </c>
      <c r="AV169" s="83">
        <f>'Raw Data'!AV170/10</f>
        <v>24.1</v>
      </c>
      <c r="AW169" s="83">
        <f>'Raw Data'!AW170/10</f>
        <v>26</v>
      </c>
      <c r="AX169" s="83">
        <f>'Raw Data'!AX170/10</f>
        <v>23.8</v>
      </c>
      <c r="AY169" s="83">
        <f>'Raw Data'!AY170/10</f>
        <v>24.7</v>
      </c>
      <c r="AZ169" s="83">
        <f>'Raw Data'!AZ170/10</f>
        <v>22.9</v>
      </c>
      <c r="BA169" s="83">
        <f>'Raw Data'!BA170/10</f>
        <v>25</v>
      </c>
      <c r="BB169" s="83">
        <f>'Raw Data'!BB170/10</f>
        <v>23.6</v>
      </c>
      <c r="BC169" s="83">
        <f>'Raw Data'!BC170/10</f>
        <v>25.5</v>
      </c>
      <c r="BD169" s="83">
        <f>'Raw Data'!BD170/10</f>
        <v>26.3</v>
      </c>
      <c r="BE169" s="83">
        <f>'Raw Data'!BE170/10</f>
        <v>23</v>
      </c>
      <c r="BF169" s="83">
        <f>'Raw Data'!BF170/10</f>
        <v>22.1</v>
      </c>
      <c r="BG169" s="83">
        <f>'Raw Data'!BG170/10</f>
        <v>23.4</v>
      </c>
      <c r="BH169" s="83">
        <f>'Raw Data'!BH170/10</f>
        <v>23.4</v>
      </c>
      <c r="BI169" s="83">
        <f>'Raw Data'!BI170/10</f>
        <v>23.2</v>
      </c>
      <c r="BJ169" s="83">
        <f>'Raw Data'!BJ170/10</f>
        <v>23.2</v>
      </c>
      <c r="BK169" s="83">
        <f>'Raw Data'!BK170/10</f>
        <v>23.7</v>
      </c>
      <c r="BL169" s="83">
        <f>'Raw Data'!BL170/10</f>
        <v>21.9</v>
      </c>
      <c r="BM169" s="83">
        <f>'Raw Data'!BM170/10</f>
        <v>22.5</v>
      </c>
      <c r="BN169" s="83">
        <f>'Raw Data'!BN170/10</f>
        <v>22.9</v>
      </c>
      <c r="BO169" s="83">
        <f>'Raw Data'!BO170/10</f>
        <v>21.2</v>
      </c>
      <c r="BP169" s="83">
        <f>'Raw Data'!BP170/10</f>
        <v>24</v>
      </c>
      <c r="BQ169" s="83">
        <f>'Raw Data'!BQ170/10</f>
        <v>21.9</v>
      </c>
      <c r="BR169" s="83">
        <f>'Raw Data'!BR170/10</f>
        <v>24.5</v>
      </c>
      <c r="BS169" s="83">
        <f>'Raw Data'!BS170/10</f>
        <v>22.6</v>
      </c>
      <c r="BT169" s="83">
        <f>'Raw Data'!BT170/10</f>
        <v>21.9</v>
      </c>
      <c r="BU169" s="83">
        <f>'Raw Data'!BU170/10</f>
        <v>22.6</v>
      </c>
      <c r="BV169" s="83">
        <f>'Raw Data'!BV170/10</f>
        <v>22.4</v>
      </c>
      <c r="BW169" s="83">
        <f>'Raw Data'!BW170/10</f>
        <v>22.2</v>
      </c>
      <c r="BX169" s="83">
        <f>'Raw Data'!BX170/10</f>
        <v>21.3</v>
      </c>
      <c r="BY169" s="83">
        <f>'Raw Data'!BY170/10</f>
        <v>22.2</v>
      </c>
      <c r="BZ169" s="83">
        <f>'Raw Data'!BZ170/10</f>
        <v>21.3</v>
      </c>
      <c r="CA169" s="83">
        <f>'Raw Data'!CA170/10</f>
        <v>21.8</v>
      </c>
      <c r="CB169" s="83">
        <f>'Raw Data'!CB170/10</f>
        <v>21.5</v>
      </c>
      <c r="CC169" s="83">
        <f>'Raw Data'!CC170/10</f>
        <v>21.2</v>
      </c>
      <c r="CD169" s="83">
        <f>'Raw Data'!CD170/10</f>
        <v>20.5</v>
      </c>
      <c r="CE169" s="83">
        <f>'Raw Data'!CE170/10</f>
        <v>21.8</v>
      </c>
      <c r="CF169" s="83">
        <f>'Raw Data'!CF170/10</f>
        <v>22.5</v>
      </c>
      <c r="CG169" s="83">
        <f>'Raw Data'!CG170/100</f>
        <v>20.82</v>
      </c>
      <c r="CH169" s="83">
        <f>'Raw Data'!CH170/100</f>
        <v>21.5</v>
      </c>
      <c r="CI169" s="83">
        <f>'Raw Data'!CI170/100</f>
        <v>20.38</v>
      </c>
      <c r="CJ169" s="83">
        <f>'Raw Data'!CJ170/100</f>
        <v>19.920000000000002</v>
      </c>
      <c r="CK169" s="83">
        <f>'Raw Data'!CK170/100</f>
        <v>19.940000000000001</v>
      </c>
      <c r="CL169" s="83">
        <f>'Raw Data'!CL170/100</f>
        <v>20.43</v>
      </c>
      <c r="CM169" s="83">
        <f>'Raw Data'!CM170/100</f>
        <v>19.600000000000001</v>
      </c>
      <c r="CN169" s="83">
        <f>'Raw Data'!CN170/100</f>
        <v>19.97</v>
      </c>
      <c r="CO169" s="83">
        <f>'Raw Data'!CO170/100</f>
        <v>19.5</v>
      </c>
      <c r="CP169" s="83">
        <f>'Raw Data'!CP170/100</f>
        <v>19.2</v>
      </c>
      <c r="CQ169" s="83">
        <f>'Raw Data'!CQ170/100</f>
        <v>18.98</v>
      </c>
      <c r="CR169" s="83">
        <f>'Raw Data'!CR170/100</f>
        <v>18.55</v>
      </c>
      <c r="CS169" s="83">
        <f>'Raw Data'!CS170/100</f>
        <v>19.190000000000001</v>
      </c>
      <c r="CT169" s="83">
        <f>'Raw Data'!CT170/100</f>
        <v>18.84</v>
      </c>
      <c r="CU169" s="382"/>
    </row>
    <row r="170" spans="4:99" s="86" customFormat="1" x14ac:dyDescent="0.2">
      <c r="D170" s="376"/>
      <c r="E170" s="164"/>
      <c r="F170" s="394"/>
      <c r="G170" s="86">
        <f>'Raw Data'!G171</f>
        <v>29</v>
      </c>
      <c r="H170" s="86">
        <f>'Raw Data'!H171</f>
        <v>27</v>
      </c>
      <c r="I170" s="86">
        <f>'Raw Data'!I171</f>
        <v>28</v>
      </c>
      <c r="J170" s="86">
        <f>'Raw Data'!J171</f>
        <v>25</v>
      </c>
      <c r="K170" s="86">
        <f>'Raw Data'!K171</f>
        <v>30</v>
      </c>
      <c r="L170" s="86">
        <f>'Raw Data'!L171</f>
        <v>28</v>
      </c>
      <c r="M170" s="86">
        <f>'Raw Data'!M171</f>
        <v>20</v>
      </c>
      <c r="N170" s="86">
        <f>'Raw Data'!N171</f>
        <v>24</v>
      </c>
      <c r="O170" s="86">
        <f>'Raw Data'!O171</f>
        <v>30</v>
      </c>
      <c r="P170" s="86">
        <f>'Raw Data'!P171</f>
        <v>22</v>
      </c>
      <c r="Q170" s="86">
        <f>'Raw Data'!Q171</f>
        <v>21</v>
      </c>
      <c r="R170" s="86">
        <f>'Raw Data'!R171</f>
        <v>31</v>
      </c>
      <c r="S170" s="86">
        <f>'Raw Data'!S171</f>
        <v>36</v>
      </c>
      <c r="T170" s="86">
        <f>'Raw Data'!T171</f>
        <v>26</v>
      </c>
      <c r="U170" s="86">
        <f>'Raw Data'!U171</f>
        <v>28</v>
      </c>
      <c r="V170" s="86">
        <f>'Raw Data'!V171</f>
        <v>17</v>
      </c>
      <c r="W170" s="86">
        <f>'Raw Data'!W171</f>
        <v>26</v>
      </c>
      <c r="X170" s="86">
        <f>'Raw Data'!X171</f>
        <v>29</v>
      </c>
      <c r="Y170" s="86">
        <f>'Raw Data'!Y171</f>
        <v>32</v>
      </c>
      <c r="Z170" s="86">
        <f>'Raw Data'!Z171</f>
        <v>33</v>
      </c>
      <c r="AA170" s="83">
        <f>'Raw Data'!AA171/10</f>
        <v>29</v>
      </c>
      <c r="AB170" s="83">
        <f>'Raw Data'!AB171/10</f>
        <v>30.3</v>
      </c>
      <c r="AC170" s="83">
        <f>'Raw Data'!AC171/10</f>
        <v>29.7</v>
      </c>
      <c r="AD170" s="83">
        <f>'Raw Data'!AD171/10</f>
        <v>27.4</v>
      </c>
      <c r="AE170" s="83">
        <f>'Raw Data'!AE171/10</f>
        <v>30.6</v>
      </c>
      <c r="AF170" s="83">
        <f>'Raw Data'!AF171/10</f>
        <v>28.4</v>
      </c>
      <c r="AG170" s="83">
        <f>'Raw Data'!AG171/10</f>
        <v>29.4</v>
      </c>
      <c r="AH170" s="83">
        <f>'Raw Data'!AH171/10</f>
        <v>26</v>
      </c>
      <c r="AI170" s="83">
        <f>'Raw Data'!AI171/10</f>
        <v>24</v>
      </c>
      <c r="AJ170" s="83">
        <f>'Raw Data'!AJ171/10</f>
        <v>25.5</v>
      </c>
      <c r="AK170" s="83">
        <f>'Raw Data'!AK171/10</f>
        <v>27.2</v>
      </c>
      <c r="AL170" s="83">
        <f>'Raw Data'!AL171/10</f>
        <v>25.1</v>
      </c>
      <c r="AM170" s="83">
        <f>'Raw Data'!AM171/10</f>
        <v>29.4</v>
      </c>
      <c r="AN170" s="83">
        <f>'Raw Data'!AN171/10</f>
        <v>26.6</v>
      </c>
      <c r="AO170" s="83">
        <f>'Raw Data'!AO171/10</f>
        <v>26.4</v>
      </c>
      <c r="AP170" s="83">
        <f>'Raw Data'!AP171/10</f>
        <v>27.4</v>
      </c>
      <c r="AQ170" s="83">
        <f>'Raw Data'!AQ171/10</f>
        <v>25.5</v>
      </c>
      <c r="AR170" s="83">
        <f>'Raw Data'!AR171/10</f>
        <v>27</v>
      </c>
      <c r="AS170" s="83">
        <f>'Raw Data'!AS171/10</f>
        <v>26.7</v>
      </c>
      <c r="AT170" s="83">
        <f>'Raw Data'!AT171/10</f>
        <v>26.5</v>
      </c>
      <c r="AU170" s="83">
        <f>'Raw Data'!AU171/10</f>
        <v>25.3</v>
      </c>
      <c r="AV170" s="83">
        <f>'Raw Data'!AV171/10</f>
        <v>23.8</v>
      </c>
      <c r="AW170" s="83">
        <f>'Raw Data'!AW171/10</f>
        <v>22.9</v>
      </c>
      <c r="AX170" s="83">
        <f>'Raw Data'!AX171/10</f>
        <v>25.2</v>
      </c>
      <c r="AY170" s="83">
        <f>'Raw Data'!AY171/10</f>
        <v>24.8</v>
      </c>
      <c r="AZ170" s="83">
        <f>'Raw Data'!AZ171/10</f>
        <v>24</v>
      </c>
      <c r="BA170" s="83">
        <f>'Raw Data'!BA171/10</f>
        <v>25.9</v>
      </c>
      <c r="BB170" s="83">
        <f>'Raw Data'!BB171/10</f>
        <v>23.2</v>
      </c>
      <c r="BC170" s="83">
        <f>'Raw Data'!BC171/10</f>
        <v>24.1</v>
      </c>
      <c r="BD170" s="83">
        <f>'Raw Data'!BD171/10</f>
        <v>24.3</v>
      </c>
      <c r="BE170" s="83">
        <f>'Raw Data'!BE171/10</f>
        <v>22.4</v>
      </c>
      <c r="BF170" s="83">
        <f>'Raw Data'!BF171/10</f>
        <v>23.2</v>
      </c>
      <c r="BG170" s="83">
        <f>'Raw Data'!BG171/10</f>
        <v>22.7</v>
      </c>
      <c r="BH170" s="83">
        <f>'Raw Data'!BH171/10</f>
        <v>23</v>
      </c>
      <c r="BI170" s="83">
        <f>'Raw Data'!BI171/10</f>
        <v>24.3</v>
      </c>
      <c r="BJ170" s="83">
        <f>'Raw Data'!BJ171/10</f>
        <v>22.9</v>
      </c>
      <c r="BK170" s="83">
        <f>'Raw Data'!BK171/10</f>
        <v>24</v>
      </c>
      <c r="BL170" s="83">
        <f>'Raw Data'!BL171/10</f>
        <v>22.4</v>
      </c>
      <c r="BM170" s="83">
        <f>'Raw Data'!BM171/10</f>
        <v>23</v>
      </c>
      <c r="BN170" s="83">
        <f>'Raw Data'!BN171/10</f>
        <v>24.1</v>
      </c>
      <c r="BO170" s="83">
        <f>'Raw Data'!BO171/10</f>
        <v>21.9</v>
      </c>
      <c r="BP170" s="83">
        <f>'Raw Data'!BP171/10</f>
        <v>24.2</v>
      </c>
      <c r="BQ170" s="83">
        <f>'Raw Data'!BQ171/10</f>
        <v>23.2</v>
      </c>
      <c r="BR170" s="83">
        <f>'Raw Data'!BR171/10</f>
        <v>21.8</v>
      </c>
      <c r="BS170" s="83">
        <f>'Raw Data'!BS171/10</f>
        <v>21.2</v>
      </c>
      <c r="BT170" s="83">
        <f>'Raw Data'!BT171/10</f>
        <v>22.8</v>
      </c>
      <c r="BU170" s="83">
        <f>'Raw Data'!BU171/10</f>
        <v>20.8</v>
      </c>
      <c r="BV170" s="83">
        <f>'Raw Data'!BV171/10</f>
        <v>20.8</v>
      </c>
      <c r="BW170" s="83">
        <f>'Raw Data'!BW171/10</f>
        <v>22</v>
      </c>
      <c r="BX170" s="83">
        <f>'Raw Data'!BX171/10</f>
        <v>18.8</v>
      </c>
      <c r="BY170" s="83">
        <f>'Raw Data'!BY171/10</f>
        <v>23</v>
      </c>
      <c r="BZ170" s="83">
        <f>'Raw Data'!BZ171/10</f>
        <v>19.8</v>
      </c>
      <c r="CA170" s="83">
        <f>'Raw Data'!CA171/10</f>
        <v>21.2</v>
      </c>
      <c r="CB170" s="83">
        <f>'Raw Data'!CB171/10</f>
        <v>21.3</v>
      </c>
      <c r="CC170" s="83">
        <f>'Raw Data'!CC171/10</f>
        <v>20.3</v>
      </c>
      <c r="CD170" s="83">
        <f>'Raw Data'!CD171/10</f>
        <v>20.8</v>
      </c>
      <c r="CE170" s="83">
        <f>'Raw Data'!CE171/10</f>
        <v>20.3</v>
      </c>
      <c r="CF170" s="83">
        <f>'Raw Data'!CF171/10</f>
        <v>19.7</v>
      </c>
      <c r="CG170" s="83">
        <f>'Raw Data'!CG171/100</f>
        <v>20.399999999999999</v>
      </c>
      <c r="CH170" s="83">
        <f>'Raw Data'!CH171/100</f>
        <v>19.75</v>
      </c>
      <c r="CI170" s="83">
        <f>'Raw Data'!CI171/100</f>
        <v>20.260000000000002</v>
      </c>
      <c r="CJ170" s="83">
        <f>'Raw Data'!CJ171/100</f>
        <v>18.850000000000001</v>
      </c>
      <c r="CK170" s="83">
        <f>'Raw Data'!CK171/100</f>
        <v>19.059999999999999</v>
      </c>
      <c r="CL170" s="83">
        <f>'Raw Data'!CL171/100</f>
        <v>19.170000000000002</v>
      </c>
      <c r="CM170" s="83">
        <f>'Raw Data'!CM171/100</f>
        <v>18.82</v>
      </c>
      <c r="CN170" s="83">
        <f>'Raw Data'!CN171/100</f>
        <v>18.38</v>
      </c>
      <c r="CO170" s="83">
        <f>'Raw Data'!CO171/100</f>
        <v>18.71</v>
      </c>
      <c r="CP170" s="83">
        <f>'Raw Data'!CP171/100</f>
        <v>18.25</v>
      </c>
      <c r="CQ170" s="83">
        <f>'Raw Data'!CQ171/100</f>
        <v>18.71</v>
      </c>
      <c r="CR170" s="83">
        <f>'Raw Data'!CR171/100</f>
        <v>17.920000000000002</v>
      </c>
      <c r="CS170" s="83">
        <f>'Raw Data'!CS171/100</f>
        <v>18.11</v>
      </c>
      <c r="CT170" s="83">
        <f>'Raw Data'!CT171/100</f>
        <v>17.940000000000001</v>
      </c>
      <c r="CU170" s="382"/>
    </row>
    <row r="171" spans="4:99" s="86" customFormat="1" x14ac:dyDescent="0.2">
      <c r="D171" s="376"/>
      <c r="E171" s="381"/>
      <c r="F171" s="395"/>
      <c r="G171" s="86">
        <f>'Raw Data'!G172</f>
        <v>26</v>
      </c>
      <c r="H171" s="86">
        <f>'Raw Data'!H172</f>
        <v>27</v>
      </c>
      <c r="I171" s="86">
        <f>'Raw Data'!I172</f>
        <v>23</v>
      </c>
      <c r="J171" s="86">
        <f>'Raw Data'!J172</f>
        <v>32</v>
      </c>
      <c r="K171" s="86">
        <f>'Raw Data'!K172</f>
        <v>33</v>
      </c>
      <c r="L171" s="86">
        <f>'Raw Data'!L172</f>
        <v>26</v>
      </c>
      <c r="M171" s="86">
        <f>'Raw Data'!M172</f>
        <v>23</v>
      </c>
      <c r="N171" s="86">
        <f>'Raw Data'!N172</f>
        <v>42</v>
      </c>
      <c r="O171" s="86">
        <f>'Raw Data'!O172</f>
        <v>26</v>
      </c>
      <c r="P171" s="86">
        <f>'Raw Data'!P172</f>
        <v>29</v>
      </c>
      <c r="Q171" s="86">
        <f>'Raw Data'!Q172</f>
        <v>27</v>
      </c>
      <c r="R171" s="86">
        <f>'Raw Data'!R172</f>
        <v>30</v>
      </c>
      <c r="S171" s="86">
        <f>'Raw Data'!S172</f>
        <v>28</v>
      </c>
      <c r="T171" s="86">
        <f>'Raw Data'!T172</f>
        <v>29</v>
      </c>
      <c r="U171" s="86">
        <f>'Raw Data'!U172</f>
        <v>24</v>
      </c>
      <c r="V171" s="86">
        <f>'Raw Data'!V172</f>
        <v>27</v>
      </c>
      <c r="W171" s="86">
        <f>'Raw Data'!W172</f>
        <v>27</v>
      </c>
      <c r="X171" s="86">
        <f>'Raw Data'!X172</f>
        <v>26</v>
      </c>
      <c r="Y171" s="86">
        <f>'Raw Data'!Y172</f>
        <v>26</v>
      </c>
      <c r="Z171" s="86">
        <f>'Raw Data'!Z172</f>
        <v>30</v>
      </c>
      <c r="AA171" s="83">
        <f>'Raw Data'!AA172/10</f>
        <v>28.8</v>
      </c>
      <c r="AB171" s="83">
        <f>'Raw Data'!AB172/10</f>
        <v>29.2</v>
      </c>
      <c r="AC171" s="83">
        <f>'Raw Data'!AC172/10</f>
        <v>29.8</v>
      </c>
      <c r="AD171" s="83">
        <f>'Raw Data'!AD172/10</f>
        <v>28.1</v>
      </c>
      <c r="AE171" s="83">
        <f>'Raw Data'!AE172/10</f>
        <v>31.2</v>
      </c>
      <c r="AF171" s="83">
        <f>'Raw Data'!AF172/10</f>
        <v>29</v>
      </c>
      <c r="AG171" s="83">
        <f>'Raw Data'!AG172/10</f>
        <v>26.2</v>
      </c>
      <c r="AH171" s="83">
        <f>'Raw Data'!AH172/10</f>
        <v>25.6</v>
      </c>
      <c r="AI171" s="83">
        <f>'Raw Data'!AI172/10</f>
        <v>26.2</v>
      </c>
      <c r="AJ171" s="83">
        <f>'Raw Data'!AJ172/10</f>
        <v>24.3</v>
      </c>
      <c r="AK171" s="83">
        <f>'Raw Data'!AK172/10</f>
        <v>28.1</v>
      </c>
      <c r="AL171" s="83">
        <f>'Raw Data'!AL172/10</f>
        <v>26.8</v>
      </c>
      <c r="AM171" s="83">
        <f>'Raw Data'!AM172/10</f>
        <v>28</v>
      </c>
      <c r="AN171" s="83">
        <f>'Raw Data'!AN172/10</f>
        <v>23</v>
      </c>
      <c r="AO171" s="83">
        <f>'Raw Data'!AO172/10</f>
        <v>26</v>
      </c>
      <c r="AP171" s="83">
        <f>'Raw Data'!AP172/10</f>
        <v>25.1</v>
      </c>
      <c r="AQ171" s="83">
        <f>'Raw Data'!AQ172/10</f>
        <v>25.5</v>
      </c>
      <c r="AR171" s="83">
        <f>'Raw Data'!AR172/10</f>
        <v>22.5</v>
      </c>
      <c r="AS171" s="83">
        <f>'Raw Data'!AS172/10</f>
        <v>25</v>
      </c>
      <c r="AT171" s="83">
        <f>'Raw Data'!AT172/10</f>
        <v>24.2</v>
      </c>
      <c r="AU171" s="83">
        <f>'Raw Data'!AU172/10</f>
        <v>25.3</v>
      </c>
      <c r="AV171" s="83">
        <f>'Raw Data'!AV172/10</f>
        <v>24.1</v>
      </c>
      <c r="AW171" s="83">
        <f>'Raw Data'!AW172/10</f>
        <v>23.3</v>
      </c>
      <c r="AX171" s="83">
        <f>'Raw Data'!AX172/10</f>
        <v>23.7</v>
      </c>
      <c r="AY171" s="83">
        <f>'Raw Data'!AY172/10</f>
        <v>25.2</v>
      </c>
      <c r="AZ171" s="83">
        <f>'Raw Data'!AZ172/10</f>
        <v>23</v>
      </c>
      <c r="BA171" s="83">
        <f>'Raw Data'!BA172/10</f>
        <v>23.8</v>
      </c>
      <c r="BB171" s="83">
        <f>'Raw Data'!BB172/10</f>
        <v>23.5</v>
      </c>
      <c r="BC171" s="83">
        <f>'Raw Data'!BC172/10</f>
        <v>22.7</v>
      </c>
      <c r="BD171" s="83">
        <f>'Raw Data'!BD172/10</f>
        <v>23.1</v>
      </c>
      <c r="BE171" s="83">
        <f>'Raw Data'!BE172/10</f>
        <v>23.6</v>
      </c>
      <c r="BF171" s="83">
        <f>'Raw Data'!BF172/10</f>
        <v>23.1</v>
      </c>
      <c r="BG171" s="83">
        <f>'Raw Data'!BG172/10</f>
        <v>23.4</v>
      </c>
      <c r="BH171" s="83">
        <f>'Raw Data'!BH172/10</f>
        <v>21.7</v>
      </c>
      <c r="BI171" s="83">
        <f>'Raw Data'!BI172/10</f>
        <v>24.1</v>
      </c>
      <c r="BJ171" s="83">
        <f>'Raw Data'!BJ172/10</f>
        <v>21.9</v>
      </c>
      <c r="BK171" s="83">
        <f>'Raw Data'!BK172/10</f>
        <v>22.5</v>
      </c>
      <c r="BL171" s="83">
        <f>'Raw Data'!BL172/10</f>
        <v>23.3</v>
      </c>
      <c r="BM171" s="83">
        <f>'Raw Data'!BM172/10</f>
        <v>23.5</v>
      </c>
      <c r="BN171" s="83">
        <f>'Raw Data'!BN172/10</f>
        <v>21</v>
      </c>
      <c r="BO171" s="83">
        <f>'Raw Data'!BO172/10</f>
        <v>21.1</v>
      </c>
      <c r="BP171" s="83">
        <f>'Raw Data'!BP172/10</f>
        <v>24</v>
      </c>
      <c r="BQ171" s="83">
        <f>'Raw Data'!BQ172/10</f>
        <v>24.5</v>
      </c>
      <c r="BR171" s="83">
        <f>'Raw Data'!BR172/10</f>
        <v>22.5</v>
      </c>
      <c r="BS171" s="83">
        <f>'Raw Data'!BS172/10</f>
        <v>21.8</v>
      </c>
      <c r="BT171" s="83">
        <f>'Raw Data'!BT172/10</f>
        <v>20.6</v>
      </c>
      <c r="BU171" s="83">
        <f>'Raw Data'!BU172/10</f>
        <v>21.2</v>
      </c>
      <c r="BV171" s="83">
        <f>'Raw Data'!BV172/10</f>
        <v>22.8</v>
      </c>
      <c r="BW171" s="83">
        <f>'Raw Data'!BW172/10</f>
        <v>19.7</v>
      </c>
      <c r="BX171" s="83">
        <f>'Raw Data'!BX172/10</f>
        <v>20.6</v>
      </c>
      <c r="BY171" s="83">
        <f>'Raw Data'!BY172/10</f>
        <v>19.8</v>
      </c>
      <c r="BZ171" s="83">
        <f>'Raw Data'!BZ172/10</f>
        <v>21.8</v>
      </c>
      <c r="CA171" s="83">
        <f>'Raw Data'!CA172/10</f>
        <v>21.4</v>
      </c>
      <c r="CB171" s="83">
        <f>'Raw Data'!CB172/10</f>
        <v>21.8</v>
      </c>
      <c r="CC171" s="83">
        <f>'Raw Data'!CC172/10</f>
        <v>20.5</v>
      </c>
      <c r="CD171" s="83">
        <f>'Raw Data'!CD172/10</f>
        <v>20.8</v>
      </c>
      <c r="CE171" s="83">
        <f>'Raw Data'!CE172/10</f>
        <v>20.3</v>
      </c>
      <c r="CF171" s="83">
        <f>'Raw Data'!CF172/10</f>
        <v>20.2</v>
      </c>
      <c r="CG171" s="83">
        <f>'Raw Data'!CG172/100</f>
        <v>21.2</v>
      </c>
      <c r="CH171" s="83">
        <f>'Raw Data'!CH172/100</f>
        <v>19.86</v>
      </c>
      <c r="CI171" s="83">
        <f>'Raw Data'!CI172/100</f>
        <v>19.809999999999999</v>
      </c>
      <c r="CJ171" s="83">
        <f>'Raw Data'!CJ172/100</f>
        <v>19.93</v>
      </c>
      <c r="CK171" s="83">
        <f>'Raw Data'!CK172/100</f>
        <v>19.53</v>
      </c>
      <c r="CL171" s="83">
        <f>'Raw Data'!CL172/100</f>
        <v>19.03</v>
      </c>
      <c r="CM171" s="83">
        <f>'Raw Data'!CM172/100</f>
        <v>18.78</v>
      </c>
      <c r="CN171" s="83">
        <f>'Raw Data'!CN172/100</f>
        <v>18.84</v>
      </c>
      <c r="CO171" s="83">
        <f>'Raw Data'!CO172/100</f>
        <v>18.670000000000002</v>
      </c>
      <c r="CP171" s="83">
        <f>'Raw Data'!CP172/100</f>
        <v>18.75</v>
      </c>
      <c r="CQ171" s="83">
        <f>'Raw Data'!CQ172/100</f>
        <v>17.899999999999999</v>
      </c>
      <c r="CR171" s="83">
        <f>'Raw Data'!CR172/100</f>
        <v>18.14</v>
      </c>
      <c r="CS171" s="83">
        <f>'Raw Data'!CS172/100</f>
        <v>18.02</v>
      </c>
      <c r="CT171" s="83">
        <f>'Raw Data'!CT172/100</f>
        <v>17.41</v>
      </c>
      <c r="CU171" s="382"/>
    </row>
    <row r="172" spans="4:99" s="86" customFormat="1" x14ac:dyDescent="0.2">
      <c r="D172" s="377"/>
      <c r="E172" s="164"/>
      <c r="F172" s="394"/>
      <c r="G172" s="85">
        <f>'Raw Data'!G173</f>
        <v>727</v>
      </c>
      <c r="H172" s="85">
        <f>'Raw Data'!H173</f>
        <v>733</v>
      </c>
      <c r="I172" s="85">
        <f>'Raw Data'!I173</f>
        <v>749</v>
      </c>
      <c r="J172" s="85">
        <f>'Raw Data'!J173</f>
        <v>743</v>
      </c>
      <c r="K172" s="85">
        <f>'Raw Data'!K173</f>
        <v>742</v>
      </c>
      <c r="L172" s="85">
        <f>'Raw Data'!L173</f>
        <v>734</v>
      </c>
      <c r="M172" s="85">
        <f>'Raw Data'!M173</f>
        <v>757</v>
      </c>
      <c r="N172" s="85">
        <f>'Raw Data'!N173</f>
        <v>727</v>
      </c>
      <c r="O172" s="85">
        <f>'Raw Data'!O173</f>
        <v>698</v>
      </c>
      <c r="P172" s="85">
        <f>'Raw Data'!P173</f>
        <v>721</v>
      </c>
      <c r="Q172" s="85">
        <f>'Raw Data'!Q173</f>
        <v>731</v>
      </c>
      <c r="R172" s="85">
        <f>'Raw Data'!R173</f>
        <v>704</v>
      </c>
      <c r="S172" s="85">
        <f>'Raw Data'!S173</f>
        <v>714</v>
      </c>
      <c r="T172" s="85">
        <f>'Raw Data'!T173</f>
        <v>723</v>
      </c>
      <c r="U172" s="85">
        <f>'Raw Data'!U173</f>
        <v>731</v>
      </c>
      <c r="V172" s="85">
        <f>'Raw Data'!V173</f>
        <v>685</v>
      </c>
      <c r="W172" s="85">
        <f>'Raw Data'!W173</f>
        <v>697</v>
      </c>
      <c r="X172" s="85">
        <f>'Raw Data'!X173</f>
        <v>699</v>
      </c>
      <c r="Y172" s="85">
        <f>'Raw Data'!Y173</f>
        <v>701</v>
      </c>
      <c r="Z172" s="85">
        <f>'Raw Data'!Z173</f>
        <v>725</v>
      </c>
      <c r="AA172" s="85">
        <f>'Raw Data'!AA173/10</f>
        <v>674</v>
      </c>
      <c r="AB172" s="85">
        <f>'Raw Data'!AB173/10</f>
        <v>641.70000000000005</v>
      </c>
      <c r="AC172" s="85">
        <f>'Raw Data'!AC173/10</f>
        <v>617.4</v>
      </c>
      <c r="AD172" s="85">
        <f>'Raw Data'!AD173/10</f>
        <v>586.20000000000005</v>
      </c>
      <c r="AE172" s="85">
        <f>'Raw Data'!AE173/10</f>
        <v>588.70000000000005</v>
      </c>
      <c r="AF172" s="85">
        <f>'Raw Data'!AF173/10</f>
        <v>527</v>
      </c>
      <c r="AG172" s="85">
        <f>'Raw Data'!AG173/10</f>
        <v>505.6</v>
      </c>
      <c r="AH172" s="85">
        <f>'Raw Data'!AH173/10</f>
        <v>487.4</v>
      </c>
      <c r="AI172" s="85">
        <f>'Raw Data'!AI173/10</f>
        <v>452.3</v>
      </c>
      <c r="AJ172" s="85">
        <f>'Raw Data'!AJ173/10</f>
        <v>446.5</v>
      </c>
      <c r="AK172" s="85">
        <f>'Raw Data'!AK173/10</f>
        <v>415.7</v>
      </c>
      <c r="AL172" s="85">
        <f>'Raw Data'!AL173/10</f>
        <v>405.8</v>
      </c>
      <c r="AM172" s="85">
        <f>'Raw Data'!AM173/10</f>
        <v>381.2</v>
      </c>
      <c r="AN172" s="85">
        <f>'Raw Data'!AN173/10</f>
        <v>366.5</v>
      </c>
      <c r="AO172" s="85">
        <f>'Raw Data'!AO173/10</f>
        <v>354.5</v>
      </c>
      <c r="AP172" s="85">
        <f>'Raw Data'!AP173/10</f>
        <v>343.5</v>
      </c>
      <c r="AQ172" s="85">
        <f>'Raw Data'!AQ173/10</f>
        <v>330.9</v>
      </c>
      <c r="AR172" s="85">
        <f>'Raw Data'!AR173/10</f>
        <v>314.10000000000002</v>
      </c>
      <c r="AS172" s="85">
        <f>'Raw Data'!AS173/10</f>
        <v>298.7</v>
      </c>
      <c r="AT172" s="85">
        <f>'Raw Data'!AT173/10</f>
        <v>298.5</v>
      </c>
      <c r="AU172" s="85">
        <f>'Raw Data'!AU173/10</f>
        <v>284.2</v>
      </c>
      <c r="AV172" s="85">
        <f>'Raw Data'!AV173/10</f>
        <v>276.8</v>
      </c>
      <c r="AW172" s="85">
        <f>'Raw Data'!AW173/10</f>
        <v>267.10000000000002</v>
      </c>
      <c r="AX172" s="85">
        <f>'Raw Data'!AX173/10</f>
        <v>254.3</v>
      </c>
      <c r="AY172" s="85">
        <f>'Raw Data'!AY173/10</f>
        <v>249.5</v>
      </c>
      <c r="AZ172" s="85">
        <f>'Raw Data'!AZ173/10</f>
        <v>239.1</v>
      </c>
      <c r="BA172" s="85">
        <f>'Raw Data'!BA173/10</f>
        <v>233.1</v>
      </c>
      <c r="BB172" s="85">
        <f>'Raw Data'!BB173/10</f>
        <v>228.6</v>
      </c>
      <c r="BC172" s="85">
        <f>'Raw Data'!BC173/10</f>
        <v>225.3</v>
      </c>
      <c r="BD172" s="85">
        <f>'Raw Data'!BD173/10</f>
        <v>215.6</v>
      </c>
      <c r="BE172" s="85">
        <f>'Raw Data'!BE173/10</f>
        <v>207.5</v>
      </c>
      <c r="BF172" s="85">
        <f>'Raw Data'!BF173/10</f>
        <v>202</v>
      </c>
      <c r="BG172" s="85">
        <f>'Raw Data'!BG173/10</f>
        <v>195.3</v>
      </c>
      <c r="BH172" s="85">
        <f>'Raw Data'!BH173/10</f>
        <v>192.1</v>
      </c>
      <c r="BI172" s="85">
        <f>'Raw Data'!BI173/10</f>
        <v>182.4</v>
      </c>
      <c r="BJ172" s="85">
        <f>'Raw Data'!BJ173/10</f>
        <v>177.2</v>
      </c>
      <c r="BK172" s="85">
        <f>'Raw Data'!BK173/10</f>
        <v>178.3</v>
      </c>
      <c r="BL172" s="85">
        <f>'Raw Data'!BL173/10</f>
        <v>171</v>
      </c>
      <c r="BM172" s="85">
        <f>'Raw Data'!BM173/10</f>
        <v>166.6</v>
      </c>
      <c r="BN172" s="85">
        <f>'Raw Data'!BN173/10</f>
        <v>163.4</v>
      </c>
      <c r="BO172" s="85">
        <f>'Raw Data'!BO173/10</f>
        <v>159.5</v>
      </c>
      <c r="BP172" s="85">
        <f>'Raw Data'!BP173/10</f>
        <v>154.5</v>
      </c>
      <c r="BQ172" s="85">
        <f>'Raw Data'!BQ173/10</f>
        <v>151.1</v>
      </c>
      <c r="BR172" s="85">
        <f>'Raw Data'!BR173/10</f>
        <v>146.30000000000001</v>
      </c>
      <c r="BS172" s="85">
        <f>'Raw Data'!BS173/10</f>
        <v>148.4</v>
      </c>
      <c r="BT172" s="85">
        <f>'Raw Data'!BT173/10</f>
        <v>149.5</v>
      </c>
      <c r="BU172" s="85">
        <f>'Raw Data'!BU173/10</f>
        <v>143.1</v>
      </c>
      <c r="BV172" s="85">
        <f>'Raw Data'!BV173/10</f>
        <v>143.80000000000001</v>
      </c>
      <c r="BW172" s="85">
        <f>'Raw Data'!BW173/10</f>
        <v>134.30000000000001</v>
      </c>
      <c r="BX172" s="85">
        <f>'Raw Data'!BX173/10</f>
        <v>131.1</v>
      </c>
      <c r="BY172" s="85">
        <f>'Raw Data'!BY173/10</f>
        <v>127.8</v>
      </c>
      <c r="BZ172" s="85">
        <f>'Raw Data'!BZ173/10</f>
        <v>129</v>
      </c>
      <c r="CA172" s="85">
        <f>'Raw Data'!CA173/10</f>
        <v>124.7</v>
      </c>
      <c r="CB172" s="85">
        <f>'Raw Data'!CB173/10</f>
        <v>115.6</v>
      </c>
      <c r="CC172" s="85">
        <f>'Raw Data'!CC173/10</f>
        <v>124.3</v>
      </c>
      <c r="CD172" s="85">
        <f>'Raw Data'!CD173/10</f>
        <v>117.4</v>
      </c>
      <c r="CE172" s="85">
        <f>'Raw Data'!CE173/10</f>
        <v>115.1</v>
      </c>
      <c r="CF172" s="85">
        <f>'Raw Data'!CF173/10</f>
        <v>112</v>
      </c>
      <c r="CG172" s="85">
        <f>'Raw Data'!CG173/100</f>
        <v>105.45</v>
      </c>
      <c r="CH172" s="85">
        <f>'Raw Data'!CH173/100</f>
        <v>91.4</v>
      </c>
      <c r="CI172" s="85">
        <f>'Raw Data'!CI173/100</f>
        <v>81.41</v>
      </c>
      <c r="CJ172" s="85">
        <f>'Raw Data'!CJ173/100</f>
        <v>72.7</v>
      </c>
      <c r="CK172" s="85">
        <f>'Raw Data'!CK173/100</f>
        <v>66.569999999999993</v>
      </c>
      <c r="CL172" s="85">
        <f>'Raw Data'!CL173/100</f>
        <v>61.39</v>
      </c>
      <c r="CM172" s="85">
        <f>'Raw Data'!CM173/100</f>
        <v>56.47</v>
      </c>
      <c r="CN172" s="85">
        <f>'Raw Data'!CN173/100</f>
        <v>52.54</v>
      </c>
      <c r="CO172" s="85">
        <f>'Raw Data'!CO173/100</f>
        <v>50.06</v>
      </c>
      <c r="CP172" s="85">
        <f>'Raw Data'!CP173/100</f>
        <v>47.05</v>
      </c>
      <c r="CQ172" s="85">
        <f>'Raw Data'!CQ173/100</f>
        <v>45.39</v>
      </c>
      <c r="CR172" s="85">
        <f>'Raw Data'!CR173/100</f>
        <v>42.97</v>
      </c>
      <c r="CS172" s="85">
        <f>'Raw Data'!CS173/100</f>
        <v>41.51</v>
      </c>
      <c r="CT172" s="85">
        <f>'Raw Data'!CT173/100</f>
        <v>40.409999999999997</v>
      </c>
      <c r="CU172" s="382"/>
    </row>
    <row r="173" spans="4:99" s="86" customFormat="1" x14ac:dyDescent="0.2">
      <c r="D173" s="375"/>
      <c r="E173" s="164"/>
      <c r="F173" s="394"/>
      <c r="G173" s="86">
        <f>'Raw Data'!G174</f>
        <v>875</v>
      </c>
      <c r="H173" s="86">
        <f>'Raw Data'!H174</f>
        <v>843</v>
      </c>
      <c r="I173" s="86">
        <f>'Raw Data'!I174</f>
        <v>864</v>
      </c>
      <c r="J173" s="86">
        <f>'Raw Data'!J174</f>
        <v>865</v>
      </c>
      <c r="K173" s="86">
        <f>'Raw Data'!K174</f>
        <v>799</v>
      </c>
      <c r="L173" s="86">
        <f>'Raw Data'!L174</f>
        <v>805</v>
      </c>
      <c r="M173" s="86">
        <f>'Raw Data'!M174</f>
        <v>786</v>
      </c>
      <c r="N173" s="86">
        <f>'Raw Data'!N174</f>
        <v>808</v>
      </c>
      <c r="O173" s="86">
        <f>'Raw Data'!O174</f>
        <v>781</v>
      </c>
      <c r="P173" s="86">
        <f>'Raw Data'!P174</f>
        <v>809</v>
      </c>
      <c r="Q173" s="86">
        <f>'Raw Data'!Q174</f>
        <v>787</v>
      </c>
      <c r="R173" s="86">
        <f>'Raw Data'!R174</f>
        <v>755</v>
      </c>
      <c r="S173" s="86">
        <f>'Raw Data'!S174</f>
        <v>1023</v>
      </c>
      <c r="T173" s="86">
        <f>'Raw Data'!T174</f>
        <v>780</v>
      </c>
      <c r="U173" s="86">
        <f>'Raw Data'!U174</f>
        <v>770</v>
      </c>
      <c r="V173" s="86">
        <f>'Raw Data'!V174</f>
        <v>770</v>
      </c>
      <c r="W173" s="86">
        <f>'Raw Data'!W174</f>
        <v>770</v>
      </c>
      <c r="X173" s="86">
        <f>'Raw Data'!X174</f>
        <v>741</v>
      </c>
      <c r="Y173" s="86">
        <f>'Raw Data'!Y174</f>
        <v>772</v>
      </c>
      <c r="Z173" s="86">
        <f>'Raw Data'!Z174</f>
        <v>757</v>
      </c>
      <c r="AA173" s="86">
        <f>'Raw Data'!AA174/10</f>
        <v>749.3</v>
      </c>
      <c r="AB173" s="86">
        <f>'Raw Data'!AB174/10</f>
        <v>697.2</v>
      </c>
      <c r="AC173" s="86">
        <f>'Raw Data'!AC174/10</f>
        <v>671.2</v>
      </c>
      <c r="AD173" s="86">
        <f>'Raw Data'!AD174/10</f>
        <v>631.4</v>
      </c>
      <c r="AE173" s="86">
        <f>'Raw Data'!AE174/10</f>
        <v>604.79999999999995</v>
      </c>
      <c r="AF173" s="86">
        <f>'Raw Data'!AF174/10</f>
        <v>577.70000000000005</v>
      </c>
      <c r="AG173" s="86">
        <f>'Raw Data'!AG174/10</f>
        <v>550.20000000000005</v>
      </c>
      <c r="AH173" s="86">
        <f>'Raw Data'!AH174/10</f>
        <v>522</v>
      </c>
      <c r="AI173" s="86">
        <f>'Raw Data'!AI174/10</f>
        <v>497.5</v>
      </c>
      <c r="AJ173" s="86">
        <f>'Raw Data'!AJ174/10</f>
        <v>476.8</v>
      </c>
      <c r="AK173" s="86">
        <f>'Raw Data'!AK174/10</f>
        <v>486.3</v>
      </c>
      <c r="AL173" s="86">
        <f>'Raw Data'!AL174/10</f>
        <v>440.1</v>
      </c>
      <c r="AM173" s="86">
        <f>'Raw Data'!AM174/10</f>
        <v>418.9</v>
      </c>
      <c r="AN173" s="86">
        <f>'Raw Data'!AN174/10</f>
        <v>401.7</v>
      </c>
      <c r="AO173" s="86">
        <f>'Raw Data'!AO174/10</f>
        <v>394.4</v>
      </c>
      <c r="AP173" s="86">
        <f>'Raw Data'!AP174/10</f>
        <v>374.3</v>
      </c>
      <c r="AQ173" s="86">
        <f>'Raw Data'!AQ174/10</f>
        <v>353.2</v>
      </c>
      <c r="AR173" s="86">
        <f>'Raw Data'!AR174/10</f>
        <v>343.3</v>
      </c>
      <c r="AS173" s="86">
        <f>'Raw Data'!AS174/10</f>
        <v>334.8</v>
      </c>
      <c r="AT173" s="86">
        <f>'Raw Data'!AT174/10</f>
        <v>319.3</v>
      </c>
      <c r="AU173" s="86">
        <f>'Raw Data'!AU174/10</f>
        <v>306.2</v>
      </c>
      <c r="AV173" s="86">
        <f>'Raw Data'!AV174/10</f>
        <v>299.5</v>
      </c>
      <c r="AW173" s="86">
        <f>'Raw Data'!AW174/10</f>
        <v>285.10000000000002</v>
      </c>
      <c r="AX173" s="86">
        <f>'Raw Data'!AX174/10</f>
        <v>274.3</v>
      </c>
      <c r="AY173" s="86">
        <f>'Raw Data'!AY174/10</f>
        <v>269.7</v>
      </c>
      <c r="AZ173" s="86">
        <f>'Raw Data'!AZ174/10</f>
        <v>261.5</v>
      </c>
      <c r="BA173" s="86">
        <f>'Raw Data'!BA174/10</f>
        <v>253.9</v>
      </c>
      <c r="BB173" s="86">
        <f>'Raw Data'!BB174/10</f>
        <v>249.5</v>
      </c>
      <c r="BC173" s="86">
        <f>'Raw Data'!BC174/10</f>
        <v>240.5</v>
      </c>
      <c r="BD173" s="86">
        <f>'Raw Data'!BD174/10</f>
        <v>228.4</v>
      </c>
      <c r="BE173" s="86">
        <f>'Raw Data'!BE174/10</f>
        <v>233.4</v>
      </c>
      <c r="BF173" s="86">
        <f>'Raw Data'!BF174/10</f>
        <v>218.2</v>
      </c>
      <c r="BG173" s="86">
        <f>'Raw Data'!BG174/10</f>
        <v>212.6</v>
      </c>
      <c r="BH173" s="86">
        <f>'Raw Data'!BH174/10</f>
        <v>211.4</v>
      </c>
      <c r="BI173" s="86">
        <f>'Raw Data'!BI174/10</f>
        <v>206.9</v>
      </c>
      <c r="BJ173" s="86">
        <f>'Raw Data'!BJ174/10</f>
        <v>198.7</v>
      </c>
      <c r="BK173" s="86">
        <f>'Raw Data'!BK174/10</f>
        <v>192.3</v>
      </c>
      <c r="BL173" s="86">
        <f>'Raw Data'!BL174/10</f>
        <v>185.1</v>
      </c>
      <c r="BM173" s="86">
        <f>'Raw Data'!BM174/10</f>
        <v>179.2</v>
      </c>
      <c r="BN173" s="86">
        <f>'Raw Data'!BN174/10</f>
        <v>182</v>
      </c>
      <c r="BO173" s="86">
        <f>'Raw Data'!BO174/10</f>
        <v>176.7</v>
      </c>
      <c r="BP173" s="86">
        <f>'Raw Data'!BP174/10</f>
        <v>174.7</v>
      </c>
      <c r="BQ173" s="86">
        <f>'Raw Data'!BQ174/10</f>
        <v>172.6</v>
      </c>
      <c r="BR173" s="86">
        <f>'Raw Data'!BR174/10</f>
        <v>165.2</v>
      </c>
      <c r="BS173" s="86">
        <f>'Raw Data'!BS174/10</f>
        <v>158.5</v>
      </c>
      <c r="BT173" s="86">
        <f>'Raw Data'!BT174/10</f>
        <v>155.19999999999999</v>
      </c>
      <c r="BU173" s="86">
        <f>'Raw Data'!BU174/10</f>
        <v>156</v>
      </c>
      <c r="BV173" s="86">
        <f>'Raw Data'!BV174/10</f>
        <v>154.80000000000001</v>
      </c>
      <c r="BW173" s="86">
        <f>'Raw Data'!BW174/10</f>
        <v>146.80000000000001</v>
      </c>
      <c r="BX173" s="86">
        <f>'Raw Data'!BX174/10</f>
        <v>147.19999999999999</v>
      </c>
      <c r="BY173" s="86">
        <f>'Raw Data'!BY174/10</f>
        <v>145.19999999999999</v>
      </c>
      <c r="BZ173" s="86">
        <f>'Raw Data'!BZ174/10</f>
        <v>138.6</v>
      </c>
      <c r="CA173" s="86">
        <f>'Raw Data'!CA174/10</f>
        <v>136</v>
      </c>
      <c r="CB173" s="86">
        <f>'Raw Data'!CB174/10</f>
        <v>109.5</v>
      </c>
      <c r="CC173" s="86">
        <f>'Raw Data'!CC174/10</f>
        <v>137.9</v>
      </c>
      <c r="CD173" s="86">
        <f>'Raw Data'!CD174/10</f>
        <v>134.1</v>
      </c>
      <c r="CE173" s="86">
        <f>'Raw Data'!CE174/10</f>
        <v>131.69999999999999</v>
      </c>
      <c r="CF173" s="86">
        <f>'Raw Data'!CF174/10</f>
        <v>122.1</v>
      </c>
      <c r="CG173" s="86">
        <f>'Raw Data'!CG174/100</f>
        <v>119.04</v>
      </c>
      <c r="CH173" s="86">
        <f>'Raw Data'!CH174/100</f>
        <v>103.63</v>
      </c>
      <c r="CI173" s="86">
        <f>'Raw Data'!CI174/100</f>
        <v>91.93</v>
      </c>
      <c r="CJ173" s="86">
        <f>'Raw Data'!CJ174/100</f>
        <v>83.8</v>
      </c>
      <c r="CK173" s="86">
        <f>'Raw Data'!CK174/100</f>
        <v>76.89</v>
      </c>
      <c r="CL173" s="86">
        <f>'Raw Data'!CL174/100</f>
        <v>71.930000000000007</v>
      </c>
      <c r="CM173" s="86">
        <f>'Raw Data'!CM174/100</f>
        <v>66.12</v>
      </c>
      <c r="CN173" s="86">
        <f>'Raw Data'!CN174/100</f>
        <v>62.74</v>
      </c>
      <c r="CO173" s="86">
        <f>'Raw Data'!CO174/100</f>
        <v>59.06</v>
      </c>
      <c r="CP173" s="86">
        <f>'Raw Data'!CP174/100</f>
        <v>55.81</v>
      </c>
      <c r="CQ173" s="86">
        <f>'Raw Data'!CQ174/100</f>
        <v>53.88</v>
      </c>
      <c r="CR173" s="86">
        <f>'Raw Data'!CR174/100</f>
        <v>52.65</v>
      </c>
      <c r="CS173" s="86">
        <f>'Raw Data'!CS174/100</f>
        <v>48.92</v>
      </c>
      <c r="CT173" s="86">
        <f>'Raw Data'!CT174/100</f>
        <v>49.42</v>
      </c>
      <c r="CU173" s="382"/>
    </row>
    <row r="174" spans="4:99" s="86" customFormat="1" x14ac:dyDescent="0.2">
      <c r="D174" s="375"/>
      <c r="E174" s="164"/>
      <c r="F174" s="394"/>
      <c r="G174" s="86">
        <f>'Raw Data'!G175</f>
        <v>572</v>
      </c>
      <c r="H174" s="86">
        <f>'Raw Data'!H175</f>
        <v>565</v>
      </c>
      <c r="I174" s="86">
        <f>'Raw Data'!I175</f>
        <v>543</v>
      </c>
      <c r="J174" s="86">
        <f>'Raw Data'!J175</f>
        <v>548</v>
      </c>
      <c r="K174" s="86">
        <f>'Raw Data'!K175</f>
        <v>572</v>
      </c>
      <c r="L174" s="86">
        <f>'Raw Data'!L175</f>
        <v>556</v>
      </c>
      <c r="M174" s="86">
        <f>'Raw Data'!M175</f>
        <v>584</v>
      </c>
      <c r="N174" s="86">
        <f>'Raw Data'!N175</f>
        <v>555</v>
      </c>
      <c r="O174" s="86">
        <f>'Raw Data'!O175</f>
        <v>531</v>
      </c>
      <c r="P174" s="86">
        <f>'Raw Data'!P175</f>
        <v>575</v>
      </c>
      <c r="Q174" s="86">
        <f>'Raw Data'!Q175</f>
        <v>529</v>
      </c>
      <c r="R174" s="86">
        <f>'Raw Data'!R175</f>
        <v>548</v>
      </c>
      <c r="S174" s="86">
        <f>'Raw Data'!S175</f>
        <v>521</v>
      </c>
      <c r="T174" s="86">
        <f>'Raw Data'!T175</f>
        <v>524</v>
      </c>
      <c r="U174" s="86">
        <f>'Raw Data'!U175</f>
        <v>547</v>
      </c>
      <c r="V174" s="86">
        <f>'Raw Data'!V175</f>
        <v>521</v>
      </c>
      <c r="W174" s="86">
        <f>'Raw Data'!W175</f>
        <v>522</v>
      </c>
      <c r="X174" s="86">
        <f>'Raw Data'!X175</f>
        <v>498</v>
      </c>
      <c r="Y174" s="86">
        <f>'Raw Data'!Y175</f>
        <v>527</v>
      </c>
      <c r="Z174" s="86">
        <f>'Raw Data'!Z175</f>
        <v>531</v>
      </c>
      <c r="AA174" s="86">
        <f>'Raw Data'!AA175/10</f>
        <v>513.1</v>
      </c>
      <c r="AB174" s="86">
        <f>'Raw Data'!AB175/10</f>
        <v>482.3</v>
      </c>
      <c r="AC174" s="86">
        <f>'Raw Data'!AC175/10</f>
        <v>454.8</v>
      </c>
      <c r="AD174" s="86">
        <f>'Raw Data'!AD175/10</f>
        <v>436.2</v>
      </c>
      <c r="AE174" s="86">
        <f>'Raw Data'!AE175/10</f>
        <v>413.8</v>
      </c>
      <c r="AF174" s="86">
        <f>'Raw Data'!AF175/10</f>
        <v>398.5</v>
      </c>
      <c r="AG174" s="86">
        <f>'Raw Data'!AG175/10</f>
        <v>369.8</v>
      </c>
      <c r="AH174" s="86">
        <f>'Raw Data'!AH175/10</f>
        <v>357.2</v>
      </c>
      <c r="AI174" s="86">
        <f>'Raw Data'!AI175/10</f>
        <v>341.5</v>
      </c>
      <c r="AJ174" s="86">
        <f>'Raw Data'!AJ175/10</f>
        <v>323.39999999999998</v>
      </c>
      <c r="AK174" s="86">
        <f>'Raw Data'!AK175/10</f>
        <v>315.3</v>
      </c>
      <c r="AL174" s="86">
        <f>'Raw Data'!AL175/10</f>
        <v>306.5</v>
      </c>
      <c r="AM174" s="86">
        <f>'Raw Data'!AM175/10</f>
        <v>285</v>
      </c>
      <c r="AN174" s="86">
        <f>'Raw Data'!AN175/10</f>
        <v>278.7</v>
      </c>
      <c r="AO174" s="86">
        <f>'Raw Data'!AO175/10</f>
        <v>267.39999999999998</v>
      </c>
      <c r="AP174" s="86">
        <f>'Raw Data'!AP175/10</f>
        <v>250.1</v>
      </c>
      <c r="AQ174" s="86">
        <f>'Raw Data'!AQ175/10</f>
        <v>248.8</v>
      </c>
      <c r="AR174" s="86">
        <f>'Raw Data'!AR175/10</f>
        <v>235.6</v>
      </c>
      <c r="AS174" s="86">
        <f>'Raw Data'!AS175/10</f>
        <v>226.9</v>
      </c>
      <c r="AT174" s="86">
        <f>'Raw Data'!AT175/10</f>
        <v>217.5</v>
      </c>
      <c r="AU174" s="86">
        <f>'Raw Data'!AU175/10</f>
        <v>205.4</v>
      </c>
      <c r="AV174" s="86">
        <f>'Raw Data'!AV175/10</f>
        <v>203.1</v>
      </c>
      <c r="AW174" s="86">
        <f>'Raw Data'!AW175/10</f>
        <v>197</v>
      </c>
      <c r="AX174" s="86">
        <f>'Raw Data'!AX175/10</f>
        <v>195.2</v>
      </c>
      <c r="AY174" s="86">
        <f>'Raw Data'!AY175/10</f>
        <v>189.6</v>
      </c>
      <c r="AZ174" s="86">
        <f>'Raw Data'!AZ175/10</f>
        <v>174.7</v>
      </c>
      <c r="BA174" s="86">
        <f>'Raw Data'!BA175/10</f>
        <v>173</v>
      </c>
      <c r="BB174" s="86">
        <f>'Raw Data'!BB175/10</f>
        <v>172.4</v>
      </c>
      <c r="BC174" s="86">
        <f>'Raw Data'!BC175/10</f>
        <v>158.1</v>
      </c>
      <c r="BD174" s="86">
        <f>'Raw Data'!BD175/10</f>
        <v>156</v>
      </c>
      <c r="BE174" s="86">
        <f>'Raw Data'!BE175/10</f>
        <v>154.9</v>
      </c>
      <c r="BF174" s="86">
        <f>'Raw Data'!BF175/10</f>
        <v>151</v>
      </c>
      <c r="BG174" s="86">
        <f>'Raw Data'!BG175/10</f>
        <v>149.1</v>
      </c>
      <c r="BH174" s="86">
        <f>'Raw Data'!BH175/10</f>
        <v>143.19999999999999</v>
      </c>
      <c r="BI174" s="86">
        <f>'Raw Data'!BI175/10</f>
        <v>139.5</v>
      </c>
      <c r="BJ174" s="86">
        <f>'Raw Data'!BJ175/10</f>
        <v>134.19999999999999</v>
      </c>
      <c r="BK174" s="86">
        <f>'Raw Data'!BK175/10</f>
        <v>134.5</v>
      </c>
      <c r="BL174" s="86">
        <f>'Raw Data'!BL175/10</f>
        <v>129.5</v>
      </c>
      <c r="BM174" s="86">
        <f>'Raw Data'!BM175/10</f>
        <v>123.3</v>
      </c>
      <c r="BN174" s="86">
        <f>'Raw Data'!BN175/10</f>
        <v>121.9</v>
      </c>
      <c r="BO174" s="86">
        <f>'Raw Data'!BO175/10</f>
        <v>121.5</v>
      </c>
      <c r="BP174" s="86">
        <f>'Raw Data'!BP175/10</f>
        <v>117.1</v>
      </c>
      <c r="BQ174" s="86">
        <f>'Raw Data'!BQ175/10</f>
        <v>118.9</v>
      </c>
      <c r="BR174" s="86">
        <f>'Raw Data'!BR175/10</f>
        <v>109.2</v>
      </c>
      <c r="BS174" s="86">
        <f>'Raw Data'!BS175/10</f>
        <v>108</v>
      </c>
      <c r="BT174" s="86">
        <f>'Raw Data'!BT175/10</f>
        <v>101.2</v>
      </c>
      <c r="BU174" s="86">
        <f>'Raw Data'!BU175/10</f>
        <v>108.8</v>
      </c>
      <c r="BV174" s="86">
        <f>'Raw Data'!BV175/10</f>
        <v>104.5</v>
      </c>
      <c r="BW174" s="86">
        <f>'Raw Data'!BW175/10</f>
        <v>100.6</v>
      </c>
      <c r="BX174" s="86">
        <f>'Raw Data'!BX175/10</f>
        <v>95.9</v>
      </c>
      <c r="BY174" s="86">
        <f>'Raw Data'!BY175/10</f>
        <v>95.8</v>
      </c>
      <c r="BZ174" s="86">
        <f>'Raw Data'!BZ175/10</f>
        <v>100.6</v>
      </c>
      <c r="CA174" s="86">
        <f>'Raw Data'!CA175/10</f>
        <v>94</v>
      </c>
      <c r="CB174" s="86">
        <f>'Raw Data'!CB175/10</f>
        <v>89</v>
      </c>
      <c r="CC174" s="86">
        <f>'Raw Data'!CC175/10</f>
        <v>93.5</v>
      </c>
      <c r="CD174" s="86">
        <f>'Raw Data'!CD175/10</f>
        <v>87.7</v>
      </c>
      <c r="CE174" s="86">
        <f>'Raw Data'!CE175/10</f>
        <v>87.4</v>
      </c>
      <c r="CF174" s="86">
        <f>'Raw Data'!CF175/10</f>
        <v>85.8</v>
      </c>
      <c r="CG174" s="86">
        <f>'Raw Data'!CG175/100</f>
        <v>79.11</v>
      </c>
      <c r="CH174" s="86">
        <f>'Raw Data'!CH175/100</f>
        <v>68.92</v>
      </c>
      <c r="CI174" s="86">
        <f>'Raw Data'!CI175/100</f>
        <v>61.02</v>
      </c>
      <c r="CJ174" s="86">
        <f>'Raw Data'!CJ175/100</f>
        <v>55.88</v>
      </c>
      <c r="CK174" s="86">
        <f>'Raw Data'!CK175/100</f>
        <v>51.69</v>
      </c>
      <c r="CL174" s="86">
        <f>'Raw Data'!CL175/100</f>
        <v>47.6</v>
      </c>
      <c r="CM174" s="86">
        <f>'Raw Data'!CM175/100</f>
        <v>44.4</v>
      </c>
      <c r="CN174" s="86">
        <f>'Raw Data'!CN175/100</f>
        <v>41.11</v>
      </c>
      <c r="CO174" s="86">
        <f>'Raw Data'!CO175/100</f>
        <v>39.450000000000003</v>
      </c>
      <c r="CP174" s="86">
        <f>'Raw Data'!CP175/100</f>
        <v>37.630000000000003</v>
      </c>
      <c r="CQ174" s="86">
        <f>'Raw Data'!CQ175/100</f>
        <v>36.18</v>
      </c>
      <c r="CR174" s="86">
        <f>'Raw Data'!CR175/100</f>
        <v>34.69</v>
      </c>
      <c r="CS174" s="86">
        <f>'Raw Data'!CS175/100</f>
        <v>33.11</v>
      </c>
      <c r="CT174" s="86">
        <f>'Raw Data'!CT175/100</f>
        <v>32.28</v>
      </c>
      <c r="CU174" s="382"/>
    </row>
    <row r="175" spans="4:99" s="86" customFormat="1" x14ac:dyDescent="0.2">
      <c r="D175" s="375"/>
      <c r="E175" s="164"/>
      <c r="F175" s="394"/>
      <c r="G175" s="86">
        <f>'Raw Data'!G176</f>
        <v>925</v>
      </c>
      <c r="H175" s="86">
        <f>'Raw Data'!H176</f>
        <v>913</v>
      </c>
      <c r="I175" s="86">
        <f>'Raw Data'!I176</f>
        <v>886</v>
      </c>
      <c r="J175" s="86">
        <f>'Raw Data'!J176</f>
        <v>923</v>
      </c>
      <c r="K175" s="86">
        <f>'Raw Data'!K176</f>
        <v>918</v>
      </c>
      <c r="L175" s="86">
        <f>'Raw Data'!L176</f>
        <v>894</v>
      </c>
      <c r="M175" s="86">
        <f>'Raw Data'!M176</f>
        <v>914</v>
      </c>
      <c r="N175" s="86">
        <f>'Raw Data'!N176</f>
        <v>860</v>
      </c>
      <c r="O175" s="86">
        <f>'Raw Data'!O176</f>
        <v>905</v>
      </c>
      <c r="P175" s="86">
        <f>'Raw Data'!P176</f>
        <v>864</v>
      </c>
      <c r="Q175" s="86">
        <f>'Raw Data'!Q176</f>
        <v>928</v>
      </c>
      <c r="R175" s="86">
        <f>'Raw Data'!R176</f>
        <v>888</v>
      </c>
      <c r="S175" s="86">
        <f>'Raw Data'!S176</f>
        <v>871</v>
      </c>
      <c r="T175" s="86">
        <f>'Raw Data'!T176</f>
        <v>858</v>
      </c>
      <c r="U175" s="86">
        <f>'Raw Data'!U176</f>
        <v>872</v>
      </c>
      <c r="V175" s="86">
        <f>'Raw Data'!V176</f>
        <v>878</v>
      </c>
      <c r="W175" s="86">
        <f>'Raw Data'!W176</f>
        <v>826</v>
      </c>
      <c r="X175" s="86">
        <f>'Raw Data'!X176</f>
        <v>893</v>
      </c>
      <c r="Y175" s="86">
        <f>'Raw Data'!Y176</f>
        <v>864</v>
      </c>
      <c r="Z175" s="86">
        <f>'Raw Data'!Z176</f>
        <v>866</v>
      </c>
      <c r="AA175" s="86">
        <f>'Raw Data'!AA176/10</f>
        <v>834.4</v>
      </c>
      <c r="AB175" s="86">
        <f>'Raw Data'!AB176/10</f>
        <v>779.1</v>
      </c>
      <c r="AC175" s="86">
        <f>'Raw Data'!AC176/10</f>
        <v>752.6</v>
      </c>
      <c r="AD175" s="86">
        <f>'Raw Data'!AD176/10</f>
        <v>705.1</v>
      </c>
      <c r="AE175" s="86">
        <f>'Raw Data'!AE176/10</f>
        <v>683.2</v>
      </c>
      <c r="AF175" s="86">
        <f>'Raw Data'!AF176/10</f>
        <v>651.4</v>
      </c>
      <c r="AG175" s="86">
        <f>'Raw Data'!AG176/10</f>
        <v>615.79999999999995</v>
      </c>
      <c r="AH175" s="86">
        <f>'Raw Data'!AH176/10</f>
        <v>591.70000000000005</v>
      </c>
      <c r="AI175" s="86">
        <f>'Raw Data'!AI176/10</f>
        <v>559.79999999999995</v>
      </c>
      <c r="AJ175" s="86">
        <f>'Raw Data'!AJ176/10</f>
        <v>538</v>
      </c>
      <c r="AK175" s="86">
        <f>'Raw Data'!AK176/10</f>
        <v>509.5</v>
      </c>
      <c r="AL175" s="86">
        <f>'Raw Data'!AL176/10</f>
        <v>502.1</v>
      </c>
      <c r="AM175" s="86">
        <f>'Raw Data'!AM176/10</f>
        <v>459</v>
      </c>
      <c r="AN175" s="86">
        <f>'Raw Data'!AN176/10</f>
        <v>450.2</v>
      </c>
      <c r="AO175" s="86">
        <f>'Raw Data'!AO176/10</f>
        <v>427.9</v>
      </c>
      <c r="AP175" s="86">
        <f>'Raw Data'!AP176/10</f>
        <v>418.6</v>
      </c>
      <c r="AQ175" s="86">
        <f>'Raw Data'!AQ176/10</f>
        <v>401.7</v>
      </c>
      <c r="AR175" s="86">
        <f>'Raw Data'!AR176/10</f>
        <v>380.8</v>
      </c>
      <c r="AS175" s="86">
        <f>'Raw Data'!AS176/10</f>
        <v>374.1</v>
      </c>
      <c r="AT175" s="86">
        <f>'Raw Data'!AT176/10</f>
        <v>363.5</v>
      </c>
      <c r="AU175" s="86">
        <f>'Raw Data'!AU176/10</f>
        <v>348.1</v>
      </c>
      <c r="AV175" s="86">
        <f>'Raw Data'!AV176/10</f>
        <v>339.2</v>
      </c>
      <c r="AW175" s="86">
        <f>'Raw Data'!AW176/10</f>
        <v>321.7</v>
      </c>
      <c r="AX175" s="86">
        <f>'Raw Data'!AX176/10</f>
        <v>314.5</v>
      </c>
      <c r="AY175" s="86">
        <f>'Raw Data'!AY176/10</f>
        <v>304.60000000000002</v>
      </c>
      <c r="AZ175" s="86">
        <f>'Raw Data'!AZ176/10</f>
        <v>291.3</v>
      </c>
      <c r="BA175" s="86">
        <f>'Raw Data'!BA176/10</f>
        <v>288</v>
      </c>
      <c r="BB175" s="86">
        <f>'Raw Data'!BB176/10</f>
        <v>280.7</v>
      </c>
      <c r="BC175" s="86">
        <f>'Raw Data'!BC176/10</f>
        <v>267.2</v>
      </c>
      <c r="BD175" s="86">
        <f>'Raw Data'!BD176/10</f>
        <v>259.2</v>
      </c>
      <c r="BE175" s="86">
        <f>'Raw Data'!BE176/10</f>
        <v>251.9</v>
      </c>
      <c r="BF175" s="86">
        <f>'Raw Data'!BF176/10</f>
        <v>241.1</v>
      </c>
      <c r="BG175" s="86">
        <f>'Raw Data'!BG176/10</f>
        <v>212.2</v>
      </c>
      <c r="BH175" s="86">
        <f>'Raw Data'!BH176/10</f>
        <v>238.3</v>
      </c>
      <c r="BI175" s="86">
        <f>'Raw Data'!BI176/10</f>
        <v>231.6</v>
      </c>
      <c r="BJ175" s="86">
        <f>'Raw Data'!BJ176/10</f>
        <v>221.7</v>
      </c>
      <c r="BK175" s="86">
        <f>'Raw Data'!BK176/10</f>
        <v>214.1</v>
      </c>
      <c r="BL175" s="86">
        <f>'Raw Data'!BL176/10</f>
        <v>207.8</v>
      </c>
      <c r="BM175" s="86">
        <f>'Raw Data'!BM176/10</f>
        <v>208.1</v>
      </c>
      <c r="BN175" s="86">
        <f>'Raw Data'!BN176/10</f>
        <v>202.1</v>
      </c>
      <c r="BO175" s="86">
        <f>'Raw Data'!BO176/10</f>
        <v>195.2</v>
      </c>
      <c r="BP175" s="86">
        <f>'Raw Data'!BP176/10</f>
        <v>186.6</v>
      </c>
      <c r="BQ175" s="86">
        <f>'Raw Data'!BQ176/10</f>
        <v>184</v>
      </c>
      <c r="BR175" s="86">
        <f>'Raw Data'!BR176/10</f>
        <v>185.8</v>
      </c>
      <c r="BS175" s="86">
        <f>'Raw Data'!BS176/10</f>
        <v>182.7</v>
      </c>
      <c r="BT175" s="86">
        <f>'Raw Data'!BT176/10</f>
        <v>178.5</v>
      </c>
      <c r="BU175" s="86">
        <f>'Raw Data'!BU176/10</f>
        <v>176.9</v>
      </c>
      <c r="BV175" s="86">
        <f>'Raw Data'!BV176/10</f>
        <v>172.5</v>
      </c>
      <c r="BW175" s="86">
        <f>'Raw Data'!BW176/10</f>
        <v>165.4</v>
      </c>
      <c r="BX175" s="86">
        <f>'Raw Data'!BX176/10</f>
        <v>163.69999999999999</v>
      </c>
      <c r="BY175" s="86">
        <f>'Raw Data'!BY176/10</f>
        <v>163.5</v>
      </c>
      <c r="BZ175" s="86">
        <f>'Raw Data'!BZ176/10</f>
        <v>161.5</v>
      </c>
      <c r="CA175" s="86">
        <f>'Raw Data'!CA176/10</f>
        <v>151.69999999999999</v>
      </c>
      <c r="CB175" s="86">
        <f>'Raw Data'!CB176/10</f>
        <v>150.80000000000001</v>
      </c>
      <c r="CC175" s="86">
        <f>'Raw Data'!CC176/10</f>
        <v>148.19999999999999</v>
      </c>
      <c r="CD175" s="86">
        <f>'Raw Data'!CD176/10</f>
        <v>146.19999999999999</v>
      </c>
      <c r="CE175" s="86">
        <f>'Raw Data'!CE176/10</f>
        <v>146.1</v>
      </c>
      <c r="CF175" s="86">
        <f>'Raw Data'!CF176/10</f>
        <v>140.4</v>
      </c>
      <c r="CG175" s="86">
        <f>'Raw Data'!CG176/100</f>
        <v>129.66999999999999</v>
      </c>
      <c r="CH175" s="86">
        <f>'Raw Data'!CH176/100</f>
        <v>111.95</v>
      </c>
      <c r="CI175" s="86">
        <f>'Raw Data'!CI176/100</f>
        <v>100.49</v>
      </c>
      <c r="CJ175" s="86">
        <f>'Raw Data'!CJ176/100</f>
        <v>90.35</v>
      </c>
      <c r="CK175" s="86">
        <f>'Raw Data'!CK176/100</f>
        <v>82.25</v>
      </c>
      <c r="CL175" s="86">
        <f>'Raw Data'!CL176/100</f>
        <v>75.91</v>
      </c>
      <c r="CM175" s="86">
        <f>'Raw Data'!CM176/100</f>
        <v>71.94</v>
      </c>
      <c r="CN175" s="86">
        <f>'Raw Data'!CN176/100</f>
        <v>66.959999999999994</v>
      </c>
      <c r="CO175" s="86">
        <f>'Raw Data'!CO176/100</f>
        <v>63.45</v>
      </c>
      <c r="CP175" s="86">
        <f>'Raw Data'!CP176/100</f>
        <v>59.55</v>
      </c>
      <c r="CQ175" s="86">
        <f>'Raw Data'!CQ176/100</f>
        <v>57.41</v>
      </c>
      <c r="CR175" s="86">
        <f>'Raw Data'!CR176/100</f>
        <v>54.41</v>
      </c>
      <c r="CS175" s="86">
        <f>'Raw Data'!CS176/100</f>
        <v>52.73</v>
      </c>
      <c r="CT175" s="86">
        <f>'Raw Data'!CT176/100</f>
        <v>49.7</v>
      </c>
      <c r="CU175" s="382"/>
    </row>
    <row r="176" spans="4:99" s="86" customFormat="1" x14ac:dyDescent="0.2">
      <c r="D176" s="375"/>
      <c r="E176" s="164"/>
      <c r="F176" s="394"/>
      <c r="G176" s="86">
        <f>'Raw Data'!G177</f>
        <v>1300</v>
      </c>
      <c r="H176" s="86">
        <f>'Raw Data'!H177</f>
        <v>1282</v>
      </c>
      <c r="I176" s="86">
        <f>'Raw Data'!I177</f>
        <v>1289</v>
      </c>
      <c r="J176" s="86">
        <f>'Raw Data'!J177</f>
        <v>1358</v>
      </c>
      <c r="K176" s="86">
        <f>'Raw Data'!K177</f>
        <v>1287</v>
      </c>
      <c r="L176" s="86">
        <f>'Raw Data'!L177</f>
        <v>1278</v>
      </c>
      <c r="M176" s="86">
        <f>'Raw Data'!M177</f>
        <v>1285</v>
      </c>
      <c r="N176" s="86">
        <f>'Raw Data'!N177</f>
        <v>1254</v>
      </c>
      <c r="O176" s="86">
        <f>'Raw Data'!O177</f>
        <v>1273</v>
      </c>
      <c r="P176" s="86">
        <f>'Raw Data'!P177</f>
        <v>1265</v>
      </c>
      <c r="Q176" s="86">
        <f>'Raw Data'!Q177</f>
        <v>1250</v>
      </c>
      <c r="R176" s="86">
        <f>'Raw Data'!R177</f>
        <v>1244</v>
      </c>
      <c r="S176" s="86">
        <f>'Raw Data'!S177</f>
        <v>1204</v>
      </c>
      <c r="T176" s="86">
        <f>'Raw Data'!T177</f>
        <v>1196</v>
      </c>
      <c r="U176" s="86">
        <f>'Raw Data'!U177</f>
        <v>1237</v>
      </c>
      <c r="V176" s="86">
        <f>'Raw Data'!V177</f>
        <v>1208</v>
      </c>
      <c r="W176" s="86">
        <f>'Raw Data'!W177</f>
        <v>1149</v>
      </c>
      <c r="X176" s="86">
        <f>'Raw Data'!X177</f>
        <v>1188</v>
      </c>
      <c r="Y176" s="86">
        <f>'Raw Data'!Y177</f>
        <v>1163</v>
      </c>
      <c r="Z176" s="86">
        <f>'Raw Data'!Z177</f>
        <v>1206</v>
      </c>
      <c r="AA176" s="86">
        <f>'Raw Data'!AA177/10</f>
        <v>1160.5999999999999</v>
      </c>
      <c r="AB176" s="86">
        <f>'Raw Data'!AB177/10</f>
        <v>1101.9000000000001</v>
      </c>
      <c r="AC176" s="86">
        <f>'Raw Data'!AC177/10</f>
        <v>1043.8</v>
      </c>
      <c r="AD176" s="86">
        <f>'Raw Data'!AD177/10</f>
        <v>988.1</v>
      </c>
      <c r="AE176" s="86">
        <f>'Raw Data'!AE177/10</f>
        <v>951.8</v>
      </c>
      <c r="AF176" s="86">
        <f>'Raw Data'!AF177/10</f>
        <v>905</v>
      </c>
      <c r="AG176" s="86">
        <f>'Raw Data'!AG177/10</f>
        <v>848.6</v>
      </c>
      <c r="AH176" s="86">
        <f>'Raw Data'!AH177/10</f>
        <v>809.7</v>
      </c>
      <c r="AI176" s="86">
        <f>'Raw Data'!AI177/10</f>
        <v>759.5</v>
      </c>
      <c r="AJ176" s="86">
        <f>'Raw Data'!AJ177/10</f>
        <v>734.4</v>
      </c>
      <c r="AK176" s="86">
        <f>'Raw Data'!AK177/10</f>
        <v>716.7</v>
      </c>
      <c r="AL176" s="86">
        <f>'Raw Data'!AL177/10</f>
        <v>658.5</v>
      </c>
      <c r="AM176" s="86">
        <f>'Raw Data'!AM177/10</f>
        <v>642.4</v>
      </c>
      <c r="AN176" s="86">
        <f>'Raw Data'!AN177/10</f>
        <v>615.4</v>
      </c>
      <c r="AO176" s="86">
        <f>'Raw Data'!AO177/10</f>
        <v>592.79999999999995</v>
      </c>
      <c r="AP176" s="86">
        <f>'Raw Data'!AP177/10</f>
        <v>571.70000000000005</v>
      </c>
      <c r="AQ176" s="86">
        <f>'Raw Data'!AQ177/10</f>
        <v>539.1</v>
      </c>
      <c r="AR176" s="86">
        <f>'Raw Data'!AR177/10</f>
        <v>518.5</v>
      </c>
      <c r="AS176" s="86">
        <f>'Raw Data'!AS177/10</f>
        <v>509.1</v>
      </c>
      <c r="AT176" s="86">
        <f>'Raw Data'!AT177/10</f>
        <v>480.8</v>
      </c>
      <c r="AU176" s="86">
        <f>'Raw Data'!AU177/10</f>
        <v>470</v>
      </c>
      <c r="AV176" s="86">
        <f>'Raw Data'!AV177/10</f>
        <v>450</v>
      </c>
      <c r="AW176" s="86">
        <f>'Raw Data'!AW177/10</f>
        <v>445.1</v>
      </c>
      <c r="AX176" s="86">
        <f>'Raw Data'!AX177/10</f>
        <v>416.2</v>
      </c>
      <c r="AY176" s="86">
        <f>'Raw Data'!AY177/10</f>
        <v>408.1</v>
      </c>
      <c r="AZ176" s="86">
        <f>'Raw Data'!AZ177/10</f>
        <v>389.5</v>
      </c>
      <c r="BA176" s="86">
        <f>'Raw Data'!BA177/10</f>
        <v>388</v>
      </c>
      <c r="BB176" s="86">
        <f>'Raw Data'!BB177/10</f>
        <v>367.9</v>
      </c>
      <c r="BC176" s="86">
        <f>'Raw Data'!BC177/10</f>
        <v>363.4</v>
      </c>
      <c r="BD176" s="86">
        <f>'Raw Data'!BD177/10</f>
        <v>343.1</v>
      </c>
      <c r="BE176" s="86">
        <f>'Raw Data'!BE177/10</f>
        <v>338.1</v>
      </c>
      <c r="BF176" s="86">
        <f>'Raw Data'!BF177/10</f>
        <v>329.7</v>
      </c>
      <c r="BG176" s="86">
        <f>'Raw Data'!BG177/10</f>
        <v>318.8</v>
      </c>
      <c r="BH176" s="86">
        <f>'Raw Data'!BH177/10</f>
        <v>309.5</v>
      </c>
      <c r="BI176" s="86">
        <f>'Raw Data'!BI177/10</f>
        <v>303.5</v>
      </c>
      <c r="BJ176" s="86">
        <f>'Raw Data'!BJ177/10</f>
        <v>295.39999999999998</v>
      </c>
      <c r="BK176" s="86">
        <f>'Raw Data'!BK177/10</f>
        <v>278.3</v>
      </c>
      <c r="BL176" s="86">
        <f>'Raw Data'!BL177/10</f>
        <v>279.3</v>
      </c>
      <c r="BM176" s="86">
        <f>'Raw Data'!BM177/10</f>
        <v>270.89999999999998</v>
      </c>
      <c r="BN176" s="86">
        <f>'Raw Data'!BN177/10</f>
        <v>268.5</v>
      </c>
      <c r="BO176" s="86">
        <f>'Raw Data'!BO177/10</f>
        <v>260.89999999999998</v>
      </c>
      <c r="BP176" s="86">
        <f>'Raw Data'!BP177/10</f>
        <v>259</v>
      </c>
      <c r="BQ176" s="86">
        <f>'Raw Data'!BQ177/10</f>
        <v>245.7</v>
      </c>
      <c r="BR176" s="86">
        <f>'Raw Data'!BR177/10</f>
        <v>241.9</v>
      </c>
      <c r="BS176" s="86">
        <f>'Raw Data'!BS177/10</f>
        <v>227.8</v>
      </c>
      <c r="BT176" s="86">
        <f>'Raw Data'!BT177/10</f>
        <v>225</v>
      </c>
      <c r="BU176" s="86">
        <f>'Raw Data'!BU177/10</f>
        <v>226</v>
      </c>
      <c r="BV176" s="86">
        <f>'Raw Data'!BV177/10</f>
        <v>209.7</v>
      </c>
      <c r="BW176" s="86">
        <f>'Raw Data'!BW177/10</f>
        <v>211.6</v>
      </c>
      <c r="BX176" s="86">
        <f>'Raw Data'!BX177/10</f>
        <v>213.3</v>
      </c>
      <c r="BY176" s="86">
        <f>'Raw Data'!BY177/10</f>
        <v>199.9</v>
      </c>
      <c r="BZ176" s="86">
        <f>'Raw Data'!BZ177/10</f>
        <v>204.9</v>
      </c>
      <c r="CA176" s="86">
        <f>'Raw Data'!CA177/10</f>
        <v>199.3</v>
      </c>
      <c r="CB176" s="86">
        <f>'Raw Data'!CB177/10</f>
        <v>193.5</v>
      </c>
      <c r="CC176" s="86">
        <f>'Raw Data'!CC177/10</f>
        <v>192.4</v>
      </c>
      <c r="CD176" s="86">
        <f>'Raw Data'!CD177/10</f>
        <v>188.2</v>
      </c>
      <c r="CE176" s="86">
        <f>'Raw Data'!CE177/10</f>
        <v>188</v>
      </c>
      <c r="CF176" s="86">
        <f>'Raw Data'!CF177/10</f>
        <v>180.6</v>
      </c>
      <c r="CG176" s="86">
        <f>'Raw Data'!CG177/100</f>
        <v>164.12</v>
      </c>
      <c r="CH176" s="86">
        <f>'Raw Data'!CH177/100</f>
        <v>142.15</v>
      </c>
      <c r="CI176" s="86">
        <f>'Raw Data'!CI177/100</f>
        <v>124.62</v>
      </c>
      <c r="CJ176" s="86">
        <f>'Raw Data'!CJ177/100</f>
        <v>110.84</v>
      </c>
      <c r="CK176" s="86">
        <f>'Raw Data'!CK177/100</f>
        <v>100.71</v>
      </c>
      <c r="CL176" s="86">
        <f>'Raw Data'!CL177/100</f>
        <v>91.96</v>
      </c>
      <c r="CM176" s="86">
        <f>'Raw Data'!CM177/100</f>
        <v>84.04</v>
      </c>
      <c r="CN176" s="86">
        <f>'Raw Data'!CN177/100</f>
        <v>78.5</v>
      </c>
      <c r="CO176" s="86">
        <f>'Raw Data'!CO177/100</f>
        <v>74.34</v>
      </c>
      <c r="CP176" s="86">
        <f>'Raw Data'!CP177/100</f>
        <v>69.680000000000007</v>
      </c>
      <c r="CQ176" s="86">
        <f>'Raw Data'!CQ177/100</f>
        <v>66.239999999999995</v>
      </c>
      <c r="CR176" s="86">
        <f>'Raw Data'!CR177/100</f>
        <v>62.45</v>
      </c>
      <c r="CS176" s="86">
        <f>'Raw Data'!CS177/100</f>
        <v>59.63</v>
      </c>
      <c r="CT176" s="86">
        <f>'Raw Data'!CT177/100</f>
        <v>56.71</v>
      </c>
      <c r="CU176" s="382"/>
    </row>
    <row r="177" spans="4:99" s="86" customFormat="1" x14ac:dyDescent="0.2">
      <c r="D177" s="375"/>
      <c r="E177" s="164"/>
      <c r="F177" s="394"/>
      <c r="G177" s="86">
        <f>'Raw Data'!G178</f>
        <v>1080</v>
      </c>
      <c r="H177" s="86">
        <f>'Raw Data'!H178</f>
        <v>1143</v>
      </c>
      <c r="I177" s="86">
        <f>'Raw Data'!I178</f>
        <v>1076</v>
      </c>
      <c r="J177" s="86">
        <f>'Raw Data'!J178</f>
        <v>1043</v>
      </c>
      <c r="K177" s="86">
        <f>'Raw Data'!K178</f>
        <v>1072</v>
      </c>
      <c r="L177" s="86">
        <f>'Raw Data'!L178</f>
        <v>1055</v>
      </c>
      <c r="M177" s="86">
        <f>'Raw Data'!M178</f>
        <v>1072</v>
      </c>
      <c r="N177" s="86">
        <f>'Raw Data'!N178</f>
        <v>1073</v>
      </c>
      <c r="O177" s="86">
        <f>'Raw Data'!O178</f>
        <v>1033</v>
      </c>
      <c r="P177" s="86">
        <f>'Raw Data'!P178</f>
        <v>1038</v>
      </c>
      <c r="Q177" s="86">
        <f>'Raw Data'!Q178</f>
        <v>1052</v>
      </c>
      <c r="R177" s="86">
        <f>'Raw Data'!R178</f>
        <v>1099</v>
      </c>
      <c r="S177" s="86">
        <f>'Raw Data'!S178</f>
        <v>1049</v>
      </c>
      <c r="T177" s="86">
        <f>'Raw Data'!T178</f>
        <v>1043</v>
      </c>
      <c r="U177" s="86">
        <f>'Raw Data'!U178</f>
        <v>1016</v>
      </c>
      <c r="V177" s="86">
        <f>'Raw Data'!V178</f>
        <v>1004</v>
      </c>
      <c r="W177" s="86">
        <f>'Raw Data'!W178</f>
        <v>1008</v>
      </c>
      <c r="X177" s="86">
        <f>'Raw Data'!X178</f>
        <v>1008</v>
      </c>
      <c r="Y177" s="86">
        <f>'Raw Data'!Y178</f>
        <v>1016</v>
      </c>
      <c r="Z177" s="86">
        <f>'Raw Data'!Z178</f>
        <v>998</v>
      </c>
      <c r="AA177" s="86">
        <f>'Raw Data'!AA178/10</f>
        <v>996</v>
      </c>
      <c r="AB177" s="86">
        <f>'Raw Data'!AB178/10</f>
        <v>954.2</v>
      </c>
      <c r="AC177" s="86">
        <f>'Raw Data'!AC178/10</f>
        <v>894.6</v>
      </c>
      <c r="AD177" s="86">
        <f>'Raw Data'!AD178/10</f>
        <v>874.6</v>
      </c>
      <c r="AE177" s="86">
        <f>'Raw Data'!AE178/10</f>
        <v>828.2</v>
      </c>
      <c r="AF177" s="86">
        <f>'Raw Data'!AF178/10</f>
        <v>780</v>
      </c>
      <c r="AG177" s="86">
        <f>'Raw Data'!AG178/10</f>
        <v>735.5</v>
      </c>
      <c r="AH177" s="86">
        <f>'Raw Data'!AH178/10</f>
        <v>710.9</v>
      </c>
      <c r="AI177" s="86">
        <f>'Raw Data'!AI178/10</f>
        <v>691.4</v>
      </c>
      <c r="AJ177" s="86">
        <f>'Raw Data'!AJ178/10</f>
        <v>648.29999999999995</v>
      </c>
      <c r="AK177" s="86">
        <f>'Raw Data'!AK178/10</f>
        <v>618.70000000000005</v>
      </c>
      <c r="AL177" s="86">
        <f>'Raw Data'!AL178/10</f>
        <v>599.70000000000005</v>
      </c>
      <c r="AM177" s="86">
        <f>'Raw Data'!AM178/10</f>
        <v>568.5</v>
      </c>
      <c r="AN177" s="86">
        <f>'Raw Data'!AN178/10</f>
        <v>557.5</v>
      </c>
      <c r="AO177" s="86">
        <f>'Raw Data'!AO178/10</f>
        <v>534</v>
      </c>
      <c r="AP177" s="86">
        <f>'Raw Data'!AP178/10</f>
        <v>503.3</v>
      </c>
      <c r="AQ177" s="86">
        <f>'Raw Data'!AQ178/10</f>
        <v>488</v>
      </c>
      <c r="AR177" s="86">
        <f>'Raw Data'!AR178/10</f>
        <v>477.2</v>
      </c>
      <c r="AS177" s="86">
        <f>'Raw Data'!AS178/10</f>
        <v>446.6</v>
      </c>
      <c r="AT177" s="86">
        <f>'Raw Data'!AT178/10</f>
        <v>438</v>
      </c>
      <c r="AU177" s="86">
        <f>'Raw Data'!AU178/10</f>
        <v>424.7</v>
      </c>
      <c r="AV177" s="86">
        <f>'Raw Data'!AV178/10</f>
        <v>410.7</v>
      </c>
      <c r="AW177" s="86">
        <f>'Raw Data'!AW178/10</f>
        <v>388.8</v>
      </c>
      <c r="AX177" s="86">
        <f>'Raw Data'!AX178/10</f>
        <v>389.5</v>
      </c>
      <c r="AY177" s="86">
        <f>'Raw Data'!AY178/10</f>
        <v>368.2</v>
      </c>
      <c r="AZ177" s="86">
        <f>'Raw Data'!AZ178/10</f>
        <v>356.9</v>
      </c>
      <c r="BA177" s="86">
        <f>'Raw Data'!BA178/10</f>
        <v>347.7</v>
      </c>
      <c r="BB177" s="86">
        <f>'Raw Data'!BB178/10</f>
        <v>345.8</v>
      </c>
      <c r="BC177" s="86">
        <f>'Raw Data'!BC178/10</f>
        <v>338.6</v>
      </c>
      <c r="BD177" s="86">
        <f>'Raw Data'!BD178/10</f>
        <v>321.39999999999998</v>
      </c>
      <c r="BE177" s="86">
        <f>'Raw Data'!BE178/10</f>
        <v>308.3</v>
      </c>
      <c r="BF177" s="86">
        <f>'Raw Data'!BF178/10</f>
        <v>306.89999999999998</v>
      </c>
      <c r="BG177" s="86">
        <f>'Raw Data'!BG178/10</f>
        <v>295.60000000000002</v>
      </c>
      <c r="BH177" s="86">
        <f>'Raw Data'!BH178/10</f>
        <v>294.3</v>
      </c>
      <c r="BI177" s="86">
        <f>'Raw Data'!BI178/10</f>
        <v>276.2</v>
      </c>
      <c r="BJ177" s="86">
        <f>'Raw Data'!BJ178/10</f>
        <v>273.10000000000002</v>
      </c>
      <c r="BK177" s="86">
        <f>'Raw Data'!BK178/10</f>
        <v>270</v>
      </c>
      <c r="BL177" s="86">
        <f>'Raw Data'!BL178/10</f>
        <v>258.60000000000002</v>
      </c>
      <c r="BM177" s="86">
        <f>'Raw Data'!BM178/10</f>
        <v>253</v>
      </c>
      <c r="BN177" s="86">
        <f>'Raw Data'!BN178/10</f>
        <v>249.7</v>
      </c>
      <c r="BO177" s="86">
        <f>'Raw Data'!BO178/10</f>
        <v>249.4</v>
      </c>
      <c r="BP177" s="86">
        <f>'Raw Data'!BP178/10</f>
        <v>238.5</v>
      </c>
      <c r="BQ177" s="86">
        <f>'Raw Data'!BQ178/10</f>
        <v>235.6</v>
      </c>
      <c r="BR177" s="86">
        <f>'Raw Data'!BR178/10</f>
        <v>231.3</v>
      </c>
      <c r="BS177" s="86">
        <f>'Raw Data'!BS178/10</f>
        <v>224</v>
      </c>
      <c r="BT177" s="86">
        <f>'Raw Data'!BT178/10</f>
        <v>214.8</v>
      </c>
      <c r="BU177" s="86">
        <f>'Raw Data'!BU178/10</f>
        <v>214</v>
      </c>
      <c r="BV177" s="86">
        <f>'Raw Data'!BV178/10</f>
        <v>215.8</v>
      </c>
      <c r="BW177" s="86">
        <f>'Raw Data'!BW178/10</f>
        <v>212</v>
      </c>
      <c r="BX177" s="86">
        <f>'Raw Data'!BX178/10</f>
        <v>213</v>
      </c>
      <c r="BY177" s="86">
        <f>'Raw Data'!BY178/10</f>
        <v>206.7</v>
      </c>
      <c r="BZ177" s="86">
        <f>'Raw Data'!BZ178/10</f>
        <v>200</v>
      </c>
      <c r="CA177" s="86">
        <f>'Raw Data'!CA178/10</f>
        <v>195.8</v>
      </c>
      <c r="CB177" s="86">
        <f>'Raw Data'!CB178/10</f>
        <v>193.3</v>
      </c>
      <c r="CC177" s="86">
        <f>'Raw Data'!CC178/10</f>
        <v>192.8</v>
      </c>
      <c r="CD177" s="86">
        <f>'Raw Data'!CD178/10</f>
        <v>183.2</v>
      </c>
      <c r="CE177" s="86">
        <f>'Raw Data'!CE178/10</f>
        <v>179.2</v>
      </c>
      <c r="CF177" s="86">
        <f>'Raw Data'!CF178/10</f>
        <v>185.2</v>
      </c>
      <c r="CG177" s="86">
        <f>'Raw Data'!CG178/100</f>
        <v>165.84</v>
      </c>
      <c r="CH177" s="86">
        <f>'Raw Data'!CH178/100</f>
        <v>146.04</v>
      </c>
      <c r="CI177" s="86">
        <f>'Raw Data'!CI178/100</f>
        <v>130.13</v>
      </c>
      <c r="CJ177" s="86">
        <f>'Raw Data'!CJ178/100</f>
        <v>116.21</v>
      </c>
      <c r="CK177" s="86">
        <f>'Raw Data'!CK178/100</f>
        <v>106.16</v>
      </c>
      <c r="CL177" s="86">
        <f>'Raw Data'!CL178/100</f>
        <v>99.21</v>
      </c>
      <c r="CM177" s="86">
        <f>'Raw Data'!CM178/100</f>
        <v>93.42</v>
      </c>
      <c r="CN177" s="86">
        <f>'Raw Data'!CN178/100</f>
        <v>88.03</v>
      </c>
      <c r="CO177" s="86">
        <f>'Raw Data'!CO178/100</f>
        <v>82.11</v>
      </c>
      <c r="CP177" s="86">
        <f>'Raw Data'!CP178/100</f>
        <v>79.23</v>
      </c>
      <c r="CQ177" s="86">
        <f>'Raw Data'!CQ178/100</f>
        <v>76.260000000000005</v>
      </c>
      <c r="CR177" s="86">
        <f>'Raw Data'!CR178/100</f>
        <v>71.459999999999994</v>
      </c>
      <c r="CS177" s="86">
        <f>'Raw Data'!CS178/100</f>
        <v>68.78</v>
      </c>
      <c r="CT177" s="86">
        <f>'Raw Data'!CT178/100</f>
        <v>66.86</v>
      </c>
      <c r="CU177" s="382"/>
    </row>
    <row r="178" spans="4:99" s="86" customFormat="1" x14ac:dyDescent="0.2">
      <c r="D178" s="375"/>
      <c r="E178" s="164"/>
      <c r="F178" s="394"/>
      <c r="G178" s="86">
        <f>'Raw Data'!G179</f>
        <v>2858</v>
      </c>
      <c r="H178" s="86">
        <f>'Raw Data'!H179</f>
        <v>2696</v>
      </c>
      <c r="I178" s="86">
        <f>'Raw Data'!I179</f>
        <v>2736</v>
      </c>
      <c r="J178" s="86">
        <f>'Raw Data'!J179</f>
        <v>2734</v>
      </c>
      <c r="K178" s="86">
        <f>'Raw Data'!K179</f>
        <v>2664</v>
      </c>
      <c r="L178" s="86">
        <f>'Raw Data'!L179</f>
        <v>2790</v>
      </c>
      <c r="M178" s="86">
        <f>'Raw Data'!M179</f>
        <v>2755</v>
      </c>
      <c r="N178" s="86">
        <f>'Raw Data'!N179</f>
        <v>2701</v>
      </c>
      <c r="O178" s="86">
        <f>'Raw Data'!O179</f>
        <v>2668</v>
      </c>
      <c r="P178" s="86">
        <f>'Raw Data'!P179</f>
        <v>2737</v>
      </c>
      <c r="Q178" s="86">
        <f>'Raw Data'!Q179</f>
        <v>2766</v>
      </c>
      <c r="R178" s="86">
        <f>'Raw Data'!R179</f>
        <v>2682</v>
      </c>
      <c r="S178" s="86">
        <f>'Raw Data'!S179</f>
        <v>2613</v>
      </c>
      <c r="T178" s="86">
        <f>'Raw Data'!T179</f>
        <v>2707</v>
      </c>
      <c r="U178" s="86">
        <f>'Raw Data'!U179</f>
        <v>2660</v>
      </c>
      <c r="V178" s="86">
        <f>'Raw Data'!V179</f>
        <v>2606</v>
      </c>
      <c r="W178" s="86">
        <f>'Raw Data'!W179</f>
        <v>2621</v>
      </c>
      <c r="X178" s="86">
        <f>'Raw Data'!X179</f>
        <v>2545</v>
      </c>
      <c r="Y178" s="86">
        <f>'Raw Data'!Y179</f>
        <v>2629</v>
      </c>
      <c r="Z178" s="86">
        <f>'Raw Data'!Z179</f>
        <v>2601</v>
      </c>
      <c r="AA178" s="86">
        <f>'Raw Data'!AA179/10</f>
        <v>2543.5</v>
      </c>
      <c r="AB178" s="86">
        <f>'Raw Data'!AB179/10</f>
        <v>2422.1</v>
      </c>
      <c r="AC178" s="86">
        <f>'Raw Data'!AC179/10</f>
        <v>2316.1</v>
      </c>
      <c r="AD178" s="86">
        <f>'Raw Data'!AD179/10</f>
        <v>2226.6</v>
      </c>
      <c r="AE178" s="86">
        <f>'Raw Data'!AE179/10</f>
        <v>2098.1</v>
      </c>
      <c r="AF178" s="86">
        <f>'Raw Data'!AF179/10</f>
        <v>2001.4</v>
      </c>
      <c r="AG178" s="86">
        <f>'Raw Data'!AG179/10</f>
        <v>1934.4</v>
      </c>
      <c r="AH178" s="86">
        <f>'Raw Data'!AH179/10</f>
        <v>1831.6</v>
      </c>
      <c r="AI178" s="86">
        <f>'Raw Data'!AI179/10</f>
        <v>1730.8</v>
      </c>
      <c r="AJ178" s="86">
        <f>'Raw Data'!AJ179/10</f>
        <v>1667</v>
      </c>
      <c r="AK178" s="86">
        <f>'Raw Data'!AK179/10</f>
        <v>1592.2</v>
      </c>
      <c r="AL178" s="86">
        <f>'Raw Data'!AL179/10</f>
        <v>1523.8</v>
      </c>
      <c r="AM178" s="86">
        <f>'Raw Data'!AM179/10</f>
        <v>1460.3</v>
      </c>
      <c r="AN178" s="86">
        <f>'Raw Data'!AN179/10</f>
        <v>1388.9</v>
      </c>
      <c r="AO178" s="86">
        <f>'Raw Data'!AO179/10</f>
        <v>1333.1</v>
      </c>
      <c r="AP178" s="86">
        <f>'Raw Data'!AP179/10</f>
        <v>1287.0999999999999</v>
      </c>
      <c r="AQ178" s="86">
        <f>'Raw Data'!AQ179/10</f>
        <v>1237.2</v>
      </c>
      <c r="AR178" s="86">
        <f>'Raw Data'!AR179/10</f>
        <v>1190.7</v>
      </c>
      <c r="AS178" s="86">
        <f>'Raw Data'!AS179/10</f>
        <v>1160.5999999999999</v>
      </c>
      <c r="AT178" s="86">
        <f>'Raw Data'!AT179/10</f>
        <v>1117.0999999999999</v>
      </c>
      <c r="AU178" s="86">
        <f>'Raw Data'!AU179/10</f>
        <v>1064.4000000000001</v>
      </c>
      <c r="AV178" s="86">
        <f>'Raw Data'!AV179/10</f>
        <v>1036.2</v>
      </c>
      <c r="AW178" s="86">
        <f>'Raw Data'!AW179/10</f>
        <v>1023.9</v>
      </c>
      <c r="AX178" s="86">
        <f>'Raw Data'!AX179/10</f>
        <v>968.9</v>
      </c>
      <c r="AY178" s="86">
        <f>'Raw Data'!AY179/10</f>
        <v>935.6</v>
      </c>
      <c r="AZ178" s="86">
        <f>'Raw Data'!AZ179/10</f>
        <v>888.8</v>
      </c>
      <c r="BA178" s="86">
        <f>'Raw Data'!BA179/10</f>
        <v>872.1</v>
      </c>
      <c r="BB178" s="86">
        <f>'Raw Data'!BB179/10</f>
        <v>851.4</v>
      </c>
      <c r="BC178" s="86">
        <f>'Raw Data'!BC179/10</f>
        <v>823.9</v>
      </c>
      <c r="BD178" s="86">
        <f>'Raw Data'!BD179/10</f>
        <v>786.8</v>
      </c>
      <c r="BE178" s="86">
        <f>'Raw Data'!BE179/10</f>
        <v>776.8</v>
      </c>
      <c r="BF178" s="86">
        <f>'Raw Data'!BF179/10</f>
        <v>741.4</v>
      </c>
      <c r="BG178" s="86">
        <f>'Raw Data'!BG179/10</f>
        <v>728.7</v>
      </c>
      <c r="BH178" s="86">
        <f>'Raw Data'!BH179/10</f>
        <v>700.5</v>
      </c>
      <c r="BI178" s="86">
        <f>'Raw Data'!BI179/10</f>
        <v>669.8</v>
      </c>
      <c r="BJ178" s="86">
        <f>'Raw Data'!BJ179/10</f>
        <v>672.1</v>
      </c>
      <c r="BK178" s="86">
        <f>'Raw Data'!BK179/10</f>
        <v>652.20000000000005</v>
      </c>
      <c r="BL178" s="86">
        <f>'Raw Data'!BL179/10</f>
        <v>624.79999999999995</v>
      </c>
      <c r="BM178" s="86">
        <f>'Raw Data'!BM179/10</f>
        <v>615.1</v>
      </c>
      <c r="BN178" s="86">
        <f>'Raw Data'!BN179/10</f>
        <v>602.70000000000005</v>
      </c>
      <c r="BO178" s="86">
        <f>'Raw Data'!BO179/10</f>
        <v>598.70000000000005</v>
      </c>
      <c r="BP178" s="86">
        <f>'Raw Data'!BP179/10</f>
        <v>571</v>
      </c>
      <c r="BQ178" s="86">
        <f>'Raw Data'!BQ179/10</f>
        <v>567.4</v>
      </c>
      <c r="BR178" s="86">
        <f>'Raw Data'!BR179/10</f>
        <v>550.29999999999995</v>
      </c>
      <c r="BS178" s="86">
        <f>'Raw Data'!BS179/10</f>
        <v>536.9</v>
      </c>
      <c r="BT178" s="86">
        <f>'Raw Data'!BT179/10</f>
        <v>526.4</v>
      </c>
      <c r="BU178" s="86">
        <f>'Raw Data'!BU179/10</f>
        <v>518.29999999999995</v>
      </c>
      <c r="BV178" s="86">
        <f>'Raw Data'!BV179/10</f>
        <v>491.8</v>
      </c>
      <c r="BW178" s="86">
        <f>'Raw Data'!BW179/10</f>
        <v>485.9</v>
      </c>
      <c r="BX178" s="86">
        <f>'Raw Data'!BX179/10</f>
        <v>472.7</v>
      </c>
      <c r="BY178" s="86">
        <f>'Raw Data'!BY179/10</f>
        <v>475.3</v>
      </c>
      <c r="BZ178" s="86">
        <f>'Raw Data'!BZ179/10</f>
        <v>467.9</v>
      </c>
      <c r="CA178" s="86">
        <f>'Raw Data'!CA179/10</f>
        <v>452.4</v>
      </c>
      <c r="CB178" s="86">
        <f>'Raw Data'!CB179/10</f>
        <v>445.1</v>
      </c>
      <c r="CC178" s="86">
        <f>'Raw Data'!CC179/10</f>
        <v>434.1</v>
      </c>
      <c r="CD178" s="86">
        <f>'Raw Data'!CD179/10</f>
        <v>431.2</v>
      </c>
      <c r="CE178" s="86">
        <f>'Raw Data'!CE179/10</f>
        <v>423</v>
      </c>
      <c r="CF178" s="86">
        <f>'Raw Data'!CF179/10</f>
        <v>407.3</v>
      </c>
      <c r="CG178" s="86">
        <f>'Raw Data'!CG179/100</f>
        <v>368.19</v>
      </c>
      <c r="CH178" s="86">
        <f>'Raw Data'!CH179/100</f>
        <v>314.02</v>
      </c>
      <c r="CI178" s="86">
        <f>'Raw Data'!CI179/100</f>
        <v>273.45999999999998</v>
      </c>
      <c r="CJ178" s="86">
        <f>'Raw Data'!CJ179/100</f>
        <v>241.96</v>
      </c>
      <c r="CK178" s="86">
        <f>'Raw Data'!CK179/100</f>
        <v>218.87</v>
      </c>
      <c r="CL178" s="86">
        <f>'Raw Data'!CL179/100</f>
        <v>197.18</v>
      </c>
      <c r="CM178" s="86">
        <f>'Raw Data'!CM179/100</f>
        <v>181.92</v>
      </c>
      <c r="CN178" s="86">
        <f>'Raw Data'!CN179/100</f>
        <v>166.48</v>
      </c>
      <c r="CO178" s="86">
        <f>'Raw Data'!CO179/100</f>
        <v>155.35</v>
      </c>
      <c r="CP178" s="86">
        <f>'Raw Data'!CP179/100</f>
        <v>146.53</v>
      </c>
      <c r="CQ178" s="86">
        <f>'Raw Data'!CQ179/100</f>
        <v>135.97</v>
      </c>
      <c r="CR178" s="86">
        <f>'Raw Data'!CR179/100</f>
        <v>129.02000000000001</v>
      </c>
      <c r="CS178" s="86">
        <f>'Raw Data'!CS179/100</f>
        <v>122.6</v>
      </c>
      <c r="CT178" s="86">
        <f>'Raw Data'!CT179/100</f>
        <v>117.41</v>
      </c>
      <c r="CU178" s="382"/>
    </row>
    <row r="179" spans="4:99" s="86" customFormat="1" x14ac:dyDescent="0.2">
      <c r="D179" s="375"/>
      <c r="E179" s="164"/>
      <c r="F179" s="394"/>
      <c r="G179" s="86">
        <f>'Raw Data'!G180</f>
        <v>1277</v>
      </c>
      <c r="H179" s="86">
        <f>'Raw Data'!H180</f>
        <v>1254</v>
      </c>
      <c r="I179" s="86">
        <f>'Raw Data'!I180</f>
        <v>1237</v>
      </c>
      <c r="J179" s="86">
        <f>'Raw Data'!J180</f>
        <v>1268</v>
      </c>
      <c r="K179" s="86">
        <f>'Raw Data'!K180</f>
        <v>1250</v>
      </c>
      <c r="L179" s="86">
        <f>'Raw Data'!L180</f>
        <v>1232</v>
      </c>
      <c r="M179" s="86">
        <f>'Raw Data'!M180</f>
        <v>1283</v>
      </c>
      <c r="N179" s="86">
        <f>'Raw Data'!N180</f>
        <v>1240</v>
      </c>
      <c r="O179" s="86">
        <f>'Raw Data'!O180</f>
        <v>1243</v>
      </c>
      <c r="P179" s="86">
        <f>'Raw Data'!P180</f>
        <v>1200</v>
      </c>
      <c r="Q179" s="86">
        <f>'Raw Data'!Q180</f>
        <v>1207</v>
      </c>
      <c r="R179" s="86">
        <f>'Raw Data'!R180</f>
        <v>1193</v>
      </c>
      <c r="S179" s="86">
        <f>'Raw Data'!S180</f>
        <v>1210</v>
      </c>
      <c r="T179" s="86">
        <f>'Raw Data'!T180</f>
        <v>1221</v>
      </c>
      <c r="U179" s="86">
        <f>'Raw Data'!U180</f>
        <v>1184</v>
      </c>
      <c r="V179" s="86">
        <f>'Raw Data'!V180</f>
        <v>1174</v>
      </c>
      <c r="W179" s="86">
        <f>'Raw Data'!W180</f>
        <v>1180</v>
      </c>
      <c r="X179" s="86">
        <f>'Raw Data'!X180</f>
        <v>1220</v>
      </c>
      <c r="Y179" s="86">
        <f>'Raw Data'!Y180</f>
        <v>1202</v>
      </c>
      <c r="Z179" s="86">
        <f>'Raw Data'!Z180</f>
        <v>1197</v>
      </c>
      <c r="AA179" s="86">
        <f>'Raw Data'!AA180/10</f>
        <v>1162.0999999999999</v>
      </c>
      <c r="AB179" s="86">
        <f>'Raw Data'!AB180/10</f>
        <v>1110.0999999999999</v>
      </c>
      <c r="AC179" s="86">
        <f>'Raw Data'!AC180/10</f>
        <v>1070.5999999999999</v>
      </c>
      <c r="AD179" s="86">
        <f>'Raw Data'!AD180/10</f>
        <v>1029.2</v>
      </c>
      <c r="AE179" s="86">
        <f>'Raw Data'!AE180/10</f>
        <v>990.3</v>
      </c>
      <c r="AF179" s="86">
        <f>'Raw Data'!AF180/10</f>
        <v>954.5</v>
      </c>
      <c r="AG179" s="86">
        <f>'Raw Data'!AG180/10</f>
        <v>887.1</v>
      </c>
      <c r="AH179" s="86">
        <f>'Raw Data'!AH180/10</f>
        <v>864.5</v>
      </c>
      <c r="AI179" s="86">
        <f>'Raw Data'!AI180/10</f>
        <v>833.5</v>
      </c>
      <c r="AJ179" s="86">
        <f>'Raw Data'!AJ180/10</f>
        <v>806.1</v>
      </c>
      <c r="AK179" s="86">
        <f>'Raw Data'!AK180/10</f>
        <v>761.2</v>
      </c>
      <c r="AL179" s="86">
        <f>'Raw Data'!AL180/10</f>
        <v>734.8</v>
      </c>
      <c r="AM179" s="86">
        <f>'Raw Data'!AM180/10</f>
        <v>712</v>
      </c>
      <c r="AN179" s="86">
        <f>'Raw Data'!AN180/10</f>
        <v>687</v>
      </c>
      <c r="AO179" s="86">
        <f>'Raw Data'!AO180/10</f>
        <v>660.2</v>
      </c>
      <c r="AP179" s="86">
        <f>'Raw Data'!AP180/10</f>
        <v>632.20000000000005</v>
      </c>
      <c r="AQ179" s="86">
        <f>'Raw Data'!AQ180/10</f>
        <v>609.70000000000005</v>
      </c>
      <c r="AR179" s="86">
        <f>'Raw Data'!AR180/10</f>
        <v>592.79999999999995</v>
      </c>
      <c r="AS179" s="86">
        <f>'Raw Data'!AS180/10</f>
        <v>582.29999999999995</v>
      </c>
      <c r="AT179" s="86">
        <f>'Raw Data'!AT180/10</f>
        <v>566.1</v>
      </c>
      <c r="AU179" s="86">
        <f>'Raw Data'!AU180/10</f>
        <v>538.79999999999995</v>
      </c>
      <c r="AV179" s="86">
        <f>'Raw Data'!AV180/10</f>
        <v>513.29999999999995</v>
      </c>
      <c r="AW179" s="86">
        <f>'Raw Data'!AW180/10</f>
        <v>500.1</v>
      </c>
      <c r="AX179" s="86">
        <f>'Raw Data'!AX180/10</f>
        <v>489.7</v>
      </c>
      <c r="AY179" s="86">
        <f>'Raw Data'!AY180/10</f>
        <v>486.1</v>
      </c>
      <c r="AZ179" s="86">
        <f>'Raw Data'!AZ180/10</f>
        <v>467.5</v>
      </c>
      <c r="BA179" s="86">
        <f>'Raw Data'!BA180/10</f>
        <v>446.3</v>
      </c>
      <c r="BB179" s="86">
        <f>'Raw Data'!BB180/10</f>
        <v>450.7</v>
      </c>
      <c r="BC179" s="86">
        <f>'Raw Data'!BC180/10</f>
        <v>427.6</v>
      </c>
      <c r="BD179" s="86">
        <f>'Raw Data'!BD180/10</f>
        <v>418</v>
      </c>
      <c r="BE179" s="86">
        <f>'Raw Data'!BE180/10</f>
        <v>416.9</v>
      </c>
      <c r="BF179" s="86">
        <f>'Raw Data'!BF180/10</f>
        <v>392.2</v>
      </c>
      <c r="BG179" s="86">
        <f>'Raw Data'!BG180/10</f>
        <v>391.2</v>
      </c>
      <c r="BH179" s="86">
        <f>'Raw Data'!BH180/10</f>
        <v>379.4</v>
      </c>
      <c r="BI179" s="86">
        <f>'Raw Data'!BI180/10</f>
        <v>379.4</v>
      </c>
      <c r="BJ179" s="86">
        <f>'Raw Data'!BJ180/10</f>
        <v>357</v>
      </c>
      <c r="BK179" s="86">
        <f>'Raw Data'!BK180/10</f>
        <v>352.7</v>
      </c>
      <c r="BL179" s="86">
        <f>'Raw Data'!BL180/10</f>
        <v>349.9</v>
      </c>
      <c r="BM179" s="86">
        <f>'Raw Data'!BM180/10</f>
        <v>342.4</v>
      </c>
      <c r="BN179" s="86">
        <f>'Raw Data'!BN180/10</f>
        <v>331.8</v>
      </c>
      <c r="BO179" s="86">
        <f>'Raw Data'!BO180/10</f>
        <v>327.7</v>
      </c>
      <c r="BP179" s="86">
        <f>'Raw Data'!BP180/10</f>
        <v>317.89999999999998</v>
      </c>
      <c r="BQ179" s="86">
        <f>'Raw Data'!BQ180/10</f>
        <v>325.10000000000002</v>
      </c>
      <c r="BR179" s="86">
        <f>'Raw Data'!BR180/10</f>
        <v>303.7</v>
      </c>
      <c r="BS179" s="86">
        <f>'Raw Data'!BS180/10</f>
        <v>307.5</v>
      </c>
      <c r="BT179" s="86">
        <f>'Raw Data'!BT180/10</f>
        <v>293.10000000000002</v>
      </c>
      <c r="BU179" s="86">
        <f>'Raw Data'!BU180/10</f>
        <v>293.60000000000002</v>
      </c>
      <c r="BV179" s="86">
        <f>'Raw Data'!BV180/10</f>
        <v>287.3</v>
      </c>
      <c r="BW179" s="86">
        <f>'Raw Data'!BW180/10</f>
        <v>281.89999999999998</v>
      </c>
      <c r="BX179" s="86">
        <f>'Raw Data'!BX180/10</f>
        <v>263.5</v>
      </c>
      <c r="BY179" s="86">
        <f>'Raw Data'!BY180/10</f>
        <v>272.8</v>
      </c>
      <c r="BZ179" s="86">
        <f>'Raw Data'!BZ180/10</f>
        <v>276.10000000000002</v>
      </c>
      <c r="CA179" s="86">
        <f>'Raw Data'!CA180/10</f>
        <v>262.7</v>
      </c>
      <c r="CB179" s="86">
        <f>'Raw Data'!CB180/10</f>
        <v>261.89999999999998</v>
      </c>
      <c r="CC179" s="86">
        <f>'Raw Data'!CC180/10</f>
        <v>261.39999999999998</v>
      </c>
      <c r="CD179" s="86">
        <f>'Raw Data'!CD180/10</f>
        <v>256</v>
      </c>
      <c r="CE179" s="86">
        <f>'Raw Data'!CE180/10</f>
        <v>251.3</v>
      </c>
      <c r="CF179" s="86">
        <f>'Raw Data'!CF180/10</f>
        <v>251.2</v>
      </c>
      <c r="CG179" s="86">
        <f>'Raw Data'!CG180/100</f>
        <v>225.58</v>
      </c>
      <c r="CH179" s="86">
        <f>'Raw Data'!CH180/100</f>
        <v>200.37</v>
      </c>
      <c r="CI179" s="86">
        <f>'Raw Data'!CI180/100</f>
        <v>181.29</v>
      </c>
      <c r="CJ179" s="86">
        <f>'Raw Data'!CJ180/100</f>
        <v>165.47</v>
      </c>
      <c r="CK179" s="86">
        <f>'Raw Data'!CK180/100</f>
        <v>150.97999999999999</v>
      </c>
      <c r="CL179" s="86">
        <f>'Raw Data'!CL180/100</f>
        <v>140.57</v>
      </c>
      <c r="CM179" s="86">
        <f>'Raw Data'!CM180/100</f>
        <v>133.07</v>
      </c>
      <c r="CN179" s="86">
        <f>'Raw Data'!CN180/100</f>
        <v>125.14</v>
      </c>
      <c r="CO179" s="86">
        <f>'Raw Data'!CO180/100</f>
        <v>118.91</v>
      </c>
      <c r="CP179" s="86">
        <f>'Raw Data'!CP180/100</f>
        <v>113.52</v>
      </c>
      <c r="CQ179" s="86">
        <f>'Raw Data'!CQ180/100</f>
        <v>108</v>
      </c>
      <c r="CR179" s="86">
        <f>'Raw Data'!CR180/100</f>
        <v>104.44</v>
      </c>
      <c r="CS179" s="86">
        <f>'Raw Data'!CS180/100</f>
        <v>99.16</v>
      </c>
      <c r="CT179" s="86">
        <f>'Raw Data'!CT180/100</f>
        <v>95.09</v>
      </c>
      <c r="CU179" s="382"/>
    </row>
    <row r="180" spans="4:99" s="86" customFormat="1" x14ac:dyDescent="0.2">
      <c r="D180" s="375"/>
      <c r="E180" s="164"/>
      <c r="F180" s="394"/>
      <c r="G180" s="86">
        <f>'Raw Data'!G181</f>
        <v>32</v>
      </c>
      <c r="H180" s="86">
        <f>'Raw Data'!H181</f>
        <v>25</v>
      </c>
      <c r="I180" s="86">
        <f>'Raw Data'!I181</f>
        <v>30</v>
      </c>
      <c r="J180" s="86">
        <f>'Raw Data'!J181</f>
        <v>28</v>
      </c>
      <c r="K180" s="86">
        <f>'Raw Data'!K181</f>
        <v>35</v>
      </c>
      <c r="L180" s="86">
        <f>'Raw Data'!L181</f>
        <v>37</v>
      </c>
      <c r="M180" s="86">
        <f>'Raw Data'!M181</f>
        <v>33</v>
      </c>
      <c r="N180" s="86">
        <f>'Raw Data'!N181</f>
        <v>34</v>
      </c>
      <c r="O180" s="86">
        <f>'Raw Data'!O181</f>
        <v>34</v>
      </c>
      <c r="P180" s="86">
        <f>'Raw Data'!P181</f>
        <v>36</v>
      </c>
      <c r="Q180" s="86">
        <f>'Raw Data'!Q181</f>
        <v>30</v>
      </c>
      <c r="R180" s="86">
        <f>'Raw Data'!R181</f>
        <v>26</v>
      </c>
      <c r="S180" s="86">
        <f>'Raw Data'!S181</f>
        <v>29</v>
      </c>
      <c r="T180" s="86">
        <f>'Raw Data'!T181</f>
        <v>33</v>
      </c>
      <c r="U180" s="86">
        <f>'Raw Data'!U181</f>
        <v>28</v>
      </c>
      <c r="V180" s="86">
        <f>'Raw Data'!V181</f>
        <v>30</v>
      </c>
      <c r="W180" s="86">
        <f>'Raw Data'!W181</f>
        <v>31</v>
      </c>
      <c r="X180" s="86">
        <f>'Raw Data'!X181</f>
        <v>28</v>
      </c>
      <c r="Y180" s="86">
        <f>'Raw Data'!Y181</f>
        <v>33</v>
      </c>
      <c r="Z180" s="86">
        <f>'Raw Data'!Z181</f>
        <v>36</v>
      </c>
      <c r="AA180" s="86">
        <f>'Raw Data'!AA181/10</f>
        <v>30.4</v>
      </c>
      <c r="AB180" s="86">
        <f>'Raw Data'!AB181/10</f>
        <v>32.299999999999997</v>
      </c>
      <c r="AC180" s="86">
        <f>'Raw Data'!AC181/10</f>
        <v>36.799999999999997</v>
      </c>
      <c r="AD180" s="86">
        <f>'Raw Data'!AD181/10</f>
        <v>35.6</v>
      </c>
      <c r="AE180" s="86">
        <f>'Raw Data'!AE181/10</f>
        <v>33.5</v>
      </c>
      <c r="AF180" s="86">
        <f>'Raw Data'!AF181/10</f>
        <v>35.799999999999997</v>
      </c>
      <c r="AG180" s="86">
        <f>'Raw Data'!AG181/10</f>
        <v>34.9</v>
      </c>
      <c r="AH180" s="86">
        <f>'Raw Data'!AH181/10</f>
        <v>34.1</v>
      </c>
      <c r="AI180" s="86">
        <f>'Raw Data'!AI181/10</f>
        <v>34.6</v>
      </c>
      <c r="AJ180" s="86">
        <f>'Raw Data'!AJ181/10</f>
        <v>35.299999999999997</v>
      </c>
      <c r="AK180" s="86">
        <f>'Raw Data'!AK181/10</f>
        <v>35.200000000000003</v>
      </c>
      <c r="AL180" s="86">
        <f>'Raw Data'!AL181/10</f>
        <v>35.799999999999997</v>
      </c>
      <c r="AM180" s="86">
        <f>'Raw Data'!AM181/10</f>
        <v>33.200000000000003</v>
      </c>
      <c r="AN180" s="86">
        <f>'Raw Data'!AN181/10</f>
        <v>33.299999999999997</v>
      </c>
      <c r="AO180" s="86">
        <f>'Raw Data'!AO181/10</f>
        <v>33.1</v>
      </c>
      <c r="AP180" s="86">
        <f>'Raw Data'!AP181/10</f>
        <v>31.2</v>
      </c>
      <c r="AQ180" s="86">
        <f>'Raw Data'!AQ181/10</f>
        <v>30.4</v>
      </c>
      <c r="AR180" s="86">
        <f>'Raw Data'!AR181/10</f>
        <v>32.799999999999997</v>
      </c>
      <c r="AS180" s="86">
        <f>'Raw Data'!AS181/10</f>
        <v>33.200000000000003</v>
      </c>
      <c r="AT180" s="86">
        <f>'Raw Data'!AT181/10</f>
        <v>32.700000000000003</v>
      </c>
      <c r="AU180" s="86">
        <f>'Raw Data'!AU181/10</f>
        <v>32.5</v>
      </c>
      <c r="AV180" s="86">
        <f>'Raw Data'!AV181/10</f>
        <v>31.1</v>
      </c>
      <c r="AW180" s="86">
        <f>'Raw Data'!AW181/10</f>
        <v>31</v>
      </c>
      <c r="AX180" s="86">
        <f>'Raw Data'!AX181/10</f>
        <v>31.1</v>
      </c>
      <c r="AY180" s="86">
        <f>'Raw Data'!AY181/10</f>
        <v>28</v>
      </c>
      <c r="AZ180" s="86">
        <f>'Raw Data'!AZ181/10</f>
        <v>33.6</v>
      </c>
      <c r="BA180" s="86">
        <f>'Raw Data'!BA181/10</f>
        <v>30.7</v>
      </c>
      <c r="BB180" s="86">
        <f>'Raw Data'!BB181/10</f>
        <v>30.3</v>
      </c>
      <c r="BC180" s="86">
        <f>'Raw Data'!BC181/10</f>
        <v>31.4</v>
      </c>
      <c r="BD180" s="86">
        <f>'Raw Data'!BD181/10</f>
        <v>29.6</v>
      </c>
      <c r="BE180" s="86">
        <f>'Raw Data'!BE181/10</f>
        <v>28.6</v>
      </c>
      <c r="BF180" s="86">
        <f>'Raw Data'!BF181/10</f>
        <v>30.6</v>
      </c>
      <c r="BG180" s="86">
        <f>'Raw Data'!BG181/10</f>
        <v>30</v>
      </c>
      <c r="BH180" s="86">
        <f>'Raw Data'!BH181/10</f>
        <v>28.6</v>
      </c>
      <c r="BI180" s="86">
        <f>'Raw Data'!BI181/10</f>
        <v>32.5</v>
      </c>
      <c r="BJ180" s="86">
        <f>'Raw Data'!BJ181/10</f>
        <v>30</v>
      </c>
      <c r="BK180" s="86">
        <f>'Raw Data'!BK181/10</f>
        <v>30.3</v>
      </c>
      <c r="BL180" s="86">
        <f>'Raw Data'!BL181/10</f>
        <v>28</v>
      </c>
      <c r="BM180" s="86">
        <f>'Raw Data'!BM181/10</f>
        <v>28.5</v>
      </c>
      <c r="BN180" s="86">
        <f>'Raw Data'!BN181/10</f>
        <v>29.2</v>
      </c>
      <c r="BO180" s="86">
        <f>'Raw Data'!BO181/10</f>
        <v>29.5</v>
      </c>
      <c r="BP180" s="86">
        <f>'Raw Data'!BP181/10</f>
        <v>30.1</v>
      </c>
      <c r="BQ180" s="86">
        <f>'Raw Data'!BQ181/10</f>
        <v>29.7</v>
      </c>
      <c r="BR180" s="86">
        <f>'Raw Data'!BR181/10</f>
        <v>28.3</v>
      </c>
      <c r="BS180" s="86">
        <f>'Raw Data'!BS181/10</f>
        <v>30.1</v>
      </c>
      <c r="BT180" s="86">
        <f>'Raw Data'!BT181/10</f>
        <v>28.6</v>
      </c>
      <c r="BU180" s="86">
        <f>'Raw Data'!BU181/10</f>
        <v>29.3</v>
      </c>
      <c r="BV180" s="86">
        <f>'Raw Data'!BV181/10</f>
        <v>30.6</v>
      </c>
      <c r="BW180" s="86">
        <f>'Raw Data'!BW181/10</f>
        <v>29.5</v>
      </c>
      <c r="BX180" s="86">
        <f>'Raw Data'!BX181/10</f>
        <v>28.5</v>
      </c>
      <c r="BY180" s="86">
        <f>'Raw Data'!BY181/10</f>
        <v>30.1</v>
      </c>
      <c r="BZ180" s="86">
        <f>'Raw Data'!BZ181/10</f>
        <v>28.8</v>
      </c>
      <c r="CA180" s="86">
        <f>'Raw Data'!CA181/10</f>
        <v>28.2</v>
      </c>
      <c r="CB180" s="86">
        <f>'Raw Data'!CB181/10</f>
        <v>29.5</v>
      </c>
      <c r="CC180" s="86">
        <f>'Raw Data'!CC181/10</f>
        <v>29.8</v>
      </c>
      <c r="CD180" s="86">
        <f>'Raw Data'!CD181/10</f>
        <v>27.9</v>
      </c>
      <c r="CE180" s="86">
        <f>'Raw Data'!CE181/10</f>
        <v>30</v>
      </c>
      <c r="CF180" s="86">
        <f>'Raw Data'!CF181/10</f>
        <v>28.8</v>
      </c>
      <c r="CG180" s="86">
        <f>'Raw Data'!CG181/100</f>
        <v>28.21</v>
      </c>
      <c r="CH180" s="86">
        <f>'Raw Data'!CH181/100</f>
        <v>27.71</v>
      </c>
      <c r="CI180" s="86">
        <f>'Raw Data'!CI181/100</f>
        <v>27.45</v>
      </c>
      <c r="CJ180" s="86">
        <f>'Raw Data'!CJ181/100</f>
        <v>26.51</v>
      </c>
      <c r="CK180" s="86">
        <f>'Raw Data'!CK181/100</f>
        <v>26.96</v>
      </c>
      <c r="CL180" s="86">
        <f>'Raw Data'!CL181/100</f>
        <v>26.14</v>
      </c>
      <c r="CM180" s="86">
        <f>'Raw Data'!CM181/100</f>
        <v>25.37</v>
      </c>
      <c r="CN180" s="86">
        <f>'Raw Data'!CN181/100</f>
        <v>26.02</v>
      </c>
      <c r="CO180" s="86">
        <f>'Raw Data'!CO181/100</f>
        <v>25.26</v>
      </c>
      <c r="CP180" s="86">
        <f>'Raw Data'!CP181/100</f>
        <v>24.98</v>
      </c>
      <c r="CQ180" s="86">
        <f>'Raw Data'!CQ181/100</f>
        <v>25.65</v>
      </c>
      <c r="CR180" s="86">
        <f>'Raw Data'!CR181/100</f>
        <v>24.74</v>
      </c>
      <c r="CS180" s="86">
        <f>'Raw Data'!CS181/100</f>
        <v>24.47</v>
      </c>
      <c r="CT180" s="86">
        <f>'Raw Data'!CT181/100</f>
        <v>24.77</v>
      </c>
      <c r="CU180" s="382"/>
    </row>
    <row r="181" spans="4:99" s="86" customFormat="1" x14ac:dyDescent="0.2">
      <c r="D181" s="375"/>
      <c r="E181" s="164"/>
      <c r="F181" s="394"/>
      <c r="G181" s="86">
        <f>'Raw Data'!G182</f>
        <v>1221</v>
      </c>
      <c r="H181" s="86">
        <f>'Raw Data'!H182</f>
        <v>1153</v>
      </c>
      <c r="I181" s="86">
        <f>'Raw Data'!I182</f>
        <v>1205</v>
      </c>
      <c r="J181" s="86">
        <f>'Raw Data'!J182</f>
        <v>1221</v>
      </c>
      <c r="K181" s="86">
        <f>'Raw Data'!K182</f>
        <v>1186</v>
      </c>
      <c r="L181" s="86">
        <f>'Raw Data'!L182</f>
        <v>1217</v>
      </c>
      <c r="M181" s="86">
        <f>'Raw Data'!M182</f>
        <v>1141</v>
      </c>
      <c r="N181" s="86">
        <f>'Raw Data'!N182</f>
        <v>1118</v>
      </c>
      <c r="O181" s="86">
        <f>'Raw Data'!O182</f>
        <v>1153</v>
      </c>
      <c r="P181" s="86">
        <f>'Raw Data'!P182</f>
        <v>1122</v>
      </c>
      <c r="Q181" s="86">
        <f>'Raw Data'!Q182</f>
        <v>1085</v>
      </c>
      <c r="R181" s="86">
        <f>'Raw Data'!R182</f>
        <v>1116</v>
      </c>
      <c r="S181" s="86">
        <f>'Raw Data'!S182</f>
        <v>1097</v>
      </c>
      <c r="T181" s="86">
        <f>'Raw Data'!T182</f>
        <v>1104</v>
      </c>
      <c r="U181" s="86">
        <f>'Raw Data'!U182</f>
        <v>1110</v>
      </c>
      <c r="V181" s="86">
        <f>'Raw Data'!V182</f>
        <v>1161</v>
      </c>
      <c r="W181" s="86">
        <f>'Raw Data'!W182</f>
        <v>1167</v>
      </c>
      <c r="X181" s="86">
        <f>'Raw Data'!X182</f>
        <v>1143</v>
      </c>
      <c r="Y181" s="86">
        <f>'Raw Data'!Y182</f>
        <v>1108</v>
      </c>
      <c r="Z181" s="86">
        <f>'Raw Data'!Z182</f>
        <v>1065</v>
      </c>
      <c r="AA181" s="86">
        <f>'Raw Data'!AA182/10</f>
        <v>1076</v>
      </c>
      <c r="AB181" s="86">
        <f>'Raw Data'!AB182/10</f>
        <v>1037.0999999999999</v>
      </c>
      <c r="AC181" s="86">
        <f>'Raw Data'!AC182/10</f>
        <v>990.7</v>
      </c>
      <c r="AD181" s="86">
        <f>'Raw Data'!AD182/10</f>
        <v>948.7</v>
      </c>
      <c r="AE181" s="86">
        <f>'Raw Data'!AE182/10</f>
        <v>895.4</v>
      </c>
      <c r="AF181" s="86">
        <f>'Raw Data'!AF182/10</f>
        <v>863.5</v>
      </c>
      <c r="AG181" s="86">
        <f>'Raw Data'!AG182/10</f>
        <v>824.2</v>
      </c>
      <c r="AH181" s="86">
        <f>'Raw Data'!AH182/10</f>
        <v>782.2</v>
      </c>
      <c r="AI181" s="86">
        <f>'Raw Data'!AI182/10</f>
        <v>749.5</v>
      </c>
      <c r="AJ181" s="86">
        <f>'Raw Data'!AJ182/10</f>
        <v>711.3</v>
      </c>
      <c r="AK181" s="86">
        <f>'Raw Data'!AK182/10</f>
        <v>684.6</v>
      </c>
      <c r="AL181" s="86">
        <f>'Raw Data'!AL182/10</f>
        <v>660.2</v>
      </c>
      <c r="AM181" s="86">
        <f>'Raw Data'!AM182/10</f>
        <v>631.5</v>
      </c>
      <c r="AN181" s="86">
        <f>'Raw Data'!AN182/10</f>
        <v>607.9</v>
      </c>
      <c r="AO181" s="86">
        <f>'Raw Data'!AO182/10</f>
        <v>584.70000000000005</v>
      </c>
      <c r="AP181" s="86">
        <f>'Raw Data'!AP182/10</f>
        <v>567.1</v>
      </c>
      <c r="AQ181" s="86">
        <f>'Raw Data'!AQ182/10</f>
        <v>551.9</v>
      </c>
      <c r="AR181" s="86">
        <f>'Raw Data'!AR182/10</f>
        <v>529.79999999999995</v>
      </c>
      <c r="AS181" s="86">
        <f>'Raw Data'!AS182/10</f>
        <v>502.8</v>
      </c>
      <c r="AT181" s="86">
        <f>'Raw Data'!AT182/10</f>
        <v>493.1</v>
      </c>
      <c r="AU181" s="86">
        <f>'Raw Data'!AU182/10</f>
        <v>470.7</v>
      </c>
      <c r="AV181" s="86">
        <f>'Raw Data'!AV182/10</f>
        <v>458.2</v>
      </c>
      <c r="AW181" s="86">
        <f>'Raw Data'!AW182/10</f>
        <v>440.4</v>
      </c>
      <c r="AX181" s="86">
        <f>'Raw Data'!AX182/10</f>
        <v>425.6</v>
      </c>
      <c r="AY181" s="86">
        <f>'Raw Data'!AY182/10</f>
        <v>418.6</v>
      </c>
      <c r="AZ181" s="86">
        <f>'Raw Data'!AZ182/10</f>
        <v>397.3</v>
      </c>
      <c r="BA181" s="86">
        <f>'Raw Data'!BA182/10</f>
        <v>384.8</v>
      </c>
      <c r="BB181" s="86">
        <f>'Raw Data'!BB182/10</f>
        <v>376.8</v>
      </c>
      <c r="BC181" s="86">
        <f>'Raw Data'!BC182/10</f>
        <v>368.6</v>
      </c>
      <c r="BD181" s="86">
        <f>'Raw Data'!BD182/10</f>
        <v>359</v>
      </c>
      <c r="BE181" s="86">
        <f>'Raw Data'!BE182/10</f>
        <v>348.5</v>
      </c>
      <c r="BF181" s="86">
        <f>'Raw Data'!BF182/10</f>
        <v>336.4</v>
      </c>
      <c r="BG181" s="86">
        <f>'Raw Data'!BG182/10</f>
        <v>333.7</v>
      </c>
      <c r="BH181" s="86">
        <f>'Raw Data'!BH182/10</f>
        <v>316.60000000000002</v>
      </c>
      <c r="BI181" s="86">
        <f>'Raw Data'!BI182/10</f>
        <v>314.3</v>
      </c>
      <c r="BJ181" s="86">
        <f>'Raw Data'!BJ182/10</f>
        <v>300.8</v>
      </c>
      <c r="BK181" s="86">
        <f>'Raw Data'!BK182/10</f>
        <v>295.2</v>
      </c>
      <c r="BL181" s="86">
        <f>'Raw Data'!BL182/10</f>
        <v>285.10000000000002</v>
      </c>
      <c r="BM181" s="86">
        <f>'Raw Data'!BM182/10</f>
        <v>278.3</v>
      </c>
      <c r="BN181" s="86">
        <f>'Raw Data'!BN182/10</f>
        <v>271.5</v>
      </c>
      <c r="BO181" s="86">
        <f>'Raw Data'!BO182/10</f>
        <v>268.5</v>
      </c>
      <c r="BP181" s="86">
        <f>'Raw Data'!BP182/10</f>
        <v>267.39999999999998</v>
      </c>
      <c r="BQ181" s="86">
        <f>'Raw Data'!BQ182/10</f>
        <v>255.1</v>
      </c>
      <c r="BR181" s="86">
        <f>'Raw Data'!BR182/10</f>
        <v>250.9</v>
      </c>
      <c r="BS181" s="86">
        <f>'Raw Data'!BS182/10</f>
        <v>245.2</v>
      </c>
      <c r="BT181" s="86">
        <f>'Raw Data'!BT182/10</f>
        <v>240.8</v>
      </c>
      <c r="BU181" s="86">
        <f>'Raw Data'!BU182/10</f>
        <v>255.9</v>
      </c>
      <c r="BV181" s="86">
        <f>'Raw Data'!BV182/10</f>
        <v>224.8</v>
      </c>
      <c r="BW181" s="86">
        <f>'Raw Data'!BW182/10</f>
        <v>226.4</v>
      </c>
      <c r="BX181" s="86">
        <f>'Raw Data'!BX182/10</f>
        <v>218.8</v>
      </c>
      <c r="BY181" s="86">
        <f>'Raw Data'!BY182/10</f>
        <v>218.9</v>
      </c>
      <c r="BZ181" s="86">
        <f>'Raw Data'!BZ182/10</f>
        <v>212</v>
      </c>
      <c r="CA181" s="86">
        <f>'Raw Data'!CA182/10</f>
        <v>210.3</v>
      </c>
      <c r="CB181" s="86">
        <f>'Raw Data'!CB182/10</f>
        <v>205.1</v>
      </c>
      <c r="CC181" s="86">
        <f>'Raw Data'!CC182/10</f>
        <v>195</v>
      </c>
      <c r="CD181" s="86">
        <f>'Raw Data'!CD182/10</f>
        <v>198.2</v>
      </c>
      <c r="CE181" s="86">
        <f>'Raw Data'!CE182/10</f>
        <v>194.1</v>
      </c>
      <c r="CF181" s="86">
        <f>'Raw Data'!CF182/10</f>
        <v>192.5</v>
      </c>
      <c r="CG181" s="86">
        <f>'Raw Data'!CG182/100</f>
        <v>175.29</v>
      </c>
      <c r="CH181" s="86">
        <f>'Raw Data'!CH182/100</f>
        <v>150.01</v>
      </c>
      <c r="CI181" s="86">
        <f>'Raw Data'!CI182/100</f>
        <v>131.35</v>
      </c>
      <c r="CJ181" s="86">
        <f>'Raw Data'!CJ182/100</f>
        <v>118.51</v>
      </c>
      <c r="CK181" s="86">
        <f>'Raw Data'!CK182/100</f>
        <v>110.29</v>
      </c>
      <c r="CL181" s="86">
        <f>'Raw Data'!CL182/100</f>
        <v>99.23</v>
      </c>
      <c r="CM181" s="86">
        <f>'Raw Data'!CM182/100</f>
        <v>92.29</v>
      </c>
      <c r="CN181" s="86">
        <f>'Raw Data'!CN182/100</f>
        <v>85.92</v>
      </c>
      <c r="CO181" s="86">
        <f>'Raw Data'!CO182/100</f>
        <v>81.34</v>
      </c>
      <c r="CP181" s="86">
        <f>'Raw Data'!CP182/100</f>
        <v>76.5</v>
      </c>
      <c r="CQ181" s="86">
        <f>'Raw Data'!CQ182/100</f>
        <v>72.05</v>
      </c>
      <c r="CR181" s="86">
        <f>'Raw Data'!CR182/100</f>
        <v>68.14</v>
      </c>
      <c r="CS181" s="86">
        <f>'Raw Data'!CS182/100</f>
        <v>66.400000000000006</v>
      </c>
      <c r="CT181" s="86">
        <f>'Raw Data'!CT182/100</f>
        <v>63.98</v>
      </c>
      <c r="CU181" s="382"/>
    </row>
    <row r="182" spans="4:99" s="86" customFormat="1" x14ac:dyDescent="0.2">
      <c r="D182" s="375"/>
      <c r="E182" s="164"/>
      <c r="F182" s="394"/>
      <c r="G182" s="86">
        <f>'Raw Data'!G183</f>
        <v>800</v>
      </c>
      <c r="H182" s="86">
        <f>'Raw Data'!H183</f>
        <v>806</v>
      </c>
      <c r="I182" s="86">
        <f>'Raw Data'!I183</f>
        <v>803</v>
      </c>
      <c r="J182" s="86">
        <f>'Raw Data'!J183</f>
        <v>832</v>
      </c>
      <c r="K182" s="86">
        <f>'Raw Data'!K183</f>
        <v>754</v>
      </c>
      <c r="L182" s="86">
        <f>'Raw Data'!L183</f>
        <v>786</v>
      </c>
      <c r="M182" s="86">
        <f>'Raw Data'!M183</f>
        <v>796</v>
      </c>
      <c r="N182" s="86">
        <f>'Raw Data'!N183</f>
        <v>792</v>
      </c>
      <c r="O182" s="86">
        <f>'Raw Data'!O183</f>
        <v>778</v>
      </c>
      <c r="P182" s="86">
        <f>'Raw Data'!P183</f>
        <v>775</v>
      </c>
      <c r="Q182" s="86">
        <f>'Raw Data'!Q183</f>
        <v>789</v>
      </c>
      <c r="R182" s="86">
        <f>'Raw Data'!R183</f>
        <v>790</v>
      </c>
      <c r="S182" s="86">
        <f>'Raw Data'!S183</f>
        <v>792</v>
      </c>
      <c r="T182" s="86">
        <f>'Raw Data'!T183</f>
        <v>778</v>
      </c>
      <c r="U182" s="86">
        <f>'Raw Data'!U183</f>
        <v>754</v>
      </c>
      <c r="V182" s="86">
        <f>'Raw Data'!V183</f>
        <v>781</v>
      </c>
      <c r="W182" s="86">
        <f>'Raw Data'!W183</f>
        <v>782</v>
      </c>
      <c r="X182" s="86">
        <f>'Raw Data'!X183</f>
        <v>786</v>
      </c>
      <c r="Y182" s="86">
        <f>'Raw Data'!Y183</f>
        <v>747</v>
      </c>
      <c r="Z182" s="86">
        <f>'Raw Data'!Z183</f>
        <v>746</v>
      </c>
      <c r="AA182" s="86">
        <f>'Raw Data'!AA183/10</f>
        <v>748.9</v>
      </c>
      <c r="AB182" s="86">
        <f>'Raw Data'!AB183/10</f>
        <v>712.4</v>
      </c>
      <c r="AC182" s="86">
        <f>'Raw Data'!AC183/10</f>
        <v>678.7</v>
      </c>
      <c r="AD182" s="86">
        <f>'Raw Data'!AD183/10</f>
        <v>663.5</v>
      </c>
      <c r="AE182" s="86">
        <f>'Raw Data'!AE183/10</f>
        <v>621.70000000000005</v>
      </c>
      <c r="AF182" s="86">
        <f>'Raw Data'!AF183/10</f>
        <v>596.5</v>
      </c>
      <c r="AG182" s="86">
        <f>'Raw Data'!AG183/10</f>
        <v>577.1</v>
      </c>
      <c r="AH182" s="86">
        <f>'Raw Data'!AH183/10</f>
        <v>541.20000000000005</v>
      </c>
      <c r="AI182" s="86">
        <f>'Raw Data'!AI183/10</f>
        <v>529</v>
      </c>
      <c r="AJ182" s="86">
        <f>'Raw Data'!AJ183/10</f>
        <v>503.1</v>
      </c>
      <c r="AK182" s="86">
        <f>'Raw Data'!AK183/10</f>
        <v>483.3</v>
      </c>
      <c r="AL182" s="86">
        <f>'Raw Data'!AL183/10</f>
        <v>453.9</v>
      </c>
      <c r="AM182" s="86">
        <f>'Raw Data'!AM183/10</f>
        <v>436.8</v>
      </c>
      <c r="AN182" s="86">
        <f>'Raw Data'!AN183/10</f>
        <v>420.8</v>
      </c>
      <c r="AO182" s="86">
        <f>'Raw Data'!AO183/10</f>
        <v>404.1</v>
      </c>
      <c r="AP182" s="86">
        <f>'Raw Data'!AP183/10</f>
        <v>385.9</v>
      </c>
      <c r="AQ182" s="86">
        <f>'Raw Data'!AQ183/10</f>
        <v>367.2</v>
      </c>
      <c r="AR182" s="86">
        <f>'Raw Data'!AR183/10</f>
        <v>365.3</v>
      </c>
      <c r="AS182" s="86">
        <f>'Raw Data'!AS183/10</f>
        <v>352.1</v>
      </c>
      <c r="AT182" s="86">
        <f>'Raw Data'!AT183/10</f>
        <v>340.2</v>
      </c>
      <c r="AU182" s="86">
        <f>'Raw Data'!AU183/10</f>
        <v>329.1</v>
      </c>
      <c r="AV182" s="86">
        <f>'Raw Data'!AV183/10</f>
        <v>320</v>
      </c>
      <c r="AW182" s="86">
        <f>'Raw Data'!AW183/10</f>
        <v>299.89999999999998</v>
      </c>
      <c r="AX182" s="86">
        <f>'Raw Data'!AX183/10</f>
        <v>303.7</v>
      </c>
      <c r="AY182" s="86">
        <f>'Raw Data'!AY183/10</f>
        <v>294.7</v>
      </c>
      <c r="AZ182" s="86">
        <f>'Raw Data'!AZ183/10</f>
        <v>281.3</v>
      </c>
      <c r="BA182" s="86">
        <f>'Raw Data'!BA183/10</f>
        <v>270.3</v>
      </c>
      <c r="BB182" s="86">
        <f>'Raw Data'!BB183/10</f>
        <v>259.10000000000002</v>
      </c>
      <c r="BC182" s="86">
        <f>'Raw Data'!BC183/10</f>
        <v>253.1</v>
      </c>
      <c r="BD182" s="86">
        <f>'Raw Data'!BD183/10</f>
        <v>253.3</v>
      </c>
      <c r="BE182" s="86">
        <f>'Raw Data'!BE183/10</f>
        <v>241.5</v>
      </c>
      <c r="BF182" s="86">
        <f>'Raw Data'!BF183/10</f>
        <v>236.3</v>
      </c>
      <c r="BG182" s="86">
        <f>'Raw Data'!BG183/10</f>
        <v>234.6</v>
      </c>
      <c r="BH182" s="86">
        <f>'Raw Data'!BH183/10</f>
        <v>221</v>
      </c>
      <c r="BI182" s="86">
        <f>'Raw Data'!BI183/10</f>
        <v>219.5</v>
      </c>
      <c r="BJ182" s="86">
        <f>'Raw Data'!BJ183/10</f>
        <v>209.4</v>
      </c>
      <c r="BK182" s="86">
        <f>'Raw Data'!BK183/10</f>
        <v>202.9</v>
      </c>
      <c r="BL182" s="86">
        <f>'Raw Data'!BL183/10</f>
        <v>198.9</v>
      </c>
      <c r="BM182" s="86">
        <f>'Raw Data'!BM183/10</f>
        <v>197.3</v>
      </c>
      <c r="BN182" s="86">
        <f>'Raw Data'!BN183/10</f>
        <v>197</v>
      </c>
      <c r="BO182" s="86">
        <f>'Raw Data'!BO183/10</f>
        <v>190.7</v>
      </c>
      <c r="BP182" s="86">
        <f>'Raw Data'!BP183/10</f>
        <v>184.8</v>
      </c>
      <c r="BQ182" s="86">
        <f>'Raw Data'!BQ183/10</f>
        <v>179.1</v>
      </c>
      <c r="BR182" s="86">
        <f>'Raw Data'!BR183/10</f>
        <v>175.5</v>
      </c>
      <c r="BS182" s="86">
        <f>'Raw Data'!BS183/10</f>
        <v>170.6</v>
      </c>
      <c r="BT182" s="86">
        <f>'Raw Data'!BT183/10</f>
        <v>167.8</v>
      </c>
      <c r="BU182" s="86">
        <f>'Raw Data'!BU183/10</f>
        <v>165.2</v>
      </c>
      <c r="BV182" s="86">
        <f>'Raw Data'!BV183/10</f>
        <v>161.19999999999999</v>
      </c>
      <c r="BW182" s="86">
        <f>'Raw Data'!BW183/10</f>
        <v>159.80000000000001</v>
      </c>
      <c r="BX182" s="86">
        <f>'Raw Data'!BX183/10</f>
        <v>160</v>
      </c>
      <c r="BY182" s="86">
        <f>'Raw Data'!BY183/10</f>
        <v>179.1</v>
      </c>
      <c r="BZ182" s="86">
        <f>'Raw Data'!BZ183/10</f>
        <v>151.30000000000001</v>
      </c>
      <c r="CA182" s="86">
        <f>'Raw Data'!CA183/10</f>
        <v>146.5</v>
      </c>
      <c r="CB182" s="86">
        <f>'Raw Data'!CB183/10</f>
        <v>141</v>
      </c>
      <c r="CC182" s="86">
        <f>'Raw Data'!CC183/10</f>
        <v>142.69999999999999</v>
      </c>
      <c r="CD182" s="86">
        <f>'Raw Data'!CD183/10</f>
        <v>140.9</v>
      </c>
      <c r="CE182" s="86">
        <f>'Raw Data'!CE183/10</f>
        <v>137.6</v>
      </c>
      <c r="CF182" s="86">
        <f>'Raw Data'!CF183/10</f>
        <v>138.69999999999999</v>
      </c>
      <c r="CG182" s="86">
        <f>'Raw Data'!CG183/100</f>
        <v>123.24</v>
      </c>
      <c r="CH182" s="86">
        <f>'Raw Data'!CH183/100</f>
        <v>109.21</v>
      </c>
      <c r="CI182" s="86">
        <f>'Raw Data'!CI183/100</f>
        <v>96.77</v>
      </c>
      <c r="CJ182" s="86">
        <f>'Raw Data'!CJ183/100</f>
        <v>85.88</v>
      </c>
      <c r="CK182" s="86">
        <f>'Raw Data'!CK183/100</f>
        <v>78.61</v>
      </c>
      <c r="CL182" s="86">
        <f>'Raw Data'!CL183/100</f>
        <v>72.38</v>
      </c>
      <c r="CM182" s="86">
        <f>'Raw Data'!CM183/100</f>
        <v>67.349999999999994</v>
      </c>
      <c r="CN182" s="86">
        <f>'Raw Data'!CN183/100</f>
        <v>63.24</v>
      </c>
      <c r="CO182" s="86">
        <f>'Raw Data'!CO183/100</f>
        <v>59.99</v>
      </c>
      <c r="CP182" s="86">
        <f>'Raw Data'!CP183/100</f>
        <v>56.61</v>
      </c>
      <c r="CQ182" s="86">
        <f>'Raw Data'!CQ183/100</f>
        <v>53.61</v>
      </c>
      <c r="CR182" s="86">
        <f>'Raw Data'!CR183/100</f>
        <v>52.61</v>
      </c>
      <c r="CS182" s="86">
        <f>'Raw Data'!CS183/100</f>
        <v>49.7</v>
      </c>
      <c r="CT182" s="86">
        <f>'Raw Data'!CT183/100</f>
        <v>48.84</v>
      </c>
      <c r="CU182" s="382"/>
    </row>
    <row r="183" spans="4:99" s="86" customFormat="1" x14ac:dyDescent="0.2">
      <c r="D183" s="379"/>
      <c r="E183" s="381"/>
      <c r="F183" s="395"/>
      <c r="G183" s="87">
        <f>'Raw Data'!G184</f>
        <v>1241</v>
      </c>
      <c r="H183" s="87">
        <f>'Raw Data'!H184</f>
        <v>1200</v>
      </c>
      <c r="I183" s="87">
        <f>'Raw Data'!I184</f>
        <v>1223</v>
      </c>
      <c r="J183" s="87">
        <f>'Raw Data'!J184</f>
        <v>1183</v>
      </c>
      <c r="K183" s="87">
        <f>'Raw Data'!K184</f>
        <v>1230</v>
      </c>
      <c r="L183" s="87">
        <f>'Raw Data'!L184</f>
        <v>1185</v>
      </c>
      <c r="M183" s="87">
        <f>'Raw Data'!M184</f>
        <v>1231</v>
      </c>
      <c r="N183" s="87">
        <f>'Raw Data'!N184</f>
        <v>1234</v>
      </c>
      <c r="O183" s="87">
        <f>'Raw Data'!O184</f>
        <v>1200</v>
      </c>
      <c r="P183" s="87">
        <f>'Raw Data'!P184</f>
        <v>1135</v>
      </c>
      <c r="Q183" s="87">
        <f>'Raw Data'!Q184</f>
        <v>1181</v>
      </c>
      <c r="R183" s="87">
        <f>'Raw Data'!R184</f>
        <v>1171</v>
      </c>
      <c r="S183" s="87">
        <f>'Raw Data'!S184</f>
        <v>1176</v>
      </c>
      <c r="T183" s="87">
        <f>'Raw Data'!T184</f>
        <v>1134</v>
      </c>
      <c r="U183" s="87">
        <f>'Raw Data'!U184</f>
        <v>1174</v>
      </c>
      <c r="V183" s="87">
        <f>'Raw Data'!V184</f>
        <v>1168</v>
      </c>
      <c r="W183" s="87">
        <f>'Raw Data'!W184</f>
        <v>1107</v>
      </c>
      <c r="X183" s="87">
        <f>'Raw Data'!X184</f>
        <v>1178</v>
      </c>
      <c r="Y183" s="87">
        <f>'Raw Data'!Y184</f>
        <v>1172</v>
      </c>
      <c r="Z183" s="87">
        <f>'Raw Data'!Z184</f>
        <v>1150</v>
      </c>
      <c r="AA183" s="87">
        <f>'Raw Data'!AA184/10</f>
        <v>1111</v>
      </c>
      <c r="AB183" s="87">
        <f>'Raw Data'!AB184/10</f>
        <v>1075</v>
      </c>
      <c r="AC183" s="87">
        <f>'Raw Data'!AC184/10</f>
        <v>1028.5</v>
      </c>
      <c r="AD183" s="87">
        <f>'Raw Data'!AD184/10</f>
        <v>973</v>
      </c>
      <c r="AE183" s="87">
        <f>'Raw Data'!AE184/10</f>
        <v>947.8</v>
      </c>
      <c r="AF183" s="87">
        <f>'Raw Data'!AF184/10</f>
        <v>906.6</v>
      </c>
      <c r="AG183" s="87">
        <f>'Raw Data'!AG184/10</f>
        <v>857.9</v>
      </c>
      <c r="AH183" s="87">
        <f>'Raw Data'!AH184/10</f>
        <v>832</v>
      </c>
      <c r="AI183" s="87">
        <f>'Raw Data'!AI184/10</f>
        <v>782.3</v>
      </c>
      <c r="AJ183" s="87">
        <f>'Raw Data'!AJ184/10</f>
        <v>760</v>
      </c>
      <c r="AK183" s="87">
        <f>'Raw Data'!AK184/10</f>
        <v>716.2</v>
      </c>
      <c r="AL183" s="87">
        <f>'Raw Data'!AL184/10</f>
        <v>696.1</v>
      </c>
      <c r="AM183" s="87">
        <f>'Raw Data'!AM184/10</f>
        <v>662.9</v>
      </c>
      <c r="AN183" s="87">
        <f>'Raw Data'!AN184/10</f>
        <v>633.4</v>
      </c>
      <c r="AO183" s="87">
        <f>'Raw Data'!AO184/10</f>
        <v>608.6</v>
      </c>
      <c r="AP183" s="87">
        <f>'Raw Data'!AP184/10</f>
        <v>593.70000000000005</v>
      </c>
      <c r="AQ183" s="87">
        <f>'Raw Data'!AQ184/10</f>
        <v>573.1</v>
      </c>
      <c r="AR183" s="87">
        <f>'Raw Data'!AR184/10</f>
        <v>553.1</v>
      </c>
      <c r="AS183" s="87">
        <f>'Raw Data'!AS184/10</f>
        <v>539.29999999999995</v>
      </c>
      <c r="AT183" s="87">
        <f>'Raw Data'!AT184/10</f>
        <v>510.4</v>
      </c>
      <c r="AU183" s="87">
        <f>'Raw Data'!AU184/10</f>
        <v>495.7</v>
      </c>
      <c r="AV183" s="87">
        <f>'Raw Data'!AV184/10</f>
        <v>484.3</v>
      </c>
      <c r="AW183" s="87">
        <f>'Raw Data'!AW184/10</f>
        <v>458.4</v>
      </c>
      <c r="AX183" s="87">
        <f>'Raw Data'!AX184/10</f>
        <v>454.6</v>
      </c>
      <c r="AY183" s="87">
        <f>'Raw Data'!AY184/10</f>
        <v>443.9</v>
      </c>
      <c r="AZ183" s="87">
        <f>'Raw Data'!AZ184/10</f>
        <v>421.2</v>
      </c>
      <c r="BA183" s="87">
        <f>'Raw Data'!BA184/10</f>
        <v>414.8</v>
      </c>
      <c r="BB183" s="87">
        <f>'Raw Data'!BB184/10</f>
        <v>402.4</v>
      </c>
      <c r="BC183" s="87">
        <f>'Raw Data'!BC184/10</f>
        <v>389.6</v>
      </c>
      <c r="BD183" s="87">
        <f>'Raw Data'!BD184/10</f>
        <v>379.5</v>
      </c>
      <c r="BE183" s="87">
        <f>'Raw Data'!BE184/10</f>
        <v>370.2</v>
      </c>
      <c r="BF183" s="87">
        <f>'Raw Data'!BF184/10</f>
        <v>358.6</v>
      </c>
      <c r="BG183" s="87">
        <f>'Raw Data'!BG184/10</f>
        <v>347.9</v>
      </c>
      <c r="BH183" s="87">
        <f>'Raw Data'!BH184/10</f>
        <v>345.3</v>
      </c>
      <c r="BI183" s="87">
        <f>'Raw Data'!BI184/10</f>
        <v>332.9</v>
      </c>
      <c r="BJ183" s="87">
        <f>'Raw Data'!BJ184/10</f>
        <v>322.10000000000002</v>
      </c>
      <c r="BK183" s="87">
        <f>'Raw Data'!BK184/10</f>
        <v>317.89999999999998</v>
      </c>
      <c r="BL183" s="87">
        <f>'Raw Data'!BL184/10</f>
        <v>308.3</v>
      </c>
      <c r="BM183" s="87">
        <f>'Raw Data'!BM184/10</f>
        <v>301.7</v>
      </c>
      <c r="BN183" s="87">
        <f>'Raw Data'!BN184/10</f>
        <v>292.39999999999998</v>
      </c>
      <c r="BO183" s="87">
        <f>'Raw Data'!BO184/10</f>
        <v>292</v>
      </c>
      <c r="BP183" s="87">
        <f>'Raw Data'!BP184/10</f>
        <v>286.10000000000002</v>
      </c>
      <c r="BQ183" s="87">
        <f>'Raw Data'!BQ184/10</f>
        <v>277.39999999999998</v>
      </c>
      <c r="BR183" s="87">
        <f>'Raw Data'!BR184/10</f>
        <v>266.5</v>
      </c>
      <c r="BS183" s="87">
        <f>'Raw Data'!BS184/10</f>
        <v>261.89999999999998</v>
      </c>
      <c r="BT183" s="87">
        <f>'Raw Data'!BT184/10</f>
        <v>251.9</v>
      </c>
      <c r="BU183" s="87">
        <f>'Raw Data'!BU184/10</f>
        <v>252.8</v>
      </c>
      <c r="BV183" s="87">
        <f>'Raw Data'!BV184/10</f>
        <v>247.5</v>
      </c>
      <c r="BW183" s="87">
        <f>'Raw Data'!BW184/10</f>
        <v>241.4</v>
      </c>
      <c r="BX183" s="87">
        <f>'Raw Data'!BX184/10</f>
        <v>238.4</v>
      </c>
      <c r="BY183" s="87">
        <f>'Raw Data'!BY184/10</f>
        <v>231.1</v>
      </c>
      <c r="BZ183" s="87">
        <f>'Raw Data'!BZ184/10</f>
        <v>232.3</v>
      </c>
      <c r="CA183" s="87">
        <f>'Raw Data'!CA184/10</f>
        <v>228.3</v>
      </c>
      <c r="CB183" s="87">
        <f>'Raw Data'!CB184/10</f>
        <v>220.9</v>
      </c>
      <c r="CC183" s="87">
        <f>'Raw Data'!CC184/10</f>
        <v>218</v>
      </c>
      <c r="CD183" s="87">
        <f>'Raw Data'!CD184/10</f>
        <v>210.8</v>
      </c>
      <c r="CE183" s="87">
        <f>'Raw Data'!CE184/10</f>
        <v>210.7</v>
      </c>
      <c r="CF183" s="87">
        <f>'Raw Data'!CF184/10</f>
        <v>204.9</v>
      </c>
      <c r="CG183" s="87">
        <f>'Raw Data'!CG184/100</f>
        <v>188.89</v>
      </c>
      <c r="CH183" s="87">
        <f>'Raw Data'!CH184/100</f>
        <v>166.06</v>
      </c>
      <c r="CI183" s="87">
        <f>'Raw Data'!CI184/100</f>
        <v>146.66999999999999</v>
      </c>
      <c r="CJ183" s="87">
        <f>'Raw Data'!CJ184/100</f>
        <v>130.63999999999999</v>
      </c>
      <c r="CK183" s="87">
        <f>'Raw Data'!CK184/100</f>
        <v>120.2</v>
      </c>
      <c r="CL183" s="87">
        <f>'Raw Data'!CL184/100</f>
        <v>110.21</v>
      </c>
      <c r="CM183" s="87">
        <f>'Raw Data'!CM184/100</f>
        <v>101.95</v>
      </c>
      <c r="CN183" s="87">
        <f>'Raw Data'!CN184/100</f>
        <v>96.01</v>
      </c>
      <c r="CO183" s="87">
        <f>'Raw Data'!CO184/100</f>
        <v>90.16</v>
      </c>
      <c r="CP183" s="87">
        <f>'Raw Data'!CP184/100</f>
        <v>84.54</v>
      </c>
      <c r="CQ183" s="87">
        <f>'Raw Data'!CQ184/100</f>
        <v>81.97</v>
      </c>
      <c r="CR183" s="87">
        <f>'Raw Data'!CR184/100</f>
        <v>78.28</v>
      </c>
      <c r="CS183" s="87">
        <f>'Raw Data'!CS184/100</f>
        <v>75.41</v>
      </c>
      <c r="CT183" s="87">
        <f>'Raw Data'!CT184/100</f>
        <v>71.400000000000006</v>
      </c>
      <c r="CU183" s="382"/>
    </row>
    <row r="184" spans="4:99" s="86" customFormat="1" x14ac:dyDescent="0.2">
      <c r="D184" s="376"/>
      <c r="E184" s="164"/>
      <c r="F184" s="394"/>
      <c r="G184" s="86">
        <f>'Raw Data'!G185</f>
        <v>441</v>
      </c>
      <c r="H184" s="86">
        <f>'Raw Data'!H185</f>
        <v>472</v>
      </c>
      <c r="I184" s="86">
        <f>'Raw Data'!I185</f>
        <v>482</v>
      </c>
      <c r="J184" s="86">
        <f>'Raw Data'!J185</f>
        <v>476</v>
      </c>
      <c r="K184" s="86">
        <f>'Raw Data'!K185</f>
        <v>468</v>
      </c>
      <c r="L184" s="86">
        <f>'Raw Data'!L185</f>
        <v>457</v>
      </c>
      <c r="M184" s="86">
        <f>'Raw Data'!M185</f>
        <v>464</v>
      </c>
      <c r="N184" s="86">
        <f>'Raw Data'!N185</f>
        <v>453</v>
      </c>
      <c r="O184" s="86">
        <f>'Raw Data'!O185</f>
        <v>446</v>
      </c>
      <c r="P184" s="86">
        <f>'Raw Data'!P185</f>
        <v>466</v>
      </c>
      <c r="Q184" s="86">
        <f>'Raw Data'!Q185</f>
        <v>466</v>
      </c>
      <c r="R184" s="86">
        <f>'Raw Data'!R185</f>
        <v>485</v>
      </c>
      <c r="S184" s="86">
        <f>'Raw Data'!S185</f>
        <v>442</v>
      </c>
      <c r="T184" s="86">
        <f>'Raw Data'!T185</f>
        <v>467</v>
      </c>
      <c r="U184" s="86">
        <f>'Raw Data'!U185</f>
        <v>452</v>
      </c>
      <c r="V184" s="86">
        <f>'Raw Data'!V185</f>
        <v>477</v>
      </c>
      <c r="W184" s="86">
        <f>'Raw Data'!W185</f>
        <v>467</v>
      </c>
      <c r="X184" s="86">
        <f>'Raw Data'!X185</f>
        <v>455</v>
      </c>
      <c r="Y184" s="86">
        <f>'Raw Data'!Y185</f>
        <v>418</v>
      </c>
      <c r="Z184" s="86">
        <f>'Raw Data'!Z185</f>
        <v>470</v>
      </c>
      <c r="AA184" s="83">
        <f>'Raw Data'!AA185/10</f>
        <v>438.7</v>
      </c>
      <c r="AB184" s="83">
        <f>'Raw Data'!AB185/10</f>
        <v>432.3</v>
      </c>
      <c r="AC184" s="83">
        <f>'Raw Data'!AC185/10</f>
        <v>406.4</v>
      </c>
      <c r="AD184" s="83">
        <f>'Raw Data'!AD185/10</f>
        <v>392.2</v>
      </c>
      <c r="AE184" s="83">
        <f>'Raw Data'!AE185/10</f>
        <v>380.7</v>
      </c>
      <c r="AF184" s="83">
        <f>'Raw Data'!AF185/10</f>
        <v>358.6</v>
      </c>
      <c r="AG184" s="83">
        <f>'Raw Data'!AG185/10</f>
        <v>350.1</v>
      </c>
      <c r="AH184" s="83">
        <f>'Raw Data'!AH185/10</f>
        <v>332.9</v>
      </c>
      <c r="AI184" s="83">
        <f>'Raw Data'!AI185/10</f>
        <v>312.2</v>
      </c>
      <c r="AJ184" s="83">
        <f>'Raw Data'!AJ185/10</f>
        <v>318.5</v>
      </c>
      <c r="AK184" s="83">
        <f>'Raw Data'!AK185/10</f>
        <v>293.5</v>
      </c>
      <c r="AL184" s="83">
        <f>'Raw Data'!AL185/10</f>
        <v>291.7</v>
      </c>
      <c r="AM184" s="83">
        <f>'Raw Data'!AM185/10</f>
        <v>274.2</v>
      </c>
      <c r="AN184" s="83">
        <f>'Raw Data'!AN185/10</f>
        <v>270.8</v>
      </c>
      <c r="AO184" s="83">
        <f>'Raw Data'!AO185/10</f>
        <v>256.39999999999998</v>
      </c>
      <c r="AP184" s="83">
        <f>'Raw Data'!AP185/10</f>
        <v>250.6</v>
      </c>
      <c r="AQ184" s="83">
        <f>'Raw Data'!AQ185/10</f>
        <v>251.7</v>
      </c>
      <c r="AR184" s="83">
        <f>'Raw Data'!AR185/10</f>
        <v>240.4</v>
      </c>
      <c r="AS184" s="83">
        <f>'Raw Data'!AS185/10</f>
        <v>238.9</v>
      </c>
      <c r="AT184" s="83">
        <f>'Raw Data'!AT185/10</f>
        <v>236.6</v>
      </c>
      <c r="AU184" s="83">
        <f>'Raw Data'!AU185/10</f>
        <v>226.6</v>
      </c>
      <c r="AV184" s="83">
        <f>'Raw Data'!AV185/10</f>
        <v>219.7</v>
      </c>
      <c r="AW184" s="83">
        <f>'Raw Data'!AW185/10</f>
        <v>212.7</v>
      </c>
      <c r="AX184" s="83">
        <f>'Raw Data'!AX185/10</f>
        <v>209.2</v>
      </c>
      <c r="AY184" s="83">
        <f>'Raw Data'!AY185/10</f>
        <v>207.8</v>
      </c>
      <c r="AZ184" s="83">
        <f>'Raw Data'!AZ185/10</f>
        <v>201.9</v>
      </c>
      <c r="BA184" s="83">
        <f>'Raw Data'!BA185/10</f>
        <v>203.6</v>
      </c>
      <c r="BB184" s="83">
        <f>'Raw Data'!BB185/10</f>
        <v>198.7</v>
      </c>
      <c r="BC184" s="83">
        <f>'Raw Data'!BC185/10</f>
        <v>189</v>
      </c>
      <c r="BD184" s="83">
        <f>'Raw Data'!BD185/10</f>
        <v>187.6</v>
      </c>
      <c r="BE184" s="83">
        <f>'Raw Data'!BE185/10</f>
        <v>188.5</v>
      </c>
      <c r="BF184" s="83">
        <f>'Raw Data'!BF185/10</f>
        <v>178.2</v>
      </c>
      <c r="BG184" s="83">
        <f>'Raw Data'!BG185/10</f>
        <v>172.1</v>
      </c>
      <c r="BH184" s="83">
        <f>'Raw Data'!BH185/10</f>
        <v>177.4</v>
      </c>
      <c r="BI184" s="83">
        <f>'Raw Data'!BI185/10</f>
        <v>172.6</v>
      </c>
      <c r="BJ184" s="83">
        <f>'Raw Data'!BJ185/10</f>
        <v>163.69999999999999</v>
      </c>
      <c r="BK184" s="83">
        <f>'Raw Data'!BK185/10</f>
        <v>164.4</v>
      </c>
      <c r="BL184" s="83">
        <f>'Raw Data'!BL185/10</f>
        <v>158</v>
      </c>
      <c r="BM184" s="83">
        <f>'Raw Data'!BM185/10</f>
        <v>156.6</v>
      </c>
      <c r="BN184" s="83">
        <f>'Raw Data'!BN185/10</f>
        <v>155.1</v>
      </c>
      <c r="BO184" s="83">
        <f>'Raw Data'!BO185/10</f>
        <v>156</v>
      </c>
      <c r="BP184" s="83">
        <f>'Raw Data'!BP185/10</f>
        <v>147.19999999999999</v>
      </c>
      <c r="BQ184" s="83">
        <f>'Raw Data'!BQ185/10</f>
        <v>147.1</v>
      </c>
      <c r="BR184" s="83">
        <f>'Raw Data'!BR185/10</f>
        <v>148.30000000000001</v>
      </c>
      <c r="BS184" s="83">
        <f>'Raw Data'!BS185/10</f>
        <v>145.30000000000001</v>
      </c>
      <c r="BT184" s="83">
        <f>'Raw Data'!BT185/10</f>
        <v>145.80000000000001</v>
      </c>
      <c r="BU184" s="83">
        <f>'Raw Data'!BU185/10</f>
        <v>146.19999999999999</v>
      </c>
      <c r="BV184" s="83">
        <f>'Raw Data'!BV185/10</f>
        <v>142</v>
      </c>
      <c r="BW184" s="83">
        <f>'Raw Data'!BW185/10</f>
        <v>140</v>
      </c>
      <c r="BX184" s="83">
        <f>'Raw Data'!BX185/10</f>
        <v>138</v>
      </c>
      <c r="BY184" s="83">
        <f>'Raw Data'!BY185/10</f>
        <v>132.5</v>
      </c>
      <c r="BZ184" s="83">
        <f>'Raw Data'!BZ185/10</f>
        <v>131.4</v>
      </c>
      <c r="CA184" s="83">
        <f>'Raw Data'!CA185/10</f>
        <v>136.80000000000001</v>
      </c>
      <c r="CB184" s="83">
        <f>'Raw Data'!CB185/10</f>
        <v>129.9</v>
      </c>
      <c r="CC184" s="83">
        <f>'Raw Data'!CC185/10</f>
        <v>127.1</v>
      </c>
      <c r="CD184" s="83">
        <f>'Raw Data'!CD185/10</f>
        <v>128.9</v>
      </c>
      <c r="CE184" s="83">
        <f>'Raw Data'!CE185/10</f>
        <v>129.4</v>
      </c>
      <c r="CF184" s="83">
        <f>'Raw Data'!CF185/10</f>
        <v>118</v>
      </c>
      <c r="CG184" s="83">
        <f>'Raw Data'!CG185/100</f>
        <v>119.22</v>
      </c>
      <c r="CH184" s="83">
        <f>'Raw Data'!CH185/100</f>
        <v>109.87</v>
      </c>
      <c r="CI184" s="83">
        <f>'Raw Data'!CI185/100</f>
        <v>102.8</v>
      </c>
      <c r="CJ184" s="83">
        <f>'Raw Data'!CJ185/100</f>
        <v>95.39</v>
      </c>
      <c r="CK184" s="83">
        <f>'Raw Data'!CK185/100</f>
        <v>91.08</v>
      </c>
      <c r="CL184" s="83">
        <f>'Raw Data'!CL185/100</f>
        <v>86.87</v>
      </c>
      <c r="CM184" s="83">
        <f>'Raw Data'!CM185/100</f>
        <v>82.37</v>
      </c>
      <c r="CN184" s="83">
        <f>'Raw Data'!CN185/100</f>
        <v>78.790000000000006</v>
      </c>
      <c r="CO184" s="83">
        <f>'Raw Data'!CO185/100</f>
        <v>75.849999999999994</v>
      </c>
      <c r="CP184" s="83">
        <f>'Raw Data'!CP185/100</f>
        <v>73.540000000000006</v>
      </c>
      <c r="CQ184" s="83">
        <f>'Raw Data'!CQ185/100</f>
        <v>72.05</v>
      </c>
      <c r="CR184" s="83">
        <f>'Raw Data'!CR185/100</f>
        <v>70.2</v>
      </c>
      <c r="CS184" s="83">
        <f>'Raw Data'!CS185/100</f>
        <v>67.739999999999995</v>
      </c>
      <c r="CT184" s="83">
        <f>'Raw Data'!CT185/100</f>
        <v>66.25</v>
      </c>
      <c r="CU184" s="382"/>
    </row>
    <row r="185" spans="4:99" s="86" customFormat="1" x14ac:dyDescent="0.2">
      <c r="D185" s="376"/>
      <c r="E185" s="164"/>
      <c r="F185" s="394"/>
      <c r="G185" s="86">
        <f>'Raw Data'!G186</f>
        <v>278</v>
      </c>
      <c r="H185" s="86">
        <f>'Raw Data'!H186</f>
        <v>286</v>
      </c>
      <c r="I185" s="86">
        <f>'Raw Data'!I186</f>
        <v>281</v>
      </c>
      <c r="J185" s="86">
        <f>'Raw Data'!J186</f>
        <v>254</v>
      </c>
      <c r="K185" s="86">
        <f>'Raw Data'!K186</f>
        <v>270</v>
      </c>
      <c r="L185" s="86">
        <f>'Raw Data'!L186</f>
        <v>279</v>
      </c>
      <c r="M185" s="86">
        <f>'Raw Data'!M186</f>
        <v>275</v>
      </c>
      <c r="N185" s="86">
        <f>'Raw Data'!N186</f>
        <v>271</v>
      </c>
      <c r="O185" s="86">
        <f>'Raw Data'!O186</f>
        <v>286</v>
      </c>
      <c r="P185" s="86">
        <f>'Raw Data'!P186</f>
        <v>268</v>
      </c>
      <c r="Q185" s="86">
        <f>'Raw Data'!Q186</f>
        <v>277</v>
      </c>
      <c r="R185" s="86">
        <f>'Raw Data'!R186</f>
        <v>280</v>
      </c>
      <c r="S185" s="86">
        <f>'Raw Data'!S186</f>
        <v>266</v>
      </c>
      <c r="T185" s="86">
        <f>'Raw Data'!T186</f>
        <v>244</v>
      </c>
      <c r="U185" s="86">
        <f>'Raw Data'!U186</f>
        <v>272</v>
      </c>
      <c r="V185" s="86">
        <f>'Raw Data'!V186</f>
        <v>286</v>
      </c>
      <c r="W185" s="86">
        <f>'Raw Data'!W186</f>
        <v>264</v>
      </c>
      <c r="X185" s="86">
        <f>'Raw Data'!X186</f>
        <v>276</v>
      </c>
      <c r="Y185" s="86">
        <f>'Raw Data'!Y186</f>
        <v>266</v>
      </c>
      <c r="Z185" s="86">
        <f>'Raw Data'!Z186</f>
        <v>281</v>
      </c>
      <c r="AA185" s="83">
        <f>'Raw Data'!AA186/10</f>
        <v>270.8</v>
      </c>
      <c r="AB185" s="83">
        <f>'Raw Data'!AB186/10</f>
        <v>256.2</v>
      </c>
      <c r="AC185" s="83">
        <f>'Raw Data'!AC186/10</f>
        <v>246.9</v>
      </c>
      <c r="AD185" s="83">
        <f>'Raw Data'!AD186/10</f>
        <v>237</v>
      </c>
      <c r="AE185" s="83">
        <f>'Raw Data'!AE186/10</f>
        <v>241.4</v>
      </c>
      <c r="AF185" s="83">
        <f>'Raw Data'!AF186/10</f>
        <v>229.4</v>
      </c>
      <c r="AG185" s="83">
        <f>'Raw Data'!AG186/10</f>
        <v>217.8</v>
      </c>
      <c r="AH185" s="83">
        <f>'Raw Data'!AH186/10</f>
        <v>214.1</v>
      </c>
      <c r="AI185" s="83">
        <f>'Raw Data'!AI186/10</f>
        <v>205.3</v>
      </c>
      <c r="AJ185" s="83">
        <f>'Raw Data'!AJ186/10</f>
        <v>197.2</v>
      </c>
      <c r="AK185" s="83">
        <f>'Raw Data'!AK186/10</f>
        <v>195</v>
      </c>
      <c r="AL185" s="83">
        <f>'Raw Data'!AL186/10</f>
        <v>183</v>
      </c>
      <c r="AM185" s="83">
        <f>'Raw Data'!AM186/10</f>
        <v>179.2</v>
      </c>
      <c r="AN185" s="83">
        <f>'Raw Data'!AN186/10</f>
        <v>179.4</v>
      </c>
      <c r="AO185" s="83">
        <f>'Raw Data'!AO186/10</f>
        <v>170.4</v>
      </c>
      <c r="AP185" s="83">
        <f>'Raw Data'!AP186/10</f>
        <v>170</v>
      </c>
      <c r="AQ185" s="83">
        <f>'Raw Data'!AQ186/10</f>
        <v>159.69999999999999</v>
      </c>
      <c r="AR185" s="83">
        <f>'Raw Data'!AR186/10</f>
        <v>161.19999999999999</v>
      </c>
      <c r="AS185" s="83">
        <f>'Raw Data'!AS186/10</f>
        <v>149.1</v>
      </c>
      <c r="AT185" s="83">
        <f>'Raw Data'!AT186/10</f>
        <v>155.30000000000001</v>
      </c>
      <c r="AU185" s="83">
        <f>'Raw Data'!AU186/10</f>
        <v>148.4</v>
      </c>
      <c r="AV185" s="83">
        <f>'Raw Data'!AV186/10</f>
        <v>147.19999999999999</v>
      </c>
      <c r="AW185" s="83">
        <f>'Raw Data'!AW186/10</f>
        <v>141.6</v>
      </c>
      <c r="AX185" s="83">
        <f>'Raw Data'!AX186/10</f>
        <v>142.1</v>
      </c>
      <c r="AY185" s="83">
        <f>'Raw Data'!AY186/10</f>
        <v>138.5</v>
      </c>
      <c r="AZ185" s="83">
        <f>'Raw Data'!AZ186/10</f>
        <v>135.6</v>
      </c>
      <c r="BA185" s="83">
        <f>'Raw Data'!BA186/10</f>
        <v>128.4</v>
      </c>
      <c r="BB185" s="83">
        <f>'Raw Data'!BB186/10</f>
        <v>132.69999999999999</v>
      </c>
      <c r="BC185" s="83">
        <f>'Raw Data'!BC186/10</f>
        <v>124.1</v>
      </c>
      <c r="BD185" s="83">
        <f>'Raw Data'!BD186/10</f>
        <v>130</v>
      </c>
      <c r="BE185" s="83">
        <f>'Raw Data'!BE186/10</f>
        <v>119</v>
      </c>
      <c r="BF185" s="83">
        <f>'Raw Data'!BF186/10</f>
        <v>124.2</v>
      </c>
      <c r="BG185" s="83">
        <f>'Raw Data'!BG186/10</f>
        <v>119.2</v>
      </c>
      <c r="BH185" s="83">
        <f>'Raw Data'!BH186/10</f>
        <v>117.7</v>
      </c>
      <c r="BI185" s="83">
        <f>'Raw Data'!BI186/10</f>
        <v>117.4</v>
      </c>
      <c r="BJ185" s="83">
        <f>'Raw Data'!BJ186/10</f>
        <v>115.4</v>
      </c>
      <c r="BK185" s="83">
        <f>'Raw Data'!BK186/10</f>
        <v>116.7</v>
      </c>
      <c r="BL185" s="83">
        <f>'Raw Data'!BL186/10</f>
        <v>109.5</v>
      </c>
      <c r="BM185" s="83">
        <f>'Raw Data'!BM186/10</f>
        <v>108.8</v>
      </c>
      <c r="BN185" s="83">
        <f>'Raw Data'!BN186/10</f>
        <v>107</v>
      </c>
      <c r="BO185" s="83">
        <f>'Raw Data'!BO186/10</f>
        <v>108.9</v>
      </c>
      <c r="BP185" s="83">
        <f>'Raw Data'!BP186/10</f>
        <v>107.9</v>
      </c>
      <c r="BQ185" s="83">
        <f>'Raw Data'!BQ186/10</f>
        <v>104</v>
      </c>
      <c r="BR185" s="83">
        <f>'Raw Data'!BR186/10</f>
        <v>105.9</v>
      </c>
      <c r="BS185" s="83">
        <f>'Raw Data'!BS186/10</f>
        <v>102.3</v>
      </c>
      <c r="BT185" s="83">
        <f>'Raw Data'!BT186/10</f>
        <v>102.2</v>
      </c>
      <c r="BU185" s="83">
        <f>'Raw Data'!BU186/10</f>
        <v>101.5</v>
      </c>
      <c r="BV185" s="83">
        <f>'Raw Data'!BV186/10</f>
        <v>97.3</v>
      </c>
      <c r="BW185" s="83">
        <f>'Raw Data'!BW186/10</f>
        <v>95.9</v>
      </c>
      <c r="BX185" s="83">
        <f>'Raw Data'!BX186/10</f>
        <v>92.7</v>
      </c>
      <c r="BY185" s="83">
        <f>'Raw Data'!BY186/10</f>
        <v>89.4</v>
      </c>
      <c r="BZ185" s="83">
        <f>'Raw Data'!BZ186/10</f>
        <v>91.8</v>
      </c>
      <c r="CA185" s="83">
        <f>'Raw Data'!CA186/10</f>
        <v>91.5</v>
      </c>
      <c r="CB185" s="83">
        <f>'Raw Data'!CB186/10</f>
        <v>95.3</v>
      </c>
      <c r="CC185" s="83">
        <f>'Raw Data'!CC186/10</f>
        <v>94.5</v>
      </c>
      <c r="CD185" s="83">
        <f>'Raw Data'!CD186/10</f>
        <v>93.2</v>
      </c>
      <c r="CE185" s="83">
        <f>'Raw Data'!CE186/10</f>
        <v>88.3</v>
      </c>
      <c r="CF185" s="83">
        <f>'Raw Data'!CF186/10</f>
        <v>88.9</v>
      </c>
      <c r="CG185" s="83">
        <f>'Raw Data'!CG186/100</f>
        <v>85.98</v>
      </c>
      <c r="CH185" s="83">
        <f>'Raw Data'!CH186/100</f>
        <v>79.88</v>
      </c>
      <c r="CI185" s="83">
        <f>'Raw Data'!CI186/100</f>
        <v>75.14</v>
      </c>
      <c r="CJ185" s="83">
        <f>'Raw Data'!CJ186/100</f>
        <v>71.13</v>
      </c>
      <c r="CK185" s="83">
        <f>'Raw Data'!CK186/100</f>
        <v>67.12</v>
      </c>
      <c r="CL185" s="83">
        <f>'Raw Data'!CL186/100</f>
        <v>65.11</v>
      </c>
      <c r="CM185" s="83">
        <f>'Raw Data'!CM186/100</f>
        <v>62.55</v>
      </c>
      <c r="CN185" s="83">
        <f>'Raw Data'!CN186/100</f>
        <v>59.53</v>
      </c>
      <c r="CO185" s="83">
        <f>'Raw Data'!CO186/100</f>
        <v>58.53</v>
      </c>
      <c r="CP185" s="83">
        <f>'Raw Data'!CP186/100</f>
        <v>57.89</v>
      </c>
      <c r="CQ185" s="83">
        <f>'Raw Data'!CQ186/100</f>
        <v>55.76</v>
      </c>
      <c r="CR185" s="83">
        <f>'Raw Data'!CR186/100</f>
        <v>53.53</v>
      </c>
      <c r="CS185" s="83">
        <f>'Raw Data'!CS186/100</f>
        <v>53.26</v>
      </c>
      <c r="CT185" s="83">
        <f>'Raw Data'!CT186/100</f>
        <v>52.06</v>
      </c>
      <c r="CU185" s="382"/>
    </row>
    <row r="186" spans="4:99" s="86" customFormat="1" x14ac:dyDescent="0.2">
      <c r="D186" s="376"/>
      <c r="E186" s="164"/>
      <c r="F186" s="394"/>
      <c r="G186" s="86">
        <f>'Raw Data'!G187</f>
        <v>187</v>
      </c>
      <c r="H186" s="86">
        <f>'Raw Data'!H187</f>
        <v>170</v>
      </c>
      <c r="I186" s="86">
        <f>'Raw Data'!I187</f>
        <v>178</v>
      </c>
      <c r="J186" s="86">
        <f>'Raw Data'!J187</f>
        <v>163</v>
      </c>
      <c r="K186" s="86">
        <f>'Raw Data'!K187</f>
        <v>209</v>
      </c>
      <c r="L186" s="86">
        <f>'Raw Data'!L187</f>
        <v>197</v>
      </c>
      <c r="M186" s="86">
        <f>'Raw Data'!M187</f>
        <v>197</v>
      </c>
      <c r="N186" s="86">
        <f>'Raw Data'!N187</f>
        <v>179</v>
      </c>
      <c r="O186" s="86">
        <f>'Raw Data'!O187</f>
        <v>186</v>
      </c>
      <c r="P186" s="86">
        <f>'Raw Data'!P187</f>
        <v>194</v>
      </c>
      <c r="Q186" s="86">
        <f>'Raw Data'!Q187</f>
        <v>195</v>
      </c>
      <c r="R186" s="86">
        <f>'Raw Data'!R187</f>
        <v>182</v>
      </c>
      <c r="S186" s="86">
        <f>'Raw Data'!S187</f>
        <v>175</v>
      </c>
      <c r="T186" s="86">
        <f>'Raw Data'!T187</f>
        <v>179</v>
      </c>
      <c r="U186" s="86">
        <f>'Raw Data'!U187</f>
        <v>184</v>
      </c>
      <c r="V186" s="86">
        <f>'Raw Data'!V187</f>
        <v>157</v>
      </c>
      <c r="W186" s="86">
        <f>'Raw Data'!W187</f>
        <v>188</v>
      </c>
      <c r="X186" s="86">
        <f>'Raw Data'!X187</f>
        <v>197</v>
      </c>
      <c r="Y186" s="86">
        <f>'Raw Data'!Y187</f>
        <v>184</v>
      </c>
      <c r="Z186" s="86">
        <f>'Raw Data'!Z187</f>
        <v>206</v>
      </c>
      <c r="AA186" s="83">
        <f>'Raw Data'!AA187/10</f>
        <v>184.7</v>
      </c>
      <c r="AB186" s="83">
        <f>'Raw Data'!AB187/10</f>
        <v>177.7</v>
      </c>
      <c r="AC186" s="83">
        <f>'Raw Data'!AC187/10</f>
        <v>174.3</v>
      </c>
      <c r="AD186" s="83">
        <f>'Raw Data'!AD187/10</f>
        <v>161.30000000000001</v>
      </c>
      <c r="AE186" s="83">
        <f>'Raw Data'!AE187/10</f>
        <v>157.9</v>
      </c>
      <c r="AF186" s="83">
        <f>'Raw Data'!AF187/10</f>
        <v>151.6</v>
      </c>
      <c r="AG186" s="83">
        <f>'Raw Data'!AG187/10</f>
        <v>149.6</v>
      </c>
      <c r="AH186" s="83">
        <f>'Raw Data'!AH187/10</f>
        <v>142</v>
      </c>
      <c r="AI186" s="83">
        <f>'Raw Data'!AI187/10</f>
        <v>137.5</v>
      </c>
      <c r="AJ186" s="83">
        <f>'Raw Data'!AJ187/10</f>
        <v>138.69999999999999</v>
      </c>
      <c r="AK186" s="83">
        <f>'Raw Data'!AK187/10</f>
        <v>129.9</v>
      </c>
      <c r="AL186" s="83">
        <f>'Raw Data'!AL187/10</f>
        <v>125.4</v>
      </c>
      <c r="AM186" s="83">
        <f>'Raw Data'!AM187/10</f>
        <v>124.5</v>
      </c>
      <c r="AN186" s="83">
        <f>'Raw Data'!AN187/10</f>
        <v>117</v>
      </c>
      <c r="AO186" s="83">
        <f>'Raw Data'!AO187/10</f>
        <v>110.6</v>
      </c>
      <c r="AP186" s="83">
        <f>'Raw Data'!AP187/10</f>
        <v>114</v>
      </c>
      <c r="AQ186" s="83">
        <f>'Raw Data'!AQ187/10</f>
        <v>110.9</v>
      </c>
      <c r="AR186" s="83">
        <f>'Raw Data'!AR187/10</f>
        <v>105.8</v>
      </c>
      <c r="AS186" s="83">
        <f>'Raw Data'!AS187/10</f>
        <v>106.9</v>
      </c>
      <c r="AT186" s="83">
        <f>'Raw Data'!AT187/10</f>
        <v>105.4</v>
      </c>
      <c r="AU186" s="83">
        <f>'Raw Data'!AU187/10</f>
        <v>104.7</v>
      </c>
      <c r="AV186" s="83">
        <f>'Raw Data'!AV187/10</f>
        <v>95.4</v>
      </c>
      <c r="AW186" s="83">
        <f>'Raw Data'!AW187/10</f>
        <v>95.6</v>
      </c>
      <c r="AX186" s="83">
        <f>'Raw Data'!AX187/10</f>
        <v>95.9</v>
      </c>
      <c r="AY186" s="83">
        <f>'Raw Data'!AY187/10</f>
        <v>93.7</v>
      </c>
      <c r="AZ186" s="83">
        <f>'Raw Data'!AZ187/10</f>
        <v>92.4</v>
      </c>
      <c r="BA186" s="83">
        <f>'Raw Data'!BA187/10</f>
        <v>92</v>
      </c>
      <c r="BB186" s="83">
        <f>'Raw Data'!BB187/10</f>
        <v>90.4</v>
      </c>
      <c r="BC186" s="83">
        <f>'Raw Data'!BC187/10</f>
        <v>86.5</v>
      </c>
      <c r="BD186" s="83">
        <f>'Raw Data'!BD187/10</f>
        <v>84.4</v>
      </c>
      <c r="BE186" s="83">
        <f>'Raw Data'!BE187/10</f>
        <v>78.5</v>
      </c>
      <c r="BF186" s="83">
        <f>'Raw Data'!BF187/10</f>
        <v>82.3</v>
      </c>
      <c r="BG186" s="83">
        <f>'Raw Data'!BG187/10</f>
        <v>82.9</v>
      </c>
      <c r="BH186" s="83">
        <f>'Raw Data'!BH187/10</f>
        <v>79.8</v>
      </c>
      <c r="BI186" s="83">
        <f>'Raw Data'!BI187/10</f>
        <v>79.900000000000006</v>
      </c>
      <c r="BJ186" s="83">
        <f>'Raw Data'!BJ187/10</f>
        <v>76.7</v>
      </c>
      <c r="BK186" s="83">
        <f>'Raw Data'!BK187/10</f>
        <v>78.8</v>
      </c>
      <c r="BL186" s="83">
        <f>'Raw Data'!BL187/10</f>
        <v>75.5</v>
      </c>
      <c r="BM186" s="83">
        <f>'Raw Data'!BM187/10</f>
        <v>74.3</v>
      </c>
      <c r="BN186" s="83">
        <f>'Raw Data'!BN187/10</f>
        <v>72.599999999999994</v>
      </c>
      <c r="BO186" s="83">
        <f>'Raw Data'!BO187/10</f>
        <v>72.900000000000006</v>
      </c>
      <c r="BP186" s="83">
        <f>'Raw Data'!BP187/10</f>
        <v>72.400000000000006</v>
      </c>
      <c r="BQ186" s="83">
        <f>'Raw Data'!BQ187/10</f>
        <v>71.400000000000006</v>
      </c>
      <c r="BR186" s="83">
        <f>'Raw Data'!BR187/10</f>
        <v>70.8</v>
      </c>
      <c r="BS186" s="83">
        <f>'Raw Data'!BS187/10</f>
        <v>71.400000000000006</v>
      </c>
      <c r="BT186" s="83">
        <f>'Raw Data'!BT187/10</f>
        <v>71.099999999999994</v>
      </c>
      <c r="BU186" s="83">
        <f>'Raw Data'!BU187/10</f>
        <v>68.599999999999994</v>
      </c>
      <c r="BV186" s="83">
        <f>'Raw Data'!BV187/10</f>
        <v>69.599999999999994</v>
      </c>
      <c r="BW186" s="83">
        <f>'Raw Data'!BW187/10</f>
        <v>68.8</v>
      </c>
      <c r="BX186" s="83">
        <f>'Raw Data'!BX187/10</f>
        <v>64.400000000000006</v>
      </c>
      <c r="BY186" s="83">
        <f>'Raw Data'!BY187/10</f>
        <v>66.5</v>
      </c>
      <c r="BZ186" s="83">
        <f>'Raw Data'!BZ187/10</f>
        <v>64.099999999999994</v>
      </c>
      <c r="CA186" s="83">
        <f>'Raw Data'!CA187/10</f>
        <v>65.099999999999994</v>
      </c>
      <c r="CB186" s="83">
        <f>'Raw Data'!CB187/10</f>
        <v>64.400000000000006</v>
      </c>
      <c r="CC186" s="83">
        <f>'Raw Data'!CC187/10</f>
        <v>62.2</v>
      </c>
      <c r="CD186" s="83">
        <f>'Raw Data'!CD187/10</f>
        <v>60.8</v>
      </c>
      <c r="CE186" s="83">
        <f>'Raw Data'!CE187/10</f>
        <v>62.5</v>
      </c>
      <c r="CF186" s="83">
        <f>'Raw Data'!CF187/10</f>
        <v>62.3</v>
      </c>
      <c r="CG186" s="83">
        <f>'Raw Data'!CG187/100</f>
        <v>57.93</v>
      </c>
      <c r="CH186" s="83">
        <f>'Raw Data'!CH187/100</f>
        <v>54.73</v>
      </c>
      <c r="CI186" s="83">
        <f>'Raw Data'!CI187/100</f>
        <v>50.67</v>
      </c>
      <c r="CJ186" s="83">
        <f>'Raw Data'!CJ187/100</f>
        <v>48.53</v>
      </c>
      <c r="CK186" s="83">
        <f>'Raw Data'!CK187/100</f>
        <v>46.3</v>
      </c>
      <c r="CL186" s="83">
        <f>'Raw Data'!CL187/100</f>
        <v>44.28</v>
      </c>
      <c r="CM186" s="83">
        <f>'Raw Data'!CM187/100</f>
        <v>43.01</v>
      </c>
      <c r="CN186" s="83">
        <f>'Raw Data'!CN187/100</f>
        <v>41.97</v>
      </c>
      <c r="CO186" s="83">
        <f>'Raw Data'!CO187/100</f>
        <v>40.479999999999997</v>
      </c>
      <c r="CP186" s="83">
        <f>'Raw Data'!CP187/100</f>
        <v>39.47</v>
      </c>
      <c r="CQ186" s="83">
        <f>'Raw Data'!CQ187/100</f>
        <v>38.36</v>
      </c>
      <c r="CR186" s="83">
        <f>'Raw Data'!CR187/100</f>
        <v>36.840000000000003</v>
      </c>
      <c r="CS186" s="83">
        <f>'Raw Data'!CS187/100</f>
        <v>36.659999999999997</v>
      </c>
      <c r="CT186" s="83">
        <f>'Raw Data'!CT187/100</f>
        <v>36.01</v>
      </c>
      <c r="CU186" s="382"/>
    </row>
    <row r="187" spans="4:99" s="86" customFormat="1" x14ac:dyDescent="0.2">
      <c r="D187" s="376"/>
      <c r="E187" s="164"/>
      <c r="F187" s="394"/>
      <c r="G187" s="86">
        <f>'Raw Data'!G188</f>
        <v>261</v>
      </c>
      <c r="H187" s="86">
        <f>'Raw Data'!H188</f>
        <v>255</v>
      </c>
      <c r="I187" s="86">
        <f>'Raw Data'!I188</f>
        <v>218</v>
      </c>
      <c r="J187" s="86">
        <f>'Raw Data'!J188</f>
        <v>235</v>
      </c>
      <c r="K187" s="86">
        <f>'Raw Data'!K188</f>
        <v>234</v>
      </c>
      <c r="L187" s="86">
        <f>'Raw Data'!L188</f>
        <v>241</v>
      </c>
      <c r="M187" s="86">
        <f>'Raw Data'!M188</f>
        <v>241</v>
      </c>
      <c r="N187" s="86">
        <f>'Raw Data'!N188</f>
        <v>253</v>
      </c>
      <c r="O187" s="86">
        <f>'Raw Data'!O188</f>
        <v>218</v>
      </c>
      <c r="P187" s="86">
        <f>'Raw Data'!P188</f>
        <v>240</v>
      </c>
      <c r="Q187" s="86">
        <f>'Raw Data'!Q188</f>
        <v>241</v>
      </c>
      <c r="R187" s="86">
        <f>'Raw Data'!R188</f>
        <v>240</v>
      </c>
      <c r="S187" s="86">
        <f>'Raw Data'!S188</f>
        <v>239</v>
      </c>
      <c r="T187" s="86">
        <f>'Raw Data'!T188</f>
        <v>254</v>
      </c>
      <c r="U187" s="86">
        <f>'Raw Data'!U188</f>
        <v>245</v>
      </c>
      <c r="V187" s="86">
        <f>'Raw Data'!V188</f>
        <v>229</v>
      </c>
      <c r="W187" s="86">
        <f>'Raw Data'!W188</f>
        <v>251</v>
      </c>
      <c r="X187" s="86">
        <f>'Raw Data'!X188</f>
        <v>234</v>
      </c>
      <c r="Y187" s="86">
        <f>'Raw Data'!Y188</f>
        <v>231</v>
      </c>
      <c r="Z187" s="86">
        <f>'Raw Data'!Z188</f>
        <v>231</v>
      </c>
      <c r="AA187" s="83">
        <f>'Raw Data'!AA188/10</f>
        <v>232.4</v>
      </c>
      <c r="AB187" s="83">
        <f>'Raw Data'!AB188/10</f>
        <v>218.9</v>
      </c>
      <c r="AC187" s="83">
        <f>'Raw Data'!AC188/10</f>
        <v>220.3</v>
      </c>
      <c r="AD187" s="83">
        <f>'Raw Data'!AD188/10</f>
        <v>207.9</v>
      </c>
      <c r="AE187" s="83">
        <f>'Raw Data'!AE188/10</f>
        <v>200.1</v>
      </c>
      <c r="AF187" s="83">
        <f>'Raw Data'!AF188/10</f>
        <v>186.6</v>
      </c>
      <c r="AG187" s="83">
        <f>'Raw Data'!AG188/10</f>
        <v>188.6</v>
      </c>
      <c r="AH187" s="83">
        <f>'Raw Data'!AH188/10</f>
        <v>182.4</v>
      </c>
      <c r="AI187" s="83">
        <f>'Raw Data'!AI188/10</f>
        <v>169.2</v>
      </c>
      <c r="AJ187" s="83">
        <f>'Raw Data'!AJ188/10</f>
        <v>172.1</v>
      </c>
      <c r="AK187" s="83">
        <f>'Raw Data'!AK188/10</f>
        <v>161.30000000000001</v>
      </c>
      <c r="AL187" s="83">
        <f>'Raw Data'!AL188/10</f>
        <v>153.80000000000001</v>
      </c>
      <c r="AM187" s="83">
        <f>'Raw Data'!AM188/10</f>
        <v>153.69999999999999</v>
      </c>
      <c r="AN187" s="83">
        <f>'Raw Data'!AN188/10</f>
        <v>147.4</v>
      </c>
      <c r="AO187" s="83">
        <f>'Raw Data'!AO188/10</f>
        <v>138.19999999999999</v>
      </c>
      <c r="AP187" s="83">
        <f>'Raw Data'!AP188/10</f>
        <v>142.5</v>
      </c>
      <c r="AQ187" s="83">
        <f>'Raw Data'!AQ188/10</f>
        <v>137</v>
      </c>
      <c r="AR187" s="83">
        <f>'Raw Data'!AR188/10</f>
        <v>131.30000000000001</v>
      </c>
      <c r="AS187" s="83">
        <f>'Raw Data'!AS188/10</f>
        <v>127.3</v>
      </c>
      <c r="AT187" s="83">
        <f>'Raw Data'!AT188/10</f>
        <v>129.9</v>
      </c>
      <c r="AU187" s="83">
        <f>'Raw Data'!AU188/10</f>
        <v>120.2</v>
      </c>
      <c r="AV187" s="83">
        <f>'Raw Data'!AV188/10</f>
        <v>119</v>
      </c>
      <c r="AW187" s="83">
        <f>'Raw Data'!AW188/10</f>
        <v>118.2</v>
      </c>
      <c r="AX187" s="83">
        <f>'Raw Data'!AX188/10</f>
        <v>115.7</v>
      </c>
      <c r="AY187" s="83">
        <f>'Raw Data'!AY188/10</f>
        <v>111.8</v>
      </c>
      <c r="AZ187" s="83">
        <f>'Raw Data'!AZ188/10</f>
        <v>108.8</v>
      </c>
      <c r="BA187" s="83">
        <f>'Raw Data'!BA188/10</f>
        <v>107.2</v>
      </c>
      <c r="BB187" s="83">
        <f>'Raw Data'!BB188/10</f>
        <v>105.8</v>
      </c>
      <c r="BC187" s="83">
        <f>'Raw Data'!BC188/10</f>
        <v>102.2</v>
      </c>
      <c r="BD187" s="83">
        <f>'Raw Data'!BD188/10</f>
        <v>97.8</v>
      </c>
      <c r="BE187" s="83">
        <f>'Raw Data'!BE188/10</f>
        <v>98</v>
      </c>
      <c r="BF187" s="83">
        <f>'Raw Data'!BF188/10</f>
        <v>102.3</v>
      </c>
      <c r="BG187" s="83">
        <f>'Raw Data'!BG188/10</f>
        <v>96</v>
      </c>
      <c r="BH187" s="83">
        <f>'Raw Data'!BH188/10</f>
        <v>93.7</v>
      </c>
      <c r="BI187" s="83">
        <f>'Raw Data'!BI188/10</f>
        <v>94.3</v>
      </c>
      <c r="BJ187" s="83">
        <f>'Raw Data'!BJ188/10</f>
        <v>92.4</v>
      </c>
      <c r="BK187" s="83">
        <f>'Raw Data'!BK188/10</f>
        <v>87.1</v>
      </c>
      <c r="BL187" s="83">
        <f>'Raw Data'!BL188/10</f>
        <v>83</v>
      </c>
      <c r="BM187" s="83">
        <f>'Raw Data'!BM188/10</f>
        <v>86.1</v>
      </c>
      <c r="BN187" s="83">
        <f>'Raw Data'!BN188/10</f>
        <v>87</v>
      </c>
      <c r="BO187" s="83">
        <f>'Raw Data'!BO188/10</f>
        <v>85.8</v>
      </c>
      <c r="BP187" s="83">
        <f>'Raw Data'!BP188/10</f>
        <v>84.5</v>
      </c>
      <c r="BQ187" s="83">
        <f>'Raw Data'!BQ188/10</f>
        <v>82.3</v>
      </c>
      <c r="BR187" s="83">
        <f>'Raw Data'!BR188/10</f>
        <v>82</v>
      </c>
      <c r="BS187" s="83">
        <f>'Raw Data'!BS188/10</f>
        <v>80.900000000000006</v>
      </c>
      <c r="BT187" s="83">
        <f>'Raw Data'!BT188/10</f>
        <v>79.2</v>
      </c>
      <c r="BU187" s="83">
        <f>'Raw Data'!BU188/10</f>
        <v>79.3</v>
      </c>
      <c r="BV187" s="83">
        <f>'Raw Data'!BV188/10</f>
        <v>74.900000000000006</v>
      </c>
      <c r="BW187" s="83">
        <f>'Raw Data'!BW188/10</f>
        <v>77.5</v>
      </c>
      <c r="BX187" s="83">
        <f>'Raw Data'!BX188/10</f>
        <v>78.7</v>
      </c>
      <c r="BY187" s="83">
        <f>'Raw Data'!BY188/10</f>
        <v>72.5</v>
      </c>
      <c r="BZ187" s="83">
        <f>'Raw Data'!BZ188/10</f>
        <v>75</v>
      </c>
      <c r="CA187" s="83">
        <f>'Raw Data'!CA188/10</f>
        <v>69.599999999999994</v>
      </c>
      <c r="CB187" s="83">
        <f>'Raw Data'!CB188/10</f>
        <v>71.8</v>
      </c>
      <c r="CC187" s="83">
        <f>'Raw Data'!CC188/10</f>
        <v>70.099999999999994</v>
      </c>
      <c r="CD187" s="83">
        <f>'Raw Data'!CD188/10</f>
        <v>73.3</v>
      </c>
      <c r="CE187" s="83">
        <f>'Raw Data'!CE188/10</f>
        <v>69.2</v>
      </c>
      <c r="CF187" s="83">
        <f>'Raw Data'!CF188/10</f>
        <v>69.5</v>
      </c>
      <c r="CG187" s="83">
        <f>'Raw Data'!CG188/100</f>
        <v>67.08</v>
      </c>
      <c r="CH187" s="83">
        <f>'Raw Data'!CH188/100</f>
        <v>60.64</v>
      </c>
      <c r="CI187" s="83">
        <f>'Raw Data'!CI188/100</f>
        <v>56</v>
      </c>
      <c r="CJ187" s="83">
        <f>'Raw Data'!CJ188/100</f>
        <v>53.52</v>
      </c>
      <c r="CK187" s="83">
        <f>'Raw Data'!CK188/100</f>
        <v>50.36</v>
      </c>
      <c r="CL187" s="83">
        <f>'Raw Data'!CL188/100</f>
        <v>47.85</v>
      </c>
      <c r="CM187" s="83">
        <f>'Raw Data'!CM188/100</f>
        <v>46.04</v>
      </c>
      <c r="CN187" s="83">
        <f>'Raw Data'!CN188/100</f>
        <v>45.03</v>
      </c>
      <c r="CO187" s="83">
        <f>'Raw Data'!CO188/100</f>
        <v>43.32</v>
      </c>
      <c r="CP187" s="83">
        <f>'Raw Data'!CP188/100</f>
        <v>43.17</v>
      </c>
      <c r="CQ187" s="83">
        <f>'Raw Data'!CQ188/100</f>
        <v>40.700000000000003</v>
      </c>
      <c r="CR187" s="83">
        <f>'Raw Data'!CR188/100</f>
        <v>39.549999999999997</v>
      </c>
      <c r="CS187" s="83">
        <f>'Raw Data'!CS188/100</f>
        <v>38.049999999999997</v>
      </c>
      <c r="CT187" s="83">
        <f>'Raw Data'!CT188/100</f>
        <v>36.79</v>
      </c>
      <c r="CU187" s="382"/>
    </row>
    <row r="188" spans="4:99" s="86" customFormat="1" x14ac:dyDescent="0.2">
      <c r="D188" s="376"/>
      <c r="E188" s="164"/>
      <c r="F188" s="394"/>
      <c r="G188" s="86">
        <f>'Raw Data'!G189</f>
        <v>285</v>
      </c>
      <c r="H188" s="86">
        <f>'Raw Data'!H189</f>
        <v>280</v>
      </c>
      <c r="I188" s="86">
        <f>'Raw Data'!I189</f>
        <v>290</v>
      </c>
      <c r="J188" s="86">
        <f>'Raw Data'!J189</f>
        <v>300</v>
      </c>
      <c r="K188" s="86">
        <f>'Raw Data'!K189</f>
        <v>297</v>
      </c>
      <c r="L188" s="86">
        <f>'Raw Data'!L189</f>
        <v>300</v>
      </c>
      <c r="M188" s="86">
        <f>'Raw Data'!M189</f>
        <v>272</v>
      </c>
      <c r="N188" s="86">
        <f>'Raw Data'!N189</f>
        <v>271</v>
      </c>
      <c r="O188" s="86">
        <f>'Raw Data'!O189</f>
        <v>279</v>
      </c>
      <c r="P188" s="86">
        <f>'Raw Data'!P189</f>
        <v>285</v>
      </c>
      <c r="Q188" s="86">
        <f>'Raw Data'!Q189</f>
        <v>291</v>
      </c>
      <c r="R188" s="86">
        <f>'Raw Data'!R189</f>
        <v>268</v>
      </c>
      <c r="S188" s="86">
        <f>'Raw Data'!S189</f>
        <v>286</v>
      </c>
      <c r="T188" s="86">
        <f>'Raw Data'!T189</f>
        <v>268</v>
      </c>
      <c r="U188" s="86">
        <f>'Raw Data'!U189</f>
        <v>286</v>
      </c>
      <c r="V188" s="86">
        <f>'Raw Data'!V189</f>
        <v>274</v>
      </c>
      <c r="W188" s="86">
        <f>'Raw Data'!W189</f>
        <v>278</v>
      </c>
      <c r="X188" s="86">
        <f>'Raw Data'!X189</f>
        <v>268</v>
      </c>
      <c r="Y188" s="86">
        <f>'Raw Data'!Y189</f>
        <v>279</v>
      </c>
      <c r="Z188" s="86">
        <f>'Raw Data'!Z189</f>
        <v>274</v>
      </c>
      <c r="AA188" s="83">
        <f>'Raw Data'!AA189/10</f>
        <v>266.5</v>
      </c>
      <c r="AB188" s="83">
        <f>'Raw Data'!AB189/10</f>
        <v>248.6</v>
      </c>
      <c r="AC188" s="83">
        <f>'Raw Data'!AC189/10</f>
        <v>248.8</v>
      </c>
      <c r="AD188" s="83">
        <f>'Raw Data'!AD189/10</f>
        <v>238.3</v>
      </c>
      <c r="AE188" s="83">
        <f>'Raw Data'!AE189/10</f>
        <v>230.1</v>
      </c>
      <c r="AF188" s="83">
        <f>'Raw Data'!AF189/10</f>
        <v>215.9</v>
      </c>
      <c r="AG188" s="83">
        <f>'Raw Data'!AG189/10</f>
        <v>206.3</v>
      </c>
      <c r="AH188" s="83">
        <f>'Raw Data'!AH189/10</f>
        <v>205</v>
      </c>
      <c r="AI188" s="83">
        <f>'Raw Data'!AI189/10</f>
        <v>190.1</v>
      </c>
      <c r="AJ188" s="83">
        <f>'Raw Data'!AJ189/10</f>
        <v>185.5</v>
      </c>
      <c r="AK188" s="83">
        <f>'Raw Data'!AK189/10</f>
        <v>178.1</v>
      </c>
      <c r="AL188" s="83">
        <f>'Raw Data'!AL189/10</f>
        <v>178.8</v>
      </c>
      <c r="AM188" s="83">
        <f>'Raw Data'!AM189/10</f>
        <v>170.9</v>
      </c>
      <c r="AN188" s="83">
        <f>'Raw Data'!AN189/10</f>
        <v>161.1</v>
      </c>
      <c r="AO188" s="83">
        <f>'Raw Data'!AO189/10</f>
        <v>157.30000000000001</v>
      </c>
      <c r="AP188" s="83">
        <f>'Raw Data'!AP189/10</f>
        <v>148.9</v>
      </c>
      <c r="AQ188" s="83">
        <f>'Raw Data'!AQ189/10</f>
        <v>150.6</v>
      </c>
      <c r="AR188" s="83">
        <f>'Raw Data'!AR189/10</f>
        <v>148.9</v>
      </c>
      <c r="AS188" s="83">
        <f>'Raw Data'!AS189/10</f>
        <v>138.6</v>
      </c>
      <c r="AT188" s="83">
        <f>'Raw Data'!AT189/10</f>
        <v>140.1</v>
      </c>
      <c r="AU188" s="83">
        <f>'Raw Data'!AU189/10</f>
        <v>131.69999999999999</v>
      </c>
      <c r="AV188" s="83">
        <f>'Raw Data'!AV189/10</f>
        <v>130.69999999999999</v>
      </c>
      <c r="AW188" s="83">
        <f>'Raw Data'!AW189/10</f>
        <v>125.6</v>
      </c>
      <c r="AX188" s="83">
        <f>'Raw Data'!AX189/10</f>
        <v>124.9</v>
      </c>
      <c r="AY188" s="83">
        <f>'Raw Data'!AY189/10</f>
        <v>123.9</v>
      </c>
      <c r="AZ188" s="83">
        <f>'Raw Data'!AZ189/10</f>
        <v>116.9</v>
      </c>
      <c r="BA188" s="83">
        <f>'Raw Data'!BA189/10</f>
        <v>111.4</v>
      </c>
      <c r="BB188" s="83">
        <f>'Raw Data'!BB189/10</f>
        <v>110.5</v>
      </c>
      <c r="BC188" s="83">
        <f>'Raw Data'!BC189/10</f>
        <v>113.9</v>
      </c>
      <c r="BD188" s="83">
        <f>'Raw Data'!BD189/10</f>
        <v>107.8</v>
      </c>
      <c r="BE188" s="83">
        <f>'Raw Data'!BE189/10</f>
        <v>105.5</v>
      </c>
      <c r="BF188" s="83">
        <f>'Raw Data'!BF189/10</f>
        <v>101.3</v>
      </c>
      <c r="BG188" s="83">
        <f>'Raw Data'!BG189/10</f>
        <v>104.3</v>
      </c>
      <c r="BH188" s="83">
        <f>'Raw Data'!BH189/10</f>
        <v>100.9</v>
      </c>
      <c r="BI188" s="83">
        <f>'Raw Data'!BI189/10</f>
        <v>100.9</v>
      </c>
      <c r="BJ188" s="83">
        <f>'Raw Data'!BJ189/10</f>
        <v>97.4</v>
      </c>
      <c r="BK188" s="83">
        <f>'Raw Data'!BK189/10</f>
        <v>96.4</v>
      </c>
      <c r="BL188" s="83">
        <f>'Raw Data'!BL189/10</f>
        <v>98</v>
      </c>
      <c r="BM188" s="83">
        <f>'Raw Data'!BM189/10</f>
        <v>96.7</v>
      </c>
      <c r="BN188" s="83">
        <f>'Raw Data'!BN189/10</f>
        <v>92.2</v>
      </c>
      <c r="BO188" s="83">
        <f>'Raw Data'!BO189/10</f>
        <v>91.2</v>
      </c>
      <c r="BP188" s="83">
        <f>'Raw Data'!BP189/10</f>
        <v>89.9</v>
      </c>
      <c r="BQ188" s="83">
        <f>'Raw Data'!BQ189/10</f>
        <v>87.6</v>
      </c>
      <c r="BR188" s="83">
        <f>'Raw Data'!BR189/10</f>
        <v>85.2</v>
      </c>
      <c r="BS188" s="83">
        <f>'Raw Data'!BS189/10</f>
        <v>78.7</v>
      </c>
      <c r="BT188" s="83">
        <f>'Raw Data'!BT189/10</f>
        <v>84.4</v>
      </c>
      <c r="BU188" s="83">
        <f>'Raw Data'!BU189/10</f>
        <v>81.099999999999994</v>
      </c>
      <c r="BV188" s="83">
        <f>'Raw Data'!BV189/10</f>
        <v>79.7</v>
      </c>
      <c r="BW188" s="83">
        <f>'Raw Data'!BW189/10</f>
        <v>80.400000000000006</v>
      </c>
      <c r="BX188" s="83">
        <f>'Raw Data'!BX189/10</f>
        <v>83.8</v>
      </c>
      <c r="BY188" s="83">
        <f>'Raw Data'!BY189/10</f>
        <v>74.8</v>
      </c>
      <c r="BZ188" s="83">
        <f>'Raw Data'!BZ189/10</f>
        <v>74.900000000000006</v>
      </c>
      <c r="CA188" s="83">
        <f>'Raw Data'!CA189/10</f>
        <v>77.400000000000006</v>
      </c>
      <c r="CB188" s="83">
        <f>'Raw Data'!CB189/10</f>
        <v>71.599999999999994</v>
      </c>
      <c r="CC188" s="83">
        <f>'Raw Data'!CC189/10</f>
        <v>72.2</v>
      </c>
      <c r="CD188" s="83">
        <f>'Raw Data'!CD189/10</f>
        <v>76.2</v>
      </c>
      <c r="CE188" s="83">
        <f>'Raw Data'!CE189/10</f>
        <v>73.7</v>
      </c>
      <c r="CF188" s="83">
        <f>'Raw Data'!CF189/10</f>
        <v>71.400000000000006</v>
      </c>
      <c r="CG188" s="83">
        <f>'Raw Data'!CG189/100</f>
        <v>67.67</v>
      </c>
      <c r="CH188" s="83">
        <f>'Raw Data'!CH189/100</f>
        <v>60.91</v>
      </c>
      <c r="CI188" s="83">
        <f>'Raw Data'!CI189/100</f>
        <v>56.22</v>
      </c>
      <c r="CJ188" s="83">
        <f>'Raw Data'!CJ189/100</f>
        <v>51.96</v>
      </c>
      <c r="CK188" s="83">
        <f>'Raw Data'!CK189/100</f>
        <v>49.42</v>
      </c>
      <c r="CL188" s="83">
        <f>'Raw Data'!CL189/100</f>
        <v>46.53</v>
      </c>
      <c r="CM188" s="83">
        <f>'Raw Data'!CM189/100</f>
        <v>44.12</v>
      </c>
      <c r="CN188" s="83">
        <f>'Raw Data'!CN189/100</f>
        <v>42.71</v>
      </c>
      <c r="CO188" s="83">
        <f>'Raw Data'!CO189/100</f>
        <v>40.630000000000003</v>
      </c>
      <c r="CP188" s="83">
        <f>'Raw Data'!CP189/100</f>
        <v>39.75</v>
      </c>
      <c r="CQ188" s="83">
        <f>'Raw Data'!CQ189/100</f>
        <v>38.090000000000003</v>
      </c>
      <c r="CR188" s="83">
        <f>'Raw Data'!CR189/100</f>
        <v>37.25</v>
      </c>
      <c r="CS188" s="83">
        <f>'Raw Data'!CS189/100</f>
        <v>35.31</v>
      </c>
      <c r="CT188" s="83">
        <f>'Raw Data'!CT189/100</f>
        <v>34.53</v>
      </c>
      <c r="CU188" s="382"/>
    </row>
    <row r="189" spans="4:99" s="86" customFormat="1" x14ac:dyDescent="0.2">
      <c r="D189" s="376"/>
      <c r="E189" s="164"/>
      <c r="F189" s="394"/>
      <c r="G189" s="86">
        <f>'Raw Data'!G190</f>
        <v>234</v>
      </c>
      <c r="H189" s="86">
        <f>'Raw Data'!H190</f>
        <v>252</v>
      </c>
      <c r="I189" s="86">
        <f>'Raw Data'!I190</f>
        <v>257</v>
      </c>
      <c r="J189" s="86">
        <f>'Raw Data'!J190</f>
        <v>249</v>
      </c>
      <c r="K189" s="86">
        <f>'Raw Data'!K190</f>
        <v>260</v>
      </c>
      <c r="L189" s="86">
        <f>'Raw Data'!L190</f>
        <v>256</v>
      </c>
      <c r="M189" s="86">
        <f>'Raw Data'!M190</f>
        <v>257</v>
      </c>
      <c r="N189" s="86">
        <f>'Raw Data'!N190</f>
        <v>263</v>
      </c>
      <c r="O189" s="86">
        <f>'Raw Data'!O190</f>
        <v>241</v>
      </c>
      <c r="P189" s="86">
        <f>'Raw Data'!P190</f>
        <v>248</v>
      </c>
      <c r="Q189" s="86">
        <f>'Raw Data'!Q190</f>
        <v>235</v>
      </c>
      <c r="R189" s="86">
        <f>'Raw Data'!R190</f>
        <v>235</v>
      </c>
      <c r="S189" s="86">
        <f>'Raw Data'!S190</f>
        <v>232</v>
      </c>
      <c r="T189" s="86">
        <f>'Raw Data'!T190</f>
        <v>242</v>
      </c>
      <c r="U189" s="86">
        <f>'Raw Data'!U190</f>
        <v>240</v>
      </c>
      <c r="V189" s="86">
        <f>'Raw Data'!V190</f>
        <v>237</v>
      </c>
      <c r="W189" s="86">
        <f>'Raw Data'!W190</f>
        <v>238</v>
      </c>
      <c r="X189" s="86">
        <f>'Raw Data'!X190</f>
        <v>237</v>
      </c>
      <c r="Y189" s="86">
        <f>'Raw Data'!Y190</f>
        <v>241</v>
      </c>
      <c r="Z189" s="86">
        <f>'Raw Data'!Z190</f>
        <v>233</v>
      </c>
      <c r="AA189" s="83">
        <f>'Raw Data'!AA190/10</f>
        <v>240.6</v>
      </c>
      <c r="AB189" s="83">
        <f>'Raw Data'!AB190/10</f>
        <v>233.6</v>
      </c>
      <c r="AC189" s="83">
        <f>'Raw Data'!AC190/10</f>
        <v>219.5</v>
      </c>
      <c r="AD189" s="83">
        <f>'Raw Data'!AD190/10</f>
        <v>210.2</v>
      </c>
      <c r="AE189" s="83">
        <f>'Raw Data'!AE190/10</f>
        <v>202.3</v>
      </c>
      <c r="AF189" s="83">
        <f>'Raw Data'!AF190/10</f>
        <v>194.1</v>
      </c>
      <c r="AG189" s="83">
        <f>'Raw Data'!AG190/10</f>
        <v>181.3</v>
      </c>
      <c r="AH189" s="83">
        <f>'Raw Data'!AH190/10</f>
        <v>182.4</v>
      </c>
      <c r="AI189" s="83">
        <f>'Raw Data'!AI190/10</f>
        <v>173.8</v>
      </c>
      <c r="AJ189" s="83">
        <f>'Raw Data'!AJ190/10</f>
        <v>165</v>
      </c>
      <c r="AK189" s="83">
        <f>'Raw Data'!AK190/10</f>
        <v>160.4</v>
      </c>
      <c r="AL189" s="83">
        <f>'Raw Data'!AL190/10</f>
        <v>157.19999999999999</v>
      </c>
      <c r="AM189" s="83">
        <f>'Raw Data'!AM190/10</f>
        <v>155</v>
      </c>
      <c r="AN189" s="83">
        <f>'Raw Data'!AN190/10</f>
        <v>148.1</v>
      </c>
      <c r="AO189" s="83">
        <f>'Raw Data'!AO190/10</f>
        <v>143.80000000000001</v>
      </c>
      <c r="AP189" s="83">
        <f>'Raw Data'!AP190/10</f>
        <v>143.6</v>
      </c>
      <c r="AQ189" s="83">
        <f>'Raw Data'!AQ190/10</f>
        <v>135.69999999999999</v>
      </c>
      <c r="AR189" s="83">
        <f>'Raw Data'!AR190/10</f>
        <v>138.1</v>
      </c>
      <c r="AS189" s="83">
        <f>'Raw Data'!AS190/10</f>
        <v>129.5</v>
      </c>
      <c r="AT189" s="83">
        <f>'Raw Data'!AT190/10</f>
        <v>128.69999999999999</v>
      </c>
      <c r="AU189" s="83">
        <f>'Raw Data'!AU190/10</f>
        <v>123</v>
      </c>
      <c r="AV189" s="83">
        <f>'Raw Data'!AV190/10</f>
        <v>121.1</v>
      </c>
      <c r="AW189" s="83">
        <f>'Raw Data'!AW190/10</f>
        <v>121.9</v>
      </c>
      <c r="AX189" s="83">
        <f>'Raw Data'!AX190/10</f>
        <v>113.1</v>
      </c>
      <c r="AY189" s="83">
        <f>'Raw Data'!AY190/10</f>
        <v>117</v>
      </c>
      <c r="AZ189" s="83">
        <f>'Raw Data'!AZ190/10</f>
        <v>111.5</v>
      </c>
      <c r="BA189" s="83">
        <f>'Raw Data'!BA190/10</f>
        <v>108.8</v>
      </c>
      <c r="BB189" s="83">
        <f>'Raw Data'!BB190/10</f>
        <v>106.5</v>
      </c>
      <c r="BC189" s="83">
        <f>'Raw Data'!BC190/10</f>
        <v>104.7</v>
      </c>
      <c r="BD189" s="83">
        <f>'Raw Data'!BD190/10</f>
        <v>105.4</v>
      </c>
      <c r="BE189" s="83">
        <f>'Raw Data'!BE190/10</f>
        <v>99.7</v>
      </c>
      <c r="BF189" s="83">
        <f>'Raw Data'!BF190/10</f>
        <v>99.9</v>
      </c>
      <c r="BG189" s="83">
        <f>'Raw Data'!BG190/10</f>
        <v>95.1</v>
      </c>
      <c r="BH189" s="83">
        <f>'Raw Data'!BH190/10</f>
        <v>96.3</v>
      </c>
      <c r="BI189" s="83">
        <f>'Raw Data'!BI190/10</f>
        <v>96.3</v>
      </c>
      <c r="BJ189" s="83">
        <f>'Raw Data'!BJ190/10</f>
        <v>87.7</v>
      </c>
      <c r="BK189" s="83">
        <f>'Raw Data'!BK190/10</f>
        <v>91.5</v>
      </c>
      <c r="BL189" s="83">
        <f>'Raw Data'!BL190/10</f>
        <v>87.5</v>
      </c>
      <c r="BM189" s="83">
        <f>'Raw Data'!BM190/10</f>
        <v>86.2</v>
      </c>
      <c r="BN189" s="83">
        <f>'Raw Data'!BN190/10</f>
        <v>84.2</v>
      </c>
      <c r="BO189" s="83">
        <f>'Raw Data'!BO190/10</f>
        <v>85.1</v>
      </c>
      <c r="BP189" s="83">
        <f>'Raw Data'!BP190/10</f>
        <v>82.8</v>
      </c>
      <c r="BQ189" s="83">
        <f>'Raw Data'!BQ190/10</f>
        <v>85.9</v>
      </c>
      <c r="BR189" s="83">
        <f>'Raw Data'!BR190/10</f>
        <v>83.2</v>
      </c>
      <c r="BS189" s="83">
        <f>'Raw Data'!BS190/10</f>
        <v>81.099999999999994</v>
      </c>
      <c r="BT189" s="83">
        <f>'Raw Data'!BT190/10</f>
        <v>78.099999999999994</v>
      </c>
      <c r="BU189" s="83">
        <f>'Raw Data'!BU190/10</f>
        <v>77.5</v>
      </c>
      <c r="BV189" s="83">
        <f>'Raw Data'!BV190/10</f>
        <v>76.900000000000006</v>
      </c>
      <c r="BW189" s="83">
        <f>'Raw Data'!BW190/10</f>
        <v>76.7</v>
      </c>
      <c r="BX189" s="83">
        <f>'Raw Data'!BX190/10</f>
        <v>75.099999999999994</v>
      </c>
      <c r="BY189" s="83">
        <f>'Raw Data'!BY190/10</f>
        <v>74.2</v>
      </c>
      <c r="BZ189" s="83">
        <f>'Raw Data'!BZ190/10</f>
        <v>70.099999999999994</v>
      </c>
      <c r="CA189" s="83">
        <f>'Raw Data'!CA190/10</f>
        <v>72.8</v>
      </c>
      <c r="CB189" s="83">
        <f>'Raw Data'!CB190/10</f>
        <v>76.8</v>
      </c>
      <c r="CC189" s="83">
        <f>'Raw Data'!CC190/10</f>
        <v>68.7</v>
      </c>
      <c r="CD189" s="83">
        <f>'Raw Data'!CD190/10</f>
        <v>66</v>
      </c>
      <c r="CE189" s="83">
        <f>'Raw Data'!CE190/10</f>
        <v>70</v>
      </c>
      <c r="CF189" s="83">
        <f>'Raw Data'!CF190/10</f>
        <v>70.2</v>
      </c>
      <c r="CG189" s="83">
        <f>'Raw Data'!CG190/100</f>
        <v>63.59</v>
      </c>
      <c r="CH189" s="83">
        <f>'Raw Data'!CH190/100</f>
        <v>58.75</v>
      </c>
      <c r="CI189" s="83">
        <f>'Raw Data'!CI190/100</f>
        <v>54.49</v>
      </c>
      <c r="CJ189" s="83">
        <f>'Raw Data'!CJ190/100</f>
        <v>50.73</v>
      </c>
      <c r="CK189" s="83">
        <f>'Raw Data'!CK190/100</f>
        <v>47.82</v>
      </c>
      <c r="CL189" s="83">
        <f>'Raw Data'!CL190/100</f>
        <v>45.94</v>
      </c>
      <c r="CM189" s="83">
        <f>'Raw Data'!CM190/100</f>
        <v>44.24</v>
      </c>
      <c r="CN189" s="83">
        <f>'Raw Data'!CN190/100</f>
        <v>41.83</v>
      </c>
      <c r="CO189" s="83">
        <f>'Raw Data'!CO190/100</f>
        <v>40.39</v>
      </c>
      <c r="CP189" s="83">
        <f>'Raw Data'!CP190/100</f>
        <v>39.840000000000003</v>
      </c>
      <c r="CQ189" s="83">
        <f>'Raw Data'!CQ190/100</f>
        <v>37.85</v>
      </c>
      <c r="CR189" s="83">
        <f>'Raw Data'!CR190/100</f>
        <v>37.24</v>
      </c>
      <c r="CS189" s="83">
        <f>'Raw Data'!CS190/100</f>
        <v>36.86</v>
      </c>
      <c r="CT189" s="83">
        <f>'Raw Data'!CT190/100</f>
        <v>35.5</v>
      </c>
      <c r="CU189" s="382"/>
    </row>
    <row r="190" spans="4:99" s="86" customFormat="1" x14ac:dyDescent="0.2">
      <c r="D190" s="376"/>
      <c r="E190" s="164"/>
      <c r="F190" s="394"/>
      <c r="G190" s="86">
        <f>'Raw Data'!G191</f>
        <v>470</v>
      </c>
      <c r="H190" s="86">
        <f>'Raw Data'!H191</f>
        <v>462</v>
      </c>
      <c r="I190" s="86">
        <f>'Raw Data'!I191</f>
        <v>436</v>
      </c>
      <c r="J190" s="86">
        <f>'Raw Data'!J191</f>
        <v>468</v>
      </c>
      <c r="K190" s="86">
        <f>'Raw Data'!K191</f>
        <v>453</v>
      </c>
      <c r="L190" s="86">
        <f>'Raw Data'!L191</f>
        <v>455</v>
      </c>
      <c r="M190" s="86">
        <f>'Raw Data'!M191</f>
        <v>457</v>
      </c>
      <c r="N190" s="86">
        <f>'Raw Data'!N191</f>
        <v>457</v>
      </c>
      <c r="O190" s="86">
        <f>'Raw Data'!O191</f>
        <v>448</v>
      </c>
      <c r="P190" s="86">
        <f>'Raw Data'!P191</f>
        <v>440</v>
      </c>
      <c r="Q190" s="86">
        <f>'Raw Data'!Q191</f>
        <v>463</v>
      </c>
      <c r="R190" s="86">
        <f>'Raw Data'!R191</f>
        <v>440</v>
      </c>
      <c r="S190" s="86">
        <f>'Raw Data'!S191</f>
        <v>449</v>
      </c>
      <c r="T190" s="86">
        <f>'Raw Data'!T191</f>
        <v>418</v>
      </c>
      <c r="U190" s="86">
        <f>'Raw Data'!U191</f>
        <v>433</v>
      </c>
      <c r="V190" s="86">
        <f>'Raw Data'!V191</f>
        <v>452</v>
      </c>
      <c r="W190" s="86">
        <f>'Raw Data'!W191</f>
        <v>425</v>
      </c>
      <c r="X190" s="86">
        <f>'Raw Data'!X191</f>
        <v>418</v>
      </c>
      <c r="Y190" s="86">
        <f>'Raw Data'!Y191</f>
        <v>417</v>
      </c>
      <c r="Z190" s="86">
        <f>'Raw Data'!Z191</f>
        <v>427</v>
      </c>
      <c r="AA190" s="83">
        <f>'Raw Data'!AA191/10</f>
        <v>429.9</v>
      </c>
      <c r="AB190" s="83">
        <f>'Raw Data'!AB191/10</f>
        <v>399.6</v>
      </c>
      <c r="AC190" s="83">
        <f>'Raw Data'!AC191/10</f>
        <v>384</v>
      </c>
      <c r="AD190" s="83">
        <f>'Raw Data'!AD191/10</f>
        <v>365.1</v>
      </c>
      <c r="AE190" s="83">
        <f>'Raw Data'!AE191/10</f>
        <v>358.8</v>
      </c>
      <c r="AF190" s="83">
        <f>'Raw Data'!AF191/10</f>
        <v>341.9</v>
      </c>
      <c r="AG190" s="83">
        <f>'Raw Data'!AG191/10</f>
        <v>323.60000000000002</v>
      </c>
      <c r="AH190" s="83">
        <f>'Raw Data'!AH191/10</f>
        <v>308.5</v>
      </c>
      <c r="AI190" s="83">
        <f>'Raw Data'!AI191/10</f>
        <v>289.8</v>
      </c>
      <c r="AJ190" s="83">
        <f>'Raw Data'!AJ191/10</f>
        <v>287.60000000000002</v>
      </c>
      <c r="AK190" s="83">
        <f>'Raw Data'!AK191/10</f>
        <v>274.8</v>
      </c>
      <c r="AL190" s="83">
        <f>'Raw Data'!AL191/10</f>
        <v>259.39999999999998</v>
      </c>
      <c r="AM190" s="83">
        <f>'Raw Data'!AM191/10</f>
        <v>254.8</v>
      </c>
      <c r="AN190" s="83">
        <f>'Raw Data'!AN191/10</f>
        <v>244.6</v>
      </c>
      <c r="AO190" s="83">
        <f>'Raw Data'!AO191/10</f>
        <v>238</v>
      </c>
      <c r="AP190" s="83">
        <f>'Raw Data'!AP191/10</f>
        <v>234.1</v>
      </c>
      <c r="AQ190" s="83">
        <f>'Raw Data'!AQ191/10</f>
        <v>222.2</v>
      </c>
      <c r="AR190" s="83">
        <f>'Raw Data'!AR191/10</f>
        <v>211.8</v>
      </c>
      <c r="AS190" s="83">
        <f>'Raw Data'!AS191/10</f>
        <v>213.4</v>
      </c>
      <c r="AT190" s="83">
        <f>'Raw Data'!AT191/10</f>
        <v>205.1</v>
      </c>
      <c r="AU190" s="83">
        <f>'Raw Data'!AU191/10</f>
        <v>197.3</v>
      </c>
      <c r="AV190" s="83">
        <f>'Raw Data'!AV191/10</f>
        <v>197.9</v>
      </c>
      <c r="AW190" s="83">
        <f>'Raw Data'!AW191/10</f>
        <v>190</v>
      </c>
      <c r="AX190" s="83">
        <f>'Raw Data'!AX191/10</f>
        <v>181.7</v>
      </c>
      <c r="AY190" s="83">
        <f>'Raw Data'!AY191/10</f>
        <v>182.7</v>
      </c>
      <c r="AZ190" s="83">
        <f>'Raw Data'!AZ191/10</f>
        <v>178.9</v>
      </c>
      <c r="BA190" s="83">
        <f>'Raw Data'!BA191/10</f>
        <v>175.1</v>
      </c>
      <c r="BB190" s="83">
        <f>'Raw Data'!BB191/10</f>
        <v>167.1</v>
      </c>
      <c r="BC190" s="83">
        <f>'Raw Data'!BC191/10</f>
        <v>161.69999999999999</v>
      </c>
      <c r="BD190" s="83">
        <f>'Raw Data'!BD191/10</f>
        <v>162.6</v>
      </c>
      <c r="BE190" s="83">
        <f>'Raw Data'!BE191/10</f>
        <v>152.1</v>
      </c>
      <c r="BF190" s="83">
        <f>'Raw Data'!BF191/10</f>
        <v>151.1</v>
      </c>
      <c r="BG190" s="83">
        <f>'Raw Data'!BG191/10</f>
        <v>154.19999999999999</v>
      </c>
      <c r="BH190" s="83">
        <f>'Raw Data'!BH191/10</f>
        <v>147.69999999999999</v>
      </c>
      <c r="BI190" s="83">
        <f>'Raw Data'!BI191/10</f>
        <v>145.9</v>
      </c>
      <c r="BJ190" s="83">
        <f>'Raw Data'!BJ191/10</f>
        <v>146.4</v>
      </c>
      <c r="BK190" s="83">
        <f>'Raw Data'!BK191/10</f>
        <v>141.30000000000001</v>
      </c>
      <c r="BL190" s="83">
        <f>'Raw Data'!BL191/10</f>
        <v>136.6</v>
      </c>
      <c r="BM190" s="83">
        <f>'Raw Data'!BM191/10</f>
        <v>133.6</v>
      </c>
      <c r="BN190" s="83">
        <f>'Raw Data'!BN191/10</f>
        <v>131.5</v>
      </c>
      <c r="BO190" s="83">
        <f>'Raw Data'!BO191/10</f>
        <v>129.6</v>
      </c>
      <c r="BP190" s="83">
        <f>'Raw Data'!BP191/10</f>
        <v>129.19999999999999</v>
      </c>
      <c r="BQ190" s="83">
        <f>'Raw Data'!BQ191/10</f>
        <v>125.1</v>
      </c>
      <c r="BR190" s="83">
        <f>'Raw Data'!BR191/10</f>
        <v>123.5</v>
      </c>
      <c r="BS190" s="83">
        <f>'Raw Data'!BS191/10</f>
        <v>116.6</v>
      </c>
      <c r="BT190" s="83">
        <f>'Raw Data'!BT191/10</f>
        <v>116.2</v>
      </c>
      <c r="BU190" s="83">
        <f>'Raw Data'!BU191/10</f>
        <v>111.4</v>
      </c>
      <c r="BV190" s="83">
        <f>'Raw Data'!BV191/10</f>
        <v>115.7</v>
      </c>
      <c r="BW190" s="83">
        <f>'Raw Data'!BW191/10</f>
        <v>113.9</v>
      </c>
      <c r="BX190" s="83">
        <f>'Raw Data'!BX191/10</f>
        <v>113</v>
      </c>
      <c r="BY190" s="83">
        <f>'Raw Data'!BY191/10</f>
        <v>109.7</v>
      </c>
      <c r="BZ190" s="83">
        <f>'Raw Data'!BZ191/10</f>
        <v>109.1</v>
      </c>
      <c r="CA190" s="83">
        <f>'Raw Data'!CA191/10</f>
        <v>109.4</v>
      </c>
      <c r="CB190" s="83">
        <f>'Raw Data'!CB191/10</f>
        <v>107.3</v>
      </c>
      <c r="CC190" s="83">
        <f>'Raw Data'!CC191/10</f>
        <v>107.3</v>
      </c>
      <c r="CD190" s="83">
        <f>'Raw Data'!CD191/10</f>
        <v>103.7</v>
      </c>
      <c r="CE190" s="83">
        <f>'Raw Data'!CE191/10</f>
        <v>101.5</v>
      </c>
      <c r="CF190" s="83">
        <f>'Raw Data'!CF191/10</f>
        <v>96.9</v>
      </c>
      <c r="CG190" s="83">
        <f>'Raw Data'!CG191/100</f>
        <v>94.22</v>
      </c>
      <c r="CH190" s="83">
        <f>'Raw Data'!CH191/100</f>
        <v>84.83</v>
      </c>
      <c r="CI190" s="83">
        <f>'Raw Data'!CI191/100</f>
        <v>76.92</v>
      </c>
      <c r="CJ190" s="83">
        <f>'Raw Data'!CJ191/100</f>
        <v>70.540000000000006</v>
      </c>
      <c r="CK190" s="83">
        <f>'Raw Data'!CK191/100</f>
        <v>65.739999999999995</v>
      </c>
      <c r="CL190" s="83">
        <f>'Raw Data'!CL191/100</f>
        <v>60.83</v>
      </c>
      <c r="CM190" s="83">
        <f>'Raw Data'!CM191/100</f>
        <v>58.36</v>
      </c>
      <c r="CN190" s="83">
        <f>'Raw Data'!CN191/100</f>
        <v>54.32</v>
      </c>
      <c r="CO190" s="83">
        <f>'Raw Data'!CO191/100</f>
        <v>51.99</v>
      </c>
      <c r="CP190" s="83">
        <f>'Raw Data'!CP191/100</f>
        <v>49.61</v>
      </c>
      <c r="CQ190" s="83">
        <f>'Raw Data'!CQ191/100</f>
        <v>46.62</v>
      </c>
      <c r="CR190" s="83">
        <f>'Raw Data'!CR191/100</f>
        <v>45.81</v>
      </c>
      <c r="CS190" s="83">
        <f>'Raw Data'!CS191/100</f>
        <v>43.35</v>
      </c>
      <c r="CT190" s="83">
        <f>'Raw Data'!CT191/100</f>
        <v>43.34</v>
      </c>
      <c r="CU190" s="382"/>
    </row>
    <row r="191" spans="4:99" s="86" customFormat="1" x14ac:dyDescent="0.2">
      <c r="D191" s="376"/>
      <c r="E191" s="164"/>
      <c r="F191" s="394"/>
      <c r="G191" s="86">
        <f>'Raw Data'!G192</f>
        <v>268</v>
      </c>
      <c r="H191" s="86">
        <f>'Raw Data'!H192</f>
        <v>263</v>
      </c>
      <c r="I191" s="86">
        <f>'Raw Data'!I192</f>
        <v>270</v>
      </c>
      <c r="J191" s="86">
        <f>'Raw Data'!J192</f>
        <v>261</v>
      </c>
      <c r="K191" s="86">
        <f>'Raw Data'!K192</f>
        <v>259</v>
      </c>
      <c r="L191" s="86">
        <f>'Raw Data'!L192</f>
        <v>250</v>
      </c>
      <c r="M191" s="86">
        <f>'Raw Data'!M192</f>
        <v>270</v>
      </c>
      <c r="N191" s="86">
        <f>'Raw Data'!N192</f>
        <v>247</v>
      </c>
      <c r="O191" s="86">
        <f>'Raw Data'!O192</f>
        <v>251</v>
      </c>
      <c r="P191" s="86">
        <f>'Raw Data'!P192</f>
        <v>240</v>
      </c>
      <c r="Q191" s="86">
        <f>'Raw Data'!Q192</f>
        <v>252</v>
      </c>
      <c r="R191" s="86">
        <f>'Raw Data'!R192</f>
        <v>283</v>
      </c>
      <c r="S191" s="86">
        <f>'Raw Data'!S192</f>
        <v>269</v>
      </c>
      <c r="T191" s="86">
        <f>'Raw Data'!T192</f>
        <v>273</v>
      </c>
      <c r="U191" s="86">
        <f>'Raw Data'!U192</f>
        <v>268</v>
      </c>
      <c r="V191" s="86">
        <f>'Raw Data'!V192</f>
        <v>267</v>
      </c>
      <c r="W191" s="86">
        <f>'Raw Data'!W192</f>
        <v>250</v>
      </c>
      <c r="X191" s="86">
        <f>'Raw Data'!X192</f>
        <v>276</v>
      </c>
      <c r="Y191" s="86">
        <f>'Raw Data'!Y192</f>
        <v>250</v>
      </c>
      <c r="Z191" s="86">
        <f>'Raw Data'!Z192</f>
        <v>237</v>
      </c>
      <c r="AA191" s="83">
        <f>'Raw Data'!AA192/10</f>
        <v>248.9</v>
      </c>
      <c r="AB191" s="83">
        <f>'Raw Data'!AB192/10</f>
        <v>234.3</v>
      </c>
      <c r="AC191" s="83">
        <f>'Raw Data'!AC192/10</f>
        <v>223.6</v>
      </c>
      <c r="AD191" s="83">
        <f>'Raw Data'!AD192/10</f>
        <v>197.9</v>
      </c>
      <c r="AE191" s="83">
        <f>'Raw Data'!AE192/10</f>
        <v>212.5</v>
      </c>
      <c r="AF191" s="83">
        <f>'Raw Data'!AF192/10</f>
        <v>202.2</v>
      </c>
      <c r="AG191" s="83">
        <f>'Raw Data'!AG192/10</f>
        <v>196.1</v>
      </c>
      <c r="AH191" s="83">
        <f>'Raw Data'!AH192/10</f>
        <v>187.9</v>
      </c>
      <c r="AI191" s="83">
        <f>'Raw Data'!AI192/10</f>
        <v>182.7</v>
      </c>
      <c r="AJ191" s="83">
        <f>'Raw Data'!AJ192/10</f>
        <v>178.6</v>
      </c>
      <c r="AK191" s="83">
        <f>'Raw Data'!AK192/10</f>
        <v>171.8</v>
      </c>
      <c r="AL191" s="83">
        <f>'Raw Data'!AL192/10</f>
        <v>164.1</v>
      </c>
      <c r="AM191" s="83">
        <f>'Raw Data'!AM192/10</f>
        <v>161.80000000000001</v>
      </c>
      <c r="AN191" s="83">
        <f>'Raw Data'!AN192/10</f>
        <v>154.1</v>
      </c>
      <c r="AO191" s="83">
        <f>'Raw Data'!AO192/10</f>
        <v>150</v>
      </c>
      <c r="AP191" s="83">
        <f>'Raw Data'!AP192/10</f>
        <v>149.19999999999999</v>
      </c>
      <c r="AQ191" s="83">
        <f>'Raw Data'!AQ192/10</f>
        <v>140.6</v>
      </c>
      <c r="AR191" s="83">
        <f>'Raw Data'!AR192/10</f>
        <v>138.30000000000001</v>
      </c>
      <c r="AS191" s="83">
        <f>'Raw Data'!AS192/10</f>
        <v>136.80000000000001</v>
      </c>
      <c r="AT191" s="83">
        <f>'Raw Data'!AT192/10</f>
        <v>133.1</v>
      </c>
      <c r="AU191" s="83">
        <f>'Raw Data'!AU192/10</f>
        <v>128</v>
      </c>
      <c r="AV191" s="83">
        <f>'Raw Data'!AV192/10</f>
        <v>125.8</v>
      </c>
      <c r="AW191" s="83">
        <f>'Raw Data'!AW192/10</f>
        <v>121.4</v>
      </c>
      <c r="AX191" s="83">
        <f>'Raw Data'!AX192/10</f>
        <v>123.2</v>
      </c>
      <c r="AY191" s="83">
        <f>'Raw Data'!AY192/10</f>
        <v>122.2</v>
      </c>
      <c r="AZ191" s="83">
        <f>'Raw Data'!AZ192/10</f>
        <v>111</v>
      </c>
      <c r="BA191" s="83">
        <f>'Raw Data'!BA192/10</f>
        <v>117.5</v>
      </c>
      <c r="BB191" s="83">
        <f>'Raw Data'!BB192/10</f>
        <v>110.7</v>
      </c>
      <c r="BC191" s="83">
        <f>'Raw Data'!BC192/10</f>
        <v>109.8</v>
      </c>
      <c r="BD191" s="83">
        <f>'Raw Data'!BD192/10</f>
        <v>108.3</v>
      </c>
      <c r="BE191" s="83">
        <f>'Raw Data'!BE192/10</f>
        <v>103.6</v>
      </c>
      <c r="BF191" s="83">
        <f>'Raw Data'!BF192/10</f>
        <v>103</v>
      </c>
      <c r="BG191" s="83">
        <f>'Raw Data'!BG192/10</f>
        <v>101.9</v>
      </c>
      <c r="BH191" s="83">
        <f>'Raw Data'!BH192/10</f>
        <v>97.2</v>
      </c>
      <c r="BI191" s="83">
        <f>'Raw Data'!BI192/10</f>
        <v>95.5</v>
      </c>
      <c r="BJ191" s="83">
        <f>'Raw Data'!BJ192/10</f>
        <v>98.2</v>
      </c>
      <c r="BK191" s="83">
        <f>'Raw Data'!BK192/10</f>
        <v>93.7</v>
      </c>
      <c r="BL191" s="83">
        <f>'Raw Data'!BL192/10</f>
        <v>91.3</v>
      </c>
      <c r="BM191" s="83">
        <f>'Raw Data'!BM192/10</f>
        <v>89.7</v>
      </c>
      <c r="BN191" s="83">
        <f>'Raw Data'!BN192/10</f>
        <v>92.1</v>
      </c>
      <c r="BO191" s="83">
        <f>'Raw Data'!BO192/10</f>
        <v>89.3</v>
      </c>
      <c r="BP191" s="83">
        <f>'Raw Data'!BP192/10</f>
        <v>85.9</v>
      </c>
      <c r="BQ191" s="83">
        <f>'Raw Data'!BQ192/10</f>
        <v>87</v>
      </c>
      <c r="BR191" s="83">
        <f>'Raw Data'!BR192/10</f>
        <v>85.2</v>
      </c>
      <c r="BS191" s="83">
        <f>'Raw Data'!BS192/10</f>
        <v>86.7</v>
      </c>
      <c r="BT191" s="83">
        <f>'Raw Data'!BT192/10</f>
        <v>81.7</v>
      </c>
      <c r="BU191" s="83">
        <f>'Raw Data'!BU192/10</f>
        <v>85.5</v>
      </c>
      <c r="BV191" s="83">
        <f>'Raw Data'!BV192/10</f>
        <v>75.7</v>
      </c>
      <c r="BW191" s="83">
        <f>'Raw Data'!BW192/10</f>
        <v>79.2</v>
      </c>
      <c r="BX191" s="83">
        <f>'Raw Data'!BX192/10</f>
        <v>78.7</v>
      </c>
      <c r="BY191" s="83">
        <f>'Raw Data'!BY192/10</f>
        <v>79.3</v>
      </c>
      <c r="BZ191" s="83">
        <f>'Raw Data'!BZ192/10</f>
        <v>77.2</v>
      </c>
      <c r="CA191" s="83">
        <f>'Raw Data'!CA192/10</f>
        <v>73.8</v>
      </c>
      <c r="CB191" s="83">
        <f>'Raw Data'!CB192/10</f>
        <v>77.5</v>
      </c>
      <c r="CC191" s="83">
        <f>'Raw Data'!CC192/10</f>
        <v>73.599999999999994</v>
      </c>
      <c r="CD191" s="83">
        <f>'Raw Data'!CD192/10</f>
        <v>70.8</v>
      </c>
      <c r="CE191" s="83">
        <f>'Raw Data'!CE192/10</f>
        <v>68</v>
      </c>
      <c r="CF191" s="83">
        <f>'Raw Data'!CF192/10</f>
        <v>70.900000000000006</v>
      </c>
      <c r="CG191" s="83">
        <f>'Raw Data'!CG192/100</f>
        <v>68.7</v>
      </c>
      <c r="CH191" s="83">
        <f>'Raw Data'!CH192/100</f>
        <v>61.81</v>
      </c>
      <c r="CI191" s="83">
        <f>'Raw Data'!CI192/100</f>
        <v>57.29</v>
      </c>
      <c r="CJ191" s="83">
        <f>'Raw Data'!CJ192/100</f>
        <v>53.26</v>
      </c>
      <c r="CK191" s="83">
        <f>'Raw Data'!CK192/100</f>
        <v>51.02</v>
      </c>
      <c r="CL191" s="83">
        <f>'Raw Data'!CL192/100</f>
        <v>46.73</v>
      </c>
      <c r="CM191" s="83">
        <f>'Raw Data'!CM192/100</f>
        <v>46.17</v>
      </c>
      <c r="CN191" s="83">
        <f>'Raw Data'!CN192/100</f>
        <v>44.1</v>
      </c>
      <c r="CO191" s="83">
        <f>'Raw Data'!CO192/100</f>
        <v>42.5</v>
      </c>
      <c r="CP191" s="83">
        <f>'Raw Data'!CP192/100</f>
        <v>40.85</v>
      </c>
      <c r="CQ191" s="83">
        <f>'Raw Data'!CQ192/100</f>
        <v>38.700000000000003</v>
      </c>
      <c r="CR191" s="83">
        <f>'Raw Data'!CR192/100</f>
        <v>38.29</v>
      </c>
      <c r="CS191" s="83">
        <f>'Raw Data'!CS192/100</f>
        <v>37.42</v>
      </c>
      <c r="CT191" s="83">
        <f>'Raw Data'!CT192/100</f>
        <v>36.159999999999997</v>
      </c>
      <c r="CU191" s="382"/>
    </row>
    <row r="192" spans="4:99" s="86" customFormat="1" x14ac:dyDescent="0.2">
      <c r="D192" s="376"/>
      <c r="E192" s="164"/>
      <c r="F192" s="394"/>
      <c r="G192" s="86">
        <f>'Raw Data'!G193</f>
        <v>17</v>
      </c>
      <c r="H192" s="86">
        <f>'Raw Data'!H193</f>
        <v>20</v>
      </c>
      <c r="I192" s="86">
        <f>'Raw Data'!I193</f>
        <v>26</v>
      </c>
      <c r="J192" s="86">
        <f>'Raw Data'!J193</f>
        <v>23</v>
      </c>
      <c r="K192" s="86">
        <f>'Raw Data'!K193</f>
        <v>14</v>
      </c>
      <c r="L192" s="86">
        <f>'Raw Data'!L193</f>
        <v>19</v>
      </c>
      <c r="M192" s="86">
        <f>'Raw Data'!M193</f>
        <v>21</v>
      </c>
      <c r="N192" s="86">
        <f>'Raw Data'!N193</f>
        <v>21</v>
      </c>
      <c r="O192" s="86">
        <f>'Raw Data'!O193</f>
        <v>15</v>
      </c>
      <c r="P192" s="86">
        <f>'Raw Data'!P193</f>
        <v>19</v>
      </c>
      <c r="Q192" s="86">
        <f>'Raw Data'!Q193</f>
        <v>21</v>
      </c>
      <c r="R192" s="86">
        <f>'Raw Data'!R193</f>
        <v>22</v>
      </c>
      <c r="S192" s="86">
        <f>'Raw Data'!S193</f>
        <v>20</v>
      </c>
      <c r="T192" s="86">
        <f>'Raw Data'!T193</f>
        <v>25</v>
      </c>
      <c r="U192" s="86">
        <f>'Raw Data'!U193</f>
        <v>25</v>
      </c>
      <c r="V192" s="86">
        <f>'Raw Data'!V193</f>
        <v>23</v>
      </c>
      <c r="W192" s="86">
        <f>'Raw Data'!W193</f>
        <v>26</v>
      </c>
      <c r="X192" s="86">
        <f>'Raw Data'!X193</f>
        <v>19</v>
      </c>
      <c r="Y192" s="86">
        <f>'Raw Data'!Y193</f>
        <v>29</v>
      </c>
      <c r="Z192" s="86">
        <f>'Raw Data'!Z193</f>
        <v>19</v>
      </c>
      <c r="AA192" s="83">
        <f>'Raw Data'!AA193/10</f>
        <v>22.9</v>
      </c>
      <c r="AB192" s="83">
        <f>'Raw Data'!AB193/10</f>
        <v>21.6</v>
      </c>
      <c r="AC192" s="83">
        <f>'Raw Data'!AC193/10</f>
        <v>23.1</v>
      </c>
      <c r="AD192" s="83">
        <f>'Raw Data'!AD193/10</f>
        <v>24.2</v>
      </c>
      <c r="AE192" s="83">
        <f>'Raw Data'!AE193/10</f>
        <v>21.9</v>
      </c>
      <c r="AF192" s="83">
        <f>'Raw Data'!AF193/10</f>
        <v>22.5</v>
      </c>
      <c r="AG192" s="83">
        <f>'Raw Data'!AG193/10</f>
        <v>24.1</v>
      </c>
      <c r="AH192" s="83">
        <f>'Raw Data'!AH193/10</f>
        <v>23.1</v>
      </c>
      <c r="AI192" s="83">
        <f>'Raw Data'!AI193/10</f>
        <v>22.2</v>
      </c>
      <c r="AJ192" s="83">
        <f>'Raw Data'!AJ193/10</f>
        <v>21.1</v>
      </c>
      <c r="AK192" s="83">
        <f>'Raw Data'!AK193/10</f>
        <v>19.899999999999999</v>
      </c>
      <c r="AL192" s="83">
        <f>'Raw Data'!AL193/10</f>
        <v>21.3</v>
      </c>
      <c r="AM192" s="83">
        <f>'Raw Data'!AM193/10</f>
        <v>20.5</v>
      </c>
      <c r="AN192" s="83">
        <f>'Raw Data'!AN193/10</f>
        <v>23</v>
      </c>
      <c r="AO192" s="83">
        <f>'Raw Data'!AO193/10</f>
        <v>19.899999999999999</v>
      </c>
      <c r="AP192" s="83">
        <f>'Raw Data'!AP193/10</f>
        <v>20.399999999999999</v>
      </c>
      <c r="AQ192" s="83">
        <f>'Raw Data'!AQ193/10</f>
        <v>19.3</v>
      </c>
      <c r="AR192" s="83">
        <f>'Raw Data'!AR193/10</f>
        <v>20.6</v>
      </c>
      <c r="AS192" s="83">
        <f>'Raw Data'!AS193/10</f>
        <v>21.4</v>
      </c>
      <c r="AT192" s="83">
        <f>'Raw Data'!AT193/10</f>
        <v>20</v>
      </c>
      <c r="AU192" s="83">
        <f>'Raw Data'!AU193/10</f>
        <v>18.8</v>
      </c>
      <c r="AV192" s="83">
        <f>'Raw Data'!AV193/10</f>
        <v>19.899999999999999</v>
      </c>
      <c r="AW192" s="83">
        <f>'Raw Data'!AW193/10</f>
        <v>21.5</v>
      </c>
      <c r="AX192" s="83">
        <f>'Raw Data'!AX193/10</f>
        <v>20.8</v>
      </c>
      <c r="AY192" s="83">
        <f>'Raw Data'!AY193/10</f>
        <v>22.6</v>
      </c>
      <c r="AZ192" s="83">
        <f>'Raw Data'!AZ193/10</f>
        <v>20.7</v>
      </c>
      <c r="BA192" s="83">
        <f>'Raw Data'!BA193/10</f>
        <v>20.100000000000001</v>
      </c>
      <c r="BB192" s="83">
        <f>'Raw Data'!BB193/10</f>
        <v>20.5</v>
      </c>
      <c r="BC192" s="83">
        <f>'Raw Data'!BC193/10</f>
        <v>19.2</v>
      </c>
      <c r="BD192" s="83">
        <f>'Raw Data'!BD193/10</f>
        <v>18.899999999999999</v>
      </c>
      <c r="BE192" s="83">
        <f>'Raw Data'!BE193/10</f>
        <v>17.600000000000001</v>
      </c>
      <c r="BF192" s="83">
        <f>'Raw Data'!BF193/10</f>
        <v>20</v>
      </c>
      <c r="BG192" s="83">
        <f>'Raw Data'!BG193/10</f>
        <v>19.5</v>
      </c>
      <c r="BH192" s="83">
        <f>'Raw Data'!BH193/10</f>
        <v>19.5</v>
      </c>
      <c r="BI192" s="83">
        <f>'Raw Data'!BI193/10</f>
        <v>18.3</v>
      </c>
      <c r="BJ192" s="83">
        <f>'Raw Data'!BJ193/10</f>
        <v>18.7</v>
      </c>
      <c r="BK192" s="83">
        <f>'Raw Data'!BK193/10</f>
        <v>19</v>
      </c>
      <c r="BL192" s="83">
        <f>'Raw Data'!BL193/10</f>
        <v>19.100000000000001</v>
      </c>
      <c r="BM192" s="83">
        <f>'Raw Data'!BM193/10</f>
        <v>18.8</v>
      </c>
      <c r="BN192" s="83">
        <f>'Raw Data'!BN193/10</f>
        <v>19.899999999999999</v>
      </c>
      <c r="BO192" s="83">
        <f>'Raw Data'!BO193/10</f>
        <v>20.3</v>
      </c>
      <c r="BP192" s="83">
        <f>'Raw Data'!BP193/10</f>
        <v>20.2</v>
      </c>
      <c r="BQ192" s="83">
        <f>'Raw Data'!BQ193/10</f>
        <v>17.2</v>
      </c>
      <c r="BR192" s="83">
        <f>'Raw Data'!BR193/10</f>
        <v>17.8</v>
      </c>
      <c r="BS192" s="83">
        <f>'Raw Data'!BS193/10</f>
        <v>16.100000000000001</v>
      </c>
      <c r="BT192" s="83">
        <f>'Raw Data'!BT193/10</f>
        <v>18.3</v>
      </c>
      <c r="BU192" s="83">
        <f>'Raw Data'!BU193/10</f>
        <v>19.8</v>
      </c>
      <c r="BV192" s="83">
        <f>'Raw Data'!BV193/10</f>
        <v>17.600000000000001</v>
      </c>
      <c r="BW192" s="83">
        <f>'Raw Data'!BW193/10</f>
        <v>20</v>
      </c>
      <c r="BX192" s="83">
        <f>'Raw Data'!BX193/10</f>
        <v>18.8</v>
      </c>
      <c r="BY192" s="83">
        <f>'Raw Data'!BY193/10</f>
        <v>19.600000000000001</v>
      </c>
      <c r="BZ192" s="83">
        <f>'Raw Data'!BZ193/10</f>
        <v>18.100000000000001</v>
      </c>
      <c r="CA192" s="83">
        <f>'Raw Data'!CA193/10</f>
        <v>18</v>
      </c>
      <c r="CB192" s="83">
        <f>'Raw Data'!CB193/10</f>
        <v>17.899999999999999</v>
      </c>
      <c r="CC192" s="83">
        <f>'Raw Data'!CC193/10</f>
        <v>19.5</v>
      </c>
      <c r="CD192" s="83">
        <f>'Raw Data'!CD193/10</f>
        <v>17.600000000000001</v>
      </c>
      <c r="CE192" s="83">
        <f>'Raw Data'!CE193/10</f>
        <v>19.100000000000001</v>
      </c>
      <c r="CF192" s="83">
        <f>'Raw Data'!CF193/10</f>
        <v>18</v>
      </c>
      <c r="CG192" s="83">
        <f>'Raw Data'!CG193/100</f>
        <v>17.98</v>
      </c>
      <c r="CH192" s="83">
        <f>'Raw Data'!CH193/100</f>
        <v>17.670000000000002</v>
      </c>
      <c r="CI192" s="83">
        <f>'Raw Data'!CI193/100</f>
        <v>18.079999999999998</v>
      </c>
      <c r="CJ192" s="83">
        <f>'Raw Data'!CJ193/100</f>
        <v>17.39</v>
      </c>
      <c r="CK192" s="83">
        <f>'Raw Data'!CK193/100</f>
        <v>16.98</v>
      </c>
      <c r="CL192" s="83">
        <f>'Raw Data'!CL193/100</f>
        <v>17.48</v>
      </c>
      <c r="CM192" s="83">
        <f>'Raw Data'!CM193/100</f>
        <v>17.3</v>
      </c>
      <c r="CN192" s="83">
        <f>'Raw Data'!CN193/100</f>
        <v>17.68</v>
      </c>
      <c r="CO192" s="83">
        <f>'Raw Data'!CO193/100</f>
        <v>16.920000000000002</v>
      </c>
      <c r="CP192" s="83">
        <f>'Raw Data'!CP193/100</f>
        <v>16.809999999999999</v>
      </c>
      <c r="CQ192" s="83">
        <f>'Raw Data'!CQ193/100</f>
        <v>17.11</v>
      </c>
      <c r="CR192" s="83">
        <f>'Raw Data'!CR193/100</f>
        <v>17.190000000000001</v>
      </c>
      <c r="CS192" s="83">
        <f>'Raw Data'!CS193/100</f>
        <v>16.48</v>
      </c>
      <c r="CT192" s="83">
        <f>'Raw Data'!CT193/100</f>
        <v>16.350000000000001</v>
      </c>
      <c r="CU192" s="382"/>
    </row>
    <row r="193" spans="4:99" s="86" customFormat="1" x14ac:dyDescent="0.2">
      <c r="D193" s="376"/>
      <c r="E193" s="164"/>
      <c r="F193" s="394"/>
      <c r="G193" s="86">
        <f>'Raw Data'!G194</f>
        <v>225</v>
      </c>
      <c r="H193" s="86">
        <f>'Raw Data'!H194</f>
        <v>251</v>
      </c>
      <c r="I193" s="86">
        <f>'Raw Data'!I194</f>
        <v>234</v>
      </c>
      <c r="J193" s="86">
        <f>'Raw Data'!J194</f>
        <v>244</v>
      </c>
      <c r="K193" s="86">
        <f>'Raw Data'!K194</f>
        <v>255</v>
      </c>
      <c r="L193" s="86">
        <f>'Raw Data'!L194</f>
        <v>221</v>
      </c>
      <c r="M193" s="86">
        <f>'Raw Data'!M194</f>
        <v>223</v>
      </c>
      <c r="N193" s="86">
        <f>'Raw Data'!N194</f>
        <v>242</v>
      </c>
      <c r="O193" s="86">
        <f>'Raw Data'!O194</f>
        <v>223</v>
      </c>
      <c r="P193" s="86">
        <f>'Raw Data'!P194</f>
        <v>235</v>
      </c>
      <c r="Q193" s="86">
        <f>'Raw Data'!Q194</f>
        <v>239</v>
      </c>
      <c r="R193" s="86">
        <f>'Raw Data'!R194</f>
        <v>226</v>
      </c>
      <c r="S193" s="86">
        <f>'Raw Data'!S194</f>
        <v>243</v>
      </c>
      <c r="T193" s="86">
        <f>'Raw Data'!T194</f>
        <v>236</v>
      </c>
      <c r="U193" s="86">
        <f>'Raw Data'!U194</f>
        <v>228</v>
      </c>
      <c r="V193" s="86">
        <f>'Raw Data'!V194</f>
        <v>223</v>
      </c>
      <c r="W193" s="86">
        <f>'Raw Data'!W194</f>
        <v>237</v>
      </c>
      <c r="X193" s="86">
        <f>'Raw Data'!X194</f>
        <v>228</v>
      </c>
      <c r="Y193" s="86">
        <f>'Raw Data'!Y194</f>
        <v>216</v>
      </c>
      <c r="Z193" s="86">
        <f>'Raw Data'!Z194</f>
        <v>211</v>
      </c>
      <c r="AA193" s="83">
        <f>'Raw Data'!AA194/10</f>
        <v>226.3</v>
      </c>
      <c r="AB193" s="83">
        <f>'Raw Data'!AB194/10</f>
        <v>220.2</v>
      </c>
      <c r="AC193" s="83">
        <f>'Raw Data'!AC194/10</f>
        <v>210.7</v>
      </c>
      <c r="AD193" s="83">
        <f>'Raw Data'!AD194/10</f>
        <v>195.8</v>
      </c>
      <c r="AE193" s="83">
        <f>'Raw Data'!AE194/10</f>
        <v>186</v>
      </c>
      <c r="AF193" s="83">
        <f>'Raw Data'!AF194/10</f>
        <v>179.8</v>
      </c>
      <c r="AG193" s="83">
        <f>'Raw Data'!AG194/10</f>
        <v>174.8</v>
      </c>
      <c r="AH193" s="83">
        <f>'Raw Data'!AH194/10</f>
        <v>162.30000000000001</v>
      </c>
      <c r="AI193" s="83">
        <f>'Raw Data'!AI194/10</f>
        <v>161.19999999999999</v>
      </c>
      <c r="AJ193" s="83">
        <f>'Raw Data'!AJ194/10</f>
        <v>154.1</v>
      </c>
      <c r="AK193" s="83">
        <f>'Raw Data'!AK194/10</f>
        <v>154.19999999999999</v>
      </c>
      <c r="AL193" s="83">
        <f>'Raw Data'!AL194/10</f>
        <v>146.6</v>
      </c>
      <c r="AM193" s="83">
        <f>'Raw Data'!AM194/10</f>
        <v>142.69999999999999</v>
      </c>
      <c r="AN193" s="83">
        <f>'Raw Data'!AN194/10</f>
        <v>142.5</v>
      </c>
      <c r="AO193" s="83">
        <f>'Raw Data'!AO194/10</f>
        <v>127.5</v>
      </c>
      <c r="AP193" s="83">
        <f>'Raw Data'!AP194/10</f>
        <v>133.5</v>
      </c>
      <c r="AQ193" s="83">
        <f>'Raw Data'!AQ194/10</f>
        <v>124.4</v>
      </c>
      <c r="AR193" s="83">
        <f>'Raw Data'!AR194/10</f>
        <v>120</v>
      </c>
      <c r="AS193" s="83">
        <f>'Raw Data'!AS194/10</f>
        <v>118.8</v>
      </c>
      <c r="AT193" s="83">
        <f>'Raw Data'!AT194/10</f>
        <v>115.3</v>
      </c>
      <c r="AU193" s="83">
        <f>'Raw Data'!AU194/10</f>
        <v>115.4</v>
      </c>
      <c r="AV193" s="83">
        <f>'Raw Data'!AV194/10</f>
        <v>108.8</v>
      </c>
      <c r="AW193" s="83">
        <f>'Raw Data'!AW194/10</f>
        <v>108.1</v>
      </c>
      <c r="AX193" s="83">
        <f>'Raw Data'!AX194/10</f>
        <v>103.8</v>
      </c>
      <c r="AY193" s="83">
        <f>'Raw Data'!AY194/10</f>
        <v>101.2</v>
      </c>
      <c r="AZ193" s="83">
        <f>'Raw Data'!AZ194/10</f>
        <v>100.5</v>
      </c>
      <c r="BA193" s="83">
        <f>'Raw Data'!BA194/10</f>
        <v>95.4</v>
      </c>
      <c r="BB193" s="83">
        <f>'Raw Data'!BB194/10</f>
        <v>93.4</v>
      </c>
      <c r="BC193" s="83">
        <f>'Raw Data'!BC194/10</f>
        <v>93.8</v>
      </c>
      <c r="BD193" s="83">
        <f>'Raw Data'!BD194/10</f>
        <v>90.5</v>
      </c>
      <c r="BE193" s="83">
        <f>'Raw Data'!BE194/10</f>
        <v>90.4</v>
      </c>
      <c r="BF193" s="83">
        <f>'Raw Data'!BF194/10</f>
        <v>87.1</v>
      </c>
      <c r="BG193" s="83">
        <f>'Raw Data'!BG194/10</f>
        <v>86.1</v>
      </c>
      <c r="BH193" s="83">
        <f>'Raw Data'!BH194/10</f>
        <v>81.2</v>
      </c>
      <c r="BI193" s="83">
        <f>'Raw Data'!BI194/10</f>
        <v>83.2</v>
      </c>
      <c r="BJ193" s="83">
        <f>'Raw Data'!BJ194/10</f>
        <v>81.8</v>
      </c>
      <c r="BK193" s="83">
        <f>'Raw Data'!BK194/10</f>
        <v>78.8</v>
      </c>
      <c r="BL193" s="83">
        <f>'Raw Data'!BL194/10</f>
        <v>75.3</v>
      </c>
      <c r="BM193" s="83">
        <f>'Raw Data'!BM194/10</f>
        <v>75.3</v>
      </c>
      <c r="BN193" s="83">
        <f>'Raw Data'!BN194/10</f>
        <v>76.099999999999994</v>
      </c>
      <c r="BO193" s="83">
        <f>'Raw Data'!BO194/10</f>
        <v>73.2</v>
      </c>
      <c r="BP193" s="83">
        <f>'Raw Data'!BP194/10</f>
        <v>74.400000000000006</v>
      </c>
      <c r="BQ193" s="83">
        <f>'Raw Data'!BQ194/10</f>
        <v>71</v>
      </c>
      <c r="BR193" s="83">
        <f>'Raw Data'!BR194/10</f>
        <v>71.099999999999994</v>
      </c>
      <c r="BS193" s="83">
        <f>'Raw Data'!BS194/10</f>
        <v>68.599999999999994</v>
      </c>
      <c r="BT193" s="83">
        <f>'Raw Data'!BT194/10</f>
        <v>70.400000000000006</v>
      </c>
      <c r="BU193" s="83">
        <f>'Raw Data'!BU194/10</f>
        <v>70.2</v>
      </c>
      <c r="BV193" s="83">
        <f>'Raw Data'!BV194/10</f>
        <v>66.2</v>
      </c>
      <c r="BW193" s="83">
        <f>'Raw Data'!BW194/10</f>
        <v>65.599999999999994</v>
      </c>
      <c r="BX193" s="83">
        <f>'Raw Data'!BX194/10</f>
        <v>65.599999999999994</v>
      </c>
      <c r="BY193" s="83">
        <f>'Raw Data'!BY194/10</f>
        <v>62</v>
      </c>
      <c r="BZ193" s="83">
        <f>'Raw Data'!BZ194/10</f>
        <v>64</v>
      </c>
      <c r="CA193" s="83">
        <f>'Raw Data'!CA194/10</f>
        <v>62</v>
      </c>
      <c r="CB193" s="83">
        <f>'Raw Data'!CB194/10</f>
        <v>61.2</v>
      </c>
      <c r="CC193" s="83">
        <f>'Raw Data'!CC194/10</f>
        <v>58.5</v>
      </c>
      <c r="CD193" s="83">
        <f>'Raw Data'!CD194/10</f>
        <v>60.5</v>
      </c>
      <c r="CE193" s="83">
        <f>'Raw Data'!CE194/10</f>
        <v>55.9</v>
      </c>
      <c r="CF193" s="83">
        <f>'Raw Data'!CF194/10</f>
        <v>59.3</v>
      </c>
      <c r="CG193" s="83">
        <f>'Raw Data'!CG194/100</f>
        <v>55.78</v>
      </c>
      <c r="CH193" s="83">
        <f>'Raw Data'!CH194/100</f>
        <v>49.54</v>
      </c>
      <c r="CI193" s="83">
        <f>'Raw Data'!CI194/100</f>
        <v>44.98</v>
      </c>
      <c r="CJ193" s="83">
        <f>'Raw Data'!CJ194/100</f>
        <v>42.11</v>
      </c>
      <c r="CK193" s="83">
        <f>'Raw Data'!CK194/100</f>
        <v>40.1</v>
      </c>
      <c r="CL193" s="83">
        <f>'Raw Data'!CL194/100</f>
        <v>37.64</v>
      </c>
      <c r="CM193" s="83">
        <f>'Raw Data'!CM194/100</f>
        <v>34.78</v>
      </c>
      <c r="CN193" s="83">
        <f>'Raw Data'!CN194/100</f>
        <v>34.6</v>
      </c>
      <c r="CO193" s="83">
        <f>'Raw Data'!CO194/100</f>
        <v>32.93</v>
      </c>
      <c r="CP193" s="83">
        <f>'Raw Data'!CP194/100</f>
        <v>31.01</v>
      </c>
      <c r="CQ193" s="83">
        <f>'Raw Data'!CQ194/100</f>
        <v>31.17</v>
      </c>
      <c r="CR193" s="83">
        <f>'Raw Data'!CR194/100</f>
        <v>29.56</v>
      </c>
      <c r="CS193" s="83">
        <f>'Raw Data'!CS194/100</f>
        <v>29.27</v>
      </c>
      <c r="CT193" s="83">
        <f>'Raw Data'!CT194/100</f>
        <v>28.49</v>
      </c>
      <c r="CU193" s="382"/>
    </row>
    <row r="194" spans="4:99" s="86" customFormat="1" x14ac:dyDescent="0.2">
      <c r="D194" s="376"/>
      <c r="E194" s="164"/>
      <c r="F194" s="394"/>
      <c r="G194" s="86">
        <f>'Raw Data'!G195</f>
        <v>189</v>
      </c>
      <c r="H194" s="86">
        <f>'Raw Data'!H195</f>
        <v>164</v>
      </c>
      <c r="I194" s="86">
        <f>'Raw Data'!I195</f>
        <v>193</v>
      </c>
      <c r="J194" s="86">
        <f>'Raw Data'!J195</f>
        <v>185</v>
      </c>
      <c r="K194" s="86">
        <f>'Raw Data'!K195</f>
        <v>190</v>
      </c>
      <c r="L194" s="86">
        <f>'Raw Data'!L195</f>
        <v>185</v>
      </c>
      <c r="M194" s="86">
        <f>'Raw Data'!M195</f>
        <v>173</v>
      </c>
      <c r="N194" s="86">
        <f>'Raw Data'!N195</f>
        <v>192</v>
      </c>
      <c r="O194" s="86">
        <f>'Raw Data'!O195</f>
        <v>173</v>
      </c>
      <c r="P194" s="86">
        <f>'Raw Data'!P195</f>
        <v>165</v>
      </c>
      <c r="Q194" s="86">
        <f>'Raw Data'!Q195</f>
        <v>168</v>
      </c>
      <c r="R194" s="86">
        <f>'Raw Data'!R195</f>
        <v>187</v>
      </c>
      <c r="S194" s="86">
        <f>'Raw Data'!S195</f>
        <v>170</v>
      </c>
      <c r="T194" s="86">
        <f>'Raw Data'!T195</f>
        <v>197</v>
      </c>
      <c r="U194" s="86">
        <f>'Raw Data'!U195</f>
        <v>190</v>
      </c>
      <c r="V194" s="86">
        <f>'Raw Data'!V195</f>
        <v>173</v>
      </c>
      <c r="W194" s="86">
        <f>'Raw Data'!W195</f>
        <v>162</v>
      </c>
      <c r="X194" s="86">
        <f>'Raw Data'!X195</f>
        <v>180</v>
      </c>
      <c r="Y194" s="86">
        <f>'Raw Data'!Y195</f>
        <v>166</v>
      </c>
      <c r="Z194" s="86">
        <f>'Raw Data'!Z195</f>
        <v>178</v>
      </c>
      <c r="AA194" s="83">
        <f>'Raw Data'!AA195/10</f>
        <v>168.4</v>
      </c>
      <c r="AB194" s="83">
        <f>'Raw Data'!AB195/10</f>
        <v>165.7</v>
      </c>
      <c r="AC194" s="83">
        <f>'Raw Data'!AC195/10</f>
        <v>151.80000000000001</v>
      </c>
      <c r="AD194" s="83">
        <f>'Raw Data'!AD195/10</f>
        <v>147.1</v>
      </c>
      <c r="AE194" s="83">
        <f>'Raw Data'!AE195/10</f>
        <v>143.80000000000001</v>
      </c>
      <c r="AF194" s="83">
        <f>'Raw Data'!AF195/10</f>
        <v>134.5</v>
      </c>
      <c r="AG194" s="83">
        <f>'Raw Data'!AG195/10</f>
        <v>136</v>
      </c>
      <c r="AH194" s="83">
        <f>'Raw Data'!AH195/10</f>
        <v>128.80000000000001</v>
      </c>
      <c r="AI194" s="83">
        <f>'Raw Data'!AI195/10</f>
        <v>122.5</v>
      </c>
      <c r="AJ194" s="83">
        <f>'Raw Data'!AJ195/10</f>
        <v>116.7</v>
      </c>
      <c r="AK194" s="83">
        <f>'Raw Data'!AK195/10</f>
        <v>112</v>
      </c>
      <c r="AL194" s="83">
        <f>'Raw Data'!AL195/10</f>
        <v>106.7</v>
      </c>
      <c r="AM194" s="83">
        <f>'Raw Data'!AM195/10</f>
        <v>101.8</v>
      </c>
      <c r="AN194" s="83">
        <f>'Raw Data'!AN195/10</f>
        <v>97.6</v>
      </c>
      <c r="AO194" s="83">
        <f>'Raw Data'!AO195/10</f>
        <v>101.3</v>
      </c>
      <c r="AP194" s="83">
        <f>'Raw Data'!AP195/10</f>
        <v>100.8</v>
      </c>
      <c r="AQ194" s="83">
        <f>'Raw Data'!AQ195/10</f>
        <v>67.2</v>
      </c>
      <c r="AR194" s="83">
        <f>'Raw Data'!AR195/10</f>
        <v>91.4</v>
      </c>
      <c r="AS194" s="83">
        <f>'Raw Data'!AS195/10</f>
        <v>92.1</v>
      </c>
      <c r="AT194" s="83">
        <f>'Raw Data'!AT195/10</f>
        <v>84.9</v>
      </c>
      <c r="AU194" s="83">
        <f>'Raw Data'!AU195/10</f>
        <v>85.6</v>
      </c>
      <c r="AV194" s="83">
        <f>'Raw Data'!AV195/10</f>
        <v>81.599999999999994</v>
      </c>
      <c r="AW194" s="83">
        <f>'Raw Data'!AW195/10</f>
        <v>82.7</v>
      </c>
      <c r="AX194" s="83">
        <f>'Raw Data'!AX195/10</f>
        <v>82.3</v>
      </c>
      <c r="AY194" s="83">
        <f>'Raw Data'!AY195/10</f>
        <v>77.5</v>
      </c>
      <c r="AZ194" s="83">
        <f>'Raw Data'!AZ195/10</f>
        <v>75.400000000000006</v>
      </c>
      <c r="BA194" s="83">
        <f>'Raw Data'!BA195/10</f>
        <v>71.3</v>
      </c>
      <c r="BB194" s="83">
        <f>'Raw Data'!BB195/10</f>
        <v>75.599999999999994</v>
      </c>
      <c r="BC194" s="83">
        <f>'Raw Data'!BC195/10</f>
        <v>71.900000000000006</v>
      </c>
      <c r="BD194" s="83">
        <f>'Raw Data'!BD195/10</f>
        <v>68.8</v>
      </c>
      <c r="BE194" s="83">
        <f>'Raw Data'!BE195/10</f>
        <v>66.8</v>
      </c>
      <c r="BF194" s="83">
        <f>'Raw Data'!BF195/10</f>
        <v>65.599999999999994</v>
      </c>
      <c r="BG194" s="83">
        <f>'Raw Data'!BG195/10</f>
        <v>66.400000000000006</v>
      </c>
      <c r="BH194" s="83">
        <f>'Raw Data'!BH195/10</f>
        <v>64.099999999999994</v>
      </c>
      <c r="BI194" s="83">
        <f>'Raw Data'!BI195/10</f>
        <v>62.8</v>
      </c>
      <c r="BJ194" s="83">
        <f>'Raw Data'!BJ195/10</f>
        <v>64.3</v>
      </c>
      <c r="BK194" s="83">
        <f>'Raw Data'!BK195/10</f>
        <v>62.8</v>
      </c>
      <c r="BL194" s="83">
        <f>'Raw Data'!BL195/10</f>
        <v>60.7</v>
      </c>
      <c r="BM194" s="83">
        <f>'Raw Data'!BM195/10</f>
        <v>58.1</v>
      </c>
      <c r="BN194" s="83">
        <f>'Raw Data'!BN195/10</f>
        <v>59.5</v>
      </c>
      <c r="BO194" s="83">
        <f>'Raw Data'!BO195/10</f>
        <v>59.7</v>
      </c>
      <c r="BP194" s="83">
        <f>'Raw Data'!BP195/10</f>
        <v>58.7</v>
      </c>
      <c r="BQ194" s="83">
        <f>'Raw Data'!BQ195/10</f>
        <v>55.3</v>
      </c>
      <c r="BR194" s="83">
        <f>'Raw Data'!BR195/10</f>
        <v>57.7</v>
      </c>
      <c r="BS194" s="83">
        <f>'Raw Data'!BS195/10</f>
        <v>52.4</v>
      </c>
      <c r="BT194" s="83">
        <f>'Raw Data'!BT195/10</f>
        <v>52.1</v>
      </c>
      <c r="BU194" s="83">
        <f>'Raw Data'!BU195/10</f>
        <v>53.7</v>
      </c>
      <c r="BV194" s="83">
        <f>'Raw Data'!BV195/10</f>
        <v>52.6</v>
      </c>
      <c r="BW194" s="83">
        <f>'Raw Data'!BW195/10</f>
        <v>51.4</v>
      </c>
      <c r="BX194" s="83">
        <f>'Raw Data'!BX195/10</f>
        <v>53.2</v>
      </c>
      <c r="BY194" s="83">
        <f>'Raw Data'!BY195/10</f>
        <v>49.1</v>
      </c>
      <c r="BZ194" s="83">
        <f>'Raw Data'!BZ195/10</f>
        <v>48.8</v>
      </c>
      <c r="CA194" s="83">
        <f>'Raw Data'!CA195/10</f>
        <v>50.1</v>
      </c>
      <c r="CB194" s="83">
        <f>'Raw Data'!CB195/10</f>
        <v>49.4</v>
      </c>
      <c r="CC194" s="83">
        <f>'Raw Data'!CC195/10</f>
        <v>50</v>
      </c>
      <c r="CD194" s="83">
        <f>'Raw Data'!CD195/10</f>
        <v>49.3</v>
      </c>
      <c r="CE194" s="83">
        <f>'Raw Data'!CE195/10</f>
        <v>47.9</v>
      </c>
      <c r="CF194" s="83">
        <f>'Raw Data'!CF195/10</f>
        <v>43</v>
      </c>
      <c r="CG194" s="83">
        <f>'Raw Data'!CG195/100</f>
        <v>44.31</v>
      </c>
      <c r="CH194" s="83">
        <f>'Raw Data'!CH195/100</f>
        <v>40.200000000000003</v>
      </c>
      <c r="CI194" s="83">
        <f>'Raw Data'!CI195/100</f>
        <v>36.49</v>
      </c>
      <c r="CJ194" s="83">
        <f>'Raw Data'!CJ195/100</f>
        <v>34.840000000000003</v>
      </c>
      <c r="CK194" s="83">
        <f>'Raw Data'!CK195/100</f>
        <v>31.5</v>
      </c>
      <c r="CL194" s="83">
        <f>'Raw Data'!CL195/100</f>
        <v>31.07</v>
      </c>
      <c r="CM194" s="83">
        <f>'Raw Data'!CM195/100</f>
        <v>30.09</v>
      </c>
      <c r="CN194" s="83">
        <f>'Raw Data'!CN195/100</f>
        <v>28.12</v>
      </c>
      <c r="CO194" s="83">
        <f>'Raw Data'!CO195/100</f>
        <v>27.39</v>
      </c>
      <c r="CP194" s="83">
        <f>'Raw Data'!CP195/100</f>
        <v>26.15</v>
      </c>
      <c r="CQ194" s="83">
        <f>'Raw Data'!CQ195/100</f>
        <v>25.39</v>
      </c>
      <c r="CR194" s="83">
        <f>'Raw Data'!CR195/100</f>
        <v>24.65</v>
      </c>
      <c r="CS194" s="83">
        <f>'Raw Data'!CS195/100</f>
        <v>24.29</v>
      </c>
      <c r="CT194" s="83">
        <f>'Raw Data'!CT195/100</f>
        <v>23.34</v>
      </c>
      <c r="CU194" s="382"/>
    </row>
    <row r="195" spans="4:99" s="86" customFormat="1" x14ac:dyDescent="0.2">
      <c r="D195" s="376"/>
      <c r="E195" s="381"/>
      <c r="F195" s="395"/>
      <c r="G195" s="86">
        <f>'Raw Data'!G196</f>
        <v>254</v>
      </c>
      <c r="H195" s="86">
        <f>'Raw Data'!H196</f>
        <v>232</v>
      </c>
      <c r="I195" s="86">
        <f>'Raw Data'!I196</f>
        <v>243</v>
      </c>
      <c r="J195" s="86">
        <f>'Raw Data'!J196</f>
        <v>248</v>
      </c>
      <c r="K195" s="86">
        <f>'Raw Data'!K196</f>
        <v>232</v>
      </c>
      <c r="L195" s="86">
        <f>'Raw Data'!L196</f>
        <v>276</v>
      </c>
      <c r="M195" s="86">
        <f>'Raw Data'!M196</f>
        <v>230</v>
      </c>
      <c r="N195" s="86">
        <f>'Raw Data'!N196</f>
        <v>248</v>
      </c>
      <c r="O195" s="86">
        <f>'Raw Data'!O196</f>
        <v>281</v>
      </c>
      <c r="P195" s="86">
        <f>'Raw Data'!P196</f>
        <v>243</v>
      </c>
      <c r="Q195" s="86">
        <f>'Raw Data'!Q196</f>
        <v>240</v>
      </c>
      <c r="R195" s="86">
        <f>'Raw Data'!R196</f>
        <v>247</v>
      </c>
      <c r="S195" s="86">
        <f>'Raw Data'!S196</f>
        <v>206</v>
      </c>
      <c r="T195" s="86">
        <f>'Raw Data'!T196</f>
        <v>240</v>
      </c>
      <c r="U195" s="86">
        <f>'Raw Data'!U196</f>
        <v>247</v>
      </c>
      <c r="V195" s="86">
        <f>'Raw Data'!V196</f>
        <v>243</v>
      </c>
      <c r="W195" s="86">
        <f>'Raw Data'!W196</f>
        <v>239</v>
      </c>
      <c r="X195" s="86">
        <f>'Raw Data'!X196</f>
        <v>247</v>
      </c>
      <c r="Y195" s="86">
        <f>'Raw Data'!Y196</f>
        <v>229</v>
      </c>
      <c r="Z195" s="86">
        <f>'Raw Data'!Z196</f>
        <v>251</v>
      </c>
      <c r="AA195" s="83">
        <f>'Raw Data'!AA196/10</f>
        <v>239.6</v>
      </c>
      <c r="AB195" s="83">
        <f>'Raw Data'!AB196/10</f>
        <v>230.6</v>
      </c>
      <c r="AC195" s="83">
        <f>'Raw Data'!AC196/10</f>
        <v>210.8</v>
      </c>
      <c r="AD195" s="83">
        <f>'Raw Data'!AD196/10</f>
        <v>207.3</v>
      </c>
      <c r="AE195" s="83">
        <f>'Raw Data'!AE196/10</f>
        <v>192.6</v>
      </c>
      <c r="AF195" s="83">
        <f>'Raw Data'!AF196/10</f>
        <v>195.3</v>
      </c>
      <c r="AG195" s="83">
        <f>'Raw Data'!AG196/10</f>
        <v>171.2</v>
      </c>
      <c r="AH195" s="83">
        <f>'Raw Data'!AH196/10</f>
        <v>171</v>
      </c>
      <c r="AI195" s="83">
        <f>'Raw Data'!AI196/10</f>
        <v>166.6</v>
      </c>
      <c r="AJ195" s="83">
        <f>'Raw Data'!AJ196/10</f>
        <v>156.19999999999999</v>
      </c>
      <c r="AK195" s="83">
        <f>'Raw Data'!AK196/10</f>
        <v>149.80000000000001</v>
      </c>
      <c r="AL195" s="83">
        <f>'Raw Data'!AL196/10</f>
        <v>154.69999999999999</v>
      </c>
      <c r="AM195" s="83">
        <f>'Raw Data'!AM196/10</f>
        <v>145</v>
      </c>
      <c r="AN195" s="83">
        <f>'Raw Data'!AN196/10</f>
        <v>139.69999999999999</v>
      </c>
      <c r="AO195" s="83">
        <f>'Raw Data'!AO196/10</f>
        <v>137.30000000000001</v>
      </c>
      <c r="AP195" s="83">
        <f>'Raw Data'!AP196/10</f>
        <v>135.4</v>
      </c>
      <c r="AQ195" s="83">
        <f>'Raw Data'!AQ196/10</f>
        <v>125.9</v>
      </c>
      <c r="AR195" s="83">
        <f>'Raw Data'!AR196/10</f>
        <v>126.6</v>
      </c>
      <c r="AS195" s="83">
        <f>'Raw Data'!AS196/10</f>
        <v>120.6</v>
      </c>
      <c r="AT195" s="83">
        <f>'Raw Data'!AT196/10</f>
        <v>116.6</v>
      </c>
      <c r="AU195" s="83">
        <f>'Raw Data'!AU196/10</f>
        <v>115.3</v>
      </c>
      <c r="AV195" s="83">
        <f>'Raw Data'!AV196/10</f>
        <v>110.4</v>
      </c>
      <c r="AW195" s="83">
        <f>'Raw Data'!AW196/10</f>
        <v>107.2</v>
      </c>
      <c r="AX195" s="83">
        <f>'Raw Data'!AX196/10</f>
        <v>110.1</v>
      </c>
      <c r="AY195" s="83">
        <f>'Raw Data'!AY196/10</f>
        <v>107.1</v>
      </c>
      <c r="AZ195" s="83">
        <f>'Raw Data'!AZ196/10</f>
        <v>100.5</v>
      </c>
      <c r="BA195" s="83">
        <f>'Raw Data'!BA196/10</f>
        <v>97.4</v>
      </c>
      <c r="BB195" s="83">
        <f>'Raw Data'!BB196/10</f>
        <v>101.9</v>
      </c>
      <c r="BC195" s="83">
        <f>'Raw Data'!BC196/10</f>
        <v>98.9</v>
      </c>
      <c r="BD195" s="83">
        <f>'Raw Data'!BD196/10</f>
        <v>95</v>
      </c>
      <c r="BE195" s="83">
        <f>'Raw Data'!BE196/10</f>
        <v>93.9</v>
      </c>
      <c r="BF195" s="83">
        <f>'Raw Data'!BF196/10</f>
        <v>91.3</v>
      </c>
      <c r="BG195" s="83">
        <f>'Raw Data'!BG196/10</f>
        <v>89.3</v>
      </c>
      <c r="BH195" s="83">
        <f>'Raw Data'!BH196/10</f>
        <v>86.3</v>
      </c>
      <c r="BI195" s="83">
        <f>'Raw Data'!BI196/10</f>
        <v>85.1</v>
      </c>
      <c r="BJ195" s="83">
        <f>'Raw Data'!BJ196/10</f>
        <v>86.5</v>
      </c>
      <c r="BK195" s="83">
        <f>'Raw Data'!BK196/10</f>
        <v>82.1</v>
      </c>
      <c r="BL195" s="83">
        <f>'Raw Data'!BL196/10</f>
        <v>79</v>
      </c>
      <c r="BM195" s="83">
        <f>'Raw Data'!BM196/10</f>
        <v>82.3</v>
      </c>
      <c r="BN195" s="83">
        <f>'Raw Data'!BN196/10</f>
        <v>75.900000000000006</v>
      </c>
      <c r="BO195" s="83">
        <f>'Raw Data'!BO196/10</f>
        <v>76.7</v>
      </c>
      <c r="BP195" s="83">
        <f>'Raw Data'!BP196/10</f>
        <v>72.3</v>
      </c>
      <c r="BQ195" s="83">
        <f>'Raw Data'!BQ196/10</f>
        <v>75.099999999999994</v>
      </c>
      <c r="BR195" s="83">
        <f>'Raw Data'!BR196/10</f>
        <v>73</v>
      </c>
      <c r="BS195" s="83">
        <f>'Raw Data'!BS196/10</f>
        <v>71</v>
      </c>
      <c r="BT195" s="83">
        <f>'Raw Data'!BT196/10</f>
        <v>73.2</v>
      </c>
      <c r="BU195" s="83">
        <f>'Raw Data'!BU196/10</f>
        <v>74.2</v>
      </c>
      <c r="BV195" s="83">
        <f>'Raw Data'!BV196/10</f>
        <v>70.5</v>
      </c>
      <c r="BW195" s="83">
        <f>'Raw Data'!BW196/10</f>
        <v>70.8</v>
      </c>
      <c r="BX195" s="83">
        <f>'Raw Data'!BX196/10</f>
        <v>70.599999999999994</v>
      </c>
      <c r="BY195" s="83">
        <f>'Raw Data'!BY196/10</f>
        <v>66.3</v>
      </c>
      <c r="BZ195" s="83">
        <f>'Raw Data'!BZ196/10</f>
        <v>67.2</v>
      </c>
      <c r="CA195" s="83">
        <f>'Raw Data'!CA196/10</f>
        <v>69.099999999999994</v>
      </c>
      <c r="CB195" s="83">
        <f>'Raw Data'!CB196/10</f>
        <v>66.2</v>
      </c>
      <c r="CC195" s="83">
        <f>'Raw Data'!CC196/10</f>
        <v>63.4</v>
      </c>
      <c r="CD195" s="83">
        <f>'Raw Data'!CD196/10</f>
        <v>65.599999999999994</v>
      </c>
      <c r="CE195" s="83">
        <f>'Raw Data'!CE196/10</f>
        <v>59.1</v>
      </c>
      <c r="CF195" s="83">
        <f>'Raw Data'!CF196/10</f>
        <v>61</v>
      </c>
      <c r="CG195" s="83">
        <f>'Raw Data'!CG196/100</f>
        <v>57.35</v>
      </c>
      <c r="CH195" s="83">
        <f>'Raw Data'!CH196/100</f>
        <v>51.87</v>
      </c>
      <c r="CI195" s="83">
        <f>'Raw Data'!CI196/100</f>
        <v>47.96</v>
      </c>
      <c r="CJ195" s="83">
        <f>'Raw Data'!CJ196/100</f>
        <v>44.15</v>
      </c>
      <c r="CK195" s="83">
        <f>'Raw Data'!CK196/100</f>
        <v>41.55</v>
      </c>
      <c r="CL195" s="83">
        <f>'Raw Data'!CL196/100</f>
        <v>40.119999999999997</v>
      </c>
      <c r="CM195" s="83">
        <f>'Raw Data'!CM196/100</f>
        <v>37.590000000000003</v>
      </c>
      <c r="CN195" s="83">
        <f>'Raw Data'!CN196/100</f>
        <v>36.49</v>
      </c>
      <c r="CO195" s="83">
        <f>'Raw Data'!CO196/100</f>
        <v>34.46</v>
      </c>
      <c r="CP195" s="83">
        <f>'Raw Data'!CP196/100</f>
        <v>33.020000000000003</v>
      </c>
      <c r="CQ195" s="83">
        <f>'Raw Data'!CQ196/100</f>
        <v>32.82</v>
      </c>
      <c r="CR195" s="83">
        <f>'Raw Data'!CR196/100</f>
        <v>30.82</v>
      </c>
      <c r="CS195" s="83">
        <f>'Raw Data'!CS196/100</f>
        <v>30.32</v>
      </c>
      <c r="CT195" s="83">
        <f>'Raw Data'!CT196/100</f>
        <v>28.77</v>
      </c>
      <c r="CU195" s="382"/>
    </row>
    <row r="196" spans="4:99" s="86" customFormat="1" x14ac:dyDescent="0.2">
      <c r="D196" s="377"/>
      <c r="E196" s="164"/>
      <c r="F196" s="394"/>
      <c r="G196" s="85">
        <f>'Raw Data'!G197</f>
        <v>6356</v>
      </c>
      <c r="H196" s="85">
        <f>'Raw Data'!H197</f>
        <v>6231</v>
      </c>
      <c r="I196" s="85">
        <f>'Raw Data'!I197</f>
        <v>6372</v>
      </c>
      <c r="J196" s="85">
        <f>'Raw Data'!J197</f>
        <v>6217</v>
      </c>
      <c r="K196" s="85">
        <f>'Raw Data'!K197</f>
        <v>6232</v>
      </c>
      <c r="L196" s="85">
        <f>'Raw Data'!L197</f>
        <v>6216</v>
      </c>
      <c r="M196" s="85">
        <f>'Raw Data'!M197</f>
        <v>6265</v>
      </c>
      <c r="N196" s="85">
        <f>'Raw Data'!N197</f>
        <v>6120</v>
      </c>
      <c r="O196" s="85">
        <f>'Raw Data'!O197</f>
        <v>6157</v>
      </c>
      <c r="P196" s="85">
        <f>'Raw Data'!P197</f>
        <v>6171</v>
      </c>
      <c r="Q196" s="85">
        <f>'Raw Data'!Q197</f>
        <v>6180</v>
      </c>
      <c r="R196" s="85">
        <f>'Raw Data'!R197</f>
        <v>6012</v>
      </c>
      <c r="S196" s="85">
        <f>'Raw Data'!S197</f>
        <v>6087</v>
      </c>
      <c r="T196" s="85">
        <f>'Raw Data'!T197</f>
        <v>6006</v>
      </c>
      <c r="U196" s="85">
        <f>'Raw Data'!U197</f>
        <v>6013</v>
      </c>
      <c r="V196" s="85">
        <f>'Raw Data'!V197</f>
        <v>6021</v>
      </c>
      <c r="W196" s="85">
        <f>'Raw Data'!W197</f>
        <v>6020</v>
      </c>
      <c r="X196" s="85">
        <f>'Raw Data'!X197</f>
        <v>5970</v>
      </c>
      <c r="Y196" s="85">
        <f>'Raw Data'!Y197</f>
        <v>5816</v>
      </c>
      <c r="Z196" s="85">
        <f>'Raw Data'!Z197</f>
        <v>5802</v>
      </c>
      <c r="AA196" s="85">
        <f>'Raw Data'!AA197/10</f>
        <v>5705.9</v>
      </c>
      <c r="AB196" s="85">
        <f>'Raw Data'!AB197/10</f>
        <v>5440.1</v>
      </c>
      <c r="AC196" s="85">
        <f>'Raw Data'!AC197/10</f>
        <v>5150.3</v>
      </c>
      <c r="AD196" s="85">
        <f>'Raw Data'!AD197/10</f>
        <v>4882</v>
      </c>
      <c r="AE196" s="85">
        <f>'Raw Data'!AE197/10</f>
        <v>4637.3</v>
      </c>
      <c r="AF196" s="85">
        <f>'Raw Data'!AF197/10</f>
        <v>4367.3999999999996</v>
      </c>
      <c r="AG196" s="85">
        <f>'Raw Data'!AG197/10</f>
        <v>4108.8</v>
      </c>
      <c r="AH196" s="85">
        <f>'Raw Data'!AH197/10</f>
        <v>3941.6</v>
      </c>
      <c r="AI196" s="85">
        <f>'Raw Data'!AI197/10</f>
        <v>3747.9</v>
      </c>
      <c r="AJ196" s="85">
        <f>'Raw Data'!AJ197/10</f>
        <v>3547.6</v>
      </c>
      <c r="AK196" s="85">
        <f>'Raw Data'!AK197/10</f>
        <v>3381.6</v>
      </c>
      <c r="AL196" s="85">
        <f>'Raw Data'!AL197/10</f>
        <v>3200</v>
      </c>
      <c r="AM196" s="85">
        <f>'Raw Data'!AM197/10</f>
        <v>3073.7</v>
      </c>
      <c r="AN196" s="85">
        <f>'Raw Data'!AN197/10</f>
        <v>2920.9</v>
      </c>
      <c r="AO196" s="85">
        <f>'Raw Data'!AO197/10</f>
        <v>2802.7</v>
      </c>
      <c r="AP196" s="85">
        <f>'Raw Data'!AP197/10</f>
        <v>2658.4</v>
      </c>
      <c r="AQ196" s="85">
        <f>'Raw Data'!AQ197/10</f>
        <v>2515.4</v>
      </c>
      <c r="AR196" s="85">
        <f>'Raw Data'!AR197/10</f>
        <v>2456.6999999999998</v>
      </c>
      <c r="AS196" s="85">
        <f>'Raw Data'!AS197/10</f>
        <v>2343.5</v>
      </c>
      <c r="AT196" s="85">
        <f>'Raw Data'!AT197/10</f>
        <v>2265.1999999999998</v>
      </c>
      <c r="AU196" s="85">
        <f>'Raw Data'!AU197/10</f>
        <v>2185.1999999999998</v>
      </c>
      <c r="AV196" s="85">
        <f>'Raw Data'!AV197/10</f>
        <v>2093.3000000000002</v>
      </c>
      <c r="AW196" s="85">
        <f>'Raw Data'!AW197/10</f>
        <v>2015.3</v>
      </c>
      <c r="AX196" s="85">
        <f>'Raw Data'!AX197/10</f>
        <v>1945.6</v>
      </c>
      <c r="AY196" s="85">
        <f>'Raw Data'!AY197/10</f>
        <v>1870.8</v>
      </c>
      <c r="AZ196" s="85">
        <f>'Raw Data'!AZ197/10</f>
        <v>1794.2</v>
      </c>
      <c r="BA196" s="85">
        <f>'Raw Data'!BA197/10</f>
        <v>1729.6</v>
      </c>
      <c r="BB196" s="85">
        <f>'Raw Data'!BB197/10</f>
        <v>1663.8</v>
      </c>
      <c r="BC196" s="85">
        <f>'Raw Data'!BC197/10</f>
        <v>1615.4</v>
      </c>
      <c r="BD196" s="85">
        <f>'Raw Data'!BD197/10</f>
        <v>1581.5</v>
      </c>
      <c r="BE196" s="85">
        <f>'Raw Data'!BE197/10</f>
        <v>1518.4</v>
      </c>
      <c r="BF196" s="85">
        <f>'Raw Data'!BF197/10</f>
        <v>1464</v>
      </c>
      <c r="BG196" s="85">
        <f>'Raw Data'!BG197/10</f>
        <v>1403.6</v>
      </c>
      <c r="BH196" s="85">
        <f>'Raw Data'!BH197/10</f>
        <v>1367.2</v>
      </c>
      <c r="BI196" s="85">
        <f>'Raw Data'!BI197/10</f>
        <v>1337.5</v>
      </c>
      <c r="BJ196" s="85">
        <f>'Raw Data'!BJ197/10</f>
        <v>1283</v>
      </c>
      <c r="BK196" s="85">
        <f>'Raw Data'!BK197/10</f>
        <v>1257</v>
      </c>
      <c r="BL196" s="85">
        <f>'Raw Data'!BL197/10</f>
        <v>1226</v>
      </c>
      <c r="BM196" s="85">
        <f>'Raw Data'!BM197/10</f>
        <v>1176</v>
      </c>
      <c r="BN196" s="85">
        <f>'Raw Data'!BN197/10</f>
        <v>1142.7</v>
      </c>
      <c r="BO196" s="85">
        <f>'Raw Data'!BO197/10</f>
        <v>1113.0999999999999</v>
      </c>
      <c r="BP196" s="85">
        <f>'Raw Data'!BP197/10</f>
        <v>1109.5999999999999</v>
      </c>
      <c r="BQ196" s="85">
        <f>'Raw Data'!BQ197/10</f>
        <v>1042.5999999999999</v>
      </c>
      <c r="BR196" s="85">
        <f>'Raw Data'!BR197/10</f>
        <v>1033.5999999999999</v>
      </c>
      <c r="BS196" s="85">
        <f>'Raw Data'!BS197/10</f>
        <v>997.5</v>
      </c>
      <c r="BT196" s="85">
        <f>'Raw Data'!BT197/10</f>
        <v>971.9</v>
      </c>
      <c r="BU196" s="85">
        <f>'Raw Data'!BU197/10</f>
        <v>956.1</v>
      </c>
      <c r="BV196" s="85">
        <f>'Raw Data'!BV197/10</f>
        <v>922</v>
      </c>
      <c r="BW196" s="85">
        <f>'Raw Data'!BW197/10</f>
        <v>901.2</v>
      </c>
      <c r="BX196" s="85">
        <f>'Raw Data'!BX197/10</f>
        <v>881.4</v>
      </c>
      <c r="BY196" s="85">
        <f>'Raw Data'!BY197/10</f>
        <v>851.8</v>
      </c>
      <c r="BZ196" s="85">
        <f>'Raw Data'!BZ197/10</f>
        <v>835.7</v>
      </c>
      <c r="CA196" s="85">
        <f>'Raw Data'!CA197/10</f>
        <v>812.9</v>
      </c>
      <c r="CB196" s="85">
        <f>'Raw Data'!CB197/10</f>
        <v>807.5</v>
      </c>
      <c r="CC196" s="85">
        <f>'Raw Data'!CC197/10</f>
        <v>781.7</v>
      </c>
      <c r="CD196" s="85">
        <f>'Raw Data'!CD197/10</f>
        <v>773.9</v>
      </c>
      <c r="CE196" s="85">
        <f>'Raw Data'!CE197/10</f>
        <v>744.7</v>
      </c>
      <c r="CF196" s="85">
        <f>'Raw Data'!CF197/10</f>
        <v>736.7</v>
      </c>
      <c r="CG196" s="85">
        <f>'Raw Data'!CG197/100</f>
        <v>654.11</v>
      </c>
      <c r="CH196" s="85">
        <f>'Raw Data'!CH197/100</f>
        <v>542.96</v>
      </c>
      <c r="CI196" s="85">
        <f>'Raw Data'!CI197/100</f>
        <v>458.07</v>
      </c>
      <c r="CJ196" s="85">
        <f>'Raw Data'!CJ197/100</f>
        <v>395.52</v>
      </c>
      <c r="CK196" s="85">
        <f>'Raw Data'!CK197/100</f>
        <v>347.72</v>
      </c>
      <c r="CL196" s="85">
        <f>'Raw Data'!CL197/100</f>
        <v>307.33</v>
      </c>
      <c r="CM196" s="85">
        <f>'Raw Data'!CM197/100</f>
        <v>273.49</v>
      </c>
      <c r="CN196" s="85">
        <f>'Raw Data'!CN197/100</f>
        <v>247.35</v>
      </c>
      <c r="CO196" s="85">
        <f>'Raw Data'!CO197/100</f>
        <v>226.91</v>
      </c>
      <c r="CP196" s="85">
        <f>'Raw Data'!CP197/100</f>
        <v>206.41</v>
      </c>
      <c r="CQ196" s="85">
        <f>'Raw Data'!CQ197/100</f>
        <v>190.62</v>
      </c>
      <c r="CR196" s="85">
        <f>'Raw Data'!CR197/100</f>
        <v>178.39</v>
      </c>
      <c r="CS196" s="85">
        <f>'Raw Data'!CS197/100</f>
        <v>166.5</v>
      </c>
      <c r="CT196" s="85">
        <f>'Raw Data'!CT197/100</f>
        <v>155.88999999999999</v>
      </c>
      <c r="CU196" s="382"/>
    </row>
    <row r="197" spans="4:99" s="86" customFormat="1" x14ac:dyDescent="0.2">
      <c r="D197" s="375"/>
      <c r="E197" s="164"/>
      <c r="F197" s="394"/>
      <c r="G197" s="86">
        <f>'Raw Data'!G198</f>
        <v>1274</v>
      </c>
      <c r="H197" s="86">
        <f>'Raw Data'!H198</f>
        <v>1295</v>
      </c>
      <c r="I197" s="86">
        <f>'Raw Data'!I198</f>
        <v>1250</v>
      </c>
      <c r="J197" s="86">
        <f>'Raw Data'!J198</f>
        <v>1295</v>
      </c>
      <c r="K197" s="86">
        <f>'Raw Data'!K198</f>
        <v>1294</v>
      </c>
      <c r="L197" s="86">
        <f>'Raw Data'!L198</f>
        <v>1259</v>
      </c>
      <c r="M197" s="86">
        <f>'Raw Data'!M198</f>
        <v>1534</v>
      </c>
      <c r="N197" s="86">
        <f>'Raw Data'!N198</f>
        <v>1288</v>
      </c>
      <c r="O197" s="86">
        <f>'Raw Data'!O198</f>
        <v>1263</v>
      </c>
      <c r="P197" s="86">
        <f>'Raw Data'!P198</f>
        <v>1264</v>
      </c>
      <c r="Q197" s="86">
        <f>'Raw Data'!Q198</f>
        <v>1266</v>
      </c>
      <c r="R197" s="86">
        <f>'Raw Data'!R198</f>
        <v>1264</v>
      </c>
      <c r="S197" s="86">
        <f>'Raw Data'!S198</f>
        <v>1270</v>
      </c>
      <c r="T197" s="86">
        <f>'Raw Data'!T198</f>
        <v>1222</v>
      </c>
      <c r="U197" s="86">
        <f>'Raw Data'!U198</f>
        <v>1250</v>
      </c>
      <c r="V197" s="86">
        <f>'Raw Data'!V198</f>
        <v>1204</v>
      </c>
      <c r="W197" s="86">
        <f>'Raw Data'!W198</f>
        <v>1182</v>
      </c>
      <c r="X197" s="86">
        <f>'Raw Data'!X198</f>
        <v>1237</v>
      </c>
      <c r="Y197" s="86">
        <f>'Raw Data'!Y198</f>
        <v>1239</v>
      </c>
      <c r="Z197" s="86">
        <f>'Raw Data'!Z198</f>
        <v>1193</v>
      </c>
      <c r="AA197" s="86">
        <f>'Raw Data'!AA198/10</f>
        <v>1180.5</v>
      </c>
      <c r="AB197" s="86">
        <f>'Raw Data'!AB198/10</f>
        <v>1139.5</v>
      </c>
      <c r="AC197" s="86">
        <f>'Raw Data'!AC198/10</f>
        <v>1097.4000000000001</v>
      </c>
      <c r="AD197" s="86">
        <f>'Raw Data'!AD198/10</f>
        <v>1052.4000000000001</v>
      </c>
      <c r="AE197" s="86">
        <f>'Raw Data'!AE198/10</f>
        <v>996.3</v>
      </c>
      <c r="AF197" s="86">
        <f>'Raw Data'!AF198/10</f>
        <v>938.9</v>
      </c>
      <c r="AG197" s="86">
        <f>'Raw Data'!AG198/10</f>
        <v>903.6</v>
      </c>
      <c r="AH197" s="86">
        <f>'Raw Data'!AH198/10</f>
        <v>867.9</v>
      </c>
      <c r="AI197" s="86">
        <f>'Raw Data'!AI198/10</f>
        <v>827.9</v>
      </c>
      <c r="AJ197" s="86">
        <f>'Raw Data'!AJ198/10</f>
        <v>807.7</v>
      </c>
      <c r="AK197" s="86">
        <f>'Raw Data'!AK198/10</f>
        <v>760.2</v>
      </c>
      <c r="AL197" s="86">
        <f>'Raw Data'!AL198/10</f>
        <v>731</v>
      </c>
      <c r="AM197" s="86">
        <f>'Raw Data'!AM198/10</f>
        <v>699.7</v>
      </c>
      <c r="AN197" s="86">
        <f>'Raw Data'!AN198/10</f>
        <v>673.2</v>
      </c>
      <c r="AO197" s="86">
        <f>'Raw Data'!AO198/10</f>
        <v>646.9</v>
      </c>
      <c r="AP197" s="86">
        <f>'Raw Data'!AP198/10</f>
        <v>631.6</v>
      </c>
      <c r="AQ197" s="86">
        <f>'Raw Data'!AQ198/10</f>
        <v>609.4</v>
      </c>
      <c r="AR197" s="86">
        <f>'Raw Data'!AR198/10</f>
        <v>580.20000000000005</v>
      </c>
      <c r="AS197" s="86">
        <f>'Raw Data'!AS198/10</f>
        <v>563.6</v>
      </c>
      <c r="AT197" s="86">
        <f>'Raw Data'!AT198/10</f>
        <v>557</v>
      </c>
      <c r="AU197" s="86">
        <f>'Raw Data'!AU198/10</f>
        <v>526.1</v>
      </c>
      <c r="AV197" s="86">
        <f>'Raw Data'!AV198/10</f>
        <v>517.6</v>
      </c>
      <c r="AW197" s="86">
        <f>'Raw Data'!AW198/10</f>
        <v>491.9</v>
      </c>
      <c r="AX197" s="86">
        <f>'Raw Data'!AX198/10</f>
        <v>488.2</v>
      </c>
      <c r="AY197" s="86">
        <f>'Raw Data'!AY198/10</f>
        <v>461.8</v>
      </c>
      <c r="AZ197" s="86">
        <f>'Raw Data'!AZ198/10</f>
        <v>468.5</v>
      </c>
      <c r="BA197" s="86">
        <f>'Raw Data'!BA198/10</f>
        <v>452.7</v>
      </c>
      <c r="BB197" s="86">
        <f>'Raw Data'!BB198/10</f>
        <v>435.1</v>
      </c>
      <c r="BC197" s="86">
        <f>'Raw Data'!BC198/10</f>
        <v>420.3</v>
      </c>
      <c r="BD197" s="86">
        <f>'Raw Data'!BD198/10</f>
        <v>418.5</v>
      </c>
      <c r="BE197" s="86">
        <f>'Raw Data'!BE198/10</f>
        <v>397.7</v>
      </c>
      <c r="BF197" s="86">
        <f>'Raw Data'!BF198/10</f>
        <v>392.5</v>
      </c>
      <c r="BG197" s="86">
        <f>'Raw Data'!BG198/10</f>
        <v>379.4</v>
      </c>
      <c r="BH197" s="86">
        <f>'Raw Data'!BH198/10</f>
        <v>370.1</v>
      </c>
      <c r="BI197" s="86">
        <f>'Raw Data'!BI198/10</f>
        <v>352.7</v>
      </c>
      <c r="BJ197" s="86">
        <f>'Raw Data'!BJ198/10</f>
        <v>352.5</v>
      </c>
      <c r="BK197" s="86">
        <f>'Raw Data'!BK198/10</f>
        <v>347</v>
      </c>
      <c r="BL197" s="86">
        <f>'Raw Data'!BL198/10</f>
        <v>350.8</v>
      </c>
      <c r="BM197" s="86">
        <f>'Raw Data'!BM198/10</f>
        <v>327</v>
      </c>
      <c r="BN197" s="86">
        <f>'Raw Data'!BN198/10</f>
        <v>320.60000000000002</v>
      </c>
      <c r="BO197" s="86">
        <f>'Raw Data'!BO198/10</f>
        <v>329.3</v>
      </c>
      <c r="BP197" s="86">
        <f>'Raw Data'!BP198/10</f>
        <v>313.8</v>
      </c>
      <c r="BQ197" s="86">
        <f>'Raw Data'!BQ198/10</f>
        <v>314.10000000000002</v>
      </c>
      <c r="BR197" s="86">
        <f>'Raw Data'!BR198/10</f>
        <v>298.3</v>
      </c>
      <c r="BS197" s="86">
        <f>'Raw Data'!BS198/10</f>
        <v>297</v>
      </c>
      <c r="BT197" s="86">
        <f>'Raw Data'!BT198/10</f>
        <v>291.3</v>
      </c>
      <c r="BU197" s="86">
        <f>'Raw Data'!BU198/10</f>
        <v>286.60000000000002</v>
      </c>
      <c r="BV197" s="86">
        <f>'Raw Data'!BV198/10</f>
        <v>280.7</v>
      </c>
      <c r="BW197" s="86">
        <f>'Raw Data'!BW198/10</f>
        <v>277.89999999999998</v>
      </c>
      <c r="BX197" s="86">
        <f>'Raw Data'!BX198/10</f>
        <v>272.7</v>
      </c>
      <c r="BY197" s="86">
        <f>'Raw Data'!BY198/10</f>
        <v>263.60000000000002</v>
      </c>
      <c r="BZ197" s="86">
        <f>'Raw Data'!BZ198/10</f>
        <v>263.7</v>
      </c>
      <c r="CA197" s="86">
        <f>'Raw Data'!CA198/10</f>
        <v>257.10000000000002</v>
      </c>
      <c r="CB197" s="86">
        <f>'Raw Data'!CB198/10</f>
        <v>252.9</v>
      </c>
      <c r="CC197" s="86">
        <f>'Raw Data'!CC198/10</f>
        <v>249.3</v>
      </c>
      <c r="CD197" s="86">
        <f>'Raw Data'!CD198/10</f>
        <v>244.4</v>
      </c>
      <c r="CE197" s="86">
        <f>'Raw Data'!CE198/10</f>
        <v>238.5</v>
      </c>
      <c r="CF197" s="86">
        <f>'Raw Data'!CF198/10</f>
        <v>238.7</v>
      </c>
      <c r="CG197" s="86">
        <f>'Raw Data'!CG198/100</f>
        <v>221.82</v>
      </c>
      <c r="CH197" s="86">
        <f>'Raw Data'!CH198/100</f>
        <v>194.46</v>
      </c>
      <c r="CI197" s="86">
        <f>'Raw Data'!CI198/100</f>
        <v>173.26</v>
      </c>
      <c r="CJ197" s="86">
        <f>'Raw Data'!CJ198/100</f>
        <v>157.78</v>
      </c>
      <c r="CK197" s="86">
        <f>'Raw Data'!CK198/100</f>
        <v>146.24</v>
      </c>
      <c r="CL197" s="86">
        <f>'Raw Data'!CL198/100</f>
        <v>134.38</v>
      </c>
      <c r="CM197" s="86">
        <f>'Raw Data'!CM198/100</f>
        <v>128.55000000000001</v>
      </c>
      <c r="CN197" s="86">
        <f>'Raw Data'!CN198/100</f>
        <v>119.43</v>
      </c>
      <c r="CO197" s="86">
        <f>'Raw Data'!CO198/100</f>
        <v>109.67</v>
      </c>
      <c r="CP197" s="86">
        <f>'Raw Data'!CP198/100</f>
        <v>105.39</v>
      </c>
      <c r="CQ197" s="86">
        <f>'Raw Data'!CQ198/100</f>
        <v>101.88</v>
      </c>
      <c r="CR197" s="86">
        <f>'Raw Data'!CR198/100</f>
        <v>95.94</v>
      </c>
      <c r="CS197" s="86">
        <f>'Raw Data'!CS198/100</f>
        <v>92.69</v>
      </c>
      <c r="CT197" s="86">
        <f>'Raw Data'!CT198/100</f>
        <v>88.09</v>
      </c>
      <c r="CU197" s="382"/>
    </row>
    <row r="198" spans="4:99" s="86" customFormat="1" x14ac:dyDescent="0.2">
      <c r="D198" s="375"/>
      <c r="E198" s="164"/>
      <c r="F198" s="394"/>
      <c r="G198" s="86">
        <f>'Raw Data'!G199</f>
        <v>2440</v>
      </c>
      <c r="H198" s="86">
        <f>'Raw Data'!H199</f>
        <v>2557</v>
      </c>
      <c r="I198" s="86">
        <f>'Raw Data'!I199</f>
        <v>2518</v>
      </c>
      <c r="J198" s="86">
        <f>'Raw Data'!J199</f>
        <v>2447</v>
      </c>
      <c r="K198" s="86">
        <f>'Raw Data'!K199</f>
        <v>2461</v>
      </c>
      <c r="L198" s="86">
        <f>'Raw Data'!L199</f>
        <v>2348</v>
      </c>
      <c r="M198" s="86">
        <f>'Raw Data'!M199</f>
        <v>2474</v>
      </c>
      <c r="N198" s="86">
        <f>'Raw Data'!N199</f>
        <v>2388</v>
      </c>
      <c r="O198" s="86">
        <f>'Raw Data'!O199</f>
        <v>2435</v>
      </c>
      <c r="P198" s="86">
        <f>'Raw Data'!P199</f>
        <v>2342</v>
      </c>
      <c r="Q198" s="86">
        <f>'Raw Data'!Q199</f>
        <v>2384</v>
      </c>
      <c r="R198" s="86">
        <f>'Raw Data'!R199</f>
        <v>2368</v>
      </c>
      <c r="S198" s="86">
        <f>'Raw Data'!S199</f>
        <v>2354</v>
      </c>
      <c r="T198" s="86">
        <f>'Raw Data'!T199</f>
        <v>2365</v>
      </c>
      <c r="U198" s="86">
        <f>'Raw Data'!U199</f>
        <v>2323</v>
      </c>
      <c r="V198" s="86">
        <f>'Raw Data'!V199</f>
        <v>2361</v>
      </c>
      <c r="W198" s="86">
        <f>'Raw Data'!W199</f>
        <v>2330</v>
      </c>
      <c r="X198" s="86">
        <f>'Raw Data'!X199</f>
        <v>2376</v>
      </c>
      <c r="Y198" s="86">
        <f>'Raw Data'!Y199</f>
        <v>2238</v>
      </c>
      <c r="Z198" s="86">
        <f>'Raw Data'!Z199</f>
        <v>2235</v>
      </c>
      <c r="AA198" s="86">
        <f>'Raw Data'!AA199/10</f>
        <v>2223.6999999999998</v>
      </c>
      <c r="AB198" s="86">
        <f>'Raw Data'!AB199/10</f>
        <v>2098.5</v>
      </c>
      <c r="AC198" s="86">
        <f>'Raw Data'!AC199/10</f>
        <v>1989.6</v>
      </c>
      <c r="AD198" s="86">
        <f>'Raw Data'!AD199/10</f>
        <v>1895.5</v>
      </c>
      <c r="AE198" s="86">
        <f>'Raw Data'!AE199/10</f>
        <v>1798.5</v>
      </c>
      <c r="AF198" s="86">
        <f>'Raw Data'!AF199/10</f>
        <v>1700.7</v>
      </c>
      <c r="AG198" s="86">
        <f>'Raw Data'!AG199/10</f>
        <v>1615.7</v>
      </c>
      <c r="AH198" s="86">
        <f>'Raw Data'!AH199/10</f>
        <v>1524.5</v>
      </c>
      <c r="AI198" s="86">
        <f>'Raw Data'!AI199/10</f>
        <v>1456.6</v>
      </c>
      <c r="AJ198" s="86">
        <f>'Raw Data'!AJ199/10</f>
        <v>1388.5</v>
      </c>
      <c r="AK198" s="86">
        <f>'Raw Data'!AK199/10</f>
        <v>1303.3</v>
      </c>
      <c r="AL198" s="86">
        <f>'Raw Data'!AL199/10</f>
        <v>1254.2</v>
      </c>
      <c r="AM198" s="86">
        <f>'Raw Data'!AM199/10</f>
        <v>1197.2</v>
      </c>
      <c r="AN198" s="86">
        <f>'Raw Data'!AN199/10</f>
        <v>1150</v>
      </c>
      <c r="AO198" s="86">
        <f>'Raw Data'!AO199/10</f>
        <v>1094</v>
      </c>
      <c r="AP198" s="86">
        <f>'Raw Data'!AP199/10</f>
        <v>1059.8</v>
      </c>
      <c r="AQ198" s="86">
        <f>'Raw Data'!AQ199/10</f>
        <v>1002.1</v>
      </c>
      <c r="AR198" s="86">
        <f>'Raw Data'!AR199/10</f>
        <v>978.1</v>
      </c>
      <c r="AS198" s="86">
        <f>'Raw Data'!AS199/10</f>
        <v>947.2</v>
      </c>
      <c r="AT198" s="86">
        <f>'Raw Data'!AT199/10</f>
        <v>901.5</v>
      </c>
      <c r="AU198" s="86">
        <f>'Raw Data'!AU199/10</f>
        <v>873.5</v>
      </c>
      <c r="AV198" s="86">
        <f>'Raw Data'!AV199/10</f>
        <v>833.6</v>
      </c>
      <c r="AW198" s="86">
        <f>'Raw Data'!AW199/10</f>
        <v>798.1</v>
      </c>
      <c r="AX198" s="86">
        <f>'Raw Data'!AX199/10</f>
        <v>778.1</v>
      </c>
      <c r="AY198" s="86">
        <f>'Raw Data'!AY199/10</f>
        <v>747.5</v>
      </c>
      <c r="AZ198" s="86">
        <f>'Raw Data'!AZ199/10</f>
        <v>732.5</v>
      </c>
      <c r="BA198" s="86">
        <f>'Raw Data'!BA199/10</f>
        <v>693.8</v>
      </c>
      <c r="BB198" s="86">
        <f>'Raw Data'!BB199/10</f>
        <v>681.2</v>
      </c>
      <c r="BC198" s="86">
        <f>'Raw Data'!BC199/10</f>
        <v>658.1</v>
      </c>
      <c r="BD198" s="86">
        <f>'Raw Data'!BD199/10</f>
        <v>629.70000000000005</v>
      </c>
      <c r="BE198" s="86">
        <f>'Raw Data'!BE199/10</f>
        <v>619.9</v>
      </c>
      <c r="BF198" s="86">
        <f>'Raw Data'!BF199/10</f>
        <v>614.20000000000005</v>
      </c>
      <c r="BG198" s="86">
        <f>'Raw Data'!BG199/10</f>
        <v>573.1</v>
      </c>
      <c r="BH198" s="86">
        <f>'Raw Data'!BH199/10</f>
        <v>562.9</v>
      </c>
      <c r="BI198" s="86">
        <f>'Raw Data'!BI199/10</f>
        <v>546.4</v>
      </c>
      <c r="BJ198" s="86">
        <f>'Raw Data'!BJ199/10</f>
        <v>528</v>
      </c>
      <c r="BK198" s="86">
        <f>'Raw Data'!BK199/10</f>
        <v>513.79999999999995</v>
      </c>
      <c r="BL198" s="86">
        <f>'Raw Data'!BL199/10</f>
        <v>498.7</v>
      </c>
      <c r="BM198" s="86">
        <f>'Raw Data'!BM199/10</f>
        <v>490.3</v>
      </c>
      <c r="BN198" s="86">
        <f>'Raw Data'!BN199/10</f>
        <v>477.6</v>
      </c>
      <c r="BO198" s="86">
        <f>'Raw Data'!BO199/10</f>
        <v>462.4</v>
      </c>
      <c r="BP198" s="86">
        <f>'Raw Data'!BP199/10</f>
        <v>453.1</v>
      </c>
      <c r="BQ198" s="86">
        <f>'Raw Data'!BQ199/10</f>
        <v>439.4</v>
      </c>
      <c r="BR198" s="86">
        <f>'Raw Data'!BR199/10</f>
        <v>427.2</v>
      </c>
      <c r="BS198" s="86">
        <f>'Raw Data'!BS199/10</f>
        <v>389.6</v>
      </c>
      <c r="BT198" s="86">
        <f>'Raw Data'!BT199/10</f>
        <v>402.3</v>
      </c>
      <c r="BU198" s="86">
        <f>'Raw Data'!BU199/10</f>
        <v>393.8</v>
      </c>
      <c r="BV198" s="86">
        <f>'Raw Data'!BV199/10</f>
        <v>385.5</v>
      </c>
      <c r="BW198" s="86">
        <f>'Raw Data'!BW199/10</f>
        <v>376.3</v>
      </c>
      <c r="BX198" s="86">
        <f>'Raw Data'!BX199/10</f>
        <v>375.2</v>
      </c>
      <c r="BY198" s="86">
        <f>'Raw Data'!BY199/10</f>
        <v>359.7</v>
      </c>
      <c r="BZ198" s="86">
        <f>'Raw Data'!BZ199/10</f>
        <v>356.4</v>
      </c>
      <c r="CA198" s="86">
        <f>'Raw Data'!CA199/10</f>
        <v>349.8</v>
      </c>
      <c r="CB198" s="86">
        <f>'Raw Data'!CB199/10</f>
        <v>342.8</v>
      </c>
      <c r="CC198" s="86">
        <f>'Raw Data'!CC199/10</f>
        <v>335.7</v>
      </c>
      <c r="CD198" s="86">
        <f>'Raw Data'!CD199/10</f>
        <v>323.8</v>
      </c>
      <c r="CE198" s="86">
        <f>'Raw Data'!CE199/10</f>
        <v>327.7</v>
      </c>
      <c r="CF198" s="86">
        <f>'Raw Data'!CF199/10</f>
        <v>319</v>
      </c>
      <c r="CG198" s="86">
        <f>'Raw Data'!CG199/100</f>
        <v>285.61</v>
      </c>
      <c r="CH198" s="86">
        <f>'Raw Data'!CH199/100</f>
        <v>240.95</v>
      </c>
      <c r="CI198" s="86">
        <f>'Raw Data'!CI199/100</f>
        <v>206.72</v>
      </c>
      <c r="CJ198" s="86">
        <f>'Raw Data'!CJ199/100</f>
        <v>182.08</v>
      </c>
      <c r="CK198" s="86">
        <f>'Raw Data'!CK199/100</f>
        <v>162.09</v>
      </c>
      <c r="CL198" s="86">
        <f>'Raw Data'!CL199/100</f>
        <v>145.66</v>
      </c>
      <c r="CM198" s="86">
        <f>'Raw Data'!CM199/100</f>
        <v>132.05000000000001</v>
      </c>
      <c r="CN198" s="86">
        <f>'Raw Data'!CN199/100</f>
        <v>123.37</v>
      </c>
      <c r="CO198" s="86">
        <f>'Raw Data'!CO199/100</f>
        <v>111.63</v>
      </c>
      <c r="CP198" s="86">
        <f>'Raw Data'!CP199/100</f>
        <v>103.87</v>
      </c>
      <c r="CQ198" s="86">
        <f>'Raw Data'!CQ199/100</f>
        <v>97.89</v>
      </c>
      <c r="CR198" s="86">
        <f>'Raw Data'!CR199/100</f>
        <v>93.02</v>
      </c>
      <c r="CS198" s="86">
        <f>'Raw Data'!CS199/100</f>
        <v>87.18</v>
      </c>
      <c r="CT198" s="86">
        <f>'Raw Data'!CT199/100</f>
        <v>82.36</v>
      </c>
      <c r="CU198" s="382"/>
    </row>
    <row r="199" spans="4:99" s="86" customFormat="1" x14ac:dyDescent="0.2">
      <c r="D199" s="375"/>
      <c r="E199" s="164"/>
      <c r="F199" s="394"/>
      <c r="G199" s="86">
        <f>'Raw Data'!G200</f>
        <v>1193</v>
      </c>
      <c r="H199" s="86">
        <f>'Raw Data'!H200</f>
        <v>1189</v>
      </c>
      <c r="I199" s="86">
        <f>'Raw Data'!I200</f>
        <v>1166</v>
      </c>
      <c r="J199" s="86">
        <f>'Raw Data'!J200</f>
        <v>1211</v>
      </c>
      <c r="K199" s="86">
        <f>'Raw Data'!K200</f>
        <v>1221</v>
      </c>
      <c r="L199" s="86">
        <f>'Raw Data'!L200</f>
        <v>1262</v>
      </c>
      <c r="M199" s="86">
        <f>'Raw Data'!M200</f>
        <v>1207</v>
      </c>
      <c r="N199" s="86">
        <f>'Raw Data'!N200</f>
        <v>1180</v>
      </c>
      <c r="O199" s="86">
        <f>'Raw Data'!O200</f>
        <v>1216</v>
      </c>
      <c r="P199" s="86">
        <f>'Raw Data'!P200</f>
        <v>1192</v>
      </c>
      <c r="Q199" s="86">
        <f>'Raw Data'!Q200</f>
        <v>1170</v>
      </c>
      <c r="R199" s="86">
        <f>'Raw Data'!R200</f>
        <v>1190</v>
      </c>
      <c r="S199" s="86">
        <f>'Raw Data'!S200</f>
        <v>1151</v>
      </c>
      <c r="T199" s="86">
        <f>'Raw Data'!T200</f>
        <v>1165</v>
      </c>
      <c r="U199" s="86">
        <f>'Raw Data'!U200</f>
        <v>1148</v>
      </c>
      <c r="V199" s="86">
        <f>'Raw Data'!V200</f>
        <v>1163</v>
      </c>
      <c r="W199" s="86">
        <f>'Raw Data'!W200</f>
        <v>1145</v>
      </c>
      <c r="X199" s="86">
        <f>'Raw Data'!X200</f>
        <v>1130</v>
      </c>
      <c r="Y199" s="86">
        <f>'Raw Data'!Y200</f>
        <v>1171</v>
      </c>
      <c r="Z199" s="86">
        <f>'Raw Data'!Z200</f>
        <v>1112</v>
      </c>
      <c r="AA199" s="86">
        <f>'Raw Data'!AA200/10</f>
        <v>1117</v>
      </c>
      <c r="AB199" s="86">
        <f>'Raw Data'!AB200/10</f>
        <v>1064.0999999999999</v>
      </c>
      <c r="AC199" s="86">
        <f>'Raw Data'!AC200/10</f>
        <v>1028.9000000000001</v>
      </c>
      <c r="AD199" s="86">
        <f>'Raw Data'!AD200/10</f>
        <v>969.1</v>
      </c>
      <c r="AE199" s="86">
        <f>'Raw Data'!AE200/10</f>
        <v>910.7</v>
      </c>
      <c r="AF199" s="86">
        <f>'Raw Data'!AF200/10</f>
        <v>870.8</v>
      </c>
      <c r="AG199" s="86">
        <f>'Raw Data'!AG200/10</f>
        <v>826.2</v>
      </c>
      <c r="AH199" s="86">
        <f>'Raw Data'!AH200/10</f>
        <v>786.3</v>
      </c>
      <c r="AI199" s="86">
        <f>'Raw Data'!AI200/10</f>
        <v>761.9</v>
      </c>
      <c r="AJ199" s="86">
        <f>'Raw Data'!AJ200/10</f>
        <v>722</v>
      </c>
      <c r="AK199" s="86">
        <f>'Raw Data'!AK200/10</f>
        <v>704.8</v>
      </c>
      <c r="AL199" s="86">
        <f>'Raw Data'!AL200/10</f>
        <v>661.4</v>
      </c>
      <c r="AM199" s="86">
        <f>'Raw Data'!AM200/10</f>
        <v>645</v>
      </c>
      <c r="AN199" s="86">
        <f>'Raw Data'!AN200/10</f>
        <v>601.79999999999995</v>
      </c>
      <c r="AO199" s="86">
        <f>'Raw Data'!AO200/10</f>
        <v>586.6</v>
      </c>
      <c r="AP199" s="86">
        <f>'Raw Data'!AP200/10</f>
        <v>566.6</v>
      </c>
      <c r="AQ199" s="86">
        <f>'Raw Data'!AQ200/10</f>
        <v>540.20000000000005</v>
      </c>
      <c r="AR199" s="86">
        <f>'Raw Data'!AR200/10</f>
        <v>528.29999999999995</v>
      </c>
      <c r="AS199" s="86">
        <f>'Raw Data'!AS200/10</f>
        <v>516.4</v>
      </c>
      <c r="AT199" s="86">
        <f>'Raw Data'!AT200/10</f>
        <v>485.5</v>
      </c>
      <c r="AU199" s="86">
        <f>'Raw Data'!AU200/10</f>
        <v>478.4</v>
      </c>
      <c r="AV199" s="86">
        <f>'Raw Data'!AV200/10</f>
        <v>455.7</v>
      </c>
      <c r="AW199" s="86">
        <f>'Raw Data'!AW200/10</f>
        <v>441.7</v>
      </c>
      <c r="AX199" s="86">
        <f>'Raw Data'!AX200/10</f>
        <v>426.3</v>
      </c>
      <c r="AY199" s="86">
        <f>'Raw Data'!AY200/10</f>
        <v>412.3</v>
      </c>
      <c r="AZ199" s="86">
        <f>'Raw Data'!AZ200/10</f>
        <v>398.4</v>
      </c>
      <c r="BA199" s="86">
        <f>'Raw Data'!BA200/10</f>
        <v>387.6</v>
      </c>
      <c r="BB199" s="86">
        <f>'Raw Data'!BB200/10</f>
        <v>371.8</v>
      </c>
      <c r="BC199" s="86">
        <f>'Raw Data'!BC200/10</f>
        <v>367.2</v>
      </c>
      <c r="BD199" s="86">
        <f>'Raw Data'!BD200/10</f>
        <v>367.7</v>
      </c>
      <c r="BE199" s="86">
        <f>'Raw Data'!BE200/10</f>
        <v>355.3</v>
      </c>
      <c r="BF199" s="86">
        <f>'Raw Data'!BF200/10</f>
        <v>339.3</v>
      </c>
      <c r="BG199" s="86">
        <f>'Raw Data'!BG200/10</f>
        <v>330.3</v>
      </c>
      <c r="BH199" s="86">
        <f>'Raw Data'!BH200/10</f>
        <v>319.10000000000002</v>
      </c>
      <c r="BI199" s="86">
        <f>'Raw Data'!BI200/10</f>
        <v>305.60000000000002</v>
      </c>
      <c r="BJ199" s="86">
        <f>'Raw Data'!BJ200/10</f>
        <v>309.7</v>
      </c>
      <c r="BK199" s="86">
        <f>'Raw Data'!BK200/10</f>
        <v>299.8</v>
      </c>
      <c r="BL199" s="86">
        <f>'Raw Data'!BL200/10</f>
        <v>296.2</v>
      </c>
      <c r="BM199" s="86">
        <f>'Raw Data'!BM200/10</f>
        <v>285.3</v>
      </c>
      <c r="BN199" s="86">
        <f>'Raw Data'!BN200/10</f>
        <v>276.2</v>
      </c>
      <c r="BO199" s="86">
        <f>'Raw Data'!BO200/10</f>
        <v>262.5</v>
      </c>
      <c r="BP199" s="86">
        <f>'Raw Data'!BP200/10</f>
        <v>261.89999999999998</v>
      </c>
      <c r="BQ199" s="86">
        <f>'Raw Data'!BQ200/10</f>
        <v>258.5</v>
      </c>
      <c r="BR199" s="86">
        <f>'Raw Data'!BR200/10</f>
        <v>258.60000000000002</v>
      </c>
      <c r="BS199" s="86">
        <f>'Raw Data'!BS200/10</f>
        <v>255.1</v>
      </c>
      <c r="BT199" s="86">
        <f>'Raw Data'!BT200/10</f>
        <v>240.7</v>
      </c>
      <c r="BU199" s="86">
        <f>'Raw Data'!BU200/10</f>
        <v>240.4</v>
      </c>
      <c r="BV199" s="86">
        <f>'Raw Data'!BV200/10</f>
        <v>233.5</v>
      </c>
      <c r="BW199" s="86">
        <f>'Raw Data'!BW200/10</f>
        <v>235.7</v>
      </c>
      <c r="BX199" s="86">
        <f>'Raw Data'!BX200/10</f>
        <v>235.5</v>
      </c>
      <c r="BY199" s="86">
        <f>'Raw Data'!BY200/10</f>
        <v>229.8</v>
      </c>
      <c r="BZ199" s="86">
        <f>'Raw Data'!BZ200/10</f>
        <v>221.7</v>
      </c>
      <c r="CA199" s="86">
        <f>'Raw Data'!CA200/10</f>
        <v>209.9</v>
      </c>
      <c r="CB199" s="86">
        <f>'Raw Data'!CB200/10</f>
        <v>207.9</v>
      </c>
      <c r="CC199" s="86">
        <f>'Raw Data'!CC200/10</f>
        <v>203.1</v>
      </c>
      <c r="CD199" s="86">
        <f>'Raw Data'!CD200/10</f>
        <v>204.2</v>
      </c>
      <c r="CE199" s="86">
        <f>'Raw Data'!CE200/10</f>
        <v>198.9</v>
      </c>
      <c r="CF199" s="86">
        <f>'Raw Data'!CF200/10</f>
        <v>198.1</v>
      </c>
      <c r="CG199" s="86">
        <f>'Raw Data'!CG200/100</f>
        <v>181.12</v>
      </c>
      <c r="CH199" s="86">
        <f>'Raw Data'!CH200/100</f>
        <v>157.21</v>
      </c>
      <c r="CI199" s="86">
        <f>'Raw Data'!CI200/100</f>
        <v>139.86000000000001</v>
      </c>
      <c r="CJ199" s="86">
        <f>'Raw Data'!CJ200/100</f>
        <v>124.39</v>
      </c>
      <c r="CK199" s="86">
        <f>'Raw Data'!CK200/100</f>
        <v>113.7</v>
      </c>
      <c r="CL199" s="86">
        <f>'Raw Data'!CL200/100</f>
        <v>104.75</v>
      </c>
      <c r="CM199" s="86">
        <f>'Raw Data'!CM200/100</f>
        <v>96.91</v>
      </c>
      <c r="CN199" s="86">
        <f>'Raw Data'!CN200/100</f>
        <v>90.84</v>
      </c>
      <c r="CO199" s="86">
        <f>'Raw Data'!CO200/100</f>
        <v>84.43</v>
      </c>
      <c r="CP199" s="86">
        <f>'Raw Data'!CP200/100</f>
        <v>80.489999999999995</v>
      </c>
      <c r="CQ199" s="86">
        <f>'Raw Data'!CQ200/100</f>
        <v>77.61</v>
      </c>
      <c r="CR199" s="86">
        <f>'Raw Data'!CR200/100</f>
        <v>73.89</v>
      </c>
      <c r="CS199" s="86">
        <f>'Raw Data'!CS200/100</f>
        <v>70.13</v>
      </c>
      <c r="CT199" s="86">
        <f>'Raw Data'!CT200/100</f>
        <v>66.59</v>
      </c>
      <c r="CU199" s="382"/>
    </row>
    <row r="200" spans="4:99" s="86" customFormat="1" x14ac:dyDescent="0.2">
      <c r="D200" s="375"/>
      <c r="E200" s="164"/>
      <c r="F200" s="394"/>
      <c r="G200" s="86">
        <f>'Raw Data'!G201</f>
        <v>4221</v>
      </c>
      <c r="H200" s="86">
        <f>'Raw Data'!H201</f>
        <v>4141</v>
      </c>
      <c r="I200" s="86">
        <f>'Raw Data'!I201</f>
        <v>4157</v>
      </c>
      <c r="J200" s="86">
        <f>'Raw Data'!J201</f>
        <v>4148</v>
      </c>
      <c r="K200" s="86">
        <f>'Raw Data'!K201</f>
        <v>4189</v>
      </c>
      <c r="L200" s="86">
        <f>'Raw Data'!L201</f>
        <v>4142</v>
      </c>
      <c r="M200" s="86">
        <f>'Raw Data'!M201</f>
        <v>4025</v>
      </c>
      <c r="N200" s="86">
        <f>'Raw Data'!N201</f>
        <v>4073</v>
      </c>
      <c r="O200" s="86">
        <f>'Raw Data'!O201</f>
        <v>4120</v>
      </c>
      <c r="P200" s="86">
        <f>'Raw Data'!P201</f>
        <v>4016</v>
      </c>
      <c r="Q200" s="86">
        <f>'Raw Data'!Q201</f>
        <v>4003</v>
      </c>
      <c r="R200" s="86">
        <f>'Raw Data'!R201</f>
        <v>3913</v>
      </c>
      <c r="S200" s="86">
        <f>'Raw Data'!S201</f>
        <v>3987</v>
      </c>
      <c r="T200" s="86">
        <f>'Raw Data'!T201</f>
        <v>4031</v>
      </c>
      <c r="U200" s="86">
        <f>'Raw Data'!U201</f>
        <v>3957</v>
      </c>
      <c r="V200" s="86">
        <f>'Raw Data'!V201</f>
        <v>3912</v>
      </c>
      <c r="W200" s="86">
        <f>'Raw Data'!W201</f>
        <v>3906</v>
      </c>
      <c r="X200" s="86">
        <f>'Raw Data'!X201</f>
        <v>3836</v>
      </c>
      <c r="Y200" s="86">
        <f>'Raw Data'!Y201</f>
        <v>3825</v>
      </c>
      <c r="Z200" s="86">
        <f>'Raw Data'!Z201</f>
        <v>3783</v>
      </c>
      <c r="AA200" s="86">
        <f>'Raw Data'!AA201/10</f>
        <v>3729.6</v>
      </c>
      <c r="AB200" s="86">
        <f>'Raw Data'!AB201/10</f>
        <v>3514.6</v>
      </c>
      <c r="AC200" s="86">
        <f>'Raw Data'!AC201/10</f>
        <v>3358.4</v>
      </c>
      <c r="AD200" s="86">
        <f>'Raw Data'!AD201/10</f>
        <v>3149.3</v>
      </c>
      <c r="AE200" s="86">
        <f>'Raw Data'!AE201/10</f>
        <v>2969.1</v>
      </c>
      <c r="AF200" s="86">
        <f>'Raw Data'!AF201/10</f>
        <v>2804.1</v>
      </c>
      <c r="AG200" s="86">
        <f>'Raw Data'!AG201/10</f>
        <v>2678.2</v>
      </c>
      <c r="AH200" s="86">
        <f>'Raw Data'!AH201/10</f>
        <v>2556.3000000000002</v>
      </c>
      <c r="AI200" s="86">
        <f>'Raw Data'!AI201/10</f>
        <v>2428.5</v>
      </c>
      <c r="AJ200" s="86">
        <f>'Raw Data'!AJ201/10</f>
        <v>2293.5</v>
      </c>
      <c r="AK200" s="86">
        <f>'Raw Data'!AK201/10</f>
        <v>2178.6999999999998</v>
      </c>
      <c r="AL200" s="86">
        <f>'Raw Data'!AL201/10</f>
        <v>2070.3000000000002</v>
      </c>
      <c r="AM200" s="86">
        <f>'Raw Data'!AM201/10</f>
        <v>1988.9</v>
      </c>
      <c r="AN200" s="86">
        <f>'Raw Data'!AN201/10</f>
        <v>1895.9</v>
      </c>
      <c r="AO200" s="86">
        <f>'Raw Data'!AO201/10</f>
        <v>1810.4</v>
      </c>
      <c r="AP200" s="86">
        <f>'Raw Data'!AP201/10</f>
        <v>1751.1</v>
      </c>
      <c r="AQ200" s="86">
        <f>'Raw Data'!AQ201/10</f>
        <v>1666</v>
      </c>
      <c r="AR200" s="86">
        <f>'Raw Data'!AR201/10</f>
        <v>1596.9</v>
      </c>
      <c r="AS200" s="86">
        <f>'Raw Data'!AS201/10</f>
        <v>1533.3</v>
      </c>
      <c r="AT200" s="86">
        <f>'Raw Data'!AT201/10</f>
        <v>1472.7</v>
      </c>
      <c r="AU200" s="86">
        <f>'Raw Data'!AU201/10</f>
        <v>1408.9</v>
      </c>
      <c r="AV200" s="86">
        <f>'Raw Data'!AV201/10</f>
        <v>1333</v>
      </c>
      <c r="AW200" s="86">
        <f>'Raw Data'!AW201/10</f>
        <v>1310.2</v>
      </c>
      <c r="AX200" s="86">
        <f>'Raw Data'!AX201/10</f>
        <v>1268.2</v>
      </c>
      <c r="AY200" s="86">
        <f>'Raw Data'!AY201/10</f>
        <v>1226.3</v>
      </c>
      <c r="AZ200" s="86">
        <f>'Raw Data'!AZ201/10</f>
        <v>1171.9000000000001</v>
      </c>
      <c r="BA200" s="86">
        <f>'Raw Data'!BA201/10</f>
        <v>1145.4000000000001</v>
      </c>
      <c r="BB200" s="86">
        <f>'Raw Data'!BB201/10</f>
        <v>1109.7</v>
      </c>
      <c r="BC200" s="86">
        <f>'Raw Data'!BC201/10</f>
        <v>1065.0999999999999</v>
      </c>
      <c r="BD200" s="86">
        <f>'Raw Data'!BD201/10</f>
        <v>1025.8</v>
      </c>
      <c r="BE200" s="86">
        <f>'Raw Data'!BE201/10</f>
        <v>1005.5</v>
      </c>
      <c r="BF200" s="86">
        <f>'Raw Data'!BF201/10</f>
        <v>998.3</v>
      </c>
      <c r="BG200" s="86">
        <f>'Raw Data'!BG201/10</f>
        <v>942</v>
      </c>
      <c r="BH200" s="86">
        <f>'Raw Data'!BH201/10</f>
        <v>900.4</v>
      </c>
      <c r="BI200" s="86">
        <f>'Raw Data'!BI201/10</f>
        <v>881.3</v>
      </c>
      <c r="BJ200" s="86">
        <f>'Raw Data'!BJ201/10</f>
        <v>859.8</v>
      </c>
      <c r="BK200" s="86">
        <f>'Raw Data'!BK201/10</f>
        <v>829.9</v>
      </c>
      <c r="BL200" s="86">
        <f>'Raw Data'!BL201/10</f>
        <v>805.7</v>
      </c>
      <c r="BM200" s="86">
        <f>'Raw Data'!BM201/10</f>
        <v>798.2</v>
      </c>
      <c r="BN200" s="86">
        <f>'Raw Data'!BN201/10</f>
        <v>760.1</v>
      </c>
      <c r="BO200" s="86">
        <f>'Raw Data'!BO201/10</f>
        <v>744.6</v>
      </c>
      <c r="BP200" s="86">
        <f>'Raw Data'!BP201/10</f>
        <v>725.7</v>
      </c>
      <c r="BQ200" s="86">
        <f>'Raw Data'!BQ201/10</f>
        <v>711.7</v>
      </c>
      <c r="BR200" s="86">
        <f>'Raw Data'!BR201/10</f>
        <v>700.4</v>
      </c>
      <c r="BS200" s="86">
        <f>'Raw Data'!BS201/10</f>
        <v>666</v>
      </c>
      <c r="BT200" s="86">
        <f>'Raw Data'!BT201/10</f>
        <v>652.4</v>
      </c>
      <c r="BU200" s="86">
        <f>'Raw Data'!BU201/10</f>
        <v>640.1</v>
      </c>
      <c r="BV200" s="86">
        <f>'Raw Data'!BV201/10</f>
        <v>622.1</v>
      </c>
      <c r="BW200" s="86">
        <f>'Raw Data'!BW201/10</f>
        <v>609.29999999999995</v>
      </c>
      <c r="BX200" s="86">
        <f>'Raw Data'!BX201/10</f>
        <v>605.6</v>
      </c>
      <c r="BY200" s="86">
        <f>'Raw Data'!BY201/10</f>
        <v>586.9</v>
      </c>
      <c r="BZ200" s="86">
        <f>'Raw Data'!BZ201/10</f>
        <v>568.79999999999995</v>
      </c>
      <c r="CA200" s="86">
        <f>'Raw Data'!CA201/10</f>
        <v>553</v>
      </c>
      <c r="CB200" s="86">
        <f>'Raw Data'!CB201/10</f>
        <v>546.6</v>
      </c>
      <c r="CC200" s="86">
        <f>'Raw Data'!CC201/10</f>
        <v>540.20000000000005</v>
      </c>
      <c r="CD200" s="86">
        <f>'Raw Data'!CD201/10</f>
        <v>520.79999999999995</v>
      </c>
      <c r="CE200" s="86">
        <f>'Raw Data'!CE201/10</f>
        <v>513.4</v>
      </c>
      <c r="CF200" s="86">
        <f>'Raw Data'!CF201/10</f>
        <v>512.6</v>
      </c>
      <c r="CG200" s="86">
        <f>'Raw Data'!CG201/100</f>
        <v>454.65</v>
      </c>
      <c r="CH200" s="86">
        <f>'Raw Data'!CH201/100</f>
        <v>380.46</v>
      </c>
      <c r="CI200" s="86">
        <f>'Raw Data'!CI201/100</f>
        <v>326.42</v>
      </c>
      <c r="CJ200" s="86">
        <f>'Raw Data'!CJ201/100</f>
        <v>282.52</v>
      </c>
      <c r="CK200" s="86">
        <f>'Raw Data'!CK201/100</f>
        <v>249.4</v>
      </c>
      <c r="CL200" s="86">
        <f>'Raw Data'!CL201/100</f>
        <v>222.65</v>
      </c>
      <c r="CM200" s="86">
        <f>'Raw Data'!CM201/100</f>
        <v>200.37</v>
      </c>
      <c r="CN200" s="86">
        <f>'Raw Data'!CN201/100</f>
        <v>183.76</v>
      </c>
      <c r="CO200" s="86">
        <f>'Raw Data'!CO201/100</f>
        <v>169.44</v>
      </c>
      <c r="CP200" s="86">
        <f>'Raw Data'!CP201/100</f>
        <v>156.28</v>
      </c>
      <c r="CQ200" s="86">
        <f>'Raw Data'!CQ201/100</f>
        <v>146.41</v>
      </c>
      <c r="CR200" s="86">
        <f>'Raw Data'!CR201/100</f>
        <v>137.06</v>
      </c>
      <c r="CS200" s="86">
        <f>'Raw Data'!CS201/100</f>
        <v>127.94</v>
      </c>
      <c r="CT200" s="86">
        <f>'Raw Data'!CT201/100</f>
        <v>119.86</v>
      </c>
      <c r="CU200" s="382"/>
    </row>
    <row r="201" spans="4:99" s="86" customFormat="1" x14ac:dyDescent="0.2">
      <c r="D201" s="375"/>
      <c r="E201" s="164"/>
      <c r="F201" s="394"/>
      <c r="G201" s="86">
        <f>'Raw Data'!G202</f>
        <v>1268</v>
      </c>
      <c r="H201" s="86">
        <f>'Raw Data'!H202</f>
        <v>1243</v>
      </c>
      <c r="I201" s="86">
        <f>'Raw Data'!I202</f>
        <v>1226</v>
      </c>
      <c r="J201" s="86">
        <f>'Raw Data'!J202</f>
        <v>1241</v>
      </c>
      <c r="K201" s="86">
        <f>'Raw Data'!K202</f>
        <v>1246</v>
      </c>
      <c r="L201" s="86">
        <f>'Raw Data'!L202</f>
        <v>1247</v>
      </c>
      <c r="M201" s="86">
        <f>'Raw Data'!M202</f>
        <v>1170</v>
      </c>
      <c r="N201" s="86">
        <f>'Raw Data'!N202</f>
        <v>1199</v>
      </c>
      <c r="O201" s="86">
        <f>'Raw Data'!O202</f>
        <v>1211</v>
      </c>
      <c r="P201" s="86">
        <f>'Raw Data'!P202</f>
        <v>1230</v>
      </c>
      <c r="Q201" s="86">
        <f>'Raw Data'!Q202</f>
        <v>1192</v>
      </c>
      <c r="R201" s="86">
        <f>'Raw Data'!R202</f>
        <v>1172</v>
      </c>
      <c r="S201" s="86">
        <f>'Raw Data'!S202</f>
        <v>1196</v>
      </c>
      <c r="T201" s="86">
        <f>'Raw Data'!T202</f>
        <v>1205</v>
      </c>
      <c r="U201" s="86">
        <f>'Raw Data'!U202</f>
        <v>1193</v>
      </c>
      <c r="V201" s="86">
        <f>'Raw Data'!V202</f>
        <v>1191</v>
      </c>
      <c r="W201" s="86">
        <f>'Raw Data'!W202</f>
        <v>1157</v>
      </c>
      <c r="X201" s="86">
        <f>'Raw Data'!X202</f>
        <v>1220</v>
      </c>
      <c r="Y201" s="86">
        <f>'Raw Data'!Y202</f>
        <v>1193</v>
      </c>
      <c r="Z201" s="86">
        <f>'Raw Data'!Z202</f>
        <v>1196</v>
      </c>
      <c r="AA201" s="86">
        <f>'Raw Data'!AA202/10</f>
        <v>1166.5</v>
      </c>
      <c r="AB201" s="86">
        <f>'Raw Data'!AB202/10</f>
        <v>1092.7</v>
      </c>
      <c r="AC201" s="86">
        <f>'Raw Data'!AC202/10</f>
        <v>1041.8</v>
      </c>
      <c r="AD201" s="86">
        <f>'Raw Data'!AD202/10</f>
        <v>996.9</v>
      </c>
      <c r="AE201" s="86">
        <f>'Raw Data'!AE202/10</f>
        <v>956.6</v>
      </c>
      <c r="AF201" s="86">
        <f>'Raw Data'!AF202/10</f>
        <v>899.7</v>
      </c>
      <c r="AG201" s="86">
        <f>'Raw Data'!AG202/10</f>
        <v>856.2</v>
      </c>
      <c r="AH201" s="86">
        <f>'Raw Data'!AH202/10</f>
        <v>821.8</v>
      </c>
      <c r="AI201" s="86">
        <f>'Raw Data'!AI202/10</f>
        <v>791</v>
      </c>
      <c r="AJ201" s="86">
        <f>'Raw Data'!AJ202/10</f>
        <v>765.8</v>
      </c>
      <c r="AK201" s="86">
        <f>'Raw Data'!AK202/10</f>
        <v>742.3</v>
      </c>
      <c r="AL201" s="86">
        <f>'Raw Data'!AL202/10</f>
        <v>696.8</v>
      </c>
      <c r="AM201" s="86">
        <f>'Raw Data'!AM202/10</f>
        <v>666</v>
      </c>
      <c r="AN201" s="86">
        <f>'Raw Data'!AN202/10</f>
        <v>635.29999999999995</v>
      </c>
      <c r="AO201" s="86">
        <f>'Raw Data'!AO202/10</f>
        <v>627.79999999999995</v>
      </c>
      <c r="AP201" s="86">
        <f>'Raw Data'!AP202/10</f>
        <v>590.79999999999995</v>
      </c>
      <c r="AQ201" s="86">
        <f>'Raw Data'!AQ202/10</f>
        <v>563.79999999999995</v>
      </c>
      <c r="AR201" s="86">
        <f>'Raw Data'!AR202/10</f>
        <v>547.9</v>
      </c>
      <c r="AS201" s="86">
        <f>'Raw Data'!AS202/10</f>
        <v>532.79999999999995</v>
      </c>
      <c r="AT201" s="86">
        <f>'Raw Data'!AT202/10</f>
        <v>519.70000000000005</v>
      </c>
      <c r="AU201" s="86">
        <f>'Raw Data'!AU202/10</f>
        <v>499.4</v>
      </c>
      <c r="AV201" s="86">
        <f>'Raw Data'!AV202/10</f>
        <v>477.7</v>
      </c>
      <c r="AW201" s="86">
        <f>'Raw Data'!AW202/10</f>
        <v>470.5</v>
      </c>
      <c r="AX201" s="86">
        <f>'Raw Data'!AX202/10</f>
        <v>461</v>
      </c>
      <c r="AY201" s="86">
        <f>'Raw Data'!AY202/10</f>
        <v>445.4</v>
      </c>
      <c r="AZ201" s="86">
        <f>'Raw Data'!AZ202/10</f>
        <v>426.6</v>
      </c>
      <c r="BA201" s="86">
        <f>'Raw Data'!BA202/10</f>
        <v>409.8</v>
      </c>
      <c r="BB201" s="86">
        <f>'Raw Data'!BB202/10</f>
        <v>409.1</v>
      </c>
      <c r="BC201" s="86">
        <f>'Raw Data'!BC202/10</f>
        <v>399.9</v>
      </c>
      <c r="BD201" s="86">
        <f>'Raw Data'!BD202/10</f>
        <v>386</v>
      </c>
      <c r="BE201" s="86">
        <f>'Raw Data'!BE202/10</f>
        <v>374.2</v>
      </c>
      <c r="BF201" s="86">
        <f>'Raw Data'!BF202/10</f>
        <v>361</v>
      </c>
      <c r="BG201" s="86">
        <f>'Raw Data'!BG202/10</f>
        <v>348.6</v>
      </c>
      <c r="BH201" s="86">
        <f>'Raw Data'!BH202/10</f>
        <v>338.7</v>
      </c>
      <c r="BI201" s="86">
        <f>'Raw Data'!BI202/10</f>
        <v>340</v>
      </c>
      <c r="BJ201" s="86">
        <f>'Raw Data'!BJ202/10</f>
        <v>332</v>
      </c>
      <c r="BK201" s="86">
        <f>'Raw Data'!BK202/10</f>
        <v>328.8</v>
      </c>
      <c r="BL201" s="86">
        <f>'Raw Data'!BL202/10</f>
        <v>315.2</v>
      </c>
      <c r="BM201" s="86">
        <f>'Raw Data'!BM202/10</f>
        <v>302.89999999999998</v>
      </c>
      <c r="BN201" s="86">
        <f>'Raw Data'!BN202/10</f>
        <v>305.60000000000002</v>
      </c>
      <c r="BO201" s="86">
        <f>'Raw Data'!BO202/10</f>
        <v>301.2</v>
      </c>
      <c r="BP201" s="86">
        <f>'Raw Data'!BP202/10</f>
        <v>287.39999999999998</v>
      </c>
      <c r="BQ201" s="86">
        <f>'Raw Data'!BQ202/10</f>
        <v>289.10000000000002</v>
      </c>
      <c r="BR201" s="86">
        <f>'Raw Data'!BR202/10</f>
        <v>280.60000000000002</v>
      </c>
      <c r="BS201" s="86">
        <f>'Raw Data'!BS202/10</f>
        <v>274.3</v>
      </c>
      <c r="BT201" s="86">
        <f>'Raw Data'!BT202/10</f>
        <v>263.5</v>
      </c>
      <c r="BU201" s="86">
        <f>'Raw Data'!BU202/10</f>
        <v>265</v>
      </c>
      <c r="BV201" s="86">
        <f>'Raw Data'!BV202/10</f>
        <v>258.60000000000002</v>
      </c>
      <c r="BW201" s="86">
        <f>'Raw Data'!BW202/10</f>
        <v>255.2</v>
      </c>
      <c r="BX201" s="86">
        <f>'Raw Data'!BX202/10</f>
        <v>248.1</v>
      </c>
      <c r="BY201" s="86">
        <f>'Raw Data'!BY202/10</f>
        <v>246.6</v>
      </c>
      <c r="BZ201" s="86">
        <f>'Raw Data'!BZ202/10</f>
        <v>238.2</v>
      </c>
      <c r="CA201" s="86">
        <f>'Raw Data'!CA202/10</f>
        <v>243.1</v>
      </c>
      <c r="CB201" s="86">
        <f>'Raw Data'!CB202/10</f>
        <v>228.8</v>
      </c>
      <c r="CC201" s="86">
        <f>'Raw Data'!CC202/10</f>
        <v>230</v>
      </c>
      <c r="CD201" s="86">
        <f>'Raw Data'!CD202/10</f>
        <v>225.9</v>
      </c>
      <c r="CE201" s="86">
        <f>'Raw Data'!CE202/10</f>
        <v>227.5</v>
      </c>
      <c r="CF201" s="86">
        <f>'Raw Data'!CF202/10</f>
        <v>214.6</v>
      </c>
      <c r="CG201" s="86">
        <f>'Raw Data'!CG202/100</f>
        <v>200.74</v>
      </c>
      <c r="CH201" s="86">
        <f>'Raw Data'!CH202/100</f>
        <v>176.41</v>
      </c>
      <c r="CI201" s="86">
        <f>'Raw Data'!CI202/100</f>
        <v>156.74</v>
      </c>
      <c r="CJ201" s="86">
        <f>'Raw Data'!CJ202/100</f>
        <v>142.96</v>
      </c>
      <c r="CK201" s="86">
        <f>'Raw Data'!CK202/100</f>
        <v>130.35</v>
      </c>
      <c r="CL201" s="86">
        <f>'Raw Data'!CL202/100</f>
        <v>121.32</v>
      </c>
      <c r="CM201" s="86">
        <f>'Raw Data'!CM202/100</f>
        <v>113.25</v>
      </c>
      <c r="CN201" s="86">
        <f>'Raw Data'!CN202/100</f>
        <v>105.8</v>
      </c>
      <c r="CO201" s="86">
        <f>'Raw Data'!CO202/100</f>
        <v>99.37</v>
      </c>
      <c r="CP201" s="86">
        <f>'Raw Data'!CP202/100</f>
        <v>94</v>
      </c>
      <c r="CQ201" s="86">
        <f>'Raw Data'!CQ202/100</f>
        <v>89.49</v>
      </c>
      <c r="CR201" s="86">
        <f>'Raw Data'!CR202/100</f>
        <v>85.72</v>
      </c>
      <c r="CS201" s="86">
        <f>'Raw Data'!CS202/100</f>
        <v>83.09</v>
      </c>
      <c r="CT201" s="86">
        <f>'Raw Data'!CT202/100</f>
        <v>80.13</v>
      </c>
      <c r="CU201" s="382"/>
    </row>
    <row r="202" spans="4:99" s="86" customFormat="1" x14ac:dyDescent="0.2">
      <c r="D202" s="375"/>
      <c r="E202" s="164"/>
      <c r="F202" s="394"/>
      <c r="G202" s="86">
        <f>'Raw Data'!G203</f>
        <v>5282</v>
      </c>
      <c r="H202" s="86">
        <f>'Raw Data'!H203</f>
        <v>5257</v>
      </c>
      <c r="I202" s="86">
        <f>'Raw Data'!I203</f>
        <v>5273</v>
      </c>
      <c r="J202" s="86">
        <f>'Raw Data'!J203</f>
        <v>5228</v>
      </c>
      <c r="K202" s="86">
        <f>'Raw Data'!K203</f>
        <v>5193</v>
      </c>
      <c r="L202" s="86">
        <f>'Raw Data'!L203</f>
        <v>5201</v>
      </c>
      <c r="M202" s="86">
        <f>'Raw Data'!M203</f>
        <v>5167</v>
      </c>
      <c r="N202" s="86">
        <f>'Raw Data'!N203</f>
        <v>5153</v>
      </c>
      <c r="O202" s="86">
        <f>'Raw Data'!O203</f>
        <v>4952</v>
      </c>
      <c r="P202" s="86">
        <f>'Raw Data'!P203</f>
        <v>5054</v>
      </c>
      <c r="Q202" s="86">
        <f>'Raw Data'!Q203</f>
        <v>5092</v>
      </c>
      <c r="R202" s="86">
        <f>'Raw Data'!R203</f>
        <v>5015</v>
      </c>
      <c r="S202" s="86">
        <f>'Raw Data'!S203</f>
        <v>5029</v>
      </c>
      <c r="T202" s="86">
        <f>'Raw Data'!T203</f>
        <v>5018</v>
      </c>
      <c r="U202" s="86">
        <f>'Raw Data'!U203</f>
        <v>4869</v>
      </c>
      <c r="V202" s="86">
        <f>'Raw Data'!V203</f>
        <v>4951</v>
      </c>
      <c r="W202" s="86">
        <f>'Raw Data'!W203</f>
        <v>4915</v>
      </c>
      <c r="X202" s="86">
        <f>'Raw Data'!X203</f>
        <v>4893</v>
      </c>
      <c r="Y202" s="86">
        <f>'Raw Data'!Y203</f>
        <v>4852</v>
      </c>
      <c r="Z202" s="86">
        <f>'Raw Data'!Z203</f>
        <v>4776</v>
      </c>
      <c r="AA202" s="86">
        <f>'Raw Data'!AA203/10</f>
        <v>4700.6000000000004</v>
      </c>
      <c r="AB202" s="86">
        <f>'Raw Data'!AB203/10</f>
        <v>4480.8999999999996</v>
      </c>
      <c r="AC202" s="86">
        <f>'Raw Data'!AC203/10</f>
        <v>4241.8</v>
      </c>
      <c r="AD202" s="86">
        <f>'Raw Data'!AD203/10</f>
        <v>3995.8</v>
      </c>
      <c r="AE202" s="86">
        <f>'Raw Data'!AE203/10</f>
        <v>3775.4</v>
      </c>
      <c r="AF202" s="86">
        <f>'Raw Data'!AF203/10</f>
        <v>3572.8</v>
      </c>
      <c r="AG202" s="86">
        <f>'Raw Data'!AG203/10</f>
        <v>3362.8</v>
      </c>
      <c r="AH202" s="86">
        <f>'Raw Data'!AH203/10</f>
        <v>3183.6</v>
      </c>
      <c r="AI202" s="86">
        <f>'Raw Data'!AI203/10</f>
        <v>3023.8</v>
      </c>
      <c r="AJ202" s="86">
        <f>'Raw Data'!AJ203/10</f>
        <v>2885.3</v>
      </c>
      <c r="AK202" s="86">
        <f>'Raw Data'!AK203/10</f>
        <v>2741.5</v>
      </c>
      <c r="AL202" s="86">
        <f>'Raw Data'!AL203/10</f>
        <v>2638.8</v>
      </c>
      <c r="AM202" s="86">
        <f>'Raw Data'!AM203/10</f>
        <v>2509.9</v>
      </c>
      <c r="AN202" s="86">
        <f>'Raw Data'!AN203/10</f>
        <v>2391.4</v>
      </c>
      <c r="AO202" s="86">
        <f>'Raw Data'!AO203/10</f>
        <v>2308.1</v>
      </c>
      <c r="AP202" s="86">
        <f>'Raw Data'!AP203/10</f>
        <v>2182.8000000000002</v>
      </c>
      <c r="AQ202" s="86">
        <f>'Raw Data'!AQ203/10</f>
        <v>2080.1999999999998</v>
      </c>
      <c r="AR202" s="86">
        <f>'Raw Data'!AR203/10</f>
        <v>2016.3</v>
      </c>
      <c r="AS202" s="86">
        <f>'Raw Data'!AS203/10</f>
        <v>1937.1</v>
      </c>
      <c r="AT202" s="86">
        <f>'Raw Data'!AT203/10</f>
        <v>1853.4</v>
      </c>
      <c r="AU202" s="86">
        <f>'Raw Data'!AU203/10</f>
        <v>1780.1</v>
      </c>
      <c r="AV202" s="86">
        <f>'Raw Data'!AV203/10</f>
        <v>1705.6</v>
      </c>
      <c r="AW202" s="86">
        <f>'Raw Data'!AW203/10</f>
        <v>1642.5</v>
      </c>
      <c r="AX202" s="86">
        <f>'Raw Data'!AX203/10</f>
        <v>1588.9</v>
      </c>
      <c r="AY202" s="86">
        <f>'Raw Data'!AY203/10</f>
        <v>1520.2</v>
      </c>
      <c r="AZ202" s="86">
        <f>'Raw Data'!AZ203/10</f>
        <v>1450</v>
      </c>
      <c r="BA202" s="86">
        <f>'Raw Data'!BA203/10</f>
        <v>1394</v>
      </c>
      <c r="BB202" s="86">
        <f>'Raw Data'!BB203/10</f>
        <v>1370.1</v>
      </c>
      <c r="BC202" s="86">
        <f>'Raw Data'!BC203/10</f>
        <v>1334.2</v>
      </c>
      <c r="BD202" s="86">
        <f>'Raw Data'!BD203/10</f>
        <v>1305.5</v>
      </c>
      <c r="BE202" s="86">
        <f>'Raw Data'!BE203/10</f>
        <v>1258</v>
      </c>
      <c r="BF202" s="86">
        <f>'Raw Data'!BF203/10</f>
        <v>1222.9000000000001</v>
      </c>
      <c r="BG202" s="86">
        <f>'Raw Data'!BG203/10</f>
        <v>1188</v>
      </c>
      <c r="BH202" s="86">
        <f>'Raw Data'!BH203/10</f>
        <v>1120.9000000000001</v>
      </c>
      <c r="BI202" s="86">
        <f>'Raw Data'!BI203/10</f>
        <v>1103.5999999999999</v>
      </c>
      <c r="BJ202" s="86">
        <f>'Raw Data'!BJ203/10</f>
        <v>1070</v>
      </c>
      <c r="BK202" s="86">
        <f>'Raw Data'!BK203/10</f>
        <v>1031.5999999999999</v>
      </c>
      <c r="BL202" s="86">
        <f>'Raw Data'!BL203/10</f>
        <v>1009.3</v>
      </c>
      <c r="BM202" s="86">
        <f>'Raw Data'!BM203/10</f>
        <v>986.6</v>
      </c>
      <c r="BN202" s="86">
        <f>'Raw Data'!BN203/10</f>
        <v>961.4</v>
      </c>
      <c r="BO202" s="86">
        <f>'Raw Data'!BO203/10</f>
        <v>930.8</v>
      </c>
      <c r="BP202" s="86">
        <f>'Raw Data'!BP203/10</f>
        <v>911</v>
      </c>
      <c r="BQ202" s="86">
        <f>'Raw Data'!BQ203/10</f>
        <v>877.1</v>
      </c>
      <c r="BR202" s="86">
        <f>'Raw Data'!BR203/10</f>
        <v>853.8</v>
      </c>
      <c r="BS202" s="86">
        <f>'Raw Data'!BS203/10</f>
        <v>844</v>
      </c>
      <c r="BT202" s="86">
        <f>'Raw Data'!BT203/10</f>
        <v>832</v>
      </c>
      <c r="BU202" s="86">
        <f>'Raw Data'!BU203/10</f>
        <v>789.5</v>
      </c>
      <c r="BV202" s="86">
        <f>'Raw Data'!BV203/10</f>
        <v>777.7</v>
      </c>
      <c r="BW202" s="86">
        <f>'Raw Data'!BW203/10</f>
        <v>752.4</v>
      </c>
      <c r="BX202" s="86">
        <f>'Raw Data'!BX203/10</f>
        <v>753.8</v>
      </c>
      <c r="BY202" s="86">
        <f>'Raw Data'!BY203/10</f>
        <v>725.6</v>
      </c>
      <c r="BZ202" s="86">
        <f>'Raw Data'!BZ203/10</f>
        <v>710.6</v>
      </c>
      <c r="CA202" s="86">
        <f>'Raw Data'!CA203/10</f>
        <v>698.8</v>
      </c>
      <c r="CB202" s="86">
        <f>'Raw Data'!CB203/10</f>
        <v>672.3</v>
      </c>
      <c r="CC202" s="86">
        <f>'Raw Data'!CC203/10</f>
        <v>668.4</v>
      </c>
      <c r="CD202" s="86">
        <f>'Raw Data'!CD203/10</f>
        <v>657.6</v>
      </c>
      <c r="CE202" s="86">
        <f>'Raw Data'!CE203/10</f>
        <v>636</v>
      </c>
      <c r="CF202" s="86">
        <f>'Raw Data'!CF203/10</f>
        <v>631.4</v>
      </c>
      <c r="CG202" s="86">
        <f>'Raw Data'!CG203/100</f>
        <v>561.39</v>
      </c>
      <c r="CH202" s="86">
        <f>'Raw Data'!CH203/100</f>
        <v>473.22</v>
      </c>
      <c r="CI202" s="86">
        <f>'Raw Data'!CI203/100</f>
        <v>403.13</v>
      </c>
      <c r="CJ202" s="86">
        <f>'Raw Data'!CJ203/100</f>
        <v>349.03</v>
      </c>
      <c r="CK202" s="86">
        <f>'Raw Data'!CK203/100</f>
        <v>308.98</v>
      </c>
      <c r="CL202" s="86">
        <f>'Raw Data'!CL203/100</f>
        <v>275.27</v>
      </c>
      <c r="CM202" s="86">
        <f>'Raw Data'!CM203/100</f>
        <v>247.33</v>
      </c>
      <c r="CN202" s="86">
        <f>'Raw Data'!CN203/100</f>
        <v>225.33</v>
      </c>
      <c r="CO202" s="86">
        <f>'Raw Data'!CO203/100</f>
        <v>208.59</v>
      </c>
      <c r="CP202" s="86">
        <f>'Raw Data'!CP203/100</f>
        <v>192.59</v>
      </c>
      <c r="CQ202" s="86">
        <f>'Raw Data'!CQ203/100</f>
        <v>178.53</v>
      </c>
      <c r="CR202" s="86">
        <f>'Raw Data'!CR203/100</f>
        <v>166.31</v>
      </c>
      <c r="CS202" s="86">
        <f>'Raw Data'!CS203/100</f>
        <v>156.30000000000001</v>
      </c>
      <c r="CT202" s="86">
        <f>'Raw Data'!CT203/100</f>
        <v>147.05000000000001</v>
      </c>
      <c r="CU202" s="382"/>
    </row>
    <row r="203" spans="4:99" s="86" customFormat="1" x14ac:dyDescent="0.2">
      <c r="D203" s="375"/>
      <c r="E203" s="164"/>
      <c r="F203" s="394"/>
      <c r="G203" s="86">
        <f>'Raw Data'!G204</f>
        <v>1272</v>
      </c>
      <c r="H203" s="86">
        <f>'Raw Data'!H204</f>
        <v>1227</v>
      </c>
      <c r="I203" s="86">
        <f>'Raw Data'!I204</f>
        <v>1257</v>
      </c>
      <c r="J203" s="86">
        <f>'Raw Data'!J204</f>
        <v>1243</v>
      </c>
      <c r="K203" s="86">
        <f>'Raw Data'!K204</f>
        <v>1236</v>
      </c>
      <c r="L203" s="86">
        <f>'Raw Data'!L204</f>
        <v>1273</v>
      </c>
      <c r="M203" s="86">
        <f>'Raw Data'!M204</f>
        <v>1284</v>
      </c>
      <c r="N203" s="86">
        <f>'Raw Data'!N204</f>
        <v>1213</v>
      </c>
      <c r="O203" s="86">
        <f>'Raw Data'!O204</f>
        <v>1213</v>
      </c>
      <c r="P203" s="86">
        <f>'Raw Data'!P204</f>
        <v>1244</v>
      </c>
      <c r="Q203" s="86">
        <f>'Raw Data'!Q204</f>
        <v>1224</v>
      </c>
      <c r="R203" s="86">
        <f>'Raw Data'!R204</f>
        <v>1189</v>
      </c>
      <c r="S203" s="86">
        <f>'Raw Data'!S204</f>
        <v>1203</v>
      </c>
      <c r="T203" s="86">
        <f>'Raw Data'!T204</f>
        <v>1236</v>
      </c>
      <c r="U203" s="86">
        <f>'Raw Data'!U204</f>
        <v>1209</v>
      </c>
      <c r="V203" s="86">
        <f>'Raw Data'!V204</f>
        <v>1176</v>
      </c>
      <c r="W203" s="86">
        <f>'Raw Data'!W204</f>
        <v>1175</v>
      </c>
      <c r="X203" s="86">
        <f>'Raw Data'!X204</f>
        <v>1182</v>
      </c>
      <c r="Y203" s="86">
        <f>'Raw Data'!Y204</f>
        <v>1168</v>
      </c>
      <c r="Z203" s="86">
        <f>'Raw Data'!Z204</f>
        <v>1202</v>
      </c>
      <c r="AA203" s="86">
        <f>'Raw Data'!AA204/10</f>
        <v>1156.5999999999999</v>
      </c>
      <c r="AB203" s="86">
        <f>'Raw Data'!AB204/10</f>
        <v>1104.5</v>
      </c>
      <c r="AC203" s="86">
        <f>'Raw Data'!AC204/10</f>
        <v>1053.0999999999999</v>
      </c>
      <c r="AD203" s="86">
        <f>'Raw Data'!AD204/10</f>
        <v>964.4</v>
      </c>
      <c r="AE203" s="86">
        <f>'Raw Data'!AE204/10</f>
        <v>962.2</v>
      </c>
      <c r="AF203" s="86">
        <f>'Raw Data'!AF204/10</f>
        <v>912.1</v>
      </c>
      <c r="AG203" s="86">
        <f>'Raw Data'!AG204/10</f>
        <v>887.1</v>
      </c>
      <c r="AH203" s="86">
        <f>'Raw Data'!AH204/10</f>
        <v>828.2</v>
      </c>
      <c r="AI203" s="86">
        <f>'Raw Data'!AI204/10</f>
        <v>802.2</v>
      </c>
      <c r="AJ203" s="86">
        <f>'Raw Data'!AJ204/10</f>
        <v>765.8</v>
      </c>
      <c r="AK203" s="86">
        <f>'Raw Data'!AK204/10</f>
        <v>702.3</v>
      </c>
      <c r="AL203" s="86">
        <f>'Raw Data'!AL204/10</f>
        <v>673.8</v>
      </c>
      <c r="AM203" s="86">
        <f>'Raw Data'!AM204/10</f>
        <v>667.9</v>
      </c>
      <c r="AN203" s="86">
        <f>'Raw Data'!AN204/10</f>
        <v>649</v>
      </c>
      <c r="AO203" s="86">
        <f>'Raw Data'!AO204/10</f>
        <v>635</v>
      </c>
      <c r="AP203" s="86">
        <f>'Raw Data'!AP204/10</f>
        <v>598.70000000000005</v>
      </c>
      <c r="AQ203" s="86">
        <f>'Raw Data'!AQ204/10</f>
        <v>593.29999999999995</v>
      </c>
      <c r="AR203" s="86">
        <f>'Raw Data'!AR204/10</f>
        <v>564.29999999999995</v>
      </c>
      <c r="AS203" s="86">
        <f>'Raw Data'!AS204/10</f>
        <v>548.70000000000005</v>
      </c>
      <c r="AT203" s="86">
        <f>'Raw Data'!AT204/10</f>
        <v>523</v>
      </c>
      <c r="AU203" s="86">
        <f>'Raw Data'!AU204/10</f>
        <v>508.3</v>
      </c>
      <c r="AV203" s="86">
        <f>'Raw Data'!AV204/10</f>
        <v>498.5</v>
      </c>
      <c r="AW203" s="86">
        <f>'Raw Data'!AW204/10</f>
        <v>482.5</v>
      </c>
      <c r="AX203" s="86">
        <f>'Raw Data'!AX204/10</f>
        <v>466.7</v>
      </c>
      <c r="AY203" s="86">
        <f>'Raw Data'!AY204/10</f>
        <v>444.7</v>
      </c>
      <c r="AZ203" s="86">
        <f>'Raw Data'!AZ204/10</f>
        <v>443.4</v>
      </c>
      <c r="BA203" s="86">
        <f>'Raw Data'!BA204/10</f>
        <v>430.7</v>
      </c>
      <c r="BB203" s="86">
        <f>'Raw Data'!BB204/10</f>
        <v>408.8</v>
      </c>
      <c r="BC203" s="86">
        <f>'Raw Data'!BC204/10</f>
        <v>399</v>
      </c>
      <c r="BD203" s="86">
        <f>'Raw Data'!BD204/10</f>
        <v>396.2</v>
      </c>
      <c r="BE203" s="86">
        <f>'Raw Data'!BE204/10</f>
        <v>383.4</v>
      </c>
      <c r="BF203" s="86">
        <f>'Raw Data'!BF204/10</f>
        <v>384.8</v>
      </c>
      <c r="BG203" s="86">
        <f>'Raw Data'!BG204/10</f>
        <v>366.9</v>
      </c>
      <c r="BH203" s="86">
        <f>'Raw Data'!BH204/10</f>
        <v>354.2</v>
      </c>
      <c r="BI203" s="86">
        <f>'Raw Data'!BI204/10</f>
        <v>346</v>
      </c>
      <c r="BJ203" s="86">
        <f>'Raw Data'!BJ204/10</f>
        <v>344.1</v>
      </c>
      <c r="BK203" s="86">
        <f>'Raw Data'!BK204/10</f>
        <v>327.2</v>
      </c>
      <c r="BL203" s="86">
        <f>'Raw Data'!BL204/10</f>
        <v>334.7</v>
      </c>
      <c r="BM203" s="86">
        <f>'Raw Data'!BM204/10</f>
        <v>321.89999999999998</v>
      </c>
      <c r="BN203" s="86">
        <f>'Raw Data'!BN204/10</f>
        <v>311.39999999999998</v>
      </c>
      <c r="BO203" s="86">
        <f>'Raw Data'!BO204/10</f>
        <v>311.8</v>
      </c>
      <c r="BP203" s="86">
        <f>'Raw Data'!BP204/10</f>
        <v>307</v>
      </c>
      <c r="BQ203" s="86">
        <f>'Raw Data'!BQ204/10</f>
        <v>292</v>
      </c>
      <c r="BR203" s="86">
        <f>'Raw Data'!BR204/10</f>
        <v>289.5</v>
      </c>
      <c r="BS203" s="86">
        <f>'Raw Data'!BS204/10</f>
        <v>284</v>
      </c>
      <c r="BT203" s="86">
        <f>'Raw Data'!BT204/10</f>
        <v>282.8</v>
      </c>
      <c r="BU203" s="86">
        <f>'Raw Data'!BU204/10</f>
        <v>273.89999999999998</v>
      </c>
      <c r="BV203" s="86">
        <f>'Raw Data'!BV204/10</f>
        <v>275.10000000000002</v>
      </c>
      <c r="BW203" s="86">
        <f>'Raw Data'!BW204/10</f>
        <v>262.60000000000002</v>
      </c>
      <c r="BX203" s="86">
        <f>'Raw Data'!BX204/10</f>
        <v>259.3</v>
      </c>
      <c r="BY203" s="86">
        <f>'Raw Data'!BY204/10</f>
        <v>256.2</v>
      </c>
      <c r="BZ203" s="86">
        <f>'Raw Data'!BZ204/10</f>
        <v>255.7</v>
      </c>
      <c r="CA203" s="86">
        <f>'Raw Data'!CA204/10</f>
        <v>249.9</v>
      </c>
      <c r="CB203" s="86">
        <f>'Raw Data'!CB204/10</f>
        <v>244.2</v>
      </c>
      <c r="CC203" s="86">
        <f>'Raw Data'!CC204/10</f>
        <v>241.1</v>
      </c>
      <c r="CD203" s="86">
        <f>'Raw Data'!CD204/10</f>
        <v>241.6</v>
      </c>
      <c r="CE203" s="86">
        <f>'Raw Data'!CE204/10</f>
        <v>233.5</v>
      </c>
      <c r="CF203" s="86">
        <f>'Raw Data'!CF204/10</f>
        <v>233.4</v>
      </c>
      <c r="CG203" s="86">
        <f>'Raw Data'!CG204/100</f>
        <v>214.72</v>
      </c>
      <c r="CH203" s="86">
        <f>'Raw Data'!CH204/100</f>
        <v>189.67</v>
      </c>
      <c r="CI203" s="86">
        <f>'Raw Data'!CI204/100</f>
        <v>169.61</v>
      </c>
      <c r="CJ203" s="86">
        <f>'Raw Data'!CJ204/100</f>
        <v>153.54</v>
      </c>
      <c r="CK203" s="86">
        <f>'Raw Data'!CK204/100</f>
        <v>140.96</v>
      </c>
      <c r="CL203" s="86">
        <f>'Raw Data'!CL204/100</f>
        <v>131.55000000000001</v>
      </c>
      <c r="CM203" s="86">
        <f>'Raw Data'!CM204/100</f>
        <v>123.28</v>
      </c>
      <c r="CN203" s="86">
        <f>'Raw Data'!CN204/100</f>
        <v>115.74</v>
      </c>
      <c r="CO203" s="86">
        <f>'Raw Data'!CO204/100</f>
        <v>109.25</v>
      </c>
      <c r="CP203" s="86">
        <f>'Raw Data'!CP204/100</f>
        <v>104.12</v>
      </c>
      <c r="CQ203" s="86">
        <f>'Raw Data'!CQ204/100</f>
        <v>96.15</v>
      </c>
      <c r="CR203" s="86">
        <f>'Raw Data'!CR204/100</f>
        <v>94.49</v>
      </c>
      <c r="CS203" s="86">
        <f>'Raw Data'!CS204/100</f>
        <v>90.38</v>
      </c>
      <c r="CT203" s="86">
        <f>'Raw Data'!CT204/100</f>
        <v>88.91</v>
      </c>
      <c r="CU203" s="382"/>
    </row>
    <row r="204" spans="4:99" s="86" customFormat="1" x14ac:dyDescent="0.2">
      <c r="D204" s="375"/>
      <c r="E204" s="164"/>
      <c r="F204" s="394"/>
      <c r="G204" s="86">
        <f>'Raw Data'!G205</f>
        <v>33</v>
      </c>
      <c r="H204" s="86">
        <f>'Raw Data'!H205</f>
        <v>45</v>
      </c>
      <c r="I204" s="86">
        <f>'Raw Data'!I205</f>
        <v>27</v>
      </c>
      <c r="J204" s="86">
        <f>'Raw Data'!J205</f>
        <v>34</v>
      </c>
      <c r="K204" s="86">
        <f>'Raw Data'!K205</f>
        <v>30</v>
      </c>
      <c r="L204" s="86">
        <f>'Raw Data'!L205</f>
        <v>37</v>
      </c>
      <c r="M204" s="86">
        <f>'Raw Data'!M205</f>
        <v>33</v>
      </c>
      <c r="N204" s="86">
        <f>'Raw Data'!N205</f>
        <v>36</v>
      </c>
      <c r="O204" s="86">
        <f>'Raw Data'!O205</f>
        <v>31</v>
      </c>
      <c r="P204" s="86">
        <f>'Raw Data'!P205</f>
        <v>34</v>
      </c>
      <c r="Q204" s="86">
        <f>'Raw Data'!Q205</f>
        <v>32</v>
      </c>
      <c r="R204" s="86">
        <f>'Raw Data'!R205</f>
        <v>29</v>
      </c>
      <c r="S204" s="86">
        <f>'Raw Data'!S205</f>
        <v>37</v>
      </c>
      <c r="T204" s="86">
        <f>'Raw Data'!T205</f>
        <v>29</v>
      </c>
      <c r="U204" s="86">
        <f>'Raw Data'!U205</f>
        <v>35</v>
      </c>
      <c r="V204" s="86">
        <f>'Raw Data'!V205</f>
        <v>35</v>
      </c>
      <c r="W204" s="86">
        <f>'Raw Data'!W205</f>
        <v>35</v>
      </c>
      <c r="X204" s="86">
        <f>'Raw Data'!X205</f>
        <v>34</v>
      </c>
      <c r="Y204" s="86">
        <f>'Raw Data'!Y205</f>
        <v>32</v>
      </c>
      <c r="Z204" s="86">
        <f>'Raw Data'!Z205</f>
        <v>39</v>
      </c>
      <c r="AA204" s="86">
        <f>'Raw Data'!AA205/10</f>
        <v>34.9</v>
      </c>
      <c r="AB204" s="86">
        <f>'Raw Data'!AB205/10</f>
        <v>35.6</v>
      </c>
      <c r="AC204" s="86">
        <f>'Raw Data'!AC205/10</f>
        <v>31.1</v>
      </c>
      <c r="AD204" s="86">
        <f>'Raw Data'!AD205/10</f>
        <v>31.4</v>
      </c>
      <c r="AE204" s="86">
        <f>'Raw Data'!AE205/10</f>
        <v>33.299999999999997</v>
      </c>
      <c r="AF204" s="86">
        <f>'Raw Data'!AF205/10</f>
        <v>32.9</v>
      </c>
      <c r="AG204" s="86">
        <f>'Raw Data'!AG205/10</f>
        <v>31.8</v>
      </c>
      <c r="AH204" s="86">
        <f>'Raw Data'!AH205/10</f>
        <v>33.4</v>
      </c>
      <c r="AI204" s="86">
        <f>'Raw Data'!AI205/10</f>
        <v>31.9</v>
      </c>
      <c r="AJ204" s="86">
        <f>'Raw Data'!AJ205/10</f>
        <v>31.9</v>
      </c>
      <c r="AK204" s="86">
        <f>'Raw Data'!AK205/10</f>
        <v>31.3</v>
      </c>
      <c r="AL204" s="86">
        <f>'Raw Data'!AL205/10</f>
        <v>29.1</v>
      </c>
      <c r="AM204" s="86">
        <f>'Raw Data'!AM205/10</f>
        <v>29.8</v>
      </c>
      <c r="AN204" s="86">
        <f>'Raw Data'!AN205/10</f>
        <v>30.3</v>
      </c>
      <c r="AO204" s="86">
        <f>'Raw Data'!AO205/10</f>
        <v>28.7</v>
      </c>
      <c r="AP204" s="86">
        <f>'Raw Data'!AP205/10</f>
        <v>29.3</v>
      </c>
      <c r="AQ204" s="86">
        <f>'Raw Data'!AQ205/10</f>
        <v>28</v>
      </c>
      <c r="AR204" s="86">
        <f>'Raw Data'!AR205/10</f>
        <v>27.8</v>
      </c>
      <c r="AS204" s="86">
        <f>'Raw Data'!AS205/10</f>
        <v>29.1</v>
      </c>
      <c r="AT204" s="86">
        <f>'Raw Data'!AT205/10</f>
        <v>26.5</v>
      </c>
      <c r="AU204" s="86">
        <f>'Raw Data'!AU205/10</f>
        <v>29.7</v>
      </c>
      <c r="AV204" s="86">
        <f>'Raw Data'!AV205/10</f>
        <v>24.8</v>
      </c>
      <c r="AW204" s="86">
        <f>'Raw Data'!AW205/10</f>
        <v>27.4</v>
      </c>
      <c r="AX204" s="86">
        <f>'Raw Data'!AX205/10</f>
        <v>27.1</v>
      </c>
      <c r="AY204" s="86">
        <f>'Raw Data'!AY205/10</f>
        <v>25.1</v>
      </c>
      <c r="AZ204" s="86">
        <f>'Raw Data'!AZ205/10</f>
        <v>27.2</v>
      </c>
      <c r="BA204" s="86">
        <f>'Raw Data'!BA205/10</f>
        <v>27.2</v>
      </c>
      <c r="BB204" s="86">
        <f>'Raw Data'!BB205/10</f>
        <v>25.1</v>
      </c>
      <c r="BC204" s="86">
        <f>'Raw Data'!BC205/10</f>
        <v>27.2</v>
      </c>
      <c r="BD204" s="86">
        <f>'Raw Data'!BD205/10</f>
        <v>26.2</v>
      </c>
      <c r="BE204" s="86">
        <f>'Raw Data'!BE205/10</f>
        <v>28.9</v>
      </c>
      <c r="BF204" s="86">
        <f>'Raw Data'!BF205/10</f>
        <v>26.4</v>
      </c>
      <c r="BG204" s="86">
        <f>'Raw Data'!BG205/10</f>
        <v>26.5</v>
      </c>
      <c r="BH204" s="86">
        <f>'Raw Data'!BH205/10</f>
        <v>27</v>
      </c>
      <c r="BI204" s="86">
        <f>'Raw Data'!BI205/10</f>
        <v>25.5</v>
      </c>
      <c r="BJ204" s="86">
        <f>'Raw Data'!BJ205/10</f>
        <v>26.5</v>
      </c>
      <c r="BK204" s="86">
        <f>'Raw Data'!BK205/10</f>
        <v>25.4</v>
      </c>
      <c r="BL204" s="86">
        <f>'Raw Data'!BL205/10</f>
        <v>25.3</v>
      </c>
      <c r="BM204" s="86">
        <f>'Raw Data'!BM205/10</f>
        <v>25</v>
      </c>
      <c r="BN204" s="86">
        <f>'Raw Data'!BN205/10</f>
        <v>24.7</v>
      </c>
      <c r="BO204" s="86">
        <f>'Raw Data'!BO205/10</f>
        <v>22.6</v>
      </c>
      <c r="BP204" s="86">
        <f>'Raw Data'!BP205/10</f>
        <v>23.2</v>
      </c>
      <c r="BQ204" s="86">
        <f>'Raw Data'!BQ205/10</f>
        <v>23.1</v>
      </c>
      <c r="BR204" s="86">
        <f>'Raw Data'!BR205/10</f>
        <v>24.3</v>
      </c>
      <c r="BS204" s="86">
        <f>'Raw Data'!BS205/10</f>
        <v>26.6</v>
      </c>
      <c r="BT204" s="86">
        <f>'Raw Data'!BT205/10</f>
        <v>23</v>
      </c>
      <c r="BU204" s="86">
        <f>'Raw Data'!BU205/10</f>
        <v>23</v>
      </c>
      <c r="BV204" s="86">
        <f>'Raw Data'!BV205/10</f>
        <v>23.6</v>
      </c>
      <c r="BW204" s="86">
        <f>'Raw Data'!BW205/10</f>
        <v>24.4</v>
      </c>
      <c r="BX204" s="86">
        <f>'Raw Data'!BX205/10</f>
        <v>24</v>
      </c>
      <c r="BY204" s="86">
        <f>'Raw Data'!BY205/10</f>
        <v>24.1</v>
      </c>
      <c r="BZ204" s="86">
        <f>'Raw Data'!BZ205/10</f>
        <v>24.7</v>
      </c>
      <c r="CA204" s="86">
        <f>'Raw Data'!CA205/10</f>
        <v>24.1</v>
      </c>
      <c r="CB204" s="86">
        <f>'Raw Data'!CB205/10</f>
        <v>22.7</v>
      </c>
      <c r="CC204" s="86">
        <f>'Raw Data'!CC205/10</f>
        <v>20.8</v>
      </c>
      <c r="CD204" s="86">
        <f>'Raw Data'!CD205/10</f>
        <v>24.8</v>
      </c>
      <c r="CE204" s="86">
        <f>'Raw Data'!CE205/10</f>
        <v>22.8</v>
      </c>
      <c r="CF204" s="86">
        <f>'Raw Data'!CF205/10</f>
        <v>21.9</v>
      </c>
      <c r="CG204" s="86">
        <f>'Raw Data'!CG205/100</f>
        <v>23.02</v>
      </c>
      <c r="CH204" s="86">
        <f>'Raw Data'!CH205/100</f>
        <v>22.22</v>
      </c>
      <c r="CI204" s="86">
        <f>'Raw Data'!CI205/100</f>
        <v>21.52</v>
      </c>
      <c r="CJ204" s="86">
        <f>'Raw Data'!CJ205/100</f>
        <v>21.71</v>
      </c>
      <c r="CK204" s="86">
        <f>'Raw Data'!CK205/100</f>
        <v>20.84</v>
      </c>
      <c r="CL204" s="86">
        <f>'Raw Data'!CL205/100</f>
        <v>21.12</v>
      </c>
      <c r="CM204" s="86">
        <f>'Raw Data'!CM205/100</f>
        <v>20.170000000000002</v>
      </c>
      <c r="CN204" s="86">
        <f>'Raw Data'!CN205/100</f>
        <v>19.82</v>
      </c>
      <c r="CO204" s="86">
        <f>'Raw Data'!CO205/100</f>
        <v>20.350000000000001</v>
      </c>
      <c r="CP204" s="86">
        <f>'Raw Data'!CP205/100</f>
        <v>20.34</v>
      </c>
      <c r="CQ204" s="86">
        <f>'Raw Data'!CQ205/100</f>
        <v>18.989999999999998</v>
      </c>
      <c r="CR204" s="86">
        <f>'Raw Data'!CR205/100</f>
        <v>19.5</v>
      </c>
      <c r="CS204" s="86">
        <f>'Raw Data'!CS205/100</f>
        <v>18.989999999999998</v>
      </c>
      <c r="CT204" s="86">
        <f>'Raw Data'!CT205/100</f>
        <v>18.55</v>
      </c>
      <c r="CU204" s="382"/>
    </row>
    <row r="205" spans="4:99" s="86" customFormat="1" x14ac:dyDescent="0.2">
      <c r="D205" s="375"/>
      <c r="E205" s="164"/>
      <c r="F205" s="394"/>
      <c r="G205" s="86">
        <f>'Raw Data'!G206</f>
        <v>1107</v>
      </c>
      <c r="H205" s="86">
        <f>'Raw Data'!H206</f>
        <v>1115</v>
      </c>
      <c r="I205" s="86">
        <f>'Raw Data'!I206</f>
        <v>1136</v>
      </c>
      <c r="J205" s="86">
        <f>'Raw Data'!J206</f>
        <v>1064</v>
      </c>
      <c r="K205" s="86">
        <f>'Raw Data'!K206</f>
        <v>1109</v>
      </c>
      <c r="L205" s="86">
        <f>'Raw Data'!L206</f>
        <v>1118</v>
      </c>
      <c r="M205" s="86">
        <f>'Raw Data'!M206</f>
        <v>1121</v>
      </c>
      <c r="N205" s="86">
        <f>'Raw Data'!N206</f>
        <v>1102</v>
      </c>
      <c r="O205" s="86">
        <f>'Raw Data'!O206</f>
        <v>1121</v>
      </c>
      <c r="P205" s="86">
        <f>'Raw Data'!P206</f>
        <v>1089</v>
      </c>
      <c r="Q205" s="86">
        <f>'Raw Data'!Q206</f>
        <v>1113</v>
      </c>
      <c r="R205" s="86">
        <f>'Raw Data'!R206</f>
        <v>1123</v>
      </c>
      <c r="S205" s="86">
        <f>'Raw Data'!S206</f>
        <v>1074</v>
      </c>
      <c r="T205" s="86">
        <f>'Raw Data'!T206</f>
        <v>1112</v>
      </c>
      <c r="U205" s="86">
        <f>'Raw Data'!U206</f>
        <v>1048</v>
      </c>
      <c r="V205" s="86">
        <f>'Raw Data'!V206</f>
        <v>1084</v>
      </c>
      <c r="W205" s="86">
        <f>'Raw Data'!W206</f>
        <v>1075</v>
      </c>
      <c r="X205" s="86">
        <f>'Raw Data'!X206</f>
        <v>1015</v>
      </c>
      <c r="Y205" s="86">
        <f>'Raw Data'!Y206</f>
        <v>1073</v>
      </c>
      <c r="Z205" s="86">
        <f>'Raw Data'!Z206</f>
        <v>1043</v>
      </c>
      <c r="AA205" s="86">
        <f>'Raw Data'!AA206/10</f>
        <v>1036.5</v>
      </c>
      <c r="AB205" s="86">
        <f>'Raw Data'!AB206/10</f>
        <v>981.4</v>
      </c>
      <c r="AC205" s="86">
        <f>'Raw Data'!AC206/10</f>
        <v>927.6</v>
      </c>
      <c r="AD205" s="86">
        <f>'Raw Data'!AD206/10</f>
        <v>880</v>
      </c>
      <c r="AE205" s="86">
        <f>'Raw Data'!AE206/10</f>
        <v>833.4</v>
      </c>
      <c r="AF205" s="86">
        <f>'Raw Data'!AF206/10</f>
        <v>793</v>
      </c>
      <c r="AG205" s="86">
        <f>'Raw Data'!AG206/10</f>
        <v>752.2</v>
      </c>
      <c r="AH205" s="86">
        <f>'Raw Data'!AH206/10</f>
        <v>720.5</v>
      </c>
      <c r="AI205" s="86">
        <f>'Raw Data'!AI206/10</f>
        <v>679.9</v>
      </c>
      <c r="AJ205" s="86">
        <f>'Raw Data'!AJ206/10</f>
        <v>638</v>
      </c>
      <c r="AK205" s="86">
        <f>'Raw Data'!AK206/10</f>
        <v>630.70000000000005</v>
      </c>
      <c r="AL205" s="86">
        <f>'Raw Data'!AL206/10</f>
        <v>590</v>
      </c>
      <c r="AM205" s="86">
        <f>'Raw Data'!AM206/10</f>
        <v>568.1</v>
      </c>
      <c r="AN205" s="86">
        <f>'Raw Data'!AN206/10</f>
        <v>555.20000000000005</v>
      </c>
      <c r="AO205" s="86">
        <f>'Raw Data'!AO206/10</f>
        <v>510.6</v>
      </c>
      <c r="AP205" s="86">
        <f>'Raw Data'!AP206/10</f>
        <v>501.8</v>
      </c>
      <c r="AQ205" s="86">
        <f>'Raw Data'!AQ206/10</f>
        <v>487.8</v>
      </c>
      <c r="AR205" s="86">
        <f>'Raw Data'!AR206/10</f>
        <v>463.3</v>
      </c>
      <c r="AS205" s="86">
        <f>'Raw Data'!AS206/10</f>
        <v>440.6</v>
      </c>
      <c r="AT205" s="86">
        <f>'Raw Data'!AT206/10</f>
        <v>434.8</v>
      </c>
      <c r="AU205" s="86">
        <f>'Raw Data'!AU206/10</f>
        <v>418.7</v>
      </c>
      <c r="AV205" s="86">
        <f>'Raw Data'!AV206/10</f>
        <v>405.5</v>
      </c>
      <c r="AW205" s="86">
        <f>'Raw Data'!AW206/10</f>
        <v>384.4</v>
      </c>
      <c r="AX205" s="86">
        <f>'Raw Data'!AX206/10</f>
        <v>372.2</v>
      </c>
      <c r="AY205" s="86">
        <f>'Raw Data'!AY206/10</f>
        <v>360.5</v>
      </c>
      <c r="AZ205" s="86">
        <f>'Raw Data'!AZ206/10</f>
        <v>351.6</v>
      </c>
      <c r="BA205" s="86">
        <f>'Raw Data'!BA206/10</f>
        <v>336.5</v>
      </c>
      <c r="BB205" s="86">
        <f>'Raw Data'!BB206/10</f>
        <v>328.3</v>
      </c>
      <c r="BC205" s="86">
        <f>'Raw Data'!BC206/10</f>
        <v>324.7</v>
      </c>
      <c r="BD205" s="86">
        <f>'Raw Data'!BD206/10</f>
        <v>308.5</v>
      </c>
      <c r="BE205" s="86">
        <f>'Raw Data'!BE206/10</f>
        <v>307.39999999999998</v>
      </c>
      <c r="BF205" s="86">
        <f>'Raw Data'!BF206/10</f>
        <v>291.60000000000002</v>
      </c>
      <c r="BG205" s="86">
        <f>'Raw Data'!BG206/10</f>
        <v>289.8</v>
      </c>
      <c r="BH205" s="86">
        <f>'Raw Data'!BH206/10</f>
        <v>267.89999999999998</v>
      </c>
      <c r="BI205" s="86">
        <f>'Raw Data'!BI206/10</f>
        <v>258</v>
      </c>
      <c r="BJ205" s="86">
        <f>'Raw Data'!BJ206/10</f>
        <v>258.60000000000002</v>
      </c>
      <c r="BK205" s="86">
        <f>'Raw Data'!BK206/10</f>
        <v>260.10000000000002</v>
      </c>
      <c r="BL205" s="86">
        <f>'Raw Data'!BL206/10</f>
        <v>245.4</v>
      </c>
      <c r="BM205" s="86">
        <f>'Raw Data'!BM206/10</f>
        <v>240</v>
      </c>
      <c r="BN205" s="86">
        <f>'Raw Data'!BN206/10</f>
        <v>235.3</v>
      </c>
      <c r="BO205" s="86">
        <f>'Raw Data'!BO206/10</f>
        <v>225</v>
      </c>
      <c r="BP205" s="86">
        <f>'Raw Data'!BP206/10</f>
        <v>225.2</v>
      </c>
      <c r="BQ205" s="86">
        <f>'Raw Data'!BQ206/10</f>
        <v>223.9</v>
      </c>
      <c r="BR205" s="86">
        <f>'Raw Data'!BR206/10</f>
        <v>218</v>
      </c>
      <c r="BS205" s="86">
        <f>'Raw Data'!BS206/10</f>
        <v>205.5</v>
      </c>
      <c r="BT205" s="86">
        <f>'Raw Data'!BT206/10</f>
        <v>204</v>
      </c>
      <c r="BU205" s="86">
        <f>'Raw Data'!BU206/10</f>
        <v>192.3</v>
      </c>
      <c r="BV205" s="86">
        <f>'Raw Data'!BV206/10</f>
        <v>193.9</v>
      </c>
      <c r="BW205" s="86">
        <f>'Raw Data'!BW206/10</f>
        <v>195.2</v>
      </c>
      <c r="BX205" s="86">
        <f>'Raw Data'!BX206/10</f>
        <v>183.6</v>
      </c>
      <c r="BY205" s="86">
        <f>'Raw Data'!BY206/10</f>
        <v>182.6</v>
      </c>
      <c r="BZ205" s="86">
        <f>'Raw Data'!BZ206/10</f>
        <v>177.3</v>
      </c>
      <c r="CA205" s="86">
        <f>'Raw Data'!CA206/10</f>
        <v>176.4</v>
      </c>
      <c r="CB205" s="86">
        <f>'Raw Data'!CB206/10</f>
        <v>174.7</v>
      </c>
      <c r="CC205" s="86">
        <f>'Raw Data'!CC206/10</f>
        <v>173.7</v>
      </c>
      <c r="CD205" s="86">
        <f>'Raw Data'!CD206/10</f>
        <v>171</v>
      </c>
      <c r="CE205" s="86">
        <f>'Raw Data'!CE206/10</f>
        <v>164.5</v>
      </c>
      <c r="CF205" s="86">
        <f>'Raw Data'!CF206/10</f>
        <v>159.6</v>
      </c>
      <c r="CG205" s="86">
        <f>'Raw Data'!CG206/100</f>
        <v>145.11000000000001</v>
      </c>
      <c r="CH205" s="86">
        <f>'Raw Data'!CH206/100</f>
        <v>124.03</v>
      </c>
      <c r="CI205" s="86">
        <f>'Raw Data'!CI206/100</f>
        <v>106.87</v>
      </c>
      <c r="CJ205" s="86">
        <f>'Raw Data'!CJ206/100</f>
        <v>96.45</v>
      </c>
      <c r="CK205" s="86">
        <f>'Raw Data'!CK206/100</f>
        <v>86.01</v>
      </c>
      <c r="CL205" s="86">
        <f>'Raw Data'!CL206/100</f>
        <v>78.31</v>
      </c>
      <c r="CM205" s="86">
        <f>'Raw Data'!CM206/100</f>
        <v>71.010000000000005</v>
      </c>
      <c r="CN205" s="86">
        <f>'Raw Data'!CN206/100</f>
        <v>65.44</v>
      </c>
      <c r="CO205" s="86">
        <f>'Raw Data'!CO206/100</f>
        <v>61.42</v>
      </c>
      <c r="CP205" s="86">
        <f>'Raw Data'!CP206/100</f>
        <v>58.25</v>
      </c>
      <c r="CQ205" s="86">
        <f>'Raw Data'!CQ206/100</f>
        <v>53.94</v>
      </c>
      <c r="CR205" s="86">
        <f>'Raw Data'!CR206/100</f>
        <v>50.68</v>
      </c>
      <c r="CS205" s="86">
        <f>'Raw Data'!CS206/100</f>
        <v>49.03</v>
      </c>
      <c r="CT205" s="86">
        <f>'Raw Data'!CT206/100</f>
        <v>46.89</v>
      </c>
      <c r="CU205" s="382"/>
    </row>
    <row r="206" spans="4:99" s="86" customFormat="1" x14ac:dyDescent="0.2">
      <c r="D206" s="375"/>
      <c r="E206" s="164"/>
      <c r="F206" s="394"/>
      <c r="G206" s="86">
        <f>'Raw Data'!G207</f>
        <v>2363</v>
      </c>
      <c r="H206" s="86">
        <f>'Raw Data'!H207</f>
        <v>2357</v>
      </c>
      <c r="I206" s="86">
        <f>'Raw Data'!I207</f>
        <v>2316</v>
      </c>
      <c r="J206" s="86">
        <f>'Raw Data'!J207</f>
        <v>2306</v>
      </c>
      <c r="K206" s="86">
        <f>'Raw Data'!K207</f>
        <v>2359</v>
      </c>
      <c r="L206" s="86">
        <f>'Raw Data'!L207</f>
        <v>2383</v>
      </c>
      <c r="M206" s="86">
        <f>'Raw Data'!M207</f>
        <v>2315</v>
      </c>
      <c r="N206" s="86">
        <f>'Raw Data'!N207</f>
        <v>2331</v>
      </c>
      <c r="O206" s="86">
        <f>'Raw Data'!O207</f>
        <v>2310</v>
      </c>
      <c r="P206" s="86">
        <f>'Raw Data'!P207</f>
        <v>2275</v>
      </c>
      <c r="Q206" s="86">
        <f>'Raw Data'!Q207</f>
        <v>2291</v>
      </c>
      <c r="R206" s="86">
        <f>'Raw Data'!R207</f>
        <v>2238</v>
      </c>
      <c r="S206" s="86">
        <f>'Raw Data'!S207</f>
        <v>2219</v>
      </c>
      <c r="T206" s="86">
        <f>'Raw Data'!T207</f>
        <v>2163</v>
      </c>
      <c r="U206" s="86">
        <f>'Raw Data'!U207</f>
        <v>2220</v>
      </c>
      <c r="V206" s="86">
        <f>'Raw Data'!V207</f>
        <v>2207</v>
      </c>
      <c r="W206" s="86">
        <f>'Raw Data'!W207</f>
        <v>2189</v>
      </c>
      <c r="X206" s="86">
        <f>'Raw Data'!X207</f>
        <v>2248</v>
      </c>
      <c r="Y206" s="86">
        <f>'Raw Data'!Y207</f>
        <v>2170</v>
      </c>
      <c r="Z206" s="86">
        <f>'Raw Data'!Z207</f>
        <v>2092</v>
      </c>
      <c r="AA206" s="86">
        <f>'Raw Data'!AA207/10</f>
        <v>2100.4</v>
      </c>
      <c r="AB206" s="86">
        <f>'Raw Data'!AB207/10</f>
        <v>2006.8</v>
      </c>
      <c r="AC206" s="86">
        <f>'Raw Data'!AC207/10</f>
        <v>1915</v>
      </c>
      <c r="AD206" s="86">
        <f>'Raw Data'!AD207/10</f>
        <v>1791.8</v>
      </c>
      <c r="AE206" s="86">
        <f>'Raw Data'!AE207/10</f>
        <v>1695.5</v>
      </c>
      <c r="AF206" s="86">
        <f>'Raw Data'!AF207/10</f>
        <v>1619.8</v>
      </c>
      <c r="AG206" s="86">
        <f>'Raw Data'!AG207/10</f>
        <v>1524.7</v>
      </c>
      <c r="AH206" s="86">
        <f>'Raw Data'!AH207/10</f>
        <v>1453.8</v>
      </c>
      <c r="AI206" s="86">
        <f>'Raw Data'!AI207/10</f>
        <v>1365.5</v>
      </c>
      <c r="AJ206" s="86">
        <f>'Raw Data'!AJ207/10</f>
        <v>1308.0999999999999</v>
      </c>
      <c r="AK206" s="86">
        <f>'Raw Data'!AK207/10</f>
        <v>1240.0999999999999</v>
      </c>
      <c r="AL206" s="86">
        <f>'Raw Data'!AL207/10</f>
        <v>1194.5999999999999</v>
      </c>
      <c r="AM206" s="86">
        <f>'Raw Data'!AM207/10</f>
        <v>1150.5999999999999</v>
      </c>
      <c r="AN206" s="86">
        <f>'Raw Data'!AN207/10</f>
        <v>1096.5</v>
      </c>
      <c r="AO206" s="86">
        <f>'Raw Data'!AO207/10</f>
        <v>1043.3</v>
      </c>
      <c r="AP206" s="86">
        <f>'Raw Data'!AP207/10</f>
        <v>1003.9</v>
      </c>
      <c r="AQ206" s="86">
        <f>'Raw Data'!AQ207/10</f>
        <v>970.5</v>
      </c>
      <c r="AR206" s="86">
        <f>'Raw Data'!AR207/10</f>
        <v>921.5</v>
      </c>
      <c r="AS206" s="86">
        <f>'Raw Data'!AS207/10</f>
        <v>885.6</v>
      </c>
      <c r="AT206" s="86">
        <f>'Raw Data'!AT207/10</f>
        <v>849.8</v>
      </c>
      <c r="AU206" s="86">
        <f>'Raw Data'!AU207/10</f>
        <v>806.9</v>
      </c>
      <c r="AV206" s="86">
        <f>'Raw Data'!AV207/10</f>
        <v>791.4</v>
      </c>
      <c r="AW206" s="86">
        <f>'Raw Data'!AW207/10</f>
        <v>765.1</v>
      </c>
      <c r="AX206" s="86">
        <f>'Raw Data'!AX207/10</f>
        <v>740.5</v>
      </c>
      <c r="AY206" s="86">
        <f>'Raw Data'!AY207/10</f>
        <v>707.5</v>
      </c>
      <c r="AZ206" s="86">
        <f>'Raw Data'!AZ207/10</f>
        <v>684.7</v>
      </c>
      <c r="BA206" s="86">
        <f>'Raw Data'!BA207/10</f>
        <v>646</v>
      </c>
      <c r="BB206" s="86">
        <f>'Raw Data'!BB207/10</f>
        <v>613.6</v>
      </c>
      <c r="BC206" s="86">
        <f>'Raw Data'!BC207/10</f>
        <v>626.4</v>
      </c>
      <c r="BD206" s="86">
        <f>'Raw Data'!BD207/10</f>
        <v>604.1</v>
      </c>
      <c r="BE206" s="86">
        <f>'Raw Data'!BE207/10</f>
        <v>581.1</v>
      </c>
      <c r="BF206" s="86">
        <f>'Raw Data'!BF207/10</f>
        <v>570.6</v>
      </c>
      <c r="BG206" s="86">
        <f>'Raw Data'!BG207/10</f>
        <v>544.5</v>
      </c>
      <c r="BH206" s="86">
        <f>'Raw Data'!BH207/10</f>
        <v>517.79999999999995</v>
      </c>
      <c r="BI206" s="86">
        <f>'Raw Data'!BI207/10</f>
        <v>516.79999999999995</v>
      </c>
      <c r="BJ206" s="86">
        <f>'Raw Data'!BJ207/10</f>
        <v>502.8</v>
      </c>
      <c r="BK206" s="86">
        <f>'Raw Data'!BK207/10</f>
        <v>495.4</v>
      </c>
      <c r="BL206" s="86">
        <f>'Raw Data'!BL207/10</f>
        <v>478.6</v>
      </c>
      <c r="BM206" s="86">
        <f>'Raw Data'!BM207/10</f>
        <v>464.6</v>
      </c>
      <c r="BN206" s="86">
        <f>'Raw Data'!BN207/10</f>
        <v>453.3</v>
      </c>
      <c r="BO206" s="86">
        <f>'Raw Data'!BO207/10</f>
        <v>440</v>
      </c>
      <c r="BP206" s="86">
        <f>'Raw Data'!BP207/10</f>
        <v>430.7</v>
      </c>
      <c r="BQ206" s="86">
        <f>'Raw Data'!BQ207/10</f>
        <v>418.9</v>
      </c>
      <c r="BR206" s="86">
        <f>'Raw Data'!BR207/10</f>
        <v>404.5</v>
      </c>
      <c r="BS206" s="86">
        <f>'Raw Data'!BS207/10</f>
        <v>393.5</v>
      </c>
      <c r="BT206" s="86">
        <f>'Raw Data'!BT207/10</f>
        <v>382.9</v>
      </c>
      <c r="BU206" s="86">
        <f>'Raw Data'!BU207/10</f>
        <v>385.6</v>
      </c>
      <c r="BV206" s="86">
        <f>'Raw Data'!BV207/10</f>
        <v>370.4</v>
      </c>
      <c r="BW206" s="86">
        <f>'Raw Data'!BW207/10</f>
        <v>362.5</v>
      </c>
      <c r="BX206" s="86">
        <f>'Raw Data'!BX207/10</f>
        <v>351.9</v>
      </c>
      <c r="BY206" s="86">
        <f>'Raw Data'!BY207/10</f>
        <v>341.3</v>
      </c>
      <c r="BZ206" s="86">
        <f>'Raw Data'!BZ207/10</f>
        <v>336</v>
      </c>
      <c r="CA206" s="86">
        <f>'Raw Data'!CA207/10</f>
        <v>333.6</v>
      </c>
      <c r="CB206" s="86">
        <f>'Raw Data'!CB207/10</f>
        <v>326.5</v>
      </c>
      <c r="CC206" s="86">
        <f>'Raw Data'!CC207/10</f>
        <v>323.60000000000002</v>
      </c>
      <c r="CD206" s="86">
        <f>'Raw Data'!CD207/10</f>
        <v>309.10000000000002</v>
      </c>
      <c r="CE206" s="86">
        <f>'Raw Data'!CE207/10</f>
        <v>303.2</v>
      </c>
      <c r="CF206" s="86">
        <f>'Raw Data'!CF207/10</f>
        <v>300.7</v>
      </c>
      <c r="CG206" s="86">
        <f>'Raw Data'!CG207/100</f>
        <v>267.79000000000002</v>
      </c>
      <c r="CH206" s="86">
        <f>'Raw Data'!CH207/100</f>
        <v>227.6</v>
      </c>
      <c r="CI206" s="86">
        <f>'Raw Data'!CI207/100</f>
        <v>195.22</v>
      </c>
      <c r="CJ206" s="86">
        <f>'Raw Data'!CJ207/100</f>
        <v>170.28</v>
      </c>
      <c r="CK206" s="86">
        <f>'Raw Data'!CK207/100</f>
        <v>153.11000000000001</v>
      </c>
      <c r="CL206" s="86">
        <f>'Raw Data'!CL207/100</f>
        <v>136.83000000000001</v>
      </c>
      <c r="CM206" s="86">
        <f>'Raw Data'!CM207/100</f>
        <v>122.24</v>
      </c>
      <c r="CN206" s="86">
        <f>'Raw Data'!CN207/100</f>
        <v>112.41</v>
      </c>
      <c r="CO206" s="86">
        <f>'Raw Data'!CO207/100</f>
        <v>104.78</v>
      </c>
      <c r="CP206" s="86">
        <f>'Raw Data'!CP207/100</f>
        <v>95.68</v>
      </c>
      <c r="CQ206" s="86">
        <f>'Raw Data'!CQ207/100</f>
        <v>90.71</v>
      </c>
      <c r="CR206" s="86">
        <f>'Raw Data'!CR207/100</f>
        <v>84.95</v>
      </c>
      <c r="CS206" s="86">
        <f>'Raw Data'!CS207/100</f>
        <v>79.86</v>
      </c>
      <c r="CT206" s="86">
        <f>'Raw Data'!CT207/100</f>
        <v>76.66</v>
      </c>
      <c r="CU206" s="382"/>
    </row>
    <row r="207" spans="4:99" s="86" customFormat="1" x14ac:dyDescent="0.2">
      <c r="D207" s="379"/>
      <c r="E207" s="381"/>
      <c r="F207" s="395"/>
      <c r="G207" s="87">
        <f>'Raw Data'!G208</f>
        <v>1139</v>
      </c>
      <c r="H207" s="87">
        <f>'Raw Data'!H208</f>
        <v>1195</v>
      </c>
      <c r="I207" s="87">
        <f>'Raw Data'!I208</f>
        <v>1171</v>
      </c>
      <c r="J207" s="87">
        <f>'Raw Data'!J208</f>
        <v>1186</v>
      </c>
      <c r="K207" s="87">
        <f>'Raw Data'!K208</f>
        <v>1110</v>
      </c>
      <c r="L207" s="87">
        <f>'Raw Data'!L208</f>
        <v>1156</v>
      </c>
      <c r="M207" s="87">
        <f>'Raw Data'!M208</f>
        <v>1194</v>
      </c>
      <c r="N207" s="87">
        <f>'Raw Data'!N208</f>
        <v>1217</v>
      </c>
      <c r="O207" s="87">
        <f>'Raw Data'!O208</f>
        <v>1140</v>
      </c>
      <c r="P207" s="87">
        <f>'Raw Data'!P208</f>
        <v>1165</v>
      </c>
      <c r="Q207" s="87">
        <f>'Raw Data'!Q208</f>
        <v>1152</v>
      </c>
      <c r="R207" s="87">
        <f>'Raw Data'!R208</f>
        <v>1142</v>
      </c>
      <c r="S207" s="87">
        <f>'Raw Data'!S208</f>
        <v>1112</v>
      </c>
      <c r="T207" s="87">
        <f>'Raw Data'!T208</f>
        <v>1147</v>
      </c>
      <c r="U207" s="87">
        <f>'Raw Data'!U208</f>
        <v>1108</v>
      </c>
      <c r="V207" s="87">
        <f>'Raw Data'!V208</f>
        <v>1136</v>
      </c>
      <c r="W207" s="87">
        <f>'Raw Data'!W208</f>
        <v>1055</v>
      </c>
      <c r="X207" s="87">
        <f>'Raw Data'!X208</f>
        <v>1070</v>
      </c>
      <c r="Y207" s="87">
        <f>'Raw Data'!Y208</f>
        <v>1062</v>
      </c>
      <c r="Z207" s="87">
        <f>'Raw Data'!Z208</f>
        <v>1051</v>
      </c>
      <c r="AA207" s="87">
        <f>'Raw Data'!AA208/10</f>
        <v>1070.2</v>
      </c>
      <c r="AB207" s="87">
        <f>'Raw Data'!AB208/10</f>
        <v>1012.2</v>
      </c>
      <c r="AC207" s="87">
        <f>'Raw Data'!AC208/10</f>
        <v>954.1</v>
      </c>
      <c r="AD207" s="87">
        <f>'Raw Data'!AD208/10</f>
        <v>917.3</v>
      </c>
      <c r="AE207" s="87">
        <f>'Raw Data'!AE208/10</f>
        <v>867.9</v>
      </c>
      <c r="AF207" s="87">
        <f>'Raw Data'!AF208/10</f>
        <v>827.4</v>
      </c>
      <c r="AG207" s="87">
        <f>'Raw Data'!AG208/10</f>
        <v>802.3</v>
      </c>
      <c r="AH207" s="87">
        <f>'Raw Data'!AH208/10</f>
        <v>760.6</v>
      </c>
      <c r="AI207" s="87">
        <f>'Raw Data'!AI208/10</f>
        <v>711.5</v>
      </c>
      <c r="AJ207" s="87">
        <f>'Raw Data'!AJ208/10</f>
        <v>692.4</v>
      </c>
      <c r="AK207" s="87">
        <f>'Raw Data'!AK208/10</f>
        <v>660.1</v>
      </c>
      <c r="AL207" s="87">
        <f>'Raw Data'!AL208/10</f>
        <v>642.79999999999995</v>
      </c>
      <c r="AM207" s="87">
        <f>'Raw Data'!AM208/10</f>
        <v>618.70000000000005</v>
      </c>
      <c r="AN207" s="87">
        <f>'Raw Data'!AN208/10</f>
        <v>576.6</v>
      </c>
      <c r="AO207" s="87">
        <f>'Raw Data'!AO208/10</f>
        <v>556.5</v>
      </c>
      <c r="AP207" s="87">
        <f>'Raw Data'!AP208/10</f>
        <v>535.20000000000005</v>
      </c>
      <c r="AQ207" s="87">
        <f>'Raw Data'!AQ208/10</f>
        <v>523.4</v>
      </c>
      <c r="AR207" s="87">
        <f>'Raw Data'!AR208/10</f>
        <v>503.1</v>
      </c>
      <c r="AS207" s="87">
        <f>'Raw Data'!AS208/10</f>
        <v>484.3</v>
      </c>
      <c r="AT207" s="87">
        <f>'Raw Data'!AT208/10</f>
        <v>471.8</v>
      </c>
      <c r="AU207" s="87">
        <f>'Raw Data'!AU208/10</f>
        <v>453.6</v>
      </c>
      <c r="AV207" s="87">
        <f>'Raw Data'!AV208/10</f>
        <v>429.4</v>
      </c>
      <c r="AW207" s="87">
        <f>'Raw Data'!AW208/10</f>
        <v>415.7</v>
      </c>
      <c r="AX207" s="87">
        <f>'Raw Data'!AX208/10</f>
        <v>413.6</v>
      </c>
      <c r="AY207" s="87">
        <f>'Raw Data'!AY208/10</f>
        <v>393.3</v>
      </c>
      <c r="AZ207" s="87">
        <f>'Raw Data'!AZ208/10</f>
        <v>374.5</v>
      </c>
      <c r="BA207" s="87">
        <f>'Raw Data'!BA208/10</f>
        <v>366.7</v>
      </c>
      <c r="BB207" s="87">
        <f>'Raw Data'!BB208/10</f>
        <v>364.5</v>
      </c>
      <c r="BC207" s="87">
        <f>'Raw Data'!BC208/10</f>
        <v>329.1</v>
      </c>
      <c r="BD207" s="87">
        <f>'Raw Data'!BD208/10</f>
        <v>343.3</v>
      </c>
      <c r="BE207" s="87">
        <f>'Raw Data'!BE208/10</f>
        <v>323</v>
      </c>
      <c r="BF207" s="87">
        <f>'Raw Data'!BF208/10</f>
        <v>321.5</v>
      </c>
      <c r="BG207" s="87">
        <f>'Raw Data'!BG208/10</f>
        <v>316.8</v>
      </c>
      <c r="BH207" s="87">
        <f>'Raw Data'!BH208/10</f>
        <v>302.2</v>
      </c>
      <c r="BI207" s="87">
        <f>'Raw Data'!BI208/10</f>
        <v>295.2</v>
      </c>
      <c r="BJ207" s="87">
        <f>'Raw Data'!BJ208/10</f>
        <v>294.5</v>
      </c>
      <c r="BK207" s="87">
        <f>'Raw Data'!BK208/10</f>
        <v>288.10000000000002</v>
      </c>
      <c r="BL207" s="87">
        <f>'Raw Data'!BL208/10</f>
        <v>277.5</v>
      </c>
      <c r="BM207" s="87">
        <f>'Raw Data'!BM208/10</f>
        <v>271.89999999999998</v>
      </c>
      <c r="BN207" s="87">
        <f>'Raw Data'!BN208/10</f>
        <v>262.10000000000002</v>
      </c>
      <c r="BO207" s="87">
        <f>'Raw Data'!BO208/10</f>
        <v>256.60000000000002</v>
      </c>
      <c r="BP207" s="87">
        <f>'Raw Data'!BP208/10</f>
        <v>255.9</v>
      </c>
      <c r="BQ207" s="87">
        <f>'Raw Data'!BQ208/10</f>
        <v>248.9</v>
      </c>
      <c r="BR207" s="87">
        <f>'Raw Data'!BR208/10</f>
        <v>243.1</v>
      </c>
      <c r="BS207" s="87">
        <f>'Raw Data'!BS208/10</f>
        <v>233</v>
      </c>
      <c r="BT207" s="87">
        <f>'Raw Data'!BT208/10</f>
        <v>232.5</v>
      </c>
      <c r="BU207" s="87">
        <f>'Raw Data'!BU208/10</f>
        <v>227.6</v>
      </c>
      <c r="BV207" s="87">
        <f>'Raw Data'!BV208/10</f>
        <v>217.2</v>
      </c>
      <c r="BW207" s="87">
        <f>'Raw Data'!BW208/10</f>
        <v>222.8</v>
      </c>
      <c r="BX207" s="87">
        <f>'Raw Data'!BX208/10</f>
        <v>213.4</v>
      </c>
      <c r="BY207" s="87">
        <f>'Raw Data'!BY208/10</f>
        <v>211.5</v>
      </c>
      <c r="BZ207" s="87">
        <f>'Raw Data'!BZ208/10</f>
        <v>213.2</v>
      </c>
      <c r="CA207" s="87">
        <f>'Raw Data'!CA208/10</f>
        <v>208.9</v>
      </c>
      <c r="CB207" s="87">
        <f>'Raw Data'!CB208/10</f>
        <v>195.6</v>
      </c>
      <c r="CC207" s="87">
        <f>'Raw Data'!CC208/10</f>
        <v>197.8</v>
      </c>
      <c r="CD207" s="87">
        <f>'Raw Data'!CD208/10</f>
        <v>192.9</v>
      </c>
      <c r="CE207" s="87">
        <f>'Raw Data'!CE208/10</f>
        <v>189.6</v>
      </c>
      <c r="CF207" s="87">
        <f>'Raw Data'!CF208/10</f>
        <v>188.2</v>
      </c>
      <c r="CG207" s="87">
        <f>'Raw Data'!CG208/100</f>
        <v>171.76</v>
      </c>
      <c r="CH207" s="87">
        <f>'Raw Data'!CH208/100</f>
        <v>147.54</v>
      </c>
      <c r="CI207" s="87">
        <f>'Raw Data'!CI208/100</f>
        <v>131.21</v>
      </c>
      <c r="CJ207" s="87">
        <f>'Raw Data'!CJ208/100</f>
        <v>118.35</v>
      </c>
      <c r="CK207" s="87">
        <f>'Raw Data'!CK208/100</f>
        <v>106.91</v>
      </c>
      <c r="CL207" s="87">
        <f>'Raw Data'!CL208/100</f>
        <v>98.08</v>
      </c>
      <c r="CM207" s="87">
        <f>'Raw Data'!CM208/100</f>
        <v>91.88</v>
      </c>
      <c r="CN207" s="87">
        <f>'Raw Data'!CN208/100</f>
        <v>83.58</v>
      </c>
      <c r="CO207" s="87">
        <f>'Raw Data'!CO208/100</f>
        <v>79.14</v>
      </c>
      <c r="CP207" s="87">
        <f>'Raw Data'!CP208/100</f>
        <v>76.05</v>
      </c>
      <c r="CQ207" s="87">
        <f>'Raw Data'!CQ208/100</f>
        <v>70.989999999999995</v>
      </c>
      <c r="CR207" s="87">
        <f>'Raw Data'!CR208/100</f>
        <v>67.3</v>
      </c>
      <c r="CS207" s="87">
        <f>'Raw Data'!CS208/100</f>
        <v>65.069999999999993</v>
      </c>
      <c r="CT207" s="87">
        <f>'Raw Data'!CT208/100</f>
        <v>61.94</v>
      </c>
      <c r="CU207" s="382"/>
    </row>
    <row r="208" spans="4:99" s="86" customFormat="1" x14ac:dyDescent="0.2">
      <c r="D208" s="376"/>
      <c r="E208" s="164"/>
      <c r="F208" s="394"/>
      <c r="G208" s="86">
        <f>'Raw Data'!G209</f>
        <v>13758</v>
      </c>
      <c r="H208" s="86">
        <f>'Raw Data'!H209</f>
        <v>13823</v>
      </c>
      <c r="I208" s="86">
        <f>'Raw Data'!I209</f>
        <v>13604</v>
      </c>
      <c r="J208" s="86">
        <f>'Raw Data'!J209</f>
        <v>13468</v>
      </c>
      <c r="K208" s="86">
        <f>'Raw Data'!K209</f>
        <v>13462</v>
      </c>
      <c r="L208" s="86">
        <f>'Raw Data'!L209</f>
        <v>13392</v>
      </c>
      <c r="M208" s="86">
        <f>'Raw Data'!M209</f>
        <v>13353</v>
      </c>
      <c r="N208" s="86">
        <f>'Raw Data'!N209</f>
        <v>13135</v>
      </c>
      <c r="O208" s="86">
        <f>'Raw Data'!O209</f>
        <v>13107</v>
      </c>
      <c r="P208" s="86">
        <f>'Raw Data'!P209</f>
        <v>13146</v>
      </c>
      <c r="Q208" s="86">
        <f>'Raw Data'!Q209</f>
        <v>12901</v>
      </c>
      <c r="R208" s="86">
        <f>'Raw Data'!R209</f>
        <v>13056</v>
      </c>
      <c r="S208" s="86">
        <f>'Raw Data'!S209</f>
        <v>12605</v>
      </c>
      <c r="T208" s="86">
        <f>'Raw Data'!T209</f>
        <v>12873</v>
      </c>
      <c r="U208" s="86">
        <f>'Raw Data'!U209</f>
        <v>12775</v>
      </c>
      <c r="V208" s="86">
        <f>'Raw Data'!V209</f>
        <v>12840</v>
      </c>
      <c r="W208" s="86">
        <f>'Raw Data'!W209</f>
        <v>12619</v>
      </c>
      <c r="X208" s="86">
        <f>'Raw Data'!X209</f>
        <v>12659</v>
      </c>
      <c r="Y208" s="86">
        <f>'Raw Data'!Y209</f>
        <v>12625</v>
      </c>
      <c r="Z208" s="86">
        <f>'Raw Data'!Z209</f>
        <v>12499</v>
      </c>
      <c r="AA208" s="83">
        <f>'Raw Data'!AA209/10</f>
        <v>12160.3</v>
      </c>
      <c r="AB208" s="83">
        <f>'Raw Data'!AB209/10</f>
        <v>11528.6</v>
      </c>
      <c r="AC208" s="83">
        <f>'Raw Data'!AC209/10</f>
        <v>10896.2</v>
      </c>
      <c r="AD208" s="83">
        <f>'Raw Data'!AD209/10</f>
        <v>10275.1</v>
      </c>
      <c r="AE208" s="83">
        <f>'Raw Data'!AE209/10</f>
        <v>9730.4</v>
      </c>
      <c r="AF208" s="83">
        <f>'Raw Data'!AF209/10</f>
        <v>9202.7000000000007</v>
      </c>
      <c r="AG208" s="83">
        <f>'Raw Data'!AG209/10</f>
        <v>8721.4</v>
      </c>
      <c r="AH208" s="83">
        <f>'Raw Data'!AH209/10</f>
        <v>8245.2000000000007</v>
      </c>
      <c r="AI208" s="83">
        <f>'Raw Data'!AI209/10</f>
        <v>7759.4</v>
      </c>
      <c r="AJ208" s="83">
        <f>'Raw Data'!AJ209/10</f>
        <v>7392.8</v>
      </c>
      <c r="AK208" s="83">
        <f>'Raw Data'!AK209/10</f>
        <v>7015.4</v>
      </c>
      <c r="AL208" s="83">
        <f>'Raw Data'!AL209/10</f>
        <v>6694.9</v>
      </c>
      <c r="AM208" s="83">
        <f>'Raw Data'!AM209/10</f>
        <v>6324.2</v>
      </c>
      <c r="AN208" s="83">
        <f>'Raw Data'!AN209/10</f>
        <v>6036</v>
      </c>
      <c r="AO208" s="83">
        <f>'Raw Data'!AO209/10</f>
        <v>5763.3</v>
      </c>
      <c r="AP208" s="83">
        <f>'Raw Data'!AP209/10</f>
        <v>5546.7</v>
      </c>
      <c r="AQ208" s="83">
        <f>'Raw Data'!AQ209/10</f>
        <v>5261.4</v>
      </c>
      <c r="AR208" s="83">
        <f>'Raw Data'!AR209/10</f>
        <v>5038.2</v>
      </c>
      <c r="AS208" s="83">
        <f>'Raw Data'!AS209/10</f>
        <v>4850.6000000000004</v>
      </c>
      <c r="AT208" s="83">
        <f>'Raw Data'!AT209/10</f>
        <v>4613.1000000000004</v>
      </c>
      <c r="AU208" s="83">
        <f>'Raw Data'!AU209/10</f>
        <v>4447.2</v>
      </c>
      <c r="AV208" s="83">
        <f>'Raw Data'!AV209/10</f>
        <v>4279</v>
      </c>
      <c r="AW208" s="83">
        <f>'Raw Data'!AW209/10</f>
        <v>4119.7</v>
      </c>
      <c r="AX208" s="83">
        <f>'Raw Data'!AX209/10</f>
        <v>3925</v>
      </c>
      <c r="AY208" s="83">
        <f>'Raw Data'!AY209/10</f>
        <v>3798.3</v>
      </c>
      <c r="AZ208" s="83">
        <f>'Raw Data'!AZ209/10</f>
        <v>3680.3</v>
      </c>
      <c r="BA208" s="83">
        <f>'Raw Data'!BA209/10</f>
        <v>3548.9</v>
      </c>
      <c r="BB208" s="83">
        <f>'Raw Data'!BB209/10</f>
        <v>3381</v>
      </c>
      <c r="BC208" s="83">
        <f>'Raw Data'!BC209/10</f>
        <v>3280.4</v>
      </c>
      <c r="BD208" s="83">
        <f>'Raw Data'!BD209/10</f>
        <v>3194.2</v>
      </c>
      <c r="BE208" s="83">
        <f>'Raw Data'!BE209/10</f>
        <v>3049.7</v>
      </c>
      <c r="BF208" s="83">
        <f>'Raw Data'!BF209/10</f>
        <v>2959.8</v>
      </c>
      <c r="BG208" s="83">
        <f>'Raw Data'!BG209/10</f>
        <v>2868.1</v>
      </c>
      <c r="BH208" s="83">
        <f>'Raw Data'!BH209/10</f>
        <v>2779.6</v>
      </c>
      <c r="BI208" s="83">
        <f>'Raw Data'!BI209/10</f>
        <v>2682.1</v>
      </c>
      <c r="BJ208" s="83">
        <f>'Raw Data'!BJ209/10</f>
        <v>2593.1999999999998</v>
      </c>
      <c r="BK208" s="83">
        <f>'Raw Data'!BK209/10</f>
        <v>2536.1999999999998</v>
      </c>
      <c r="BL208" s="83">
        <f>'Raw Data'!BL209/10</f>
        <v>2457.4</v>
      </c>
      <c r="BM208" s="83">
        <f>'Raw Data'!BM209/10</f>
        <v>2374.1</v>
      </c>
      <c r="BN208" s="83">
        <f>'Raw Data'!BN209/10</f>
        <v>2299</v>
      </c>
      <c r="BO208" s="83">
        <f>'Raw Data'!BO209/10</f>
        <v>2274.5</v>
      </c>
      <c r="BP208" s="83">
        <f>'Raw Data'!BP209/10</f>
        <v>2208.6</v>
      </c>
      <c r="BQ208" s="83">
        <f>'Raw Data'!BQ209/10</f>
        <v>2140.1</v>
      </c>
      <c r="BR208" s="83">
        <f>'Raw Data'!BR209/10</f>
        <v>2076.3000000000002</v>
      </c>
      <c r="BS208" s="83">
        <f>'Raw Data'!BS209/10</f>
        <v>2028.4</v>
      </c>
      <c r="BT208" s="83">
        <f>'Raw Data'!BT209/10</f>
        <v>1961.4</v>
      </c>
      <c r="BU208" s="83">
        <f>'Raw Data'!BU209/10</f>
        <v>1908</v>
      </c>
      <c r="BV208" s="83">
        <f>'Raw Data'!BV209/10</f>
        <v>1862.6</v>
      </c>
      <c r="BW208" s="83">
        <f>'Raw Data'!BW209/10</f>
        <v>1806.6</v>
      </c>
      <c r="BX208" s="83">
        <f>'Raw Data'!BX209/10</f>
        <v>1790.4</v>
      </c>
      <c r="BY208" s="83">
        <f>'Raw Data'!BY209/10</f>
        <v>1732.6</v>
      </c>
      <c r="BZ208" s="83">
        <f>'Raw Data'!BZ209/10</f>
        <v>1701.9</v>
      </c>
      <c r="CA208" s="83">
        <f>'Raw Data'!CA209/10</f>
        <v>1646.9</v>
      </c>
      <c r="CB208" s="83">
        <f>'Raw Data'!CB209/10</f>
        <v>1602.8</v>
      </c>
      <c r="CC208" s="83">
        <f>'Raw Data'!CC209/10</f>
        <v>1591.1</v>
      </c>
      <c r="CD208" s="83">
        <f>'Raw Data'!CD209/10</f>
        <v>1556</v>
      </c>
      <c r="CE208" s="83">
        <f>'Raw Data'!CE209/10</f>
        <v>1506.9</v>
      </c>
      <c r="CF208" s="83">
        <f>'Raw Data'!CF209/10</f>
        <v>1473</v>
      </c>
      <c r="CG208" s="83">
        <f>'Raw Data'!CG209/100</f>
        <v>1322.51</v>
      </c>
      <c r="CH208" s="83">
        <f>'Raw Data'!CH209/100</f>
        <v>1098.3</v>
      </c>
      <c r="CI208" s="83">
        <f>'Raw Data'!CI209/100</f>
        <v>926.12</v>
      </c>
      <c r="CJ208" s="83">
        <f>'Raw Data'!CJ209/100</f>
        <v>804.07</v>
      </c>
      <c r="CK208" s="83">
        <f>'Raw Data'!CK209/100</f>
        <v>703.81</v>
      </c>
      <c r="CL208" s="83">
        <f>'Raw Data'!CL209/100</f>
        <v>628.01</v>
      </c>
      <c r="CM208" s="83">
        <f>'Raw Data'!CM209/100</f>
        <v>566.79999999999995</v>
      </c>
      <c r="CN208" s="83">
        <f>'Raw Data'!CN209/100</f>
        <v>512.88</v>
      </c>
      <c r="CO208" s="83">
        <f>'Raw Data'!CO209/100</f>
        <v>473.24</v>
      </c>
      <c r="CP208" s="83">
        <f>'Raw Data'!CP209/100</f>
        <v>435.22</v>
      </c>
      <c r="CQ208" s="83">
        <f>'Raw Data'!CQ209/100</f>
        <v>403.23</v>
      </c>
      <c r="CR208" s="83">
        <f>'Raw Data'!CR209/100</f>
        <v>376.28</v>
      </c>
      <c r="CS208" s="83">
        <f>'Raw Data'!CS209/100</f>
        <v>352.75</v>
      </c>
      <c r="CT208" s="83">
        <f>'Raw Data'!CT209/100</f>
        <v>332.26</v>
      </c>
      <c r="CU208" s="382"/>
    </row>
    <row r="209" spans="4:99" s="86" customFormat="1" x14ac:dyDescent="0.2">
      <c r="D209" s="376"/>
      <c r="E209" s="164"/>
      <c r="F209" s="394"/>
      <c r="G209" s="86">
        <f>'Raw Data'!G210</f>
        <v>2702</v>
      </c>
      <c r="H209" s="86">
        <f>'Raw Data'!H210</f>
        <v>2797</v>
      </c>
      <c r="I209" s="86">
        <f>'Raw Data'!I210</f>
        <v>2771</v>
      </c>
      <c r="J209" s="86">
        <f>'Raw Data'!J210</f>
        <v>2692</v>
      </c>
      <c r="K209" s="86">
        <f>'Raw Data'!K210</f>
        <v>2722</v>
      </c>
      <c r="L209" s="86">
        <f>'Raw Data'!L210</f>
        <v>2679</v>
      </c>
      <c r="M209" s="86">
        <f>'Raw Data'!M210</f>
        <v>2630</v>
      </c>
      <c r="N209" s="86">
        <f>'Raw Data'!N210</f>
        <v>2663</v>
      </c>
      <c r="O209" s="86">
        <f>'Raw Data'!O210</f>
        <v>2617</v>
      </c>
      <c r="P209" s="86">
        <f>'Raw Data'!P210</f>
        <v>2663</v>
      </c>
      <c r="Q209" s="86">
        <f>'Raw Data'!Q210</f>
        <v>2596</v>
      </c>
      <c r="R209" s="86">
        <f>'Raw Data'!R210</f>
        <v>2579</v>
      </c>
      <c r="S209" s="86">
        <f>'Raw Data'!S210</f>
        <v>2620</v>
      </c>
      <c r="T209" s="86">
        <f>'Raw Data'!T210</f>
        <v>2591</v>
      </c>
      <c r="U209" s="86">
        <f>'Raw Data'!U210</f>
        <v>2568</v>
      </c>
      <c r="V209" s="86">
        <f>'Raw Data'!V210</f>
        <v>2657</v>
      </c>
      <c r="W209" s="86">
        <f>'Raw Data'!W210</f>
        <v>2496</v>
      </c>
      <c r="X209" s="86">
        <f>'Raw Data'!X210</f>
        <v>2525</v>
      </c>
      <c r="Y209" s="86">
        <f>'Raw Data'!Y210</f>
        <v>2515</v>
      </c>
      <c r="Z209" s="86">
        <f>'Raw Data'!Z210</f>
        <v>2497</v>
      </c>
      <c r="AA209" s="83">
        <f>'Raw Data'!AA210/10</f>
        <v>2449.6999999999998</v>
      </c>
      <c r="AB209" s="83">
        <f>'Raw Data'!AB210/10</f>
        <v>2345.1999999999998</v>
      </c>
      <c r="AC209" s="83">
        <f>'Raw Data'!AC210/10</f>
        <v>2220.6999999999998</v>
      </c>
      <c r="AD209" s="83">
        <f>'Raw Data'!AD210/10</f>
        <v>2105.1999999999998</v>
      </c>
      <c r="AE209" s="83">
        <f>'Raw Data'!AE210/10</f>
        <v>2022.1</v>
      </c>
      <c r="AF209" s="83">
        <f>'Raw Data'!AF210/10</f>
        <v>1921.5</v>
      </c>
      <c r="AG209" s="83">
        <f>'Raw Data'!AG210/10</f>
        <v>1825</v>
      </c>
      <c r="AH209" s="83">
        <f>'Raw Data'!AH210/10</f>
        <v>1728.3</v>
      </c>
      <c r="AI209" s="83">
        <f>'Raw Data'!AI210/10</f>
        <v>1652</v>
      </c>
      <c r="AJ209" s="83">
        <f>'Raw Data'!AJ210/10</f>
        <v>1560.3</v>
      </c>
      <c r="AK209" s="83">
        <f>'Raw Data'!AK210/10</f>
        <v>1522.6</v>
      </c>
      <c r="AL209" s="83">
        <f>'Raw Data'!AL210/10</f>
        <v>1444.9</v>
      </c>
      <c r="AM209" s="83">
        <f>'Raw Data'!AM210/10</f>
        <v>1396.4</v>
      </c>
      <c r="AN209" s="83">
        <f>'Raw Data'!AN210/10</f>
        <v>1340.5</v>
      </c>
      <c r="AO209" s="83">
        <f>'Raw Data'!AO210/10</f>
        <v>1283.5999999999999</v>
      </c>
      <c r="AP209" s="83">
        <f>'Raw Data'!AP210/10</f>
        <v>1221.5</v>
      </c>
      <c r="AQ209" s="83">
        <f>'Raw Data'!AQ210/10</f>
        <v>1185.4000000000001</v>
      </c>
      <c r="AR209" s="83">
        <f>'Raw Data'!AR210/10</f>
        <v>1144.4000000000001</v>
      </c>
      <c r="AS209" s="83">
        <f>'Raw Data'!AS210/10</f>
        <v>1113.8</v>
      </c>
      <c r="AT209" s="83">
        <f>'Raw Data'!AT210/10</f>
        <v>1056.5</v>
      </c>
      <c r="AU209" s="83">
        <f>'Raw Data'!AU210/10</f>
        <v>1032.9000000000001</v>
      </c>
      <c r="AV209" s="83">
        <f>'Raw Data'!AV210/10</f>
        <v>1011.9</v>
      </c>
      <c r="AW209" s="83">
        <f>'Raw Data'!AW210/10</f>
        <v>975.9</v>
      </c>
      <c r="AX209" s="83">
        <f>'Raw Data'!AX210/10</f>
        <v>949.8</v>
      </c>
      <c r="AY209" s="83">
        <f>'Raw Data'!AY210/10</f>
        <v>919.6</v>
      </c>
      <c r="AZ209" s="83">
        <f>'Raw Data'!AZ210/10</f>
        <v>888.2</v>
      </c>
      <c r="BA209" s="83">
        <f>'Raw Data'!BA210/10</f>
        <v>876.7</v>
      </c>
      <c r="BB209" s="83">
        <f>'Raw Data'!BB210/10</f>
        <v>852.2</v>
      </c>
      <c r="BC209" s="83">
        <f>'Raw Data'!BC210/10</f>
        <v>822</v>
      </c>
      <c r="BD209" s="83">
        <f>'Raw Data'!BD210/10</f>
        <v>788.9</v>
      </c>
      <c r="BE209" s="83">
        <f>'Raw Data'!BE210/10</f>
        <v>784.3</v>
      </c>
      <c r="BF209" s="83">
        <f>'Raw Data'!BF210/10</f>
        <v>768.8</v>
      </c>
      <c r="BG209" s="83">
        <f>'Raw Data'!BG210/10</f>
        <v>746.3</v>
      </c>
      <c r="BH209" s="83">
        <f>'Raw Data'!BH210/10</f>
        <v>735</v>
      </c>
      <c r="BI209" s="83">
        <f>'Raw Data'!BI210/10</f>
        <v>712</v>
      </c>
      <c r="BJ209" s="83">
        <f>'Raw Data'!BJ210/10</f>
        <v>680.1</v>
      </c>
      <c r="BK209" s="83">
        <f>'Raw Data'!BK210/10</f>
        <v>673.4</v>
      </c>
      <c r="BL209" s="83">
        <f>'Raw Data'!BL210/10</f>
        <v>665.7</v>
      </c>
      <c r="BM209" s="83">
        <f>'Raw Data'!BM210/10</f>
        <v>653.4</v>
      </c>
      <c r="BN209" s="83">
        <f>'Raw Data'!BN210/10</f>
        <v>644.70000000000005</v>
      </c>
      <c r="BO209" s="83">
        <f>'Raw Data'!BO210/10</f>
        <v>631.1</v>
      </c>
      <c r="BP209" s="83">
        <f>'Raw Data'!BP210/10</f>
        <v>616.6</v>
      </c>
      <c r="BQ209" s="83">
        <f>'Raw Data'!BQ210/10</f>
        <v>609.29999999999995</v>
      </c>
      <c r="BR209" s="83">
        <f>'Raw Data'!BR210/10</f>
        <v>588.9</v>
      </c>
      <c r="BS209" s="83">
        <f>'Raw Data'!BS210/10</f>
        <v>582.5</v>
      </c>
      <c r="BT209" s="83">
        <f>'Raw Data'!BT210/10</f>
        <v>565.6</v>
      </c>
      <c r="BU209" s="83">
        <f>'Raw Data'!BU210/10</f>
        <v>557.79999999999995</v>
      </c>
      <c r="BV209" s="83">
        <f>'Raw Data'!BV210/10</f>
        <v>559.29999999999995</v>
      </c>
      <c r="BW209" s="83">
        <f>'Raw Data'!BW210/10</f>
        <v>549.9</v>
      </c>
      <c r="BX209" s="83">
        <f>'Raw Data'!BX210/10</f>
        <v>540.1</v>
      </c>
      <c r="BY209" s="83">
        <f>'Raw Data'!BY210/10</f>
        <v>531.1</v>
      </c>
      <c r="BZ209" s="83">
        <f>'Raw Data'!BZ210/10</f>
        <v>514.1</v>
      </c>
      <c r="CA209" s="83">
        <f>'Raw Data'!CA210/10</f>
        <v>508</v>
      </c>
      <c r="CB209" s="83">
        <f>'Raw Data'!CB210/10</f>
        <v>503.4</v>
      </c>
      <c r="CC209" s="83">
        <f>'Raw Data'!CC210/10</f>
        <v>497</v>
      </c>
      <c r="CD209" s="83">
        <f>'Raw Data'!CD210/10</f>
        <v>492.6</v>
      </c>
      <c r="CE209" s="83">
        <f>'Raw Data'!CE210/10</f>
        <v>477.2</v>
      </c>
      <c r="CF209" s="83">
        <f>'Raw Data'!CF210/10</f>
        <v>474</v>
      </c>
      <c r="CG209" s="83">
        <f>'Raw Data'!CG210/100</f>
        <v>441.93</v>
      </c>
      <c r="CH209" s="83">
        <f>'Raw Data'!CH210/100</f>
        <v>395.05</v>
      </c>
      <c r="CI209" s="83">
        <f>'Raw Data'!CI210/100</f>
        <v>361.54</v>
      </c>
      <c r="CJ209" s="83">
        <f>'Raw Data'!CJ210/100</f>
        <v>329.83</v>
      </c>
      <c r="CK209" s="83">
        <f>'Raw Data'!CK210/100</f>
        <v>308.08999999999997</v>
      </c>
      <c r="CL209" s="83">
        <f>'Raw Data'!CL210/100</f>
        <v>289.26</v>
      </c>
      <c r="CM209" s="83">
        <f>'Raw Data'!CM210/100</f>
        <v>271</v>
      </c>
      <c r="CN209" s="83">
        <f>'Raw Data'!CN210/100</f>
        <v>258.51</v>
      </c>
      <c r="CO209" s="83">
        <f>'Raw Data'!CO210/100</f>
        <v>247.03</v>
      </c>
      <c r="CP209" s="83">
        <f>'Raw Data'!CP210/100</f>
        <v>232.77</v>
      </c>
      <c r="CQ209" s="83">
        <f>'Raw Data'!CQ210/100</f>
        <v>223.52</v>
      </c>
      <c r="CR209" s="83">
        <f>'Raw Data'!CR210/100</f>
        <v>215.3</v>
      </c>
      <c r="CS209" s="83">
        <f>'Raw Data'!CS210/100</f>
        <v>208.22</v>
      </c>
      <c r="CT209" s="83">
        <f>'Raw Data'!CT210/100</f>
        <v>199.84</v>
      </c>
      <c r="CU209" s="382"/>
    </row>
    <row r="210" spans="4:99" s="86" customFormat="1" x14ac:dyDescent="0.2">
      <c r="D210" s="376"/>
      <c r="E210" s="164"/>
      <c r="F210" s="394"/>
      <c r="G210" s="86">
        <f>'Raw Data'!G211</f>
        <v>5335</v>
      </c>
      <c r="H210" s="86">
        <f>'Raw Data'!H211</f>
        <v>5356</v>
      </c>
      <c r="I210" s="86">
        <f>'Raw Data'!I211</f>
        <v>5257</v>
      </c>
      <c r="J210" s="86">
        <f>'Raw Data'!J211</f>
        <v>5348</v>
      </c>
      <c r="K210" s="86">
        <f>'Raw Data'!K211</f>
        <v>5219</v>
      </c>
      <c r="L210" s="86">
        <f>'Raw Data'!L211</f>
        <v>5190</v>
      </c>
      <c r="M210" s="86">
        <f>'Raw Data'!M211</f>
        <v>5202</v>
      </c>
      <c r="N210" s="86">
        <f>'Raw Data'!N211</f>
        <v>5194</v>
      </c>
      <c r="O210" s="86">
        <f>'Raw Data'!O211</f>
        <v>5187</v>
      </c>
      <c r="P210" s="86">
        <f>'Raw Data'!P211</f>
        <v>5236</v>
      </c>
      <c r="Q210" s="86">
        <f>'Raw Data'!Q211</f>
        <v>5181</v>
      </c>
      <c r="R210" s="86">
        <f>'Raw Data'!R211</f>
        <v>5046</v>
      </c>
      <c r="S210" s="86">
        <f>'Raw Data'!S211</f>
        <v>5035</v>
      </c>
      <c r="T210" s="86">
        <f>'Raw Data'!T211</f>
        <v>4974</v>
      </c>
      <c r="U210" s="86">
        <f>'Raw Data'!U211</f>
        <v>4932</v>
      </c>
      <c r="V210" s="86">
        <f>'Raw Data'!V211</f>
        <v>4970</v>
      </c>
      <c r="W210" s="86">
        <f>'Raw Data'!W211</f>
        <v>4850</v>
      </c>
      <c r="X210" s="86">
        <f>'Raw Data'!X211</f>
        <v>4852</v>
      </c>
      <c r="Y210" s="86">
        <f>'Raw Data'!Y211</f>
        <v>4946</v>
      </c>
      <c r="Z210" s="86">
        <f>'Raw Data'!Z211</f>
        <v>4799</v>
      </c>
      <c r="AA210" s="83">
        <f>'Raw Data'!AA211/10</f>
        <v>4680.8999999999996</v>
      </c>
      <c r="AB210" s="83">
        <f>'Raw Data'!AB211/10</f>
        <v>4457.6000000000004</v>
      </c>
      <c r="AC210" s="83">
        <f>'Raw Data'!AC211/10</f>
        <v>4144.2</v>
      </c>
      <c r="AD210" s="83">
        <f>'Raw Data'!AD211/10</f>
        <v>3942</v>
      </c>
      <c r="AE210" s="83">
        <f>'Raw Data'!AE211/10</f>
        <v>3695.6</v>
      </c>
      <c r="AF210" s="83">
        <f>'Raw Data'!AF211/10</f>
        <v>3494.3</v>
      </c>
      <c r="AG210" s="83">
        <f>'Raw Data'!AG211/10</f>
        <v>3312</v>
      </c>
      <c r="AH210" s="83">
        <f>'Raw Data'!AH211/10</f>
        <v>3133.4</v>
      </c>
      <c r="AI210" s="83">
        <f>'Raw Data'!AI211/10</f>
        <v>2965.5</v>
      </c>
      <c r="AJ210" s="83">
        <f>'Raw Data'!AJ211/10</f>
        <v>2840.2</v>
      </c>
      <c r="AK210" s="83">
        <f>'Raw Data'!AK211/10</f>
        <v>2662.8</v>
      </c>
      <c r="AL210" s="83">
        <f>'Raw Data'!AL211/10</f>
        <v>2559.1</v>
      </c>
      <c r="AM210" s="83">
        <f>'Raw Data'!AM211/10</f>
        <v>2423.6</v>
      </c>
      <c r="AN210" s="83">
        <f>'Raw Data'!AN211/10</f>
        <v>2351.3000000000002</v>
      </c>
      <c r="AO210" s="83">
        <f>'Raw Data'!AO211/10</f>
        <v>2218.6</v>
      </c>
      <c r="AP210" s="83">
        <f>'Raw Data'!AP211/10</f>
        <v>2112.6999999999998</v>
      </c>
      <c r="AQ210" s="83">
        <f>'Raw Data'!AQ211/10</f>
        <v>2044.5</v>
      </c>
      <c r="AR210" s="83">
        <f>'Raw Data'!AR211/10</f>
        <v>1907</v>
      </c>
      <c r="AS210" s="83">
        <f>'Raw Data'!AS211/10</f>
        <v>1868.4</v>
      </c>
      <c r="AT210" s="83">
        <f>'Raw Data'!AT211/10</f>
        <v>1793</v>
      </c>
      <c r="AU210" s="83">
        <f>'Raw Data'!AU211/10</f>
        <v>1739.2</v>
      </c>
      <c r="AV210" s="83">
        <f>'Raw Data'!AV211/10</f>
        <v>1646.8</v>
      </c>
      <c r="AW210" s="83">
        <f>'Raw Data'!AW211/10</f>
        <v>1594.4</v>
      </c>
      <c r="AX210" s="83">
        <f>'Raw Data'!AX211/10</f>
        <v>1525.3</v>
      </c>
      <c r="AY210" s="83">
        <f>'Raw Data'!AY211/10</f>
        <v>1499.6</v>
      </c>
      <c r="AZ210" s="83">
        <f>'Raw Data'!AZ211/10</f>
        <v>1414.1</v>
      </c>
      <c r="BA210" s="83">
        <f>'Raw Data'!BA211/10</f>
        <v>1376.5</v>
      </c>
      <c r="BB210" s="83">
        <f>'Raw Data'!BB211/10</f>
        <v>1324</v>
      </c>
      <c r="BC210" s="83">
        <f>'Raw Data'!BC211/10</f>
        <v>1295.0999999999999</v>
      </c>
      <c r="BD210" s="83">
        <f>'Raw Data'!BD211/10</f>
        <v>1248.2</v>
      </c>
      <c r="BE210" s="83">
        <f>'Raw Data'!BE211/10</f>
        <v>1227.5999999999999</v>
      </c>
      <c r="BF210" s="83">
        <f>'Raw Data'!BF211/10</f>
        <v>1175.8</v>
      </c>
      <c r="BG210" s="83">
        <f>'Raw Data'!BG211/10</f>
        <v>1124.0999999999999</v>
      </c>
      <c r="BH210" s="83">
        <f>'Raw Data'!BH211/10</f>
        <v>1088.9000000000001</v>
      </c>
      <c r="BI210" s="83">
        <f>'Raw Data'!BI211/10</f>
        <v>1074.7</v>
      </c>
      <c r="BJ210" s="83">
        <f>'Raw Data'!BJ211/10</f>
        <v>1046.9000000000001</v>
      </c>
      <c r="BK210" s="83">
        <f>'Raw Data'!BK211/10</f>
        <v>1009.9</v>
      </c>
      <c r="BL210" s="83">
        <f>'Raw Data'!BL211/10</f>
        <v>979.3</v>
      </c>
      <c r="BM210" s="83">
        <f>'Raw Data'!BM211/10</f>
        <v>957.2</v>
      </c>
      <c r="BN210" s="83">
        <f>'Raw Data'!BN211/10</f>
        <v>939.9</v>
      </c>
      <c r="BO210" s="83">
        <f>'Raw Data'!BO211/10</f>
        <v>905.9</v>
      </c>
      <c r="BP210" s="83">
        <f>'Raw Data'!BP211/10</f>
        <v>878.1</v>
      </c>
      <c r="BQ210" s="83">
        <f>'Raw Data'!BQ211/10</f>
        <v>860.4</v>
      </c>
      <c r="BR210" s="83">
        <f>'Raw Data'!BR211/10</f>
        <v>847.2</v>
      </c>
      <c r="BS210" s="83">
        <f>'Raw Data'!BS211/10</f>
        <v>833</v>
      </c>
      <c r="BT210" s="83">
        <f>'Raw Data'!BT211/10</f>
        <v>799.6</v>
      </c>
      <c r="BU210" s="83">
        <f>'Raw Data'!BU211/10</f>
        <v>789.8</v>
      </c>
      <c r="BV210" s="83">
        <f>'Raw Data'!BV211/10</f>
        <v>772.6</v>
      </c>
      <c r="BW210" s="83">
        <f>'Raw Data'!BW211/10</f>
        <v>747.1</v>
      </c>
      <c r="BX210" s="83">
        <f>'Raw Data'!BX211/10</f>
        <v>726</v>
      </c>
      <c r="BY210" s="83">
        <f>'Raw Data'!BY211/10</f>
        <v>711.7</v>
      </c>
      <c r="BZ210" s="83">
        <f>'Raw Data'!BZ211/10</f>
        <v>703.4</v>
      </c>
      <c r="CA210" s="83">
        <f>'Raw Data'!CA211/10</f>
        <v>689.8</v>
      </c>
      <c r="CB210" s="83">
        <f>'Raw Data'!CB211/10</f>
        <v>669.6</v>
      </c>
      <c r="CC210" s="83">
        <f>'Raw Data'!CC211/10</f>
        <v>665.7</v>
      </c>
      <c r="CD210" s="83">
        <f>'Raw Data'!CD211/10</f>
        <v>643</v>
      </c>
      <c r="CE210" s="83">
        <f>'Raw Data'!CE211/10</f>
        <v>646</v>
      </c>
      <c r="CF210" s="83">
        <f>'Raw Data'!CF211/10</f>
        <v>622.29999999999995</v>
      </c>
      <c r="CG210" s="83">
        <f>'Raw Data'!CG211/100</f>
        <v>568.46</v>
      </c>
      <c r="CH210" s="83">
        <f>'Raw Data'!CH211/100</f>
        <v>487.17</v>
      </c>
      <c r="CI210" s="83">
        <f>'Raw Data'!CI211/100</f>
        <v>426.3</v>
      </c>
      <c r="CJ210" s="83">
        <f>'Raw Data'!CJ211/100</f>
        <v>371.87</v>
      </c>
      <c r="CK210" s="83">
        <f>'Raw Data'!CK211/100</f>
        <v>336.76</v>
      </c>
      <c r="CL210" s="83">
        <f>'Raw Data'!CL211/100</f>
        <v>307.33999999999997</v>
      </c>
      <c r="CM210" s="83">
        <f>'Raw Data'!CM211/100</f>
        <v>279.56</v>
      </c>
      <c r="CN210" s="83">
        <f>'Raw Data'!CN211/100</f>
        <v>259.83</v>
      </c>
      <c r="CO210" s="83">
        <f>'Raw Data'!CO211/100</f>
        <v>242.43</v>
      </c>
      <c r="CP210" s="83">
        <f>'Raw Data'!CP211/100</f>
        <v>227.47</v>
      </c>
      <c r="CQ210" s="83">
        <f>'Raw Data'!CQ211/100</f>
        <v>216.2</v>
      </c>
      <c r="CR210" s="83">
        <f>'Raw Data'!CR211/100</f>
        <v>204.22</v>
      </c>
      <c r="CS210" s="83">
        <f>'Raw Data'!CS211/100</f>
        <v>192.22</v>
      </c>
      <c r="CT210" s="83">
        <f>'Raw Data'!CT211/100</f>
        <v>184.49</v>
      </c>
      <c r="CU210" s="382"/>
    </row>
    <row r="211" spans="4:99" s="86" customFormat="1" x14ac:dyDescent="0.2">
      <c r="D211" s="376"/>
      <c r="E211" s="164"/>
      <c r="F211" s="394"/>
      <c r="G211" s="86">
        <f>'Raw Data'!G212</f>
        <v>2437</v>
      </c>
      <c r="H211" s="86">
        <f>'Raw Data'!H212</f>
        <v>2462</v>
      </c>
      <c r="I211" s="86">
        <f>'Raw Data'!I212</f>
        <v>2535</v>
      </c>
      <c r="J211" s="86">
        <f>'Raw Data'!J212</f>
        <v>2468</v>
      </c>
      <c r="K211" s="86">
        <f>'Raw Data'!K212</f>
        <v>2442</v>
      </c>
      <c r="L211" s="86">
        <f>'Raw Data'!L212</f>
        <v>2482</v>
      </c>
      <c r="M211" s="86">
        <f>'Raw Data'!M212</f>
        <v>2494</v>
      </c>
      <c r="N211" s="86">
        <f>'Raw Data'!N212</f>
        <v>2431</v>
      </c>
      <c r="O211" s="86">
        <f>'Raw Data'!O212</f>
        <v>2398</v>
      </c>
      <c r="P211" s="86">
        <f>'Raw Data'!P212</f>
        <v>2379</v>
      </c>
      <c r="Q211" s="86">
        <f>'Raw Data'!Q212</f>
        <v>2481</v>
      </c>
      <c r="R211" s="86">
        <f>'Raw Data'!R212</f>
        <v>2385</v>
      </c>
      <c r="S211" s="86">
        <f>'Raw Data'!S212</f>
        <v>2376</v>
      </c>
      <c r="T211" s="86">
        <f>'Raw Data'!T212</f>
        <v>2375</v>
      </c>
      <c r="U211" s="86">
        <f>'Raw Data'!U212</f>
        <v>2324</v>
      </c>
      <c r="V211" s="86">
        <f>'Raw Data'!V212</f>
        <v>2263</v>
      </c>
      <c r="W211" s="86">
        <f>'Raw Data'!W212</f>
        <v>2307</v>
      </c>
      <c r="X211" s="86">
        <f>'Raw Data'!X212</f>
        <v>2344</v>
      </c>
      <c r="Y211" s="86">
        <f>'Raw Data'!Y212</f>
        <v>2268</v>
      </c>
      <c r="Z211" s="86">
        <f>'Raw Data'!Z212</f>
        <v>2245</v>
      </c>
      <c r="AA211" s="83">
        <f>'Raw Data'!AA212/10</f>
        <v>2228.5</v>
      </c>
      <c r="AB211" s="83">
        <f>'Raw Data'!AB212/10</f>
        <v>2134.1999999999998</v>
      </c>
      <c r="AC211" s="83">
        <f>'Raw Data'!AC212/10</f>
        <v>2009.4</v>
      </c>
      <c r="AD211" s="83">
        <f>'Raw Data'!AD212/10</f>
        <v>1880.7</v>
      </c>
      <c r="AE211" s="83">
        <f>'Raw Data'!AE212/10</f>
        <v>1807.1</v>
      </c>
      <c r="AF211" s="83">
        <f>'Raw Data'!AF212/10</f>
        <v>1697.5</v>
      </c>
      <c r="AG211" s="83">
        <f>'Raw Data'!AG212/10</f>
        <v>1619.2</v>
      </c>
      <c r="AH211" s="83">
        <f>'Raw Data'!AH212/10</f>
        <v>1530</v>
      </c>
      <c r="AI211" s="83">
        <f>'Raw Data'!AI212/10</f>
        <v>1472.7</v>
      </c>
      <c r="AJ211" s="83">
        <f>'Raw Data'!AJ212/10</f>
        <v>1388</v>
      </c>
      <c r="AK211" s="83">
        <f>'Raw Data'!AK212/10</f>
        <v>1340.7</v>
      </c>
      <c r="AL211" s="83">
        <f>'Raw Data'!AL212/10</f>
        <v>1270.7</v>
      </c>
      <c r="AM211" s="83">
        <f>'Raw Data'!AM212/10</f>
        <v>1214.4000000000001</v>
      </c>
      <c r="AN211" s="83">
        <f>'Raw Data'!AN212/10</f>
        <v>1155.4000000000001</v>
      </c>
      <c r="AO211" s="83">
        <f>'Raw Data'!AO212/10</f>
        <v>1121.4000000000001</v>
      </c>
      <c r="AP211" s="83">
        <f>'Raw Data'!AP212/10</f>
        <v>1066.0999999999999</v>
      </c>
      <c r="AQ211" s="83">
        <f>'Raw Data'!AQ212/10</f>
        <v>1025.9000000000001</v>
      </c>
      <c r="AR211" s="83">
        <f>'Raw Data'!AR212/10</f>
        <v>977.3</v>
      </c>
      <c r="AS211" s="83">
        <f>'Raw Data'!AS212/10</f>
        <v>961.7</v>
      </c>
      <c r="AT211" s="83">
        <f>'Raw Data'!AT212/10</f>
        <v>928.3</v>
      </c>
      <c r="AU211" s="83">
        <f>'Raw Data'!AU212/10</f>
        <v>902.8</v>
      </c>
      <c r="AV211" s="83">
        <f>'Raw Data'!AV212/10</f>
        <v>858.5</v>
      </c>
      <c r="AW211" s="83">
        <f>'Raw Data'!AW212/10</f>
        <v>823.1</v>
      </c>
      <c r="AX211" s="83">
        <f>'Raw Data'!AX212/10</f>
        <v>801.6</v>
      </c>
      <c r="AY211" s="83">
        <f>'Raw Data'!AY212/10</f>
        <v>782</v>
      </c>
      <c r="AZ211" s="83">
        <f>'Raw Data'!AZ212/10</f>
        <v>761.1</v>
      </c>
      <c r="BA211" s="83">
        <f>'Raw Data'!BA212/10</f>
        <v>735.1</v>
      </c>
      <c r="BB211" s="83">
        <f>'Raw Data'!BB212/10</f>
        <v>710.3</v>
      </c>
      <c r="BC211" s="83">
        <f>'Raw Data'!BC212/10</f>
        <v>699.7</v>
      </c>
      <c r="BD211" s="83">
        <f>'Raw Data'!BD212/10</f>
        <v>670.7</v>
      </c>
      <c r="BE211" s="83">
        <f>'Raw Data'!BE212/10</f>
        <v>659.8</v>
      </c>
      <c r="BF211" s="83">
        <f>'Raw Data'!BF212/10</f>
        <v>634.70000000000005</v>
      </c>
      <c r="BG211" s="83">
        <f>'Raw Data'!BG212/10</f>
        <v>623.6</v>
      </c>
      <c r="BH211" s="83">
        <f>'Raw Data'!BH212/10</f>
        <v>615.70000000000005</v>
      </c>
      <c r="BI211" s="83">
        <f>'Raw Data'!BI212/10</f>
        <v>595.6</v>
      </c>
      <c r="BJ211" s="83">
        <f>'Raw Data'!BJ212/10</f>
        <v>581.4</v>
      </c>
      <c r="BK211" s="83">
        <f>'Raw Data'!BK212/10</f>
        <v>563</v>
      </c>
      <c r="BL211" s="83">
        <f>'Raw Data'!BL212/10</f>
        <v>559.6</v>
      </c>
      <c r="BM211" s="83">
        <f>'Raw Data'!BM212/10</f>
        <v>543.5</v>
      </c>
      <c r="BN211" s="83">
        <f>'Raw Data'!BN212/10</f>
        <v>533.70000000000005</v>
      </c>
      <c r="BO211" s="83">
        <f>'Raw Data'!BO212/10</f>
        <v>508.5</v>
      </c>
      <c r="BP211" s="83">
        <f>'Raw Data'!BP212/10</f>
        <v>510.4</v>
      </c>
      <c r="BQ211" s="83">
        <f>'Raw Data'!BQ212/10</f>
        <v>498.7</v>
      </c>
      <c r="BR211" s="83">
        <f>'Raw Data'!BR212/10</f>
        <v>479</v>
      </c>
      <c r="BS211" s="83">
        <f>'Raw Data'!BS212/10</f>
        <v>487.7</v>
      </c>
      <c r="BT211" s="83">
        <f>'Raw Data'!BT212/10</f>
        <v>466.7</v>
      </c>
      <c r="BU211" s="83">
        <f>'Raw Data'!BU212/10</f>
        <v>452.7</v>
      </c>
      <c r="BV211" s="83">
        <f>'Raw Data'!BV212/10</f>
        <v>445.5</v>
      </c>
      <c r="BW211" s="83">
        <f>'Raw Data'!BW212/10</f>
        <v>432.8</v>
      </c>
      <c r="BX211" s="83">
        <f>'Raw Data'!BX212/10</f>
        <v>435.2</v>
      </c>
      <c r="BY211" s="83">
        <f>'Raw Data'!BY212/10</f>
        <v>435.8</v>
      </c>
      <c r="BZ211" s="83">
        <f>'Raw Data'!BZ212/10</f>
        <v>421.6</v>
      </c>
      <c r="CA211" s="83">
        <f>'Raw Data'!CA212/10</f>
        <v>416.3</v>
      </c>
      <c r="CB211" s="83">
        <f>'Raw Data'!CB212/10</f>
        <v>405.1</v>
      </c>
      <c r="CC211" s="83">
        <f>'Raw Data'!CC212/10</f>
        <v>402.8</v>
      </c>
      <c r="CD211" s="83">
        <f>'Raw Data'!CD212/10</f>
        <v>393.3</v>
      </c>
      <c r="CE211" s="83">
        <f>'Raw Data'!CE212/10</f>
        <v>384.9</v>
      </c>
      <c r="CF211" s="83">
        <f>'Raw Data'!CF212/10</f>
        <v>385.8</v>
      </c>
      <c r="CG211" s="83">
        <f>'Raw Data'!CG212/100</f>
        <v>353.32</v>
      </c>
      <c r="CH211" s="83">
        <f>'Raw Data'!CH212/100</f>
        <v>312.14</v>
      </c>
      <c r="CI211" s="83">
        <f>'Raw Data'!CI212/100</f>
        <v>283.05</v>
      </c>
      <c r="CJ211" s="83">
        <f>'Raw Data'!CJ212/100</f>
        <v>256.56</v>
      </c>
      <c r="CK211" s="83">
        <f>'Raw Data'!CK212/100</f>
        <v>237.24</v>
      </c>
      <c r="CL211" s="83">
        <f>'Raw Data'!CL212/100</f>
        <v>221.85</v>
      </c>
      <c r="CM211" s="83">
        <f>'Raw Data'!CM212/100</f>
        <v>206.13</v>
      </c>
      <c r="CN211" s="83">
        <f>'Raw Data'!CN212/100</f>
        <v>195.49</v>
      </c>
      <c r="CO211" s="83">
        <f>'Raw Data'!CO212/100</f>
        <v>187.19</v>
      </c>
      <c r="CP211" s="83">
        <f>'Raw Data'!CP212/100</f>
        <v>178.62</v>
      </c>
      <c r="CQ211" s="83">
        <f>'Raw Data'!CQ212/100</f>
        <v>170.33</v>
      </c>
      <c r="CR211" s="83">
        <f>'Raw Data'!CR212/100</f>
        <v>163.13</v>
      </c>
      <c r="CS211" s="83">
        <f>'Raw Data'!CS212/100</f>
        <v>158.01</v>
      </c>
      <c r="CT211" s="83">
        <f>'Raw Data'!CT212/100</f>
        <v>152.63999999999999</v>
      </c>
      <c r="CU211" s="382"/>
    </row>
    <row r="212" spans="4:99" s="86" customFormat="1" x14ac:dyDescent="0.2">
      <c r="D212" s="376"/>
      <c r="E212" s="164"/>
      <c r="F212" s="394"/>
      <c r="G212" s="86">
        <f>'Raw Data'!G213</f>
        <v>9275</v>
      </c>
      <c r="H212" s="86">
        <f>'Raw Data'!H213</f>
        <v>9375</v>
      </c>
      <c r="I212" s="86">
        <f>'Raw Data'!I213</f>
        <v>9351</v>
      </c>
      <c r="J212" s="86">
        <f>'Raw Data'!J213</f>
        <v>9149</v>
      </c>
      <c r="K212" s="86">
        <f>'Raw Data'!K213</f>
        <v>9160</v>
      </c>
      <c r="L212" s="86">
        <f>'Raw Data'!L213</f>
        <v>9112</v>
      </c>
      <c r="M212" s="86">
        <f>'Raw Data'!M213</f>
        <v>9152</v>
      </c>
      <c r="N212" s="86">
        <f>'Raw Data'!N213</f>
        <v>8991</v>
      </c>
      <c r="O212" s="86">
        <f>'Raw Data'!O213</f>
        <v>8898</v>
      </c>
      <c r="P212" s="86">
        <f>'Raw Data'!P213</f>
        <v>8939</v>
      </c>
      <c r="Q212" s="86">
        <f>'Raw Data'!Q213</f>
        <v>8913</v>
      </c>
      <c r="R212" s="86">
        <f>'Raw Data'!R213</f>
        <v>8864</v>
      </c>
      <c r="S212" s="86">
        <f>'Raw Data'!S213</f>
        <v>8771</v>
      </c>
      <c r="T212" s="86">
        <f>'Raw Data'!T213</f>
        <v>8709</v>
      </c>
      <c r="U212" s="86">
        <f>'Raw Data'!U213</f>
        <v>8587</v>
      </c>
      <c r="V212" s="86">
        <f>'Raw Data'!V213</f>
        <v>8539</v>
      </c>
      <c r="W212" s="86">
        <f>'Raw Data'!W213</f>
        <v>8501</v>
      </c>
      <c r="X212" s="86">
        <f>'Raw Data'!X213</f>
        <v>8493</v>
      </c>
      <c r="Y212" s="86">
        <f>'Raw Data'!Y213</f>
        <v>8448</v>
      </c>
      <c r="Z212" s="86">
        <f>'Raw Data'!Z213</f>
        <v>8478</v>
      </c>
      <c r="AA212" s="83">
        <f>'Raw Data'!AA213/10</f>
        <v>8120.8</v>
      </c>
      <c r="AB212" s="83">
        <f>'Raw Data'!AB213/10</f>
        <v>7669.9</v>
      </c>
      <c r="AC212" s="83">
        <f>'Raw Data'!AC213/10</f>
        <v>7264.7</v>
      </c>
      <c r="AD212" s="83">
        <f>'Raw Data'!AD213/10</f>
        <v>6777.3</v>
      </c>
      <c r="AE212" s="83">
        <f>'Raw Data'!AE213/10</f>
        <v>6366.7</v>
      </c>
      <c r="AF212" s="83">
        <f>'Raw Data'!AF213/10</f>
        <v>6087.4</v>
      </c>
      <c r="AG212" s="83">
        <f>'Raw Data'!AG213/10</f>
        <v>5689.7</v>
      </c>
      <c r="AH212" s="83">
        <f>'Raw Data'!AH213/10</f>
        <v>5397.8</v>
      </c>
      <c r="AI212" s="83">
        <f>'Raw Data'!AI213/10</f>
        <v>5104.5</v>
      </c>
      <c r="AJ212" s="83">
        <f>'Raw Data'!AJ213/10</f>
        <v>4866.3</v>
      </c>
      <c r="AK212" s="83">
        <f>'Raw Data'!AK213/10</f>
        <v>4623.6000000000004</v>
      </c>
      <c r="AL212" s="83">
        <f>'Raw Data'!AL213/10</f>
        <v>4368</v>
      </c>
      <c r="AM212" s="83">
        <f>'Raw Data'!AM213/10</f>
        <v>4193.1000000000004</v>
      </c>
      <c r="AN212" s="83">
        <f>'Raw Data'!AN213/10</f>
        <v>3965.3</v>
      </c>
      <c r="AO212" s="83">
        <f>'Raw Data'!AO213/10</f>
        <v>3803.2</v>
      </c>
      <c r="AP212" s="83">
        <f>'Raw Data'!AP213/10</f>
        <v>3603.2</v>
      </c>
      <c r="AQ212" s="83">
        <f>'Raw Data'!AQ213/10</f>
        <v>3439.1</v>
      </c>
      <c r="AR212" s="83">
        <f>'Raw Data'!AR213/10</f>
        <v>3312.9</v>
      </c>
      <c r="AS212" s="83">
        <f>'Raw Data'!AS213/10</f>
        <v>3214</v>
      </c>
      <c r="AT212" s="83">
        <f>'Raw Data'!AT213/10</f>
        <v>3037.3</v>
      </c>
      <c r="AU212" s="83">
        <f>'Raw Data'!AU213/10</f>
        <v>2937</v>
      </c>
      <c r="AV212" s="83">
        <f>'Raw Data'!AV213/10</f>
        <v>2829.8</v>
      </c>
      <c r="AW212" s="83">
        <f>'Raw Data'!AW213/10</f>
        <v>2690.2</v>
      </c>
      <c r="AX212" s="83">
        <f>'Raw Data'!AX213/10</f>
        <v>2625.5</v>
      </c>
      <c r="AY212" s="83">
        <f>'Raw Data'!AY213/10</f>
        <v>2537.9</v>
      </c>
      <c r="AZ212" s="83">
        <f>'Raw Data'!AZ213/10</f>
        <v>2442.9</v>
      </c>
      <c r="BA212" s="83">
        <f>'Raw Data'!BA213/10</f>
        <v>2337.6</v>
      </c>
      <c r="BB212" s="83">
        <f>'Raw Data'!BB213/10</f>
        <v>2261.1</v>
      </c>
      <c r="BC212" s="83">
        <f>'Raw Data'!BC213/10</f>
        <v>2193.6</v>
      </c>
      <c r="BD212" s="83">
        <f>'Raw Data'!BD213/10</f>
        <v>2112.1</v>
      </c>
      <c r="BE212" s="83">
        <f>'Raw Data'!BE213/10</f>
        <v>2041.5</v>
      </c>
      <c r="BF212" s="83">
        <f>'Raw Data'!BF213/10</f>
        <v>1974.7</v>
      </c>
      <c r="BG212" s="83">
        <f>'Raw Data'!BG213/10</f>
        <v>1933.9</v>
      </c>
      <c r="BH212" s="83">
        <f>'Raw Data'!BH213/10</f>
        <v>1836.5</v>
      </c>
      <c r="BI212" s="83">
        <f>'Raw Data'!BI213/10</f>
        <v>1800.4</v>
      </c>
      <c r="BJ212" s="83">
        <f>'Raw Data'!BJ213/10</f>
        <v>1763</v>
      </c>
      <c r="BK212" s="83">
        <f>'Raw Data'!BK213/10</f>
        <v>1708.8</v>
      </c>
      <c r="BL212" s="83">
        <f>'Raw Data'!BL213/10</f>
        <v>1662.1</v>
      </c>
      <c r="BM212" s="83">
        <f>'Raw Data'!BM213/10</f>
        <v>1626.7</v>
      </c>
      <c r="BN212" s="83">
        <f>'Raw Data'!BN213/10</f>
        <v>1588.5</v>
      </c>
      <c r="BO212" s="83">
        <f>'Raw Data'!BO213/10</f>
        <v>1546.9</v>
      </c>
      <c r="BP212" s="83">
        <f>'Raw Data'!BP213/10</f>
        <v>1493.8</v>
      </c>
      <c r="BQ212" s="83">
        <f>'Raw Data'!BQ213/10</f>
        <v>1457.8</v>
      </c>
      <c r="BR212" s="83">
        <f>'Raw Data'!BR213/10</f>
        <v>1410</v>
      </c>
      <c r="BS212" s="83">
        <f>'Raw Data'!BS213/10</f>
        <v>1382.4</v>
      </c>
      <c r="BT212" s="83">
        <f>'Raw Data'!BT213/10</f>
        <v>1359.5</v>
      </c>
      <c r="BU212" s="83">
        <f>'Raw Data'!BU213/10</f>
        <v>1318.3</v>
      </c>
      <c r="BV212" s="83">
        <f>'Raw Data'!BV213/10</f>
        <v>1294</v>
      </c>
      <c r="BW212" s="83">
        <f>'Raw Data'!BW213/10</f>
        <v>1269</v>
      </c>
      <c r="BX212" s="83">
        <f>'Raw Data'!BX213/10</f>
        <v>1231.4000000000001</v>
      </c>
      <c r="BY212" s="83">
        <f>'Raw Data'!BY213/10</f>
        <v>1201.0999999999999</v>
      </c>
      <c r="BZ212" s="83">
        <f>'Raw Data'!BZ213/10</f>
        <v>1177.5999999999999</v>
      </c>
      <c r="CA212" s="83">
        <f>'Raw Data'!CA213/10</f>
        <v>1148.7</v>
      </c>
      <c r="CB212" s="83">
        <f>'Raw Data'!CB213/10</f>
        <v>1124.2</v>
      </c>
      <c r="CC212" s="83">
        <f>'Raw Data'!CC213/10</f>
        <v>1097.2</v>
      </c>
      <c r="CD212" s="83">
        <f>'Raw Data'!CD213/10</f>
        <v>1090.9000000000001</v>
      </c>
      <c r="CE212" s="83">
        <f>'Raw Data'!CE213/10</f>
        <v>1057.0999999999999</v>
      </c>
      <c r="CF212" s="83">
        <f>'Raw Data'!CF213/10</f>
        <v>1027.7</v>
      </c>
      <c r="CG212" s="83">
        <f>'Raw Data'!CG213/100</f>
        <v>939.47</v>
      </c>
      <c r="CH212" s="83">
        <f>'Raw Data'!CH213/100</f>
        <v>791.14</v>
      </c>
      <c r="CI212" s="83">
        <f>'Raw Data'!CI213/100</f>
        <v>682.68</v>
      </c>
      <c r="CJ212" s="83">
        <f>'Raw Data'!CJ213/100</f>
        <v>598.9</v>
      </c>
      <c r="CK212" s="83">
        <f>'Raw Data'!CK213/100</f>
        <v>538.84</v>
      </c>
      <c r="CL212" s="83">
        <f>'Raw Data'!CL213/100</f>
        <v>481.04</v>
      </c>
      <c r="CM212" s="83">
        <f>'Raw Data'!CM213/100</f>
        <v>439.03</v>
      </c>
      <c r="CN212" s="83">
        <f>'Raw Data'!CN213/100</f>
        <v>403.81</v>
      </c>
      <c r="CO212" s="83">
        <f>'Raw Data'!CO213/100</f>
        <v>375.84</v>
      </c>
      <c r="CP212" s="83">
        <f>'Raw Data'!CP213/100</f>
        <v>352.5</v>
      </c>
      <c r="CQ212" s="83">
        <f>'Raw Data'!CQ213/100</f>
        <v>328.99</v>
      </c>
      <c r="CR212" s="83">
        <f>'Raw Data'!CR213/100</f>
        <v>308.12</v>
      </c>
      <c r="CS212" s="83">
        <f>'Raw Data'!CS213/100</f>
        <v>291.07</v>
      </c>
      <c r="CT212" s="83">
        <f>'Raw Data'!CT213/100</f>
        <v>276.62</v>
      </c>
      <c r="CU212" s="382"/>
    </row>
    <row r="213" spans="4:99" s="86" customFormat="1" x14ac:dyDescent="0.2">
      <c r="D213" s="376"/>
      <c r="E213" s="164"/>
      <c r="F213" s="394"/>
      <c r="G213" s="86">
        <f>'Raw Data'!G214</f>
        <v>2550</v>
      </c>
      <c r="H213" s="86">
        <f>'Raw Data'!H214</f>
        <v>2510</v>
      </c>
      <c r="I213" s="86">
        <f>'Raw Data'!I214</f>
        <v>2563</v>
      </c>
      <c r="J213" s="86">
        <f>'Raw Data'!J214</f>
        <v>2478</v>
      </c>
      <c r="K213" s="86">
        <f>'Raw Data'!K214</f>
        <v>2524</v>
      </c>
      <c r="L213" s="86">
        <f>'Raw Data'!L214</f>
        <v>2516</v>
      </c>
      <c r="M213" s="86">
        <f>'Raw Data'!M214</f>
        <v>2483</v>
      </c>
      <c r="N213" s="86">
        <f>'Raw Data'!N214</f>
        <v>2433</v>
      </c>
      <c r="O213" s="86">
        <f>'Raw Data'!O214</f>
        <v>2499</v>
      </c>
      <c r="P213" s="86">
        <f>'Raw Data'!P214</f>
        <v>2465</v>
      </c>
      <c r="Q213" s="86">
        <f>'Raw Data'!Q214</f>
        <v>2442</v>
      </c>
      <c r="R213" s="86">
        <f>'Raw Data'!R214</f>
        <v>2431</v>
      </c>
      <c r="S213" s="86">
        <f>'Raw Data'!S214</f>
        <v>2356</v>
      </c>
      <c r="T213" s="86">
        <f>'Raw Data'!T214</f>
        <v>2372</v>
      </c>
      <c r="U213" s="86">
        <f>'Raw Data'!U214</f>
        <v>2382</v>
      </c>
      <c r="V213" s="86">
        <f>'Raw Data'!V214</f>
        <v>2367</v>
      </c>
      <c r="W213" s="86">
        <f>'Raw Data'!W214</f>
        <v>2368</v>
      </c>
      <c r="X213" s="86">
        <f>'Raw Data'!X214</f>
        <v>2334</v>
      </c>
      <c r="Y213" s="86">
        <f>'Raw Data'!Y214</f>
        <v>2345</v>
      </c>
      <c r="Z213" s="86">
        <f>'Raw Data'!Z214</f>
        <v>2294</v>
      </c>
      <c r="AA213" s="83">
        <f>'Raw Data'!AA214/10</f>
        <v>2297.8000000000002</v>
      </c>
      <c r="AB213" s="83">
        <f>'Raw Data'!AB214/10</f>
        <v>2172.3000000000002</v>
      </c>
      <c r="AC213" s="83">
        <f>'Raw Data'!AC214/10</f>
        <v>2060.4</v>
      </c>
      <c r="AD213" s="83">
        <f>'Raw Data'!AD214/10</f>
        <v>1980.7</v>
      </c>
      <c r="AE213" s="83">
        <f>'Raw Data'!AE214/10</f>
        <v>1847</v>
      </c>
      <c r="AF213" s="83">
        <f>'Raw Data'!AF214/10</f>
        <v>1780.8</v>
      </c>
      <c r="AG213" s="83">
        <f>'Raw Data'!AG214/10</f>
        <v>1685.6</v>
      </c>
      <c r="AH213" s="83">
        <f>'Raw Data'!AH214/10</f>
        <v>1587.2</v>
      </c>
      <c r="AI213" s="83">
        <f>'Raw Data'!AI214/10</f>
        <v>1526.4</v>
      </c>
      <c r="AJ213" s="83">
        <f>'Raw Data'!AJ214/10</f>
        <v>1463.1</v>
      </c>
      <c r="AK213" s="83">
        <f>'Raw Data'!AK214/10</f>
        <v>1397.9</v>
      </c>
      <c r="AL213" s="83">
        <f>'Raw Data'!AL214/10</f>
        <v>1341.6</v>
      </c>
      <c r="AM213" s="83">
        <f>'Raw Data'!AM214/10</f>
        <v>1288</v>
      </c>
      <c r="AN213" s="83">
        <f>'Raw Data'!AN214/10</f>
        <v>1240</v>
      </c>
      <c r="AO213" s="83">
        <f>'Raw Data'!AO214/10</f>
        <v>1187.0999999999999</v>
      </c>
      <c r="AP213" s="83">
        <f>'Raw Data'!AP214/10</f>
        <v>1132.3</v>
      </c>
      <c r="AQ213" s="83">
        <f>'Raw Data'!AQ214/10</f>
        <v>1095.5999999999999</v>
      </c>
      <c r="AR213" s="83">
        <f>'Raw Data'!AR214/10</f>
        <v>1050.5</v>
      </c>
      <c r="AS213" s="83">
        <f>'Raw Data'!AS214/10</f>
        <v>1023.7</v>
      </c>
      <c r="AT213" s="83">
        <f>'Raw Data'!AT214/10</f>
        <v>985.2</v>
      </c>
      <c r="AU213" s="83">
        <f>'Raw Data'!AU214/10</f>
        <v>952.2</v>
      </c>
      <c r="AV213" s="83">
        <f>'Raw Data'!AV214/10</f>
        <v>918.2</v>
      </c>
      <c r="AW213" s="83">
        <f>'Raw Data'!AW214/10</f>
        <v>908.2</v>
      </c>
      <c r="AX213" s="83">
        <f>'Raw Data'!AX214/10</f>
        <v>879.9</v>
      </c>
      <c r="AY213" s="83">
        <f>'Raw Data'!AY214/10</f>
        <v>843.8</v>
      </c>
      <c r="AZ213" s="83">
        <f>'Raw Data'!AZ214/10</f>
        <v>817.8</v>
      </c>
      <c r="BA213" s="83">
        <f>'Raw Data'!BA214/10</f>
        <v>801</v>
      </c>
      <c r="BB213" s="83">
        <f>'Raw Data'!BB214/10</f>
        <v>777.1</v>
      </c>
      <c r="BC213" s="83">
        <f>'Raw Data'!BC214/10</f>
        <v>756.5</v>
      </c>
      <c r="BD213" s="83">
        <f>'Raw Data'!BD214/10</f>
        <v>731.4</v>
      </c>
      <c r="BE213" s="83">
        <f>'Raw Data'!BE214/10</f>
        <v>722.1</v>
      </c>
      <c r="BF213" s="83">
        <f>'Raw Data'!BF214/10</f>
        <v>700.4</v>
      </c>
      <c r="BG213" s="83">
        <f>'Raw Data'!BG214/10</f>
        <v>683.3</v>
      </c>
      <c r="BH213" s="83">
        <f>'Raw Data'!BH214/10</f>
        <v>660.8</v>
      </c>
      <c r="BI213" s="83">
        <f>'Raw Data'!BI214/10</f>
        <v>651.29999999999995</v>
      </c>
      <c r="BJ213" s="83">
        <f>'Raw Data'!BJ214/10</f>
        <v>638.79999999999995</v>
      </c>
      <c r="BK213" s="83">
        <f>'Raw Data'!BK214/10</f>
        <v>623.4</v>
      </c>
      <c r="BL213" s="83">
        <f>'Raw Data'!BL214/10</f>
        <v>609.1</v>
      </c>
      <c r="BM213" s="83">
        <f>'Raw Data'!BM214/10</f>
        <v>603.20000000000005</v>
      </c>
      <c r="BN213" s="83">
        <f>'Raw Data'!BN214/10</f>
        <v>585.4</v>
      </c>
      <c r="BO213" s="83">
        <f>'Raw Data'!BO214/10</f>
        <v>566.9</v>
      </c>
      <c r="BP213" s="83">
        <f>'Raw Data'!BP214/10</f>
        <v>559.29999999999995</v>
      </c>
      <c r="BQ213" s="83">
        <f>'Raw Data'!BQ214/10</f>
        <v>543.5</v>
      </c>
      <c r="BR213" s="83">
        <f>'Raw Data'!BR214/10</f>
        <v>539.4</v>
      </c>
      <c r="BS213" s="83">
        <f>'Raw Data'!BS214/10</f>
        <v>531.1</v>
      </c>
      <c r="BT213" s="83">
        <f>'Raw Data'!BT214/10</f>
        <v>529.6</v>
      </c>
      <c r="BU213" s="83">
        <f>'Raw Data'!BU214/10</f>
        <v>519.4</v>
      </c>
      <c r="BV213" s="83">
        <f>'Raw Data'!BV214/10</f>
        <v>504.4</v>
      </c>
      <c r="BW213" s="83">
        <f>'Raw Data'!BW214/10</f>
        <v>500.4</v>
      </c>
      <c r="BX213" s="83">
        <f>'Raw Data'!BX214/10</f>
        <v>494.9</v>
      </c>
      <c r="BY213" s="83">
        <f>'Raw Data'!BY214/10</f>
        <v>482.4</v>
      </c>
      <c r="BZ213" s="83">
        <f>'Raw Data'!BZ214/10</f>
        <v>461.7</v>
      </c>
      <c r="CA213" s="83">
        <f>'Raw Data'!CA214/10</f>
        <v>470.6</v>
      </c>
      <c r="CB213" s="83">
        <f>'Raw Data'!CB214/10</f>
        <v>461.3</v>
      </c>
      <c r="CC213" s="83">
        <f>'Raw Data'!CC214/10</f>
        <v>453.9</v>
      </c>
      <c r="CD213" s="83">
        <f>'Raw Data'!CD214/10</f>
        <v>448.7</v>
      </c>
      <c r="CE213" s="83">
        <f>'Raw Data'!CE214/10</f>
        <v>435.1</v>
      </c>
      <c r="CF213" s="83">
        <f>'Raw Data'!CF214/10</f>
        <v>438.8</v>
      </c>
      <c r="CG213" s="83">
        <f>'Raw Data'!CG214/100</f>
        <v>402.63</v>
      </c>
      <c r="CH213" s="83">
        <f>'Raw Data'!CH214/100</f>
        <v>359.01</v>
      </c>
      <c r="CI213" s="83">
        <f>'Raw Data'!CI214/100</f>
        <v>325.77999999999997</v>
      </c>
      <c r="CJ213" s="83">
        <f>'Raw Data'!CJ214/100</f>
        <v>298.64</v>
      </c>
      <c r="CK213" s="83">
        <f>'Raw Data'!CK214/100</f>
        <v>279.05</v>
      </c>
      <c r="CL213" s="83">
        <f>'Raw Data'!CL214/100</f>
        <v>262.16000000000003</v>
      </c>
      <c r="CM213" s="83">
        <f>'Raw Data'!CM214/100</f>
        <v>246.6</v>
      </c>
      <c r="CN213" s="83">
        <f>'Raw Data'!CN214/100</f>
        <v>231.43</v>
      </c>
      <c r="CO213" s="83">
        <f>'Raw Data'!CO214/100</f>
        <v>223.35</v>
      </c>
      <c r="CP213" s="83">
        <f>'Raw Data'!CP214/100</f>
        <v>212.28</v>
      </c>
      <c r="CQ213" s="83">
        <f>'Raw Data'!CQ214/100</f>
        <v>203.35</v>
      </c>
      <c r="CR213" s="83">
        <f>'Raw Data'!CR214/100</f>
        <v>196.98</v>
      </c>
      <c r="CS213" s="83">
        <f>'Raw Data'!CS214/100</f>
        <v>186.76</v>
      </c>
      <c r="CT213" s="83">
        <f>'Raw Data'!CT214/100</f>
        <v>182.44</v>
      </c>
      <c r="CU213" s="382"/>
    </row>
    <row r="214" spans="4:99" s="86" customFormat="1" x14ac:dyDescent="0.2">
      <c r="D214" s="376"/>
      <c r="E214" s="164"/>
      <c r="F214" s="394"/>
      <c r="G214" s="86">
        <f>'Raw Data'!G215</f>
        <v>12684</v>
      </c>
      <c r="H214" s="86">
        <f>'Raw Data'!H215</f>
        <v>12562</v>
      </c>
      <c r="I214" s="86">
        <f>'Raw Data'!I215</f>
        <v>12620</v>
      </c>
      <c r="J214" s="86">
        <f>'Raw Data'!J215</f>
        <v>12584</v>
      </c>
      <c r="K214" s="86">
        <f>'Raw Data'!K215</f>
        <v>12358</v>
      </c>
      <c r="L214" s="86">
        <f>'Raw Data'!L215</f>
        <v>12237</v>
      </c>
      <c r="M214" s="86">
        <f>'Raw Data'!M215</f>
        <v>12212</v>
      </c>
      <c r="N214" s="86">
        <f>'Raw Data'!N215</f>
        <v>12096</v>
      </c>
      <c r="O214" s="86">
        <f>'Raw Data'!O215</f>
        <v>11989</v>
      </c>
      <c r="P214" s="86">
        <f>'Raw Data'!P215</f>
        <v>12118</v>
      </c>
      <c r="Q214" s="86">
        <f>'Raw Data'!Q215</f>
        <v>11888</v>
      </c>
      <c r="R214" s="86">
        <f>'Raw Data'!R215</f>
        <v>11802</v>
      </c>
      <c r="S214" s="86">
        <f>'Raw Data'!S215</f>
        <v>11670</v>
      </c>
      <c r="T214" s="86">
        <f>'Raw Data'!T215</f>
        <v>11750</v>
      </c>
      <c r="U214" s="86">
        <f>'Raw Data'!U215</f>
        <v>11546</v>
      </c>
      <c r="V214" s="86">
        <f>'Raw Data'!V215</f>
        <v>11454</v>
      </c>
      <c r="W214" s="86">
        <f>'Raw Data'!W215</f>
        <v>11581</v>
      </c>
      <c r="X214" s="86">
        <f>'Raw Data'!X215</f>
        <v>11387</v>
      </c>
      <c r="Y214" s="86">
        <f>'Raw Data'!Y215</f>
        <v>11382</v>
      </c>
      <c r="Z214" s="86">
        <f>'Raw Data'!Z215</f>
        <v>11353</v>
      </c>
      <c r="AA214" s="83">
        <f>'Raw Data'!AA215/10</f>
        <v>11025.8</v>
      </c>
      <c r="AB214" s="83">
        <f>'Raw Data'!AB215/10</f>
        <v>10370.799999999999</v>
      </c>
      <c r="AC214" s="83">
        <f>'Raw Data'!AC215/10</f>
        <v>9774.6</v>
      </c>
      <c r="AD214" s="83">
        <f>'Raw Data'!AD215/10</f>
        <v>9169.6</v>
      </c>
      <c r="AE214" s="83">
        <f>'Raw Data'!AE215/10</f>
        <v>8672.2999999999993</v>
      </c>
      <c r="AF214" s="83">
        <f>'Raw Data'!AF215/10</f>
        <v>8150.1</v>
      </c>
      <c r="AG214" s="83">
        <f>'Raw Data'!AG215/10</f>
        <v>7716.1</v>
      </c>
      <c r="AH214" s="83">
        <f>'Raw Data'!AH215/10</f>
        <v>7285.9</v>
      </c>
      <c r="AI214" s="83">
        <f>'Raw Data'!AI215/10</f>
        <v>6920.3</v>
      </c>
      <c r="AJ214" s="83">
        <f>'Raw Data'!AJ215/10</f>
        <v>6505.6</v>
      </c>
      <c r="AK214" s="83">
        <f>'Raw Data'!AK215/10</f>
        <v>6173.9</v>
      </c>
      <c r="AL214" s="83">
        <f>'Raw Data'!AL215/10</f>
        <v>5918.3</v>
      </c>
      <c r="AM214" s="83">
        <f>'Raw Data'!AM215/10</f>
        <v>5613.2</v>
      </c>
      <c r="AN214" s="83">
        <f>'Raw Data'!AN215/10</f>
        <v>5301.7</v>
      </c>
      <c r="AO214" s="83">
        <f>'Raw Data'!AO215/10</f>
        <v>5145.3999999999996</v>
      </c>
      <c r="AP214" s="83">
        <f>'Raw Data'!AP215/10</f>
        <v>4875.8</v>
      </c>
      <c r="AQ214" s="83">
        <f>'Raw Data'!AQ215/10</f>
        <v>4694.5</v>
      </c>
      <c r="AR214" s="83">
        <f>'Raw Data'!AR215/10</f>
        <v>4474.5</v>
      </c>
      <c r="AS214" s="83">
        <f>'Raw Data'!AS215/10</f>
        <v>4249.8999999999996</v>
      </c>
      <c r="AT214" s="83">
        <f>'Raw Data'!AT215/10</f>
        <v>4118</v>
      </c>
      <c r="AU214" s="83">
        <f>'Raw Data'!AU215/10</f>
        <v>3898.9</v>
      </c>
      <c r="AV214" s="83">
        <f>'Raw Data'!AV215/10</f>
        <v>3790.6</v>
      </c>
      <c r="AW214" s="83">
        <f>'Raw Data'!AW215/10</f>
        <v>3654.1</v>
      </c>
      <c r="AX214" s="83">
        <f>'Raw Data'!AX215/10</f>
        <v>3492.3</v>
      </c>
      <c r="AY214" s="83">
        <f>'Raw Data'!AY215/10</f>
        <v>3345.1</v>
      </c>
      <c r="AZ214" s="83">
        <f>'Raw Data'!AZ215/10</f>
        <v>3267.2</v>
      </c>
      <c r="BA214" s="83">
        <f>'Raw Data'!BA215/10</f>
        <v>3145.8</v>
      </c>
      <c r="BB214" s="83">
        <f>'Raw Data'!BB215/10</f>
        <v>3039.9</v>
      </c>
      <c r="BC214" s="83">
        <f>'Raw Data'!BC215/10</f>
        <v>2948.3</v>
      </c>
      <c r="BD214" s="83">
        <f>'Raw Data'!BD215/10</f>
        <v>2840.8</v>
      </c>
      <c r="BE214" s="83">
        <f>'Raw Data'!BE215/10</f>
        <v>2743.2</v>
      </c>
      <c r="BF214" s="83">
        <f>'Raw Data'!BF215/10</f>
        <v>2679.7</v>
      </c>
      <c r="BG214" s="83">
        <f>'Raw Data'!BG215/10</f>
        <v>2557.3000000000002</v>
      </c>
      <c r="BH214" s="83">
        <f>'Raw Data'!BH215/10</f>
        <v>2464.6999999999998</v>
      </c>
      <c r="BI214" s="83">
        <f>'Raw Data'!BI215/10</f>
        <v>2408.4</v>
      </c>
      <c r="BJ214" s="83">
        <f>'Raw Data'!BJ215/10</f>
        <v>2334</v>
      </c>
      <c r="BK214" s="83">
        <f>'Raw Data'!BK215/10</f>
        <v>2280.1999999999998</v>
      </c>
      <c r="BL214" s="83">
        <f>'Raw Data'!BL215/10</f>
        <v>2210.3000000000002</v>
      </c>
      <c r="BM214" s="83">
        <f>'Raw Data'!BM215/10</f>
        <v>2138.1999999999998</v>
      </c>
      <c r="BN214" s="83">
        <f>'Raw Data'!BN215/10</f>
        <v>2106.5</v>
      </c>
      <c r="BO214" s="83">
        <f>'Raw Data'!BO215/10</f>
        <v>2041.3</v>
      </c>
      <c r="BP214" s="83">
        <f>'Raw Data'!BP215/10</f>
        <v>1988.7</v>
      </c>
      <c r="BQ214" s="83">
        <f>'Raw Data'!BQ215/10</f>
        <v>1948</v>
      </c>
      <c r="BR214" s="83">
        <f>'Raw Data'!BR215/10</f>
        <v>1888.6</v>
      </c>
      <c r="BS214" s="83">
        <f>'Raw Data'!BS215/10</f>
        <v>1791.4</v>
      </c>
      <c r="BT214" s="83">
        <f>'Raw Data'!BT215/10</f>
        <v>1804.9</v>
      </c>
      <c r="BU214" s="83">
        <f>'Raw Data'!BU215/10</f>
        <v>1762.6</v>
      </c>
      <c r="BV214" s="83">
        <f>'Raw Data'!BV215/10</f>
        <v>1691.8</v>
      </c>
      <c r="BW214" s="83">
        <f>'Raw Data'!BW215/10</f>
        <v>1675.2</v>
      </c>
      <c r="BX214" s="83">
        <f>'Raw Data'!BX215/10</f>
        <v>1648.7</v>
      </c>
      <c r="BY214" s="83">
        <f>'Raw Data'!BY215/10</f>
        <v>1582.1</v>
      </c>
      <c r="BZ214" s="83">
        <f>'Raw Data'!BZ215/10</f>
        <v>1569.2</v>
      </c>
      <c r="CA214" s="83">
        <f>'Raw Data'!CA215/10</f>
        <v>1523.3</v>
      </c>
      <c r="CB214" s="83">
        <f>'Raw Data'!CB215/10</f>
        <v>1491.3</v>
      </c>
      <c r="CC214" s="83">
        <f>'Raw Data'!CC215/10</f>
        <v>1470.6</v>
      </c>
      <c r="CD214" s="83">
        <f>'Raw Data'!CD215/10</f>
        <v>1430</v>
      </c>
      <c r="CE214" s="83">
        <f>'Raw Data'!CE215/10</f>
        <v>1394.9</v>
      </c>
      <c r="CF214" s="83">
        <f>'Raw Data'!CF215/10</f>
        <v>1380.6</v>
      </c>
      <c r="CG214" s="83">
        <f>'Raw Data'!CG215/100</f>
        <v>1233.99</v>
      </c>
      <c r="CH214" s="83">
        <f>'Raw Data'!CH215/100</f>
        <v>1038.92</v>
      </c>
      <c r="CI214" s="83">
        <f>'Raw Data'!CI215/100</f>
        <v>893.99</v>
      </c>
      <c r="CJ214" s="83">
        <f>'Raw Data'!CJ215/100</f>
        <v>783.14</v>
      </c>
      <c r="CK214" s="83">
        <f>'Raw Data'!CK215/100</f>
        <v>697.18</v>
      </c>
      <c r="CL214" s="83">
        <f>'Raw Data'!CL215/100</f>
        <v>631.79</v>
      </c>
      <c r="CM214" s="83">
        <f>'Raw Data'!CM215/100</f>
        <v>569.86</v>
      </c>
      <c r="CN214" s="83">
        <f>'Raw Data'!CN215/100</f>
        <v>524.34</v>
      </c>
      <c r="CO214" s="83">
        <f>'Raw Data'!CO215/100</f>
        <v>485.88</v>
      </c>
      <c r="CP214" s="83">
        <f>'Raw Data'!CP215/100</f>
        <v>449.41</v>
      </c>
      <c r="CQ214" s="83">
        <f>'Raw Data'!CQ215/100</f>
        <v>420.83</v>
      </c>
      <c r="CR214" s="83">
        <f>'Raw Data'!CR215/100</f>
        <v>395.57</v>
      </c>
      <c r="CS214" s="83">
        <f>'Raw Data'!CS215/100</f>
        <v>371.08</v>
      </c>
      <c r="CT214" s="83">
        <f>'Raw Data'!CT215/100</f>
        <v>349.68</v>
      </c>
      <c r="CU214" s="382"/>
    </row>
    <row r="215" spans="4:99" s="86" customFormat="1" x14ac:dyDescent="0.2">
      <c r="D215" s="376"/>
      <c r="E215" s="164"/>
      <c r="F215" s="394"/>
      <c r="G215" s="86">
        <f>'Raw Data'!G216</f>
        <v>2731</v>
      </c>
      <c r="H215" s="86">
        <f>'Raw Data'!H216</f>
        <v>2630</v>
      </c>
      <c r="I215" s="86">
        <f>'Raw Data'!I216</f>
        <v>2654</v>
      </c>
      <c r="J215" s="86">
        <f>'Raw Data'!J216</f>
        <v>2580</v>
      </c>
      <c r="K215" s="86">
        <f>'Raw Data'!K216</f>
        <v>2563</v>
      </c>
      <c r="L215" s="86">
        <f>'Raw Data'!L216</f>
        <v>2544</v>
      </c>
      <c r="M215" s="86">
        <f>'Raw Data'!M216</f>
        <v>2565</v>
      </c>
      <c r="N215" s="86">
        <f>'Raw Data'!N216</f>
        <v>2549</v>
      </c>
      <c r="O215" s="86">
        <f>'Raw Data'!O216</f>
        <v>2511</v>
      </c>
      <c r="P215" s="86">
        <f>'Raw Data'!P216</f>
        <v>2508</v>
      </c>
      <c r="Q215" s="86">
        <f>'Raw Data'!Q216</f>
        <v>2537</v>
      </c>
      <c r="R215" s="86">
        <f>'Raw Data'!R216</f>
        <v>2568</v>
      </c>
      <c r="S215" s="86">
        <f>'Raw Data'!S216</f>
        <v>2520</v>
      </c>
      <c r="T215" s="86">
        <f>'Raw Data'!T216</f>
        <v>2436</v>
      </c>
      <c r="U215" s="86">
        <f>'Raw Data'!U216</f>
        <v>2429</v>
      </c>
      <c r="V215" s="86">
        <f>'Raw Data'!V216</f>
        <v>2422</v>
      </c>
      <c r="W215" s="86">
        <f>'Raw Data'!W216</f>
        <v>2411</v>
      </c>
      <c r="X215" s="86">
        <f>'Raw Data'!X216</f>
        <v>2429</v>
      </c>
      <c r="Y215" s="86">
        <f>'Raw Data'!Y216</f>
        <v>2460</v>
      </c>
      <c r="Z215" s="86">
        <f>'Raw Data'!Z216</f>
        <v>2467</v>
      </c>
      <c r="AA215" s="83">
        <f>'Raw Data'!AA216/10</f>
        <v>2393.9</v>
      </c>
      <c r="AB215" s="83">
        <f>'Raw Data'!AB216/10</f>
        <v>2253.1</v>
      </c>
      <c r="AC215" s="83">
        <f>'Raw Data'!AC216/10</f>
        <v>2137.5</v>
      </c>
      <c r="AD215" s="83">
        <f>'Raw Data'!AD216/10</f>
        <v>2027.5</v>
      </c>
      <c r="AE215" s="83">
        <f>'Raw Data'!AE216/10</f>
        <v>1929.8</v>
      </c>
      <c r="AF215" s="83">
        <f>'Raw Data'!AF216/10</f>
        <v>1826</v>
      </c>
      <c r="AG215" s="83">
        <f>'Raw Data'!AG216/10</f>
        <v>1750.5</v>
      </c>
      <c r="AH215" s="83">
        <f>'Raw Data'!AH216/10</f>
        <v>1661.2</v>
      </c>
      <c r="AI215" s="83">
        <f>'Raw Data'!AI216/10</f>
        <v>1564</v>
      </c>
      <c r="AJ215" s="83">
        <f>'Raw Data'!AJ216/10</f>
        <v>1539.6</v>
      </c>
      <c r="AK215" s="83">
        <f>'Raw Data'!AK216/10</f>
        <v>1455.4</v>
      </c>
      <c r="AL215" s="83">
        <f>'Raw Data'!AL216/10</f>
        <v>1426.6</v>
      </c>
      <c r="AM215" s="83">
        <f>'Raw Data'!AM216/10</f>
        <v>1344.3</v>
      </c>
      <c r="AN215" s="83">
        <f>'Raw Data'!AN216/10</f>
        <v>1302.2</v>
      </c>
      <c r="AO215" s="83">
        <f>'Raw Data'!AO216/10</f>
        <v>1235.0999999999999</v>
      </c>
      <c r="AP215" s="83">
        <f>'Raw Data'!AP216/10</f>
        <v>1196.9000000000001</v>
      </c>
      <c r="AQ215" s="83">
        <f>'Raw Data'!AQ216/10</f>
        <v>1150.5</v>
      </c>
      <c r="AR215" s="83">
        <f>'Raw Data'!AR216/10</f>
        <v>1117.7</v>
      </c>
      <c r="AS215" s="83">
        <f>'Raw Data'!AS216/10</f>
        <v>1086.5999999999999</v>
      </c>
      <c r="AT215" s="83">
        <f>'Raw Data'!AT216/10</f>
        <v>1049.2</v>
      </c>
      <c r="AU215" s="83">
        <f>'Raw Data'!AU216/10</f>
        <v>1014.6</v>
      </c>
      <c r="AV215" s="83">
        <f>'Raw Data'!AV216/10</f>
        <v>991.5</v>
      </c>
      <c r="AW215" s="83">
        <f>'Raw Data'!AW216/10</f>
        <v>962.3</v>
      </c>
      <c r="AX215" s="83">
        <f>'Raw Data'!AX216/10</f>
        <v>917.9</v>
      </c>
      <c r="AY215" s="83">
        <f>'Raw Data'!AY216/10</f>
        <v>904.1</v>
      </c>
      <c r="AZ215" s="83">
        <f>'Raw Data'!AZ216/10</f>
        <v>873.6</v>
      </c>
      <c r="BA215" s="83">
        <f>'Raw Data'!BA216/10</f>
        <v>846.4</v>
      </c>
      <c r="BB215" s="83">
        <f>'Raw Data'!BB216/10</f>
        <v>815.7</v>
      </c>
      <c r="BC215" s="83">
        <f>'Raw Data'!BC216/10</f>
        <v>802</v>
      </c>
      <c r="BD215" s="83">
        <f>'Raw Data'!BD216/10</f>
        <v>779.9</v>
      </c>
      <c r="BE215" s="83">
        <f>'Raw Data'!BE216/10</f>
        <v>770.8</v>
      </c>
      <c r="BF215" s="83">
        <f>'Raw Data'!BF216/10</f>
        <v>756.3</v>
      </c>
      <c r="BG215" s="83">
        <f>'Raw Data'!BG216/10</f>
        <v>735.2</v>
      </c>
      <c r="BH215" s="83">
        <f>'Raw Data'!BH216/10</f>
        <v>707.4</v>
      </c>
      <c r="BI215" s="83">
        <f>'Raw Data'!BI216/10</f>
        <v>708.1</v>
      </c>
      <c r="BJ215" s="83">
        <f>'Raw Data'!BJ216/10</f>
        <v>680</v>
      </c>
      <c r="BK215" s="83">
        <f>'Raw Data'!BK216/10</f>
        <v>670.4</v>
      </c>
      <c r="BL215" s="83">
        <f>'Raw Data'!BL216/10</f>
        <v>661.5</v>
      </c>
      <c r="BM215" s="83">
        <f>'Raw Data'!BM216/10</f>
        <v>641</v>
      </c>
      <c r="BN215" s="83">
        <f>'Raw Data'!BN216/10</f>
        <v>623.70000000000005</v>
      </c>
      <c r="BO215" s="83">
        <f>'Raw Data'!BO216/10</f>
        <v>614.9</v>
      </c>
      <c r="BP215" s="83">
        <f>'Raw Data'!BP216/10</f>
        <v>607.5</v>
      </c>
      <c r="BQ215" s="83">
        <f>'Raw Data'!BQ216/10</f>
        <v>603.6</v>
      </c>
      <c r="BR215" s="83">
        <f>'Raw Data'!BR216/10</f>
        <v>590</v>
      </c>
      <c r="BS215" s="83">
        <f>'Raw Data'!BS216/10</f>
        <v>580.79999999999995</v>
      </c>
      <c r="BT215" s="83">
        <f>'Raw Data'!BT216/10</f>
        <v>570.4</v>
      </c>
      <c r="BU215" s="83">
        <f>'Raw Data'!BU216/10</f>
        <v>553</v>
      </c>
      <c r="BV215" s="83">
        <f>'Raw Data'!BV216/10</f>
        <v>541</v>
      </c>
      <c r="BW215" s="83">
        <f>'Raw Data'!BW216/10</f>
        <v>542.9</v>
      </c>
      <c r="BX215" s="83">
        <f>'Raw Data'!BX216/10</f>
        <v>528.79999999999995</v>
      </c>
      <c r="BY215" s="83">
        <f>'Raw Data'!BY216/10</f>
        <v>530.1</v>
      </c>
      <c r="BZ215" s="83">
        <f>'Raw Data'!BZ216/10</f>
        <v>516.29999999999995</v>
      </c>
      <c r="CA215" s="83">
        <f>'Raw Data'!CA216/10</f>
        <v>501.4</v>
      </c>
      <c r="CB215" s="83">
        <f>'Raw Data'!CB216/10</f>
        <v>498.7</v>
      </c>
      <c r="CC215" s="83">
        <f>'Raw Data'!CC216/10</f>
        <v>496.4</v>
      </c>
      <c r="CD215" s="83">
        <f>'Raw Data'!CD216/10</f>
        <v>490.7</v>
      </c>
      <c r="CE215" s="83">
        <f>'Raw Data'!CE216/10</f>
        <v>480.5</v>
      </c>
      <c r="CF215" s="83">
        <f>'Raw Data'!CF216/10</f>
        <v>482.5</v>
      </c>
      <c r="CG215" s="83">
        <f>'Raw Data'!CG216/100</f>
        <v>446</v>
      </c>
      <c r="CH215" s="83">
        <f>'Raw Data'!CH216/100</f>
        <v>397.55</v>
      </c>
      <c r="CI215" s="83">
        <f>'Raw Data'!CI216/100</f>
        <v>363.87</v>
      </c>
      <c r="CJ215" s="83">
        <f>'Raw Data'!CJ216/100</f>
        <v>334.79</v>
      </c>
      <c r="CK215" s="83">
        <f>'Raw Data'!CK216/100</f>
        <v>308.87</v>
      </c>
      <c r="CL215" s="83">
        <f>'Raw Data'!CL216/100</f>
        <v>293.73</v>
      </c>
      <c r="CM215" s="83">
        <f>'Raw Data'!CM216/100</f>
        <v>276.88</v>
      </c>
      <c r="CN215" s="83">
        <f>'Raw Data'!CN216/100</f>
        <v>263.11</v>
      </c>
      <c r="CO215" s="83">
        <f>'Raw Data'!CO216/100</f>
        <v>248.65</v>
      </c>
      <c r="CP215" s="83">
        <f>'Raw Data'!CP216/100</f>
        <v>239.02</v>
      </c>
      <c r="CQ215" s="83">
        <f>'Raw Data'!CQ216/100</f>
        <v>232.39</v>
      </c>
      <c r="CR215" s="83">
        <f>'Raw Data'!CR216/100</f>
        <v>220.95</v>
      </c>
      <c r="CS215" s="83">
        <f>'Raw Data'!CS216/100</f>
        <v>214.55</v>
      </c>
      <c r="CT215" s="83">
        <f>'Raw Data'!CT216/100</f>
        <v>207.63</v>
      </c>
      <c r="CU215" s="382"/>
    </row>
    <row r="216" spans="4:99" s="86" customFormat="1" x14ac:dyDescent="0.2">
      <c r="D216" s="376"/>
      <c r="E216" s="164"/>
      <c r="F216" s="394"/>
      <c r="G216" s="86">
        <f>'Raw Data'!G217</f>
        <v>74</v>
      </c>
      <c r="H216" s="86">
        <f>'Raw Data'!H217</f>
        <v>73</v>
      </c>
      <c r="I216" s="86">
        <f>'Raw Data'!I217</f>
        <v>81</v>
      </c>
      <c r="J216" s="86">
        <f>'Raw Data'!J217</f>
        <v>88</v>
      </c>
      <c r="K216" s="86">
        <f>'Raw Data'!K217</f>
        <v>90</v>
      </c>
      <c r="L216" s="86">
        <f>'Raw Data'!L217</f>
        <v>83</v>
      </c>
      <c r="M216" s="86">
        <f>'Raw Data'!M217</f>
        <v>74</v>
      </c>
      <c r="N216" s="86">
        <f>'Raw Data'!N217</f>
        <v>91</v>
      </c>
      <c r="O216" s="86">
        <f>'Raw Data'!O217</f>
        <v>82</v>
      </c>
      <c r="P216" s="86">
        <f>'Raw Data'!P217</f>
        <v>73</v>
      </c>
      <c r="Q216" s="86">
        <f>'Raw Data'!Q217</f>
        <v>83</v>
      </c>
      <c r="R216" s="86">
        <f>'Raw Data'!R217</f>
        <v>78</v>
      </c>
      <c r="S216" s="86">
        <f>'Raw Data'!S217</f>
        <v>81</v>
      </c>
      <c r="T216" s="86">
        <f>'Raw Data'!T217</f>
        <v>95</v>
      </c>
      <c r="U216" s="86">
        <f>'Raw Data'!U217</f>
        <v>81</v>
      </c>
      <c r="V216" s="86">
        <f>'Raw Data'!V217</f>
        <v>98</v>
      </c>
      <c r="W216" s="86">
        <f>'Raw Data'!W217</f>
        <v>80</v>
      </c>
      <c r="X216" s="86">
        <f>'Raw Data'!X217</f>
        <v>83</v>
      </c>
      <c r="Y216" s="86">
        <f>'Raw Data'!Y217</f>
        <v>74</v>
      </c>
      <c r="Z216" s="86">
        <f>'Raw Data'!Z217</f>
        <v>89</v>
      </c>
      <c r="AA216" s="83">
        <f>'Raw Data'!AA217/10</f>
        <v>88.3</v>
      </c>
      <c r="AB216" s="83">
        <f>'Raw Data'!AB217/10</f>
        <v>86</v>
      </c>
      <c r="AC216" s="83">
        <f>'Raw Data'!AC217/10</f>
        <v>84.6</v>
      </c>
      <c r="AD216" s="83">
        <f>'Raw Data'!AD217/10</f>
        <v>85.4</v>
      </c>
      <c r="AE216" s="83">
        <f>'Raw Data'!AE217/10</f>
        <v>82.3</v>
      </c>
      <c r="AF216" s="83">
        <f>'Raw Data'!AF217/10</f>
        <v>78.900000000000006</v>
      </c>
      <c r="AG216" s="83">
        <f>'Raw Data'!AG217/10</f>
        <v>82.6</v>
      </c>
      <c r="AH216" s="83">
        <f>'Raw Data'!AH217/10</f>
        <v>77.7</v>
      </c>
      <c r="AI216" s="83">
        <f>'Raw Data'!AI217/10</f>
        <v>77.099999999999994</v>
      </c>
      <c r="AJ216" s="83">
        <f>'Raw Data'!AJ217/10</f>
        <v>77.8</v>
      </c>
      <c r="AK216" s="83">
        <f>'Raw Data'!AK217/10</f>
        <v>73.3</v>
      </c>
      <c r="AL216" s="83">
        <f>'Raw Data'!AL217/10</f>
        <v>70.3</v>
      </c>
      <c r="AM216" s="83">
        <f>'Raw Data'!AM217/10</f>
        <v>74.900000000000006</v>
      </c>
      <c r="AN216" s="83">
        <f>'Raw Data'!AN217/10</f>
        <v>72.7</v>
      </c>
      <c r="AO216" s="83">
        <f>'Raw Data'!AO217/10</f>
        <v>73.8</v>
      </c>
      <c r="AP216" s="83">
        <f>'Raw Data'!AP217/10</f>
        <v>70.8</v>
      </c>
      <c r="AQ216" s="83">
        <f>'Raw Data'!AQ217/10</f>
        <v>73.5</v>
      </c>
      <c r="AR216" s="83">
        <f>'Raw Data'!AR217/10</f>
        <v>68.8</v>
      </c>
      <c r="AS216" s="83">
        <f>'Raw Data'!AS217/10</f>
        <v>72.2</v>
      </c>
      <c r="AT216" s="83">
        <f>'Raw Data'!AT217/10</f>
        <v>70</v>
      </c>
      <c r="AU216" s="83">
        <f>'Raw Data'!AU217/10</f>
        <v>66.099999999999994</v>
      </c>
      <c r="AV216" s="83">
        <f>'Raw Data'!AV217/10</f>
        <v>67.5</v>
      </c>
      <c r="AW216" s="83">
        <f>'Raw Data'!AW217/10</f>
        <v>64.2</v>
      </c>
      <c r="AX216" s="83">
        <f>'Raw Data'!AX217/10</f>
        <v>64.400000000000006</v>
      </c>
      <c r="AY216" s="83">
        <f>'Raw Data'!AY217/10</f>
        <v>67.2</v>
      </c>
      <c r="AZ216" s="83">
        <f>'Raw Data'!AZ217/10</f>
        <v>63.3</v>
      </c>
      <c r="BA216" s="83">
        <f>'Raw Data'!BA217/10</f>
        <v>65.2</v>
      </c>
      <c r="BB216" s="83">
        <f>'Raw Data'!BB217/10</f>
        <v>65</v>
      </c>
      <c r="BC216" s="83">
        <f>'Raw Data'!BC217/10</f>
        <v>62.4</v>
      </c>
      <c r="BD216" s="83">
        <f>'Raw Data'!BD217/10</f>
        <v>66.099999999999994</v>
      </c>
      <c r="BE216" s="83">
        <f>'Raw Data'!BE217/10</f>
        <v>64.5</v>
      </c>
      <c r="BF216" s="83">
        <f>'Raw Data'!BF217/10</f>
        <v>64.3</v>
      </c>
      <c r="BG216" s="83">
        <f>'Raw Data'!BG217/10</f>
        <v>63.3</v>
      </c>
      <c r="BH216" s="83">
        <f>'Raw Data'!BH217/10</f>
        <v>63.9</v>
      </c>
      <c r="BI216" s="83">
        <f>'Raw Data'!BI217/10</f>
        <v>61.3</v>
      </c>
      <c r="BJ216" s="83">
        <f>'Raw Data'!BJ217/10</f>
        <v>60.1</v>
      </c>
      <c r="BK216" s="83">
        <f>'Raw Data'!BK217/10</f>
        <v>62.6</v>
      </c>
      <c r="BL216" s="83">
        <f>'Raw Data'!BL217/10</f>
        <v>63.1</v>
      </c>
      <c r="BM216" s="83">
        <f>'Raw Data'!BM217/10</f>
        <v>59.8</v>
      </c>
      <c r="BN216" s="83">
        <f>'Raw Data'!BN217/10</f>
        <v>62.3</v>
      </c>
      <c r="BO216" s="83">
        <f>'Raw Data'!BO217/10</f>
        <v>61.8</v>
      </c>
      <c r="BP216" s="83">
        <f>'Raw Data'!BP217/10</f>
        <v>59.8</v>
      </c>
      <c r="BQ216" s="83">
        <f>'Raw Data'!BQ217/10</f>
        <v>62.1</v>
      </c>
      <c r="BR216" s="83">
        <f>'Raw Data'!BR217/10</f>
        <v>58</v>
      </c>
      <c r="BS216" s="83">
        <f>'Raw Data'!BS217/10</f>
        <v>61.5</v>
      </c>
      <c r="BT216" s="83">
        <f>'Raw Data'!BT217/10</f>
        <v>58.8</v>
      </c>
      <c r="BU216" s="83">
        <f>'Raw Data'!BU217/10</f>
        <v>59.7</v>
      </c>
      <c r="BV216" s="83">
        <f>'Raw Data'!BV217/10</f>
        <v>58.9</v>
      </c>
      <c r="BW216" s="83">
        <f>'Raw Data'!BW217/10</f>
        <v>61.6</v>
      </c>
      <c r="BX216" s="83">
        <f>'Raw Data'!BX217/10</f>
        <v>60.9</v>
      </c>
      <c r="BY216" s="83">
        <f>'Raw Data'!BY217/10</f>
        <v>59.6</v>
      </c>
      <c r="BZ216" s="83">
        <f>'Raw Data'!BZ217/10</f>
        <v>59.6</v>
      </c>
      <c r="CA216" s="83">
        <f>'Raw Data'!CA217/10</f>
        <v>60.6</v>
      </c>
      <c r="CB216" s="83">
        <f>'Raw Data'!CB217/10</f>
        <v>57</v>
      </c>
      <c r="CC216" s="83">
        <f>'Raw Data'!CC217/10</f>
        <v>62.7</v>
      </c>
      <c r="CD216" s="83">
        <f>'Raw Data'!CD217/10</f>
        <v>58.6</v>
      </c>
      <c r="CE216" s="83">
        <f>'Raw Data'!CE217/10</f>
        <v>55.6</v>
      </c>
      <c r="CF216" s="83">
        <f>'Raw Data'!CF217/10</f>
        <v>58.7</v>
      </c>
      <c r="CG216" s="83">
        <f>'Raw Data'!CG217/100</f>
        <v>55.84</v>
      </c>
      <c r="CH216" s="83">
        <f>'Raw Data'!CH217/100</f>
        <v>54.98</v>
      </c>
      <c r="CI216" s="83">
        <f>'Raw Data'!CI217/100</f>
        <v>54.06</v>
      </c>
      <c r="CJ216" s="83">
        <f>'Raw Data'!CJ217/100</f>
        <v>53.74</v>
      </c>
      <c r="CK216" s="83">
        <f>'Raw Data'!CK217/100</f>
        <v>51.87</v>
      </c>
      <c r="CL216" s="83">
        <f>'Raw Data'!CL217/100</f>
        <v>52.14</v>
      </c>
      <c r="CM216" s="83">
        <f>'Raw Data'!CM217/100</f>
        <v>51.04</v>
      </c>
      <c r="CN216" s="83">
        <f>'Raw Data'!CN217/100</f>
        <v>51.8</v>
      </c>
      <c r="CO216" s="83">
        <f>'Raw Data'!CO217/100</f>
        <v>49.54</v>
      </c>
      <c r="CP216" s="83">
        <f>'Raw Data'!CP217/100</f>
        <v>50.05</v>
      </c>
      <c r="CQ216" s="83">
        <f>'Raw Data'!CQ217/100</f>
        <v>49.52</v>
      </c>
      <c r="CR216" s="83">
        <f>'Raw Data'!CR217/100</f>
        <v>49.12</v>
      </c>
      <c r="CS216" s="83">
        <f>'Raw Data'!CS217/100</f>
        <v>47.35</v>
      </c>
      <c r="CT216" s="83">
        <f>'Raw Data'!CT217/100</f>
        <v>47.54</v>
      </c>
      <c r="CU216" s="382"/>
    </row>
    <row r="217" spans="4:99" s="86" customFormat="1" x14ac:dyDescent="0.2">
      <c r="D217" s="376"/>
      <c r="E217" s="164"/>
      <c r="F217" s="394"/>
      <c r="G217" s="86">
        <f>'Raw Data'!G218</f>
        <v>2333</v>
      </c>
      <c r="H217" s="86">
        <f>'Raw Data'!H218</f>
        <v>2274</v>
      </c>
      <c r="I217" s="86">
        <f>'Raw Data'!I218</f>
        <v>2220</v>
      </c>
      <c r="J217" s="86">
        <f>'Raw Data'!J218</f>
        <v>2284</v>
      </c>
      <c r="K217" s="86">
        <f>'Raw Data'!K218</f>
        <v>2235</v>
      </c>
      <c r="L217" s="86">
        <f>'Raw Data'!L218</f>
        <v>2275</v>
      </c>
      <c r="M217" s="86">
        <f>'Raw Data'!M218</f>
        <v>2208</v>
      </c>
      <c r="N217" s="86">
        <f>'Raw Data'!N218</f>
        <v>2176</v>
      </c>
      <c r="O217" s="86">
        <f>'Raw Data'!O218</f>
        <v>2209</v>
      </c>
      <c r="P217" s="86">
        <f>'Raw Data'!P218</f>
        <v>2237</v>
      </c>
      <c r="Q217" s="86">
        <f>'Raw Data'!Q218</f>
        <v>2149</v>
      </c>
      <c r="R217" s="86">
        <f>'Raw Data'!R218</f>
        <v>2117</v>
      </c>
      <c r="S217" s="86">
        <f>'Raw Data'!S218</f>
        <v>2094</v>
      </c>
      <c r="T217" s="86">
        <f>'Raw Data'!T218</f>
        <v>2132</v>
      </c>
      <c r="U217" s="86">
        <f>'Raw Data'!U218</f>
        <v>2164</v>
      </c>
      <c r="V217" s="86">
        <f>'Raw Data'!V218</f>
        <v>2110</v>
      </c>
      <c r="W217" s="86">
        <f>'Raw Data'!W218</f>
        <v>2078</v>
      </c>
      <c r="X217" s="86">
        <f>'Raw Data'!X218</f>
        <v>2058</v>
      </c>
      <c r="Y217" s="86">
        <f>'Raw Data'!Y218</f>
        <v>2128</v>
      </c>
      <c r="Z217" s="86">
        <f>'Raw Data'!Z218</f>
        <v>2075</v>
      </c>
      <c r="AA217" s="83">
        <f>'Raw Data'!AA218/10</f>
        <v>2035</v>
      </c>
      <c r="AB217" s="83">
        <f>'Raw Data'!AB218/10</f>
        <v>1913</v>
      </c>
      <c r="AC217" s="83">
        <f>'Raw Data'!AC218/10</f>
        <v>1812.7</v>
      </c>
      <c r="AD217" s="83">
        <f>'Raw Data'!AD218/10</f>
        <v>1709.4</v>
      </c>
      <c r="AE217" s="83">
        <f>'Raw Data'!AE218/10</f>
        <v>1594</v>
      </c>
      <c r="AF217" s="83">
        <f>'Raw Data'!AF218/10</f>
        <v>1517.2</v>
      </c>
      <c r="AG217" s="83">
        <f>'Raw Data'!AG218/10</f>
        <v>1441.7</v>
      </c>
      <c r="AH217" s="83">
        <f>'Raw Data'!AH218/10</f>
        <v>1357.4</v>
      </c>
      <c r="AI217" s="83">
        <f>'Raw Data'!AI218/10</f>
        <v>1304.5</v>
      </c>
      <c r="AJ217" s="83">
        <f>'Raw Data'!AJ218/10</f>
        <v>1214.2</v>
      </c>
      <c r="AK217" s="83">
        <f>'Raw Data'!AK218/10</f>
        <v>1177.3</v>
      </c>
      <c r="AL217" s="83">
        <f>'Raw Data'!AL218/10</f>
        <v>1112.8</v>
      </c>
      <c r="AM217" s="83">
        <f>'Raw Data'!AM218/10</f>
        <v>1053.4000000000001</v>
      </c>
      <c r="AN217" s="83">
        <f>'Raw Data'!AN218/10</f>
        <v>1013.5</v>
      </c>
      <c r="AO217" s="83">
        <f>'Raw Data'!AO218/10</f>
        <v>975.1</v>
      </c>
      <c r="AP217" s="83">
        <f>'Raw Data'!AP218/10</f>
        <v>929</v>
      </c>
      <c r="AQ217" s="83">
        <f>'Raw Data'!AQ218/10</f>
        <v>897.6</v>
      </c>
      <c r="AR217" s="83">
        <f>'Raw Data'!AR218/10</f>
        <v>866</v>
      </c>
      <c r="AS217" s="83">
        <f>'Raw Data'!AS218/10</f>
        <v>828.6</v>
      </c>
      <c r="AT217" s="83">
        <f>'Raw Data'!AT218/10</f>
        <v>796.7</v>
      </c>
      <c r="AU217" s="83">
        <f>'Raw Data'!AU218/10</f>
        <v>768.9</v>
      </c>
      <c r="AV217" s="83">
        <f>'Raw Data'!AV218/10</f>
        <v>737.1</v>
      </c>
      <c r="AW217" s="83">
        <f>'Raw Data'!AW218/10</f>
        <v>700.1</v>
      </c>
      <c r="AX217" s="83">
        <f>'Raw Data'!AX218/10</f>
        <v>684</v>
      </c>
      <c r="AY217" s="83">
        <f>'Raw Data'!AY218/10</f>
        <v>654</v>
      </c>
      <c r="AZ217" s="83">
        <f>'Raw Data'!AZ218/10</f>
        <v>634.6</v>
      </c>
      <c r="BA217" s="83">
        <f>'Raw Data'!BA218/10</f>
        <v>620.70000000000005</v>
      </c>
      <c r="BB217" s="83">
        <f>'Raw Data'!BB218/10</f>
        <v>591.9</v>
      </c>
      <c r="BC217" s="83">
        <f>'Raw Data'!BC218/10</f>
        <v>585.9</v>
      </c>
      <c r="BD217" s="83">
        <f>'Raw Data'!BD218/10</f>
        <v>572.79999999999995</v>
      </c>
      <c r="BE217" s="83">
        <f>'Raw Data'!BE218/10</f>
        <v>548.70000000000005</v>
      </c>
      <c r="BF217" s="83">
        <f>'Raw Data'!BF218/10</f>
        <v>529.1</v>
      </c>
      <c r="BG217" s="83">
        <f>'Raw Data'!BG218/10</f>
        <v>521.6</v>
      </c>
      <c r="BH217" s="83">
        <f>'Raw Data'!BH218/10</f>
        <v>507.6</v>
      </c>
      <c r="BI217" s="83">
        <f>'Raw Data'!BI218/10</f>
        <v>489</v>
      </c>
      <c r="BJ217" s="83">
        <f>'Raw Data'!BJ218/10</f>
        <v>480</v>
      </c>
      <c r="BK217" s="83">
        <f>'Raw Data'!BK218/10</f>
        <v>467.6</v>
      </c>
      <c r="BL217" s="83">
        <f>'Raw Data'!BL218/10</f>
        <v>452.5</v>
      </c>
      <c r="BM217" s="83">
        <f>'Raw Data'!BM218/10</f>
        <v>443</v>
      </c>
      <c r="BN217" s="83">
        <f>'Raw Data'!BN218/10</f>
        <v>434.3</v>
      </c>
      <c r="BO217" s="83">
        <f>'Raw Data'!BO218/10</f>
        <v>413.5</v>
      </c>
      <c r="BP217" s="83">
        <f>'Raw Data'!BP218/10</f>
        <v>408.4</v>
      </c>
      <c r="BQ217" s="83">
        <f>'Raw Data'!BQ218/10</f>
        <v>396.7</v>
      </c>
      <c r="BR217" s="83">
        <f>'Raw Data'!BR218/10</f>
        <v>393.5</v>
      </c>
      <c r="BS217" s="83">
        <f>'Raw Data'!BS218/10</f>
        <v>382.9</v>
      </c>
      <c r="BT217" s="83">
        <f>'Raw Data'!BT218/10</f>
        <v>369.5</v>
      </c>
      <c r="BU217" s="83">
        <f>'Raw Data'!BU218/10</f>
        <v>364.6</v>
      </c>
      <c r="BV217" s="83">
        <f>'Raw Data'!BV218/10</f>
        <v>353.1</v>
      </c>
      <c r="BW217" s="83">
        <f>'Raw Data'!BW218/10</f>
        <v>346.6</v>
      </c>
      <c r="BX217" s="83">
        <f>'Raw Data'!BX218/10</f>
        <v>342.2</v>
      </c>
      <c r="BY217" s="83">
        <f>'Raw Data'!BY218/10</f>
        <v>336.3</v>
      </c>
      <c r="BZ217" s="83">
        <f>'Raw Data'!BZ218/10</f>
        <v>334.9</v>
      </c>
      <c r="CA217" s="83">
        <f>'Raw Data'!CA218/10</f>
        <v>320.89999999999998</v>
      </c>
      <c r="CB217" s="83">
        <f>'Raw Data'!CB218/10</f>
        <v>319.7</v>
      </c>
      <c r="CC217" s="83">
        <f>'Raw Data'!CC218/10</f>
        <v>308.39999999999998</v>
      </c>
      <c r="CD217" s="83">
        <f>'Raw Data'!CD218/10</f>
        <v>309.2</v>
      </c>
      <c r="CE217" s="83">
        <f>'Raw Data'!CE218/10</f>
        <v>299.8</v>
      </c>
      <c r="CF217" s="83">
        <f>'Raw Data'!CF218/10</f>
        <v>287.7</v>
      </c>
      <c r="CG217" s="83">
        <f>'Raw Data'!CG218/100</f>
        <v>269.77</v>
      </c>
      <c r="CH217" s="83">
        <f>'Raw Data'!CH218/100</f>
        <v>236.59</v>
      </c>
      <c r="CI217" s="83">
        <f>'Raw Data'!CI218/100</f>
        <v>205.79</v>
      </c>
      <c r="CJ217" s="83">
        <f>'Raw Data'!CJ218/100</f>
        <v>185.37</v>
      </c>
      <c r="CK217" s="83">
        <f>'Raw Data'!CK218/100</f>
        <v>170.04</v>
      </c>
      <c r="CL217" s="83">
        <f>'Raw Data'!CL218/100</f>
        <v>156.44</v>
      </c>
      <c r="CM217" s="83">
        <f>'Raw Data'!CM218/100</f>
        <v>142.94999999999999</v>
      </c>
      <c r="CN217" s="83">
        <f>'Raw Data'!CN218/100</f>
        <v>135.54</v>
      </c>
      <c r="CO217" s="83">
        <f>'Raw Data'!CO218/100</f>
        <v>126.95</v>
      </c>
      <c r="CP217" s="83">
        <f>'Raw Data'!CP218/100</f>
        <v>119.71</v>
      </c>
      <c r="CQ217" s="83">
        <f>'Raw Data'!CQ218/100</f>
        <v>114.67</v>
      </c>
      <c r="CR217" s="83">
        <f>'Raw Data'!CR218/100</f>
        <v>109.52</v>
      </c>
      <c r="CS217" s="83">
        <f>'Raw Data'!CS218/100</f>
        <v>103.51</v>
      </c>
      <c r="CT217" s="83">
        <f>'Raw Data'!CT218/100</f>
        <v>101.65</v>
      </c>
      <c r="CU217" s="382"/>
    </row>
    <row r="218" spans="4:99" s="86" customFormat="1" x14ac:dyDescent="0.2">
      <c r="D218" s="376"/>
      <c r="E218" s="164"/>
      <c r="F218" s="394"/>
      <c r="G218" s="86">
        <f>'Raw Data'!G219</f>
        <v>5039</v>
      </c>
      <c r="H218" s="86">
        <f>'Raw Data'!H219</f>
        <v>5002</v>
      </c>
      <c r="I218" s="86">
        <f>'Raw Data'!I219</f>
        <v>4961</v>
      </c>
      <c r="J218" s="86">
        <f>'Raw Data'!J219</f>
        <v>4914</v>
      </c>
      <c r="K218" s="86">
        <f>'Raw Data'!K219</f>
        <v>4951</v>
      </c>
      <c r="L218" s="86">
        <f>'Raw Data'!L219</f>
        <v>4889</v>
      </c>
      <c r="M218" s="86">
        <f>'Raw Data'!M219</f>
        <v>4889</v>
      </c>
      <c r="N218" s="86">
        <f>'Raw Data'!N219</f>
        <v>5118</v>
      </c>
      <c r="O218" s="86">
        <f>'Raw Data'!O219</f>
        <v>4790</v>
      </c>
      <c r="P218" s="86">
        <f>'Raw Data'!P219</f>
        <v>4836</v>
      </c>
      <c r="Q218" s="86">
        <f>'Raw Data'!Q219</f>
        <v>4821</v>
      </c>
      <c r="R218" s="86">
        <f>'Raw Data'!R219</f>
        <v>4730</v>
      </c>
      <c r="S218" s="86">
        <f>'Raw Data'!S219</f>
        <v>4684</v>
      </c>
      <c r="T218" s="86">
        <f>'Raw Data'!T219</f>
        <v>4650</v>
      </c>
      <c r="U218" s="86">
        <f>'Raw Data'!U219</f>
        <v>4698</v>
      </c>
      <c r="V218" s="86">
        <f>'Raw Data'!V219</f>
        <v>4699</v>
      </c>
      <c r="W218" s="86">
        <f>'Raw Data'!W219</f>
        <v>4639</v>
      </c>
      <c r="X218" s="86">
        <f>'Raw Data'!X219</f>
        <v>4686</v>
      </c>
      <c r="Y218" s="86">
        <f>'Raw Data'!Y219</f>
        <v>4601</v>
      </c>
      <c r="Z218" s="86">
        <f>'Raw Data'!Z219</f>
        <v>4485</v>
      </c>
      <c r="AA218" s="83">
        <f>'Raw Data'!AA219/10</f>
        <v>4437.5</v>
      </c>
      <c r="AB218" s="83">
        <f>'Raw Data'!AB219/10</f>
        <v>4171.3999999999996</v>
      </c>
      <c r="AC218" s="83">
        <f>'Raw Data'!AC219/10</f>
        <v>3955.5</v>
      </c>
      <c r="AD218" s="83">
        <f>'Raw Data'!AD219/10</f>
        <v>3730.6</v>
      </c>
      <c r="AE218" s="83">
        <f>'Raw Data'!AE219/10</f>
        <v>3526.8</v>
      </c>
      <c r="AF218" s="83">
        <f>'Raw Data'!AF219/10</f>
        <v>3327.2</v>
      </c>
      <c r="AG218" s="83">
        <f>'Raw Data'!AG219/10</f>
        <v>3153.4</v>
      </c>
      <c r="AH218" s="83">
        <f>'Raw Data'!AH219/10</f>
        <v>2998.4</v>
      </c>
      <c r="AI218" s="83">
        <f>'Raw Data'!AI219/10</f>
        <v>2833.5</v>
      </c>
      <c r="AJ218" s="83">
        <f>'Raw Data'!AJ219/10</f>
        <v>2677.2</v>
      </c>
      <c r="AK218" s="83">
        <f>'Raw Data'!AK219/10</f>
        <v>2549.6999999999998</v>
      </c>
      <c r="AL218" s="83">
        <f>'Raw Data'!AL219/10</f>
        <v>2394.1999999999998</v>
      </c>
      <c r="AM218" s="83">
        <f>'Raw Data'!AM219/10</f>
        <v>2279.8000000000002</v>
      </c>
      <c r="AN218" s="83">
        <f>'Raw Data'!AN219/10</f>
        <v>2190.9</v>
      </c>
      <c r="AO218" s="83">
        <f>'Raw Data'!AO219/10</f>
        <v>2090.5</v>
      </c>
      <c r="AP218" s="83">
        <f>'Raw Data'!AP219/10</f>
        <v>2011.2</v>
      </c>
      <c r="AQ218" s="83">
        <f>'Raw Data'!AQ219/10</f>
        <v>1910.4</v>
      </c>
      <c r="AR218" s="83">
        <f>'Raw Data'!AR219/10</f>
        <v>1840.7</v>
      </c>
      <c r="AS218" s="83">
        <f>'Raw Data'!AS219/10</f>
        <v>1733.9</v>
      </c>
      <c r="AT218" s="83">
        <f>'Raw Data'!AT219/10</f>
        <v>1685</v>
      </c>
      <c r="AU218" s="83">
        <f>'Raw Data'!AU219/10</f>
        <v>1632</v>
      </c>
      <c r="AV218" s="83">
        <f>'Raw Data'!AV219/10</f>
        <v>1577.3</v>
      </c>
      <c r="AW218" s="83">
        <f>'Raw Data'!AW219/10</f>
        <v>1514.7</v>
      </c>
      <c r="AX218" s="83">
        <f>'Raw Data'!AX219/10</f>
        <v>1457</v>
      </c>
      <c r="AY218" s="83">
        <f>'Raw Data'!AY219/10</f>
        <v>1400.6</v>
      </c>
      <c r="AZ218" s="83">
        <f>'Raw Data'!AZ219/10</f>
        <v>1352.2</v>
      </c>
      <c r="BA218" s="83">
        <f>'Raw Data'!BA219/10</f>
        <v>1307.8</v>
      </c>
      <c r="BB218" s="83">
        <f>'Raw Data'!BB219/10</f>
        <v>1259.3</v>
      </c>
      <c r="BC218" s="83">
        <f>'Raw Data'!BC219/10</f>
        <v>1211.9000000000001</v>
      </c>
      <c r="BD218" s="83">
        <f>'Raw Data'!BD219/10</f>
        <v>1185.9000000000001</v>
      </c>
      <c r="BE218" s="83">
        <f>'Raw Data'!BE219/10</f>
        <v>1155.2</v>
      </c>
      <c r="BF218" s="83">
        <f>'Raw Data'!BF219/10</f>
        <v>1112.3</v>
      </c>
      <c r="BG218" s="83">
        <f>'Raw Data'!BG219/10</f>
        <v>1077.2</v>
      </c>
      <c r="BH218" s="83">
        <f>'Raw Data'!BH219/10</f>
        <v>1038.5</v>
      </c>
      <c r="BI218" s="83">
        <f>'Raw Data'!BI219/10</f>
        <v>1026.8</v>
      </c>
      <c r="BJ218" s="83">
        <f>'Raw Data'!BJ219/10</f>
        <v>988.6</v>
      </c>
      <c r="BK218" s="83">
        <f>'Raw Data'!BK219/10</f>
        <v>955.6</v>
      </c>
      <c r="BL218" s="83">
        <f>'Raw Data'!BL219/10</f>
        <v>922.1</v>
      </c>
      <c r="BM218" s="83">
        <f>'Raw Data'!BM219/10</f>
        <v>917.4</v>
      </c>
      <c r="BN218" s="83">
        <f>'Raw Data'!BN219/10</f>
        <v>883.8</v>
      </c>
      <c r="BO218" s="83">
        <f>'Raw Data'!BO219/10</f>
        <v>861.9</v>
      </c>
      <c r="BP218" s="83">
        <f>'Raw Data'!BP219/10</f>
        <v>840.2</v>
      </c>
      <c r="BQ218" s="83">
        <f>'Raw Data'!BQ219/10</f>
        <v>815.9</v>
      </c>
      <c r="BR218" s="83">
        <f>'Raw Data'!BR219/10</f>
        <v>790.8</v>
      </c>
      <c r="BS218" s="83">
        <f>'Raw Data'!BS219/10</f>
        <v>774.9</v>
      </c>
      <c r="BT218" s="83">
        <f>'Raw Data'!BT219/10</f>
        <v>759.7</v>
      </c>
      <c r="BU218" s="83">
        <f>'Raw Data'!BU219/10</f>
        <v>740.8</v>
      </c>
      <c r="BV218" s="83">
        <f>'Raw Data'!BV219/10</f>
        <v>728.9</v>
      </c>
      <c r="BW218" s="83">
        <f>'Raw Data'!BW219/10</f>
        <v>711.6</v>
      </c>
      <c r="BX218" s="83">
        <f>'Raw Data'!BX219/10</f>
        <v>695.9</v>
      </c>
      <c r="BY218" s="83">
        <f>'Raw Data'!BY219/10</f>
        <v>681</v>
      </c>
      <c r="BZ218" s="83">
        <f>'Raw Data'!BZ219/10</f>
        <v>670.9</v>
      </c>
      <c r="CA218" s="83">
        <f>'Raw Data'!CA219/10</f>
        <v>652.9</v>
      </c>
      <c r="CB218" s="83">
        <f>'Raw Data'!CB219/10</f>
        <v>643.1</v>
      </c>
      <c r="CC218" s="83">
        <f>'Raw Data'!CC219/10</f>
        <v>620.4</v>
      </c>
      <c r="CD218" s="83">
        <f>'Raw Data'!CD219/10</f>
        <v>608.70000000000005</v>
      </c>
      <c r="CE218" s="83">
        <f>'Raw Data'!CE219/10</f>
        <v>600.1</v>
      </c>
      <c r="CF218" s="83">
        <f>'Raw Data'!CF219/10</f>
        <v>582.29999999999995</v>
      </c>
      <c r="CG218" s="83">
        <f>'Raw Data'!CG219/100</f>
        <v>529.22</v>
      </c>
      <c r="CH218" s="83">
        <f>'Raw Data'!CH219/100</f>
        <v>448.57</v>
      </c>
      <c r="CI218" s="83">
        <f>'Raw Data'!CI219/100</f>
        <v>392.8</v>
      </c>
      <c r="CJ218" s="83">
        <f>'Raw Data'!CJ219/100</f>
        <v>345.8</v>
      </c>
      <c r="CK218" s="83">
        <f>'Raw Data'!CK219/100</f>
        <v>310.05</v>
      </c>
      <c r="CL218" s="83">
        <f>'Raw Data'!CL219/100</f>
        <v>279.95999999999998</v>
      </c>
      <c r="CM218" s="83">
        <f>'Raw Data'!CM219/100</f>
        <v>259.02</v>
      </c>
      <c r="CN218" s="83">
        <f>'Raw Data'!CN219/100</f>
        <v>238.11</v>
      </c>
      <c r="CO218" s="83">
        <f>'Raw Data'!CO219/100</f>
        <v>220.62</v>
      </c>
      <c r="CP218" s="83">
        <f>'Raw Data'!CP219/100</f>
        <v>204.3</v>
      </c>
      <c r="CQ218" s="83">
        <f>'Raw Data'!CQ219/100</f>
        <v>194.06</v>
      </c>
      <c r="CR218" s="83">
        <f>'Raw Data'!CR219/100</f>
        <v>183.66</v>
      </c>
      <c r="CS218" s="83">
        <f>'Raw Data'!CS219/100</f>
        <v>172.49</v>
      </c>
      <c r="CT218" s="83">
        <f>'Raw Data'!CT219/100</f>
        <v>166.69</v>
      </c>
      <c r="CU218" s="382"/>
    </row>
    <row r="219" spans="4:99" s="86" customFormat="1" x14ac:dyDescent="0.2">
      <c r="D219" s="376"/>
      <c r="E219" s="381"/>
      <c r="F219" s="395"/>
      <c r="G219" s="86">
        <f>'Raw Data'!G220</f>
        <v>2417</v>
      </c>
      <c r="H219" s="86">
        <f>'Raw Data'!H220</f>
        <v>2385</v>
      </c>
      <c r="I219" s="86">
        <f>'Raw Data'!I220</f>
        <v>2363</v>
      </c>
      <c r="J219" s="86">
        <f>'Raw Data'!J220</f>
        <v>2348</v>
      </c>
      <c r="K219" s="86">
        <f>'Raw Data'!K220</f>
        <v>2334</v>
      </c>
      <c r="L219" s="86">
        <f>'Raw Data'!L220</f>
        <v>2270</v>
      </c>
      <c r="M219" s="86">
        <f>'Raw Data'!M220</f>
        <v>2343</v>
      </c>
      <c r="N219" s="86">
        <f>'Raw Data'!N220</f>
        <v>2238</v>
      </c>
      <c r="O219" s="86">
        <f>'Raw Data'!O220</f>
        <v>2318</v>
      </c>
      <c r="P219" s="86">
        <f>'Raw Data'!P220</f>
        <v>2238</v>
      </c>
      <c r="Q219" s="86">
        <f>'Raw Data'!Q220</f>
        <v>2241</v>
      </c>
      <c r="R219" s="86">
        <f>'Raw Data'!R220</f>
        <v>2297</v>
      </c>
      <c r="S219" s="86">
        <f>'Raw Data'!S220</f>
        <v>2207</v>
      </c>
      <c r="T219" s="86">
        <f>'Raw Data'!T220</f>
        <v>2242</v>
      </c>
      <c r="U219" s="86">
        <f>'Raw Data'!U220</f>
        <v>2155</v>
      </c>
      <c r="V219" s="86">
        <f>'Raw Data'!V220</f>
        <v>2156</v>
      </c>
      <c r="W219" s="86">
        <f>'Raw Data'!W220</f>
        <v>2167</v>
      </c>
      <c r="X219" s="86">
        <f>'Raw Data'!X220</f>
        <v>2151</v>
      </c>
      <c r="Y219" s="86">
        <f>'Raw Data'!Y220</f>
        <v>2165</v>
      </c>
      <c r="Z219" s="86">
        <f>'Raw Data'!Z220</f>
        <v>2110</v>
      </c>
      <c r="AA219" s="83">
        <f>'Raw Data'!AA220/10</f>
        <v>2085.6</v>
      </c>
      <c r="AB219" s="83">
        <f>'Raw Data'!AB220/10</f>
        <v>1997.3</v>
      </c>
      <c r="AC219" s="83">
        <f>'Raw Data'!AC220/10</f>
        <v>1898.4</v>
      </c>
      <c r="AD219" s="83">
        <f>'Raw Data'!AD220/10</f>
        <v>1785.6</v>
      </c>
      <c r="AE219" s="83">
        <f>'Raw Data'!AE220/10</f>
        <v>1685.4</v>
      </c>
      <c r="AF219" s="83">
        <f>'Raw Data'!AF220/10</f>
        <v>1609.4</v>
      </c>
      <c r="AG219" s="83">
        <f>'Raw Data'!AG220/10</f>
        <v>1546.9</v>
      </c>
      <c r="AH219" s="83">
        <f>'Raw Data'!AH220/10</f>
        <v>1454.9</v>
      </c>
      <c r="AI219" s="83">
        <f>'Raw Data'!AI220/10</f>
        <v>1394.2</v>
      </c>
      <c r="AJ219" s="83">
        <f>'Raw Data'!AJ220/10</f>
        <v>1308.4000000000001</v>
      </c>
      <c r="AK219" s="83">
        <f>'Raw Data'!AK220/10</f>
        <v>1273.8</v>
      </c>
      <c r="AL219" s="83">
        <f>'Raw Data'!AL220/10</f>
        <v>1204.5999999999999</v>
      </c>
      <c r="AM219" s="83">
        <f>'Raw Data'!AM220/10</f>
        <v>1137.9000000000001</v>
      </c>
      <c r="AN219" s="83">
        <f>'Raw Data'!AN220/10</f>
        <v>1133.4000000000001</v>
      </c>
      <c r="AO219" s="83">
        <f>'Raw Data'!AO220/10</f>
        <v>1057.5</v>
      </c>
      <c r="AP219" s="83">
        <f>'Raw Data'!AP220/10</f>
        <v>1002.8</v>
      </c>
      <c r="AQ219" s="83">
        <f>'Raw Data'!AQ220/10</f>
        <v>970.8</v>
      </c>
      <c r="AR219" s="83">
        <f>'Raw Data'!AR220/10</f>
        <v>936.5</v>
      </c>
      <c r="AS219" s="83">
        <f>'Raw Data'!AS220/10</f>
        <v>894.9</v>
      </c>
      <c r="AT219" s="83">
        <f>'Raw Data'!AT220/10</f>
        <v>859.1</v>
      </c>
      <c r="AU219" s="83">
        <f>'Raw Data'!AU220/10</f>
        <v>841.3</v>
      </c>
      <c r="AV219" s="83">
        <f>'Raw Data'!AV220/10</f>
        <v>806.6</v>
      </c>
      <c r="AW219" s="83">
        <f>'Raw Data'!AW220/10</f>
        <v>781.5</v>
      </c>
      <c r="AX219" s="83">
        <f>'Raw Data'!AX220/10</f>
        <v>768.1</v>
      </c>
      <c r="AY219" s="83">
        <f>'Raw Data'!AY220/10</f>
        <v>748.7</v>
      </c>
      <c r="AZ219" s="83">
        <f>'Raw Data'!AZ220/10</f>
        <v>713</v>
      </c>
      <c r="BA219" s="83">
        <f>'Raw Data'!BA220/10</f>
        <v>695.2</v>
      </c>
      <c r="BB219" s="83">
        <f>'Raw Data'!BB220/10</f>
        <v>671.2</v>
      </c>
      <c r="BC219" s="83">
        <f>'Raw Data'!BC220/10</f>
        <v>647.29999999999995</v>
      </c>
      <c r="BD219" s="83">
        <f>'Raw Data'!BD220/10</f>
        <v>645.5</v>
      </c>
      <c r="BE219" s="83">
        <f>'Raw Data'!BE220/10</f>
        <v>617.6</v>
      </c>
      <c r="BF219" s="83">
        <f>'Raw Data'!BF220/10</f>
        <v>598.79999999999995</v>
      </c>
      <c r="BG219" s="83">
        <f>'Raw Data'!BG220/10</f>
        <v>578.6</v>
      </c>
      <c r="BH219" s="83">
        <f>'Raw Data'!BH220/10</f>
        <v>571.1</v>
      </c>
      <c r="BI219" s="83">
        <f>'Raw Data'!BI220/10</f>
        <v>551.29999999999995</v>
      </c>
      <c r="BJ219" s="83">
        <f>'Raw Data'!BJ220/10</f>
        <v>545.29999999999995</v>
      </c>
      <c r="BK219" s="83">
        <f>'Raw Data'!BK220/10</f>
        <v>520.20000000000005</v>
      </c>
      <c r="BL219" s="83">
        <f>'Raw Data'!BL220/10</f>
        <v>514.6</v>
      </c>
      <c r="BM219" s="83">
        <f>'Raw Data'!BM220/10</f>
        <v>507.6</v>
      </c>
      <c r="BN219" s="83">
        <f>'Raw Data'!BN220/10</f>
        <v>490.3</v>
      </c>
      <c r="BO219" s="83">
        <f>'Raw Data'!BO220/10</f>
        <v>479.8</v>
      </c>
      <c r="BP219" s="83">
        <f>'Raw Data'!BP220/10</f>
        <v>471</v>
      </c>
      <c r="BQ219" s="83">
        <f>'Raw Data'!BQ220/10</f>
        <v>463.4</v>
      </c>
      <c r="BR219" s="83">
        <f>'Raw Data'!BR220/10</f>
        <v>460.2</v>
      </c>
      <c r="BS219" s="83">
        <f>'Raw Data'!BS220/10</f>
        <v>442.2</v>
      </c>
      <c r="BT219" s="83">
        <f>'Raw Data'!BT220/10</f>
        <v>434.2</v>
      </c>
      <c r="BU219" s="83">
        <f>'Raw Data'!BU220/10</f>
        <v>433.7</v>
      </c>
      <c r="BV219" s="83">
        <f>'Raw Data'!BV220/10</f>
        <v>425.8</v>
      </c>
      <c r="BW219" s="83">
        <f>'Raw Data'!BW220/10</f>
        <v>409.8</v>
      </c>
      <c r="BX219" s="83">
        <f>'Raw Data'!BX220/10</f>
        <v>409.2</v>
      </c>
      <c r="BY219" s="83">
        <f>'Raw Data'!BY220/10</f>
        <v>403.7</v>
      </c>
      <c r="BZ219" s="83">
        <f>'Raw Data'!BZ220/10</f>
        <v>394.8</v>
      </c>
      <c r="CA219" s="83">
        <f>'Raw Data'!CA220/10</f>
        <v>395.3</v>
      </c>
      <c r="CB219" s="83">
        <f>'Raw Data'!CB220/10</f>
        <v>380.4</v>
      </c>
      <c r="CC219" s="83">
        <f>'Raw Data'!CC220/10</f>
        <v>369.6</v>
      </c>
      <c r="CD219" s="83">
        <f>'Raw Data'!CD220/10</f>
        <v>361.1</v>
      </c>
      <c r="CE219" s="83">
        <f>'Raw Data'!CE220/10</f>
        <v>368.7</v>
      </c>
      <c r="CF219" s="83">
        <f>'Raw Data'!CF220/10</f>
        <v>356.5</v>
      </c>
      <c r="CG219" s="83">
        <f>'Raw Data'!CG220/100</f>
        <v>328.88</v>
      </c>
      <c r="CH219" s="83">
        <f>'Raw Data'!CH220/100</f>
        <v>287.93</v>
      </c>
      <c r="CI219" s="83">
        <f>'Raw Data'!CI220/100</f>
        <v>259.27999999999997</v>
      </c>
      <c r="CJ219" s="83">
        <f>'Raw Data'!CJ220/100</f>
        <v>237.47</v>
      </c>
      <c r="CK219" s="83">
        <f>'Raw Data'!CK220/100</f>
        <v>218.31</v>
      </c>
      <c r="CL219" s="83">
        <f>'Raw Data'!CL220/100</f>
        <v>201.43</v>
      </c>
      <c r="CM219" s="83">
        <f>'Raw Data'!CM220/100</f>
        <v>189.95</v>
      </c>
      <c r="CN219" s="83">
        <f>'Raw Data'!CN220/100</f>
        <v>178.67</v>
      </c>
      <c r="CO219" s="83">
        <f>'Raw Data'!CO220/100</f>
        <v>169.22</v>
      </c>
      <c r="CP219" s="83">
        <f>'Raw Data'!CP220/100</f>
        <v>162.26</v>
      </c>
      <c r="CQ219" s="83">
        <f>'Raw Data'!CQ220/100</f>
        <v>153.96</v>
      </c>
      <c r="CR219" s="83">
        <f>'Raw Data'!CR220/100</f>
        <v>148.57</v>
      </c>
      <c r="CS219" s="83">
        <f>'Raw Data'!CS220/100</f>
        <v>142.47</v>
      </c>
      <c r="CT219" s="83">
        <f>'Raw Data'!CT220/100</f>
        <v>136.46</v>
      </c>
      <c r="CU219" s="382"/>
    </row>
    <row r="220" spans="4:99" s="86" customFormat="1" x14ac:dyDescent="0.2">
      <c r="D220" s="377"/>
      <c r="E220" s="164"/>
      <c r="F220" s="394"/>
      <c r="G220" s="85">
        <f>'Raw Data'!G221</f>
        <v>272</v>
      </c>
      <c r="H220" s="85">
        <f>'Raw Data'!H221</f>
        <v>281</v>
      </c>
      <c r="I220" s="85">
        <f>'Raw Data'!I221</f>
        <v>247</v>
      </c>
      <c r="J220" s="85">
        <f>'Raw Data'!J221</f>
        <v>281</v>
      </c>
      <c r="K220" s="85">
        <f>'Raw Data'!K221</f>
        <v>277</v>
      </c>
      <c r="L220" s="85">
        <f>'Raw Data'!L221</f>
        <v>276</v>
      </c>
      <c r="M220" s="85">
        <f>'Raw Data'!M221</f>
        <v>270</v>
      </c>
      <c r="N220" s="85">
        <f>'Raw Data'!N221</f>
        <v>240</v>
      </c>
      <c r="O220" s="85">
        <f>'Raw Data'!O221</f>
        <v>253</v>
      </c>
      <c r="P220" s="85">
        <f>'Raw Data'!P221</f>
        <v>270</v>
      </c>
      <c r="Q220" s="85">
        <f>'Raw Data'!Q221</f>
        <v>259</v>
      </c>
      <c r="R220" s="85">
        <f>'Raw Data'!R221</f>
        <v>275</v>
      </c>
      <c r="S220" s="85">
        <f>'Raw Data'!S221</f>
        <v>274</v>
      </c>
      <c r="T220" s="85">
        <f>'Raw Data'!T221</f>
        <v>270</v>
      </c>
      <c r="U220" s="85">
        <f>'Raw Data'!U221</f>
        <v>256</v>
      </c>
      <c r="V220" s="85">
        <f>'Raw Data'!V221</f>
        <v>258</v>
      </c>
      <c r="W220" s="85">
        <f>'Raw Data'!W221</f>
        <v>248</v>
      </c>
      <c r="X220" s="85">
        <f>'Raw Data'!X221</f>
        <v>232</v>
      </c>
      <c r="Y220" s="85">
        <f>'Raw Data'!Y221</f>
        <v>241</v>
      </c>
      <c r="Z220" s="85">
        <f>'Raw Data'!Z221</f>
        <v>264</v>
      </c>
      <c r="AA220" s="85">
        <f>'Raw Data'!AA221/10</f>
        <v>243.2</v>
      </c>
      <c r="AB220" s="85">
        <f>'Raw Data'!AB221/10</f>
        <v>228.2</v>
      </c>
      <c r="AC220" s="85">
        <f>'Raw Data'!AC221/10</f>
        <v>219.9</v>
      </c>
      <c r="AD220" s="85">
        <f>'Raw Data'!AD221/10</f>
        <v>211.9</v>
      </c>
      <c r="AE220" s="85">
        <f>'Raw Data'!AE221/10</f>
        <v>192.5</v>
      </c>
      <c r="AF220" s="85">
        <f>'Raw Data'!AF221/10</f>
        <v>174.3</v>
      </c>
      <c r="AG220" s="85">
        <f>'Raw Data'!AG221/10</f>
        <v>179.1</v>
      </c>
      <c r="AH220" s="85">
        <f>'Raw Data'!AH221/10</f>
        <v>175</v>
      </c>
      <c r="AI220" s="85">
        <f>'Raw Data'!AI221/10</f>
        <v>160.69999999999999</v>
      </c>
      <c r="AJ220" s="85">
        <f>'Raw Data'!AJ221/10</f>
        <v>153.19999999999999</v>
      </c>
      <c r="AK220" s="85">
        <f>'Raw Data'!AK221/10</f>
        <v>144.19999999999999</v>
      </c>
      <c r="AL220" s="85">
        <f>'Raw Data'!AL221/10</f>
        <v>142.4</v>
      </c>
      <c r="AM220" s="85">
        <f>'Raw Data'!AM221/10</f>
        <v>140.5</v>
      </c>
      <c r="AN220" s="85">
        <f>'Raw Data'!AN221/10</f>
        <v>132.69999999999999</v>
      </c>
      <c r="AO220" s="85">
        <f>'Raw Data'!AO221/10</f>
        <v>130.19999999999999</v>
      </c>
      <c r="AP220" s="85">
        <f>'Raw Data'!AP221/10</f>
        <v>124.9</v>
      </c>
      <c r="AQ220" s="85">
        <f>'Raw Data'!AQ221/10</f>
        <v>121.1</v>
      </c>
      <c r="AR220" s="85">
        <f>'Raw Data'!AR221/10</f>
        <v>117.3</v>
      </c>
      <c r="AS220" s="85">
        <f>'Raw Data'!AS221/10</f>
        <v>110.3</v>
      </c>
      <c r="AT220" s="85">
        <f>'Raw Data'!AT221/10</f>
        <v>109.6</v>
      </c>
      <c r="AU220" s="85">
        <f>'Raw Data'!AU221/10</f>
        <v>104.7</v>
      </c>
      <c r="AV220" s="85">
        <f>'Raw Data'!AV221/10</f>
        <v>103.9</v>
      </c>
      <c r="AW220" s="85">
        <f>'Raw Data'!AW221/10</f>
        <v>99.5</v>
      </c>
      <c r="AX220" s="85">
        <f>'Raw Data'!AX221/10</f>
        <v>94.4</v>
      </c>
      <c r="AY220" s="85">
        <f>'Raw Data'!AY221/10</f>
        <v>100</v>
      </c>
      <c r="AZ220" s="85">
        <f>'Raw Data'!AZ221/10</f>
        <v>96.8</v>
      </c>
      <c r="BA220" s="85">
        <f>'Raw Data'!BA221/10</f>
        <v>90.1</v>
      </c>
      <c r="BB220" s="85">
        <f>'Raw Data'!BB221/10</f>
        <v>93.5</v>
      </c>
      <c r="BC220" s="85">
        <f>'Raw Data'!BC221/10</f>
        <v>90</v>
      </c>
      <c r="BD220" s="85">
        <f>'Raw Data'!BD221/10</f>
        <v>90.3</v>
      </c>
      <c r="BE220" s="85">
        <f>'Raw Data'!BE221/10</f>
        <v>84.5</v>
      </c>
      <c r="BF220" s="85">
        <f>'Raw Data'!BF221/10</f>
        <v>82.4</v>
      </c>
      <c r="BG220" s="85">
        <f>'Raw Data'!BG221/10</f>
        <v>86.7</v>
      </c>
      <c r="BH220" s="85">
        <f>'Raw Data'!BH221/10</f>
        <v>78.900000000000006</v>
      </c>
      <c r="BI220" s="85">
        <f>'Raw Data'!BI221/10</f>
        <v>76.8</v>
      </c>
      <c r="BJ220" s="85">
        <f>'Raw Data'!BJ221/10</f>
        <v>78.7</v>
      </c>
      <c r="BK220" s="85">
        <f>'Raw Data'!BK221/10</f>
        <v>75.5</v>
      </c>
      <c r="BL220" s="85">
        <f>'Raw Data'!BL221/10</f>
        <v>80.5</v>
      </c>
      <c r="BM220" s="85">
        <f>'Raw Data'!BM221/10</f>
        <v>74.5</v>
      </c>
      <c r="BN220" s="85">
        <f>'Raw Data'!BN221/10</f>
        <v>75.8</v>
      </c>
      <c r="BO220" s="85">
        <f>'Raw Data'!BO221/10</f>
        <v>72.7</v>
      </c>
      <c r="BP220" s="85">
        <f>'Raw Data'!BP221/10</f>
        <v>70.5</v>
      </c>
      <c r="BQ220" s="85">
        <f>'Raw Data'!BQ221/10</f>
        <v>66.900000000000006</v>
      </c>
      <c r="BR220" s="85">
        <f>'Raw Data'!BR221/10</f>
        <v>67.099999999999994</v>
      </c>
      <c r="BS220" s="85">
        <f>'Raw Data'!BS221/10</f>
        <v>68.900000000000006</v>
      </c>
      <c r="BT220" s="85">
        <f>'Raw Data'!BT221/10</f>
        <v>68.8</v>
      </c>
      <c r="BU220" s="85">
        <f>'Raw Data'!BU221/10</f>
        <v>68.900000000000006</v>
      </c>
      <c r="BV220" s="85">
        <f>'Raw Data'!BV221/10</f>
        <v>65.8</v>
      </c>
      <c r="BW220" s="85">
        <f>'Raw Data'!BW221/10</f>
        <v>65.099999999999994</v>
      </c>
      <c r="BX220" s="85">
        <f>'Raw Data'!BX221/10</f>
        <v>68.2</v>
      </c>
      <c r="BY220" s="85">
        <f>'Raw Data'!BY221/10</f>
        <v>63.9</v>
      </c>
      <c r="BZ220" s="85">
        <f>'Raw Data'!BZ221/10</f>
        <v>63.4</v>
      </c>
      <c r="CA220" s="85">
        <f>'Raw Data'!CA221/10</f>
        <v>62.4</v>
      </c>
      <c r="CB220" s="85">
        <f>'Raw Data'!CB221/10</f>
        <v>58.4</v>
      </c>
      <c r="CC220" s="85">
        <f>'Raw Data'!CC221/10</f>
        <v>60.9</v>
      </c>
      <c r="CD220" s="85">
        <f>'Raw Data'!CD221/10</f>
        <v>63.1</v>
      </c>
      <c r="CE220" s="85">
        <f>'Raw Data'!CE221/10</f>
        <v>62.1</v>
      </c>
      <c r="CF220" s="85">
        <f>'Raw Data'!CF221/10</f>
        <v>60.8</v>
      </c>
      <c r="CG220" s="85">
        <f>'Raw Data'!CG221/100</f>
        <v>57.7</v>
      </c>
      <c r="CH220" s="85">
        <f>'Raw Data'!CH221/100</f>
        <v>53.52</v>
      </c>
      <c r="CI220" s="85">
        <f>'Raw Data'!CI221/100</f>
        <v>49.87</v>
      </c>
      <c r="CJ220" s="85">
        <f>'Raw Data'!CJ221/100</f>
        <v>48.56</v>
      </c>
      <c r="CK220" s="85">
        <f>'Raw Data'!CK221/100</f>
        <v>46.67</v>
      </c>
      <c r="CL220" s="85">
        <f>'Raw Data'!CL221/100</f>
        <v>44.46</v>
      </c>
      <c r="CM220" s="85">
        <f>'Raw Data'!CM221/100</f>
        <v>43.37</v>
      </c>
      <c r="CN220" s="85">
        <f>'Raw Data'!CN221/100</f>
        <v>41.72</v>
      </c>
      <c r="CO220" s="85">
        <f>'Raw Data'!CO221/100</f>
        <v>40.840000000000003</v>
      </c>
      <c r="CP220" s="85">
        <f>'Raw Data'!CP221/100</f>
        <v>40.29</v>
      </c>
      <c r="CQ220" s="85">
        <f>'Raw Data'!CQ221/100</f>
        <v>38.83</v>
      </c>
      <c r="CR220" s="85">
        <f>'Raw Data'!CR221/100</f>
        <v>38.39</v>
      </c>
      <c r="CS220" s="85">
        <f>'Raw Data'!CS221/100</f>
        <v>37.82</v>
      </c>
      <c r="CT220" s="85">
        <f>'Raw Data'!CT221/100</f>
        <v>37.28</v>
      </c>
      <c r="CU220" s="382"/>
    </row>
    <row r="221" spans="4:99" s="86" customFormat="1" x14ac:dyDescent="0.2">
      <c r="D221" s="375"/>
      <c r="E221" s="164"/>
      <c r="F221" s="394"/>
      <c r="G221" s="86">
        <f>'Raw Data'!G222</f>
        <v>273</v>
      </c>
      <c r="H221" s="86">
        <f>'Raw Data'!H222</f>
        <v>274</v>
      </c>
      <c r="I221" s="86">
        <f>'Raw Data'!I222</f>
        <v>265</v>
      </c>
      <c r="J221" s="86">
        <f>'Raw Data'!J222</f>
        <v>289</v>
      </c>
      <c r="K221" s="86">
        <f>'Raw Data'!K222</f>
        <v>297</v>
      </c>
      <c r="L221" s="86">
        <f>'Raw Data'!L222</f>
        <v>293</v>
      </c>
      <c r="M221" s="86">
        <f>'Raw Data'!M222</f>
        <v>263</v>
      </c>
      <c r="N221" s="86">
        <f>'Raw Data'!N222</f>
        <v>275</v>
      </c>
      <c r="O221" s="86">
        <f>'Raw Data'!O222</f>
        <v>270</v>
      </c>
      <c r="P221" s="86">
        <f>'Raw Data'!P222</f>
        <v>248</v>
      </c>
      <c r="Q221" s="86">
        <f>'Raw Data'!Q222</f>
        <v>278</v>
      </c>
      <c r="R221" s="86">
        <f>'Raw Data'!R222</f>
        <v>264</v>
      </c>
      <c r="S221" s="86">
        <f>'Raw Data'!S222</f>
        <v>281</v>
      </c>
      <c r="T221" s="86">
        <f>'Raw Data'!T222</f>
        <v>261</v>
      </c>
      <c r="U221" s="86">
        <f>'Raw Data'!U222</f>
        <v>256</v>
      </c>
      <c r="V221" s="86">
        <f>'Raw Data'!V222</f>
        <v>254</v>
      </c>
      <c r="W221" s="86">
        <f>'Raw Data'!W222</f>
        <v>236</v>
      </c>
      <c r="X221" s="86">
        <f>'Raw Data'!X222</f>
        <v>260</v>
      </c>
      <c r="Y221" s="86">
        <f>'Raw Data'!Y222</f>
        <v>240</v>
      </c>
      <c r="Z221" s="86">
        <f>'Raw Data'!Z222</f>
        <v>251</v>
      </c>
      <c r="AA221" s="86">
        <f>'Raw Data'!AA222/10</f>
        <v>237.9</v>
      </c>
      <c r="AB221" s="86">
        <f>'Raw Data'!AB222/10</f>
        <v>223.6</v>
      </c>
      <c r="AC221" s="86">
        <f>'Raw Data'!AC222/10</f>
        <v>203</v>
      </c>
      <c r="AD221" s="86">
        <f>'Raw Data'!AD222/10</f>
        <v>196.4</v>
      </c>
      <c r="AE221" s="86">
        <f>'Raw Data'!AE222/10</f>
        <v>187.2</v>
      </c>
      <c r="AF221" s="86">
        <f>'Raw Data'!AF222/10</f>
        <v>176.2</v>
      </c>
      <c r="AG221" s="86">
        <f>'Raw Data'!AG222/10</f>
        <v>165.1</v>
      </c>
      <c r="AH221" s="86">
        <f>'Raw Data'!AH222/10</f>
        <v>154.80000000000001</v>
      </c>
      <c r="AI221" s="86">
        <f>'Raw Data'!AI222/10</f>
        <v>146.19999999999999</v>
      </c>
      <c r="AJ221" s="86">
        <f>'Raw Data'!AJ222/10</f>
        <v>140.5</v>
      </c>
      <c r="AK221" s="86">
        <f>'Raw Data'!AK222/10</f>
        <v>137.4</v>
      </c>
      <c r="AL221" s="86">
        <f>'Raw Data'!AL222/10</f>
        <v>127.8</v>
      </c>
      <c r="AM221" s="86">
        <f>'Raw Data'!AM222/10</f>
        <v>126.2</v>
      </c>
      <c r="AN221" s="86">
        <f>'Raw Data'!AN222/10</f>
        <v>120.7</v>
      </c>
      <c r="AO221" s="86">
        <f>'Raw Data'!AO222/10</f>
        <v>119.3</v>
      </c>
      <c r="AP221" s="86">
        <f>'Raw Data'!AP222/10</f>
        <v>112.6</v>
      </c>
      <c r="AQ221" s="86">
        <f>'Raw Data'!AQ222/10</f>
        <v>109.9</v>
      </c>
      <c r="AR221" s="86">
        <f>'Raw Data'!AR222/10</f>
        <v>100.7</v>
      </c>
      <c r="AS221" s="86">
        <f>'Raw Data'!AS222/10</f>
        <v>102.5</v>
      </c>
      <c r="AT221" s="86">
        <f>'Raw Data'!AT222/10</f>
        <v>96.3</v>
      </c>
      <c r="AU221" s="86">
        <f>'Raw Data'!AU222/10</f>
        <v>93.3</v>
      </c>
      <c r="AV221" s="86">
        <f>'Raw Data'!AV222/10</f>
        <v>86.8</v>
      </c>
      <c r="AW221" s="86">
        <f>'Raw Data'!AW222/10</f>
        <v>87.6</v>
      </c>
      <c r="AX221" s="86">
        <f>'Raw Data'!AX222/10</f>
        <v>84.2</v>
      </c>
      <c r="AY221" s="86">
        <f>'Raw Data'!AY222/10</f>
        <v>82.7</v>
      </c>
      <c r="AZ221" s="86">
        <f>'Raw Data'!AZ222/10</f>
        <v>82.2</v>
      </c>
      <c r="BA221" s="86">
        <f>'Raw Data'!BA222/10</f>
        <v>78.7</v>
      </c>
      <c r="BB221" s="86">
        <f>'Raw Data'!BB222/10</f>
        <v>79.099999999999994</v>
      </c>
      <c r="BC221" s="86">
        <f>'Raw Data'!BC222/10</f>
        <v>78.2</v>
      </c>
      <c r="BD221" s="86">
        <f>'Raw Data'!BD222/10</f>
        <v>72.5</v>
      </c>
      <c r="BE221" s="86">
        <f>'Raw Data'!BE222/10</f>
        <v>75.7</v>
      </c>
      <c r="BF221" s="86">
        <f>'Raw Data'!BF222/10</f>
        <v>66.3</v>
      </c>
      <c r="BG221" s="86">
        <f>'Raw Data'!BG222/10</f>
        <v>70.900000000000006</v>
      </c>
      <c r="BH221" s="86">
        <f>'Raw Data'!BH222/10</f>
        <v>69.599999999999994</v>
      </c>
      <c r="BI221" s="86">
        <f>'Raw Data'!BI222/10</f>
        <v>69.400000000000006</v>
      </c>
      <c r="BJ221" s="86">
        <f>'Raw Data'!BJ222/10</f>
        <v>72.8</v>
      </c>
      <c r="BK221" s="86">
        <f>'Raw Data'!BK222/10</f>
        <v>66.400000000000006</v>
      </c>
      <c r="BL221" s="86">
        <f>'Raw Data'!BL222/10</f>
        <v>62</v>
      </c>
      <c r="BM221" s="86">
        <f>'Raw Data'!BM222/10</f>
        <v>65.900000000000006</v>
      </c>
      <c r="BN221" s="86">
        <f>'Raw Data'!BN222/10</f>
        <v>62.5</v>
      </c>
      <c r="BO221" s="86">
        <f>'Raw Data'!BO222/10</f>
        <v>61.2</v>
      </c>
      <c r="BP221" s="86">
        <f>'Raw Data'!BP222/10</f>
        <v>61.2</v>
      </c>
      <c r="BQ221" s="86">
        <f>'Raw Data'!BQ222/10</f>
        <v>58.8</v>
      </c>
      <c r="BR221" s="86">
        <f>'Raw Data'!BR222/10</f>
        <v>59.1</v>
      </c>
      <c r="BS221" s="86">
        <f>'Raw Data'!BS222/10</f>
        <v>59.2</v>
      </c>
      <c r="BT221" s="86">
        <f>'Raw Data'!BT222/10</f>
        <v>57.8</v>
      </c>
      <c r="BU221" s="86">
        <f>'Raw Data'!BU222/10</f>
        <v>59.2</v>
      </c>
      <c r="BV221" s="86">
        <f>'Raw Data'!BV222/10</f>
        <v>56.4</v>
      </c>
      <c r="BW221" s="86">
        <f>'Raw Data'!BW222/10</f>
        <v>53.9</v>
      </c>
      <c r="BX221" s="86">
        <f>'Raw Data'!BX222/10</f>
        <v>53.8</v>
      </c>
      <c r="BY221" s="86">
        <f>'Raw Data'!BY222/10</f>
        <v>56.1</v>
      </c>
      <c r="BZ221" s="86">
        <f>'Raw Data'!BZ222/10</f>
        <v>52.3</v>
      </c>
      <c r="CA221" s="86">
        <f>'Raw Data'!CA222/10</f>
        <v>51.7</v>
      </c>
      <c r="CB221" s="86">
        <f>'Raw Data'!CB222/10</f>
        <v>53.5</v>
      </c>
      <c r="CC221" s="86">
        <f>'Raw Data'!CC222/10</f>
        <v>52</v>
      </c>
      <c r="CD221" s="86">
        <f>'Raw Data'!CD222/10</f>
        <v>47.5</v>
      </c>
      <c r="CE221" s="86">
        <f>'Raw Data'!CE222/10</f>
        <v>51</v>
      </c>
      <c r="CF221" s="86">
        <f>'Raw Data'!CF222/10</f>
        <v>50.4</v>
      </c>
      <c r="CG221" s="86">
        <f>'Raw Data'!CG222/100</f>
        <v>48.1</v>
      </c>
      <c r="CH221" s="86">
        <f>'Raw Data'!CH222/100</f>
        <v>45.19</v>
      </c>
      <c r="CI221" s="86">
        <f>'Raw Data'!CI222/100</f>
        <v>42.22</v>
      </c>
      <c r="CJ221" s="86">
        <f>'Raw Data'!CJ222/100</f>
        <v>39.83</v>
      </c>
      <c r="CK221" s="86">
        <f>'Raw Data'!CK222/100</f>
        <v>38.130000000000003</v>
      </c>
      <c r="CL221" s="86">
        <f>'Raw Data'!CL222/100</f>
        <v>37.18</v>
      </c>
      <c r="CM221" s="86">
        <f>'Raw Data'!CM222/100</f>
        <v>35.729999999999997</v>
      </c>
      <c r="CN221" s="86">
        <f>'Raw Data'!CN222/100</f>
        <v>36</v>
      </c>
      <c r="CO221" s="86">
        <f>'Raw Data'!CO222/100</f>
        <v>34.43</v>
      </c>
      <c r="CP221" s="86">
        <f>'Raw Data'!CP222/100</f>
        <v>33.08</v>
      </c>
      <c r="CQ221" s="86">
        <f>'Raw Data'!CQ222/100</f>
        <v>32.950000000000003</v>
      </c>
      <c r="CR221" s="86">
        <f>'Raw Data'!CR222/100</f>
        <v>31.93</v>
      </c>
      <c r="CS221" s="86">
        <f>'Raw Data'!CS222/100</f>
        <v>32.22</v>
      </c>
      <c r="CT221" s="86">
        <f>'Raw Data'!CT222/100</f>
        <v>31.13</v>
      </c>
      <c r="CU221" s="382"/>
    </row>
    <row r="222" spans="4:99" s="86" customFormat="1" x14ac:dyDescent="0.2">
      <c r="D222" s="375"/>
      <c r="E222" s="164"/>
      <c r="F222" s="394"/>
      <c r="G222" s="86">
        <f>'Raw Data'!G223</f>
        <v>192</v>
      </c>
      <c r="H222" s="86">
        <f>'Raw Data'!H223</f>
        <v>173</v>
      </c>
      <c r="I222" s="86">
        <f>'Raw Data'!I223</f>
        <v>204</v>
      </c>
      <c r="J222" s="86">
        <f>'Raw Data'!J223</f>
        <v>188</v>
      </c>
      <c r="K222" s="86">
        <f>'Raw Data'!K223</f>
        <v>176</v>
      </c>
      <c r="L222" s="86">
        <f>'Raw Data'!L223</f>
        <v>193</v>
      </c>
      <c r="M222" s="86">
        <f>'Raw Data'!M223</f>
        <v>183</v>
      </c>
      <c r="N222" s="86">
        <f>'Raw Data'!N223</f>
        <v>163</v>
      </c>
      <c r="O222" s="86">
        <f>'Raw Data'!O223</f>
        <v>171</v>
      </c>
      <c r="P222" s="86">
        <f>'Raw Data'!P223</f>
        <v>172</v>
      </c>
      <c r="Q222" s="86">
        <f>'Raw Data'!Q223</f>
        <v>172</v>
      </c>
      <c r="R222" s="86">
        <f>'Raw Data'!R223</f>
        <v>177</v>
      </c>
      <c r="S222" s="86">
        <f>'Raw Data'!S223</f>
        <v>167</v>
      </c>
      <c r="T222" s="86">
        <f>'Raw Data'!T223</f>
        <v>173</v>
      </c>
      <c r="U222" s="86">
        <f>'Raw Data'!U223</f>
        <v>187</v>
      </c>
      <c r="V222" s="86">
        <f>'Raw Data'!V223</f>
        <v>154</v>
      </c>
      <c r="W222" s="86">
        <f>'Raw Data'!W223</f>
        <v>165</v>
      </c>
      <c r="X222" s="86">
        <f>'Raw Data'!X223</f>
        <v>178</v>
      </c>
      <c r="Y222" s="86">
        <f>'Raw Data'!Y223</f>
        <v>171</v>
      </c>
      <c r="Z222" s="86">
        <f>'Raw Data'!Z223</f>
        <v>177</v>
      </c>
      <c r="AA222" s="86">
        <f>'Raw Data'!AA223/10</f>
        <v>167.3</v>
      </c>
      <c r="AB222" s="86">
        <f>'Raw Data'!AB223/10</f>
        <v>151</v>
      </c>
      <c r="AC222" s="86">
        <f>'Raw Data'!AC223/10</f>
        <v>142.5</v>
      </c>
      <c r="AD222" s="86">
        <f>'Raw Data'!AD223/10</f>
        <v>136.4</v>
      </c>
      <c r="AE222" s="86">
        <f>'Raw Data'!AE223/10</f>
        <v>133</v>
      </c>
      <c r="AF222" s="86">
        <f>'Raw Data'!AF223/10</f>
        <v>119.5</v>
      </c>
      <c r="AG222" s="86">
        <f>'Raw Data'!AG223/10</f>
        <v>114.9</v>
      </c>
      <c r="AH222" s="86">
        <f>'Raw Data'!AH223/10</f>
        <v>115.2</v>
      </c>
      <c r="AI222" s="86">
        <f>'Raw Data'!AI223/10</f>
        <v>104.1</v>
      </c>
      <c r="AJ222" s="86">
        <f>'Raw Data'!AJ223/10</f>
        <v>103.8</v>
      </c>
      <c r="AK222" s="86">
        <f>'Raw Data'!AK223/10</f>
        <v>95.6</v>
      </c>
      <c r="AL222" s="86">
        <f>'Raw Data'!AL223/10</f>
        <v>94.3</v>
      </c>
      <c r="AM222" s="86">
        <f>'Raw Data'!AM223/10</f>
        <v>87.2</v>
      </c>
      <c r="AN222" s="86">
        <f>'Raw Data'!AN223/10</f>
        <v>84.7</v>
      </c>
      <c r="AO222" s="86">
        <f>'Raw Data'!AO223/10</f>
        <v>82.2</v>
      </c>
      <c r="AP222" s="86">
        <f>'Raw Data'!AP223/10</f>
        <v>80.8</v>
      </c>
      <c r="AQ222" s="86">
        <f>'Raw Data'!AQ223/10</f>
        <v>77.2</v>
      </c>
      <c r="AR222" s="86">
        <f>'Raw Data'!AR223/10</f>
        <v>74.599999999999994</v>
      </c>
      <c r="AS222" s="86">
        <f>'Raw Data'!AS223/10</f>
        <v>75.8</v>
      </c>
      <c r="AT222" s="86">
        <f>'Raw Data'!AT223/10</f>
        <v>68.7</v>
      </c>
      <c r="AU222" s="86">
        <f>'Raw Data'!AU223/10</f>
        <v>69.900000000000006</v>
      </c>
      <c r="AV222" s="86">
        <f>'Raw Data'!AV223/10</f>
        <v>64.900000000000006</v>
      </c>
      <c r="AW222" s="86">
        <f>'Raw Data'!AW223/10</f>
        <v>65.3</v>
      </c>
      <c r="AX222" s="86">
        <f>'Raw Data'!AX223/10</f>
        <v>63</v>
      </c>
      <c r="AY222" s="86">
        <f>'Raw Data'!AY223/10</f>
        <v>62.5</v>
      </c>
      <c r="AZ222" s="86">
        <f>'Raw Data'!AZ223/10</f>
        <v>61.7</v>
      </c>
      <c r="BA222" s="86">
        <f>'Raw Data'!BA223/10</f>
        <v>59.6</v>
      </c>
      <c r="BB222" s="86">
        <f>'Raw Data'!BB223/10</f>
        <v>57.1</v>
      </c>
      <c r="BC222" s="86">
        <f>'Raw Data'!BC223/10</f>
        <v>57</v>
      </c>
      <c r="BD222" s="86">
        <f>'Raw Data'!BD223/10</f>
        <v>55.5</v>
      </c>
      <c r="BE222" s="86">
        <f>'Raw Data'!BE223/10</f>
        <v>51.7</v>
      </c>
      <c r="BF222" s="86">
        <f>'Raw Data'!BF223/10</f>
        <v>52.1</v>
      </c>
      <c r="BG222" s="86">
        <f>'Raw Data'!BG223/10</f>
        <v>50</v>
      </c>
      <c r="BH222" s="86">
        <f>'Raw Data'!BH223/10</f>
        <v>51.2</v>
      </c>
      <c r="BI222" s="86">
        <f>'Raw Data'!BI223/10</f>
        <v>54.7</v>
      </c>
      <c r="BJ222" s="86">
        <f>'Raw Data'!BJ223/10</f>
        <v>50.1</v>
      </c>
      <c r="BK222" s="86">
        <f>'Raw Data'!BK223/10</f>
        <v>48.6</v>
      </c>
      <c r="BL222" s="86">
        <f>'Raw Data'!BL223/10</f>
        <v>47.7</v>
      </c>
      <c r="BM222" s="86">
        <f>'Raw Data'!BM223/10</f>
        <v>48.9</v>
      </c>
      <c r="BN222" s="86">
        <f>'Raw Data'!BN223/10</f>
        <v>42.7</v>
      </c>
      <c r="BO222" s="86">
        <f>'Raw Data'!BO223/10</f>
        <v>47.3</v>
      </c>
      <c r="BP222" s="86">
        <f>'Raw Data'!BP223/10</f>
        <v>47.6</v>
      </c>
      <c r="BQ222" s="86">
        <f>'Raw Data'!BQ223/10</f>
        <v>42.4</v>
      </c>
      <c r="BR222" s="86">
        <f>'Raw Data'!BR223/10</f>
        <v>43.2</v>
      </c>
      <c r="BS222" s="86">
        <f>'Raw Data'!BS223/10</f>
        <v>44.1</v>
      </c>
      <c r="BT222" s="86">
        <f>'Raw Data'!BT223/10</f>
        <v>44.9</v>
      </c>
      <c r="BU222" s="86">
        <f>'Raw Data'!BU223/10</f>
        <v>41.7</v>
      </c>
      <c r="BV222" s="86">
        <f>'Raw Data'!BV223/10</f>
        <v>42.9</v>
      </c>
      <c r="BW222" s="86">
        <f>'Raw Data'!BW223/10</f>
        <v>44.8</v>
      </c>
      <c r="BX222" s="86">
        <f>'Raw Data'!BX223/10</f>
        <v>40.1</v>
      </c>
      <c r="BY222" s="86">
        <f>'Raw Data'!BY223/10</f>
        <v>40.1</v>
      </c>
      <c r="BZ222" s="86">
        <f>'Raw Data'!BZ223/10</f>
        <v>40.1</v>
      </c>
      <c r="CA222" s="86">
        <f>'Raw Data'!CA223/10</f>
        <v>36.9</v>
      </c>
      <c r="CB222" s="86">
        <f>'Raw Data'!CB223/10</f>
        <v>40.200000000000003</v>
      </c>
      <c r="CC222" s="86">
        <f>'Raw Data'!CC223/10</f>
        <v>37.700000000000003</v>
      </c>
      <c r="CD222" s="86">
        <f>'Raw Data'!CD223/10</f>
        <v>39.1</v>
      </c>
      <c r="CE222" s="86">
        <f>'Raw Data'!CE223/10</f>
        <v>37</v>
      </c>
      <c r="CF222" s="86">
        <f>'Raw Data'!CF223/10</f>
        <v>37.6</v>
      </c>
      <c r="CG222" s="86">
        <f>'Raw Data'!CG223/100</f>
        <v>36.49</v>
      </c>
      <c r="CH222" s="86">
        <f>'Raw Data'!CH223/100</f>
        <v>33.96</v>
      </c>
      <c r="CI222" s="86">
        <f>'Raw Data'!CI223/100</f>
        <v>32.75</v>
      </c>
      <c r="CJ222" s="86">
        <f>'Raw Data'!CJ223/100</f>
        <v>30.29</v>
      </c>
      <c r="CK222" s="86">
        <f>'Raw Data'!CK223/100</f>
        <v>28.91</v>
      </c>
      <c r="CL222" s="86">
        <f>'Raw Data'!CL223/100</f>
        <v>27.99</v>
      </c>
      <c r="CM222" s="86">
        <f>'Raw Data'!CM223/100</f>
        <v>28.04</v>
      </c>
      <c r="CN222" s="86">
        <f>'Raw Data'!CN223/100</f>
        <v>27.39</v>
      </c>
      <c r="CO222" s="86">
        <f>'Raw Data'!CO223/100</f>
        <v>26.25</v>
      </c>
      <c r="CP222" s="86">
        <f>'Raw Data'!CP223/100</f>
        <v>26</v>
      </c>
      <c r="CQ222" s="86">
        <f>'Raw Data'!CQ223/100</f>
        <v>25.56</v>
      </c>
      <c r="CR222" s="86">
        <f>'Raw Data'!CR223/100</f>
        <v>25.11</v>
      </c>
      <c r="CS222" s="86">
        <f>'Raw Data'!CS223/100</f>
        <v>23.61</v>
      </c>
      <c r="CT222" s="86">
        <f>'Raw Data'!CT223/100</f>
        <v>24.52</v>
      </c>
      <c r="CU222" s="382"/>
    </row>
    <row r="223" spans="4:99" s="86" customFormat="1" x14ac:dyDescent="0.2">
      <c r="D223" s="375"/>
      <c r="E223" s="164"/>
      <c r="F223" s="394"/>
      <c r="G223" s="86">
        <f>'Raw Data'!G224</f>
        <v>291</v>
      </c>
      <c r="H223" s="86">
        <f>'Raw Data'!H224</f>
        <v>275</v>
      </c>
      <c r="I223" s="86">
        <f>'Raw Data'!I224</f>
        <v>295</v>
      </c>
      <c r="J223" s="86">
        <f>'Raw Data'!J224</f>
        <v>287</v>
      </c>
      <c r="K223" s="86">
        <f>'Raw Data'!K224</f>
        <v>277</v>
      </c>
      <c r="L223" s="86">
        <f>'Raw Data'!L224</f>
        <v>269</v>
      </c>
      <c r="M223" s="86">
        <f>'Raw Data'!M224</f>
        <v>276</v>
      </c>
      <c r="N223" s="86">
        <f>'Raw Data'!N224</f>
        <v>258</v>
      </c>
      <c r="O223" s="86">
        <f>'Raw Data'!O224</f>
        <v>243</v>
      </c>
      <c r="P223" s="86">
        <f>'Raw Data'!P224</f>
        <v>262</v>
      </c>
      <c r="Q223" s="86">
        <f>'Raw Data'!Q224</f>
        <v>261</v>
      </c>
      <c r="R223" s="86">
        <f>'Raw Data'!R224</f>
        <v>233</v>
      </c>
      <c r="S223" s="86">
        <f>'Raw Data'!S224</f>
        <v>232</v>
      </c>
      <c r="T223" s="86">
        <f>'Raw Data'!T224</f>
        <v>267</v>
      </c>
      <c r="U223" s="86">
        <f>'Raw Data'!U224</f>
        <v>260</v>
      </c>
      <c r="V223" s="86">
        <f>'Raw Data'!V224</f>
        <v>254</v>
      </c>
      <c r="W223" s="86">
        <f>'Raw Data'!W224</f>
        <v>264</v>
      </c>
      <c r="X223" s="86">
        <f>'Raw Data'!X224</f>
        <v>227</v>
      </c>
      <c r="Y223" s="86">
        <f>'Raw Data'!Y224</f>
        <v>250</v>
      </c>
      <c r="Z223" s="86">
        <f>'Raw Data'!Z224</f>
        <v>224</v>
      </c>
      <c r="AA223" s="86">
        <f>'Raw Data'!AA224/10</f>
        <v>234.8</v>
      </c>
      <c r="AB223" s="86">
        <f>'Raw Data'!AB224/10</f>
        <v>218.2</v>
      </c>
      <c r="AC223" s="86">
        <f>'Raw Data'!AC224/10</f>
        <v>208.7</v>
      </c>
      <c r="AD223" s="86">
        <f>'Raw Data'!AD224/10</f>
        <v>193.1</v>
      </c>
      <c r="AE223" s="86">
        <f>'Raw Data'!AE224/10</f>
        <v>179.7</v>
      </c>
      <c r="AF223" s="86">
        <f>'Raw Data'!AF224/10</f>
        <v>169.7</v>
      </c>
      <c r="AG223" s="86">
        <f>'Raw Data'!AG224/10</f>
        <v>163.1</v>
      </c>
      <c r="AH223" s="86">
        <f>'Raw Data'!AH224/10</f>
        <v>150.19999999999999</v>
      </c>
      <c r="AI223" s="86">
        <f>'Raw Data'!AI224/10</f>
        <v>143.30000000000001</v>
      </c>
      <c r="AJ223" s="86">
        <f>'Raw Data'!AJ224/10</f>
        <v>111.9</v>
      </c>
      <c r="AK223" s="86">
        <f>'Raw Data'!AK224/10</f>
        <v>134.80000000000001</v>
      </c>
      <c r="AL223" s="86">
        <f>'Raw Data'!AL224/10</f>
        <v>125.3</v>
      </c>
      <c r="AM223" s="86">
        <f>'Raw Data'!AM224/10</f>
        <v>120.6</v>
      </c>
      <c r="AN223" s="86">
        <f>'Raw Data'!AN224/10</f>
        <v>114.9</v>
      </c>
      <c r="AO223" s="86">
        <f>'Raw Data'!AO224/10</f>
        <v>109.6</v>
      </c>
      <c r="AP223" s="86">
        <f>'Raw Data'!AP224/10</f>
        <v>105.7</v>
      </c>
      <c r="AQ223" s="86">
        <f>'Raw Data'!AQ224/10</f>
        <v>109</v>
      </c>
      <c r="AR223" s="86">
        <f>'Raw Data'!AR224/10</f>
        <v>102.4</v>
      </c>
      <c r="AS223" s="86">
        <f>'Raw Data'!AS224/10</f>
        <v>96.5</v>
      </c>
      <c r="AT223" s="86">
        <f>'Raw Data'!AT224/10</f>
        <v>92.3</v>
      </c>
      <c r="AU223" s="86">
        <f>'Raw Data'!AU224/10</f>
        <v>92.5</v>
      </c>
      <c r="AV223" s="86">
        <f>'Raw Data'!AV224/10</f>
        <v>84.4</v>
      </c>
      <c r="AW223" s="86">
        <f>'Raw Data'!AW224/10</f>
        <v>82</v>
      </c>
      <c r="AX223" s="86">
        <f>'Raw Data'!AX224/10</f>
        <v>81.099999999999994</v>
      </c>
      <c r="AY223" s="86">
        <f>'Raw Data'!AY224/10</f>
        <v>81.099999999999994</v>
      </c>
      <c r="AZ223" s="86">
        <f>'Raw Data'!AZ224/10</f>
        <v>77.3</v>
      </c>
      <c r="BA223" s="86">
        <f>'Raw Data'!BA224/10</f>
        <v>75.599999999999994</v>
      </c>
      <c r="BB223" s="86">
        <f>'Raw Data'!BB224/10</f>
        <v>73.099999999999994</v>
      </c>
      <c r="BC223" s="86">
        <f>'Raw Data'!BC224/10</f>
        <v>72.099999999999994</v>
      </c>
      <c r="BD223" s="86">
        <f>'Raw Data'!BD224/10</f>
        <v>69.2</v>
      </c>
      <c r="BE223" s="86">
        <f>'Raw Data'!BE224/10</f>
        <v>69.5</v>
      </c>
      <c r="BF223" s="86">
        <f>'Raw Data'!BF224/10</f>
        <v>66.400000000000006</v>
      </c>
      <c r="BG223" s="86">
        <f>'Raw Data'!BG224/10</f>
        <v>66.599999999999994</v>
      </c>
      <c r="BH223" s="86">
        <f>'Raw Data'!BH224/10</f>
        <v>63.7</v>
      </c>
      <c r="BI223" s="86">
        <f>'Raw Data'!BI224/10</f>
        <v>62.8</v>
      </c>
      <c r="BJ223" s="86">
        <f>'Raw Data'!BJ224/10</f>
        <v>61.8</v>
      </c>
      <c r="BK223" s="86">
        <f>'Raw Data'!BK224/10</f>
        <v>60.2</v>
      </c>
      <c r="BL223" s="86">
        <f>'Raw Data'!BL224/10</f>
        <v>56.3</v>
      </c>
      <c r="BM223" s="86">
        <f>'Raw Data'!BM224/10</f>
        <v>56.2</v>
      </c>
      <c r="BN223" s="86">
        <f>'Raw Data'!BN224/10</f>
        <v>58.5</v>
      </c>
      <c r="BO223" s="86">
        <f>'Raw Data'!BO224/10</f>
        <v>55.7</v>
      </c>
      <c r="BP223" s="86">
        <f>'Raw Data'!BP224/10</f>
        <v>53.8</v>
      </c>
      <c r="BQ223" s="86">
        <f>'Raw Data'!BQ224/10</f>
        <v>53.4</v>
      </c>
      <c r="BR223" s="86">
        <f>'Raw Data'!BR224/10</f>
        <v>56.4</v>
      </c>
      <c r="BS223" s="86">
        <f>'Raw Data'!BS224/10</f>
        <v>53</v>
      </c>
      <c r="BT223" s="86">
        <f>'Raw Data'!BT224/10</f>
        <v>50.7</v>
      </c>
      <c r="BU223" s="86">
        <f>'Raw Data'!BU224/10</f>
        <v>53.1</v>
      </c>
      <c r="BV223" s="86">
        <f>'Raw Data'!BV224/10</f>
        <v>51</v>
      </c>
      <c r="BW223" s="86">
        <f>'Raw Data'!BW224/10</f>
        <v>47.5</v>
      </c>
      <c r="BX223" s="86">
        <f>'Raw Data'!BX224/10</f>
        <v>45.4</v>
      </c>
      <c r="BY223" s="86">
        <f>'Raw Data'!BY224/10</f>
        <v>49.9</v>
      </c>
      <c r="BZ223" s="86">
        <f>'Raw Data'!BZ224/10</f>
        <v>48.7</v>
      </c>
      <c r="CA223" s="86">
        <f>'Raw Data'!CA224/10</f>
        <v>45.2</v>
      </c>
      <c r="CB223" s="86">
        <f>'Raw Data'!CB224/10</f>
        <v>47.4</v>
      </c>
      <c r="CC223" s="86">
        <f>'Raw Data'!CC224/10</f>
        <v>46.5</v>
      </c>
      <c r="CD223" s="86">
        <f>'Raw Data'!CD224/10</f>
        <v>47.6</v>
      </c>
      <c r="CE223" s="86">
        <f>'Raw Data'!CE224/10</f>
        <v>46.7</v>
      </c>
      <c r="CF223" s="86">
        <f>'Raw Data'!CF224/10</f>
        <v>45</v>
      </c>
      <c r="CG223" s="86">
        <f>'Raw Data'!CG224/100</f>
        <v>42.5</v>
      </c>
      <c r="CH223" s="86">
        <f>'Raw Data'!CH224/100</f>
        <v>39.409999999999997</v>
      </c>
      <c r="CI223" s="86">
        <f>'Raw Data'!CI224/100</f>
        <v>36.19</v>
      </c>
      <c r="CJ223" s="86">
        <f>'Raw Data'!CJ224/100</f>
        <v>34.25</v>
      </c>
      <c r="CK223" s="86">
        <f>'Raw Data'!CK224/100</f>
        <v>32.450000000000003</v>
      </c>
      <c r="CL223" s="86">
        <f>'Raw Data'!CL224/100</f>
        <v>30.92</v>
      </c>
      <c r="CM223" s="86">
        <f>'Raw Data'!CM224/100</f>
        <v>30.48</v>
      </c>
      <c r="CN223" s="86">
        <f>'Raw Data'!CN224/100</f>
        <v>28.87</v>
      </c>
      <c r="CO223" s="86">
        <f>'Raw Data'!CO224/100</f>
        <v>27.95</v>
      </c>
      <c r="CP223" s="86">
        <f>'Raw Data'!CP224/100</f>
        <v>27.41</v>
      </c>
      <c r="CQ223" s="86">
        <f>'Raw Data'!CQ224/100</f>
        <v>26.1</v>
      </c>
      <c r="CR223" s="86">
        <f>'Raw Data'!CR224/100</f>
        <v>26.24</v>
      </c>
      <c r="CS223" s="86">
        <f>'Raw Data'!CS224/100</f>
        <v>25.86</v>
      </c>
      <c r="CT223" s="86">
        <f>'Raw Data'!CT224/100</f>
        <v>24.66</v>
      </c>
      <c r="CU223" s="382"/>
    </row>
    <row r="224" spans="4:99" s="86" customFormat="1" x14ac:dyDescent="0.2">
      <c r="D224" s="375"/>
      <c r="E224" s="164"/>
      <c r="F224" s="394"/>
      <c r="G224" s="86">
        <f>'Raw Data'!G225</f>
        <v>379</v>
      </c>
      <c r="H224" s="86">
        <f>'Raw Data'!H225</f>
        <v>369</v>
      </c>
      <c r="I224" s="86">
        <f>'Raw Data'!I225</f>
        <v>378</v>
      </c>
      <c r="J224" s="86">
        <f>'Raw Data'!J225</f>
        <v>389</v>
      </c>
      <c r="K224" s="86">
        <f>'Raw Data'!K225</f>
        <v>367</v>
      </c>
      <c r="L224" s="86">
        <f>'Raw Data'!L225</f>
        <v>357</v>
      </c>
      <c r="M224" s="86">
        <f>'Raw Data'!M225</f>
        <v>355</v>
      </c>
      <c r="N224" s="86">
        <f>'Raw Data'!N225</f>
        <v>372</v>
      </c>
      <c r="O224" s="86">
        <f>'Raw Data'!O225</f>
        <v>359</v>
      </c>
      <c r="P224" s="86">
        <f>'Raw Data'!P225</f>
        <v>361</v>
      </c>
      <c r="Q224" s="86">
        <f>'Raw Data'!Q225</f>
        <v>349</v>
      </c>
      <c r="R224" s="86">
        <f>'Raw Data'!R225</f>
        <v>356</v>
      </c>
      <c r="S224" s="86">
        <f>'Raw Data'!S225</f>
        <v>316</v>
      </c>
      <c r="T224" s="86">
        <f>'Raw Data'!T225</f>
        <v>329</v>
      </c>
      <c r="U224" s="86">
        <f>'Raw Data'!U225</f>
        <v>344</v>
      </c>
      <c r="V224" s="86">
        <f>'Raw Data'!V225</f>
        <v>324</v>
      </c>
      <c r="W224" s="86">
        <f>'Raw Data'!W225</f>
        <v>330</v>
      </c>
      <c r="X224" s="86">
        <f>'Raw Data'!X225</f>
        <v>320</v>
      </c>
      <c r="Y224" s="86">
        <f>'Raw Data'!Y225</f>
        <v>335</v>
      </c>
      <c r="Z224" s="86">
        <f>'Raw Data'!Z225</f>
        <v>318</v>
      </c>
      <c r="AA224" s="86">
        <f>'Raw Data'!AA225/10</f>
        <v>319.5</v>
      </c>
      <c r="AB224" s="86">
        <f>'Raw Data'!AB225/10</f>
        <v>292.89999999999998</v>
      </c>
      <c r="AC224" s="86">
        <f>'Raw Data'!AC225/10</f>
        <v>273</v>
      </c>
      <c r="AD224" s="86">
        <f>'Raw Data'!AD225/10</f>
        <v>255.5</v>
      </c>
      <c r="AE224" s="86">
        <f>'Raw Data'!AE225/10</f>
        <v>231.5</v>
      </c>
      <c r="AF224" s="86">
        <f>'Raw Data'!AF225/10</f>
        <v>223</v>
      </c>
      <c r="AG224" s="86">
        <f>'Raw Data'!AG225/10</f>
        <v>215.5</v>
      </c>
      <c r="AH224" s="86">
        <f>'Raw Data'!AH225/10</f>
        <v>197.1</v>
      </c>
      <c r="AI224" s="86">
        <f>'Raw Data'!AI225/10</f>
        <v>187.3</v>
      </c>
      <c r="AJ224" s="86">
        <f>'Raw Data'!AJ225/10</f>
        <v>183.3</v>
      </c>
      <c r="AK224" s="86">
        <f>'Raw Data'!AK225/10</f>
        <v>172.7</v>
      </c>
      <c r="AL224" s="86">
        <f>'Raw Data'!AL225/10</f>
        <v>163.80000000000001</v>
      </c>
      <c r="AM224" s="86">
        <f>'Raw Data'!AM225/10</f>
        <v>157.4</v>
      </c>
      <c r="AN224" s="86">
        <f>'Raw Data'!AN225/10</f>
        <v>143.19999999999999</v>
      </c>
      <c r="AO224" s="86">
        <f>'Raw Data'!AO225/10</f>
        <v>143</v>
      </c>
      <c r="AP224" s="86">
        <f>'Raw Data'!AP225/10</f>
        <v>133.5</v>
      </c>
      <c r="AQ224" s="86">
        <f>'Raw Data'!AQ225/10</f>
        <v>130.30000000000001</v>
      </c>
      <c r="AR224" s="86">
        <f>'Raw Data'!AR225/10</f>
        <v>122.8</v>
      </c>
      <c r="AS224" s="86">
        <f>'Raw Data'!AS225/10</f>
        <v>120.3</v>
      </c>
      <c r="AT224" s="86">
        <f>'Raw Data'!AT225/10</f>
        <v>114</v>
      </c>
      <c r="AU224" s="86">
        <f>'Raw Data'!AU225/10</f>
        <v>113.1</v>
      </c>
      <c r="AV224" s="86">
        <f>'Raw Data'!AV225/10</f>
        <v>106.1</v>
      </c>
      <c r="AW224" s="86">
        <f>'Raw Data'!AW225/10</f>
        <v>102.2</v>
      </c>
      <c r="AX224" s="86">
        <f>'Raw Data'!AX225/10</f>
        <v>102.2</v>
      </c>
      <c r="AY224" s="86">
        <f>'Raw Data'!AY225/10</f>
        <v>102.5</v>
      </c>
      <c r="AZ224" s="86">
        <f>'Raw Data'!AZ225/10</f>
        <v>97.4</v>
      </c>
      <c r="BA224" s="86">
        <f>'Raw Data'!BA225/10</f>
        <v>94.8</v>
      </c>
      <c r="BB224" s="86">
        <f>'Raw Data'!BB225/10</f>
        <v>87.5</v>
      </c>
      <c r="BC224" s="86">
        <f>'Raw Data'!BC225/10</f>
        <v>87.9</v>
      </c>
      <c r="BD224" s="86">
        <f>'Raw Data'!BD225/10</f>
        <v>87.7</v>
      </c>
      <c r="BE224" s="86">
        <f>'Raw Data'!BE225/10</f>
        <v>81.900000000000006</v>
      </c>
      <c r="BF224" s="86">
        <f>'Raw Data'!BF225/10</f>
        <v>82.1</v>
      </c>
      <c r="BG224" s="86">
        <f>'Raw Data'!BG225/10</f>
        <v>82.3</v>
      </c>
      <c r="BH224" s="86">
        <f>'Raw Data'!BH225/10</f>
        <v>79.099999999999994</v>
      </c>
      <c r="BI224" s="86">
        <f>'Raw Data'!BI225/10</f>
        <v>71.3</v>
      </c>
      <c r="BJ224" s="86">
        <f>'Raw Data'!BJ225/10</f>
        <v>76.599999999999994</v>
      </c>
      <c r="BK224" s="86">
        <f>'Raw Data'!BK225/10</f>
        <v>70.7</v>
      </c>
      <c r="BL224" s="86">
        <f>'Raw Data'!BL225/10</f>
        <v>73.3</v>
      </c>
      <c r="BM224" s="86">
        <f>'Raw Data'!BM225/10</f>
        <v>67.8</v>
      </c>
      <c r="BN224" s="86">
        <f>'Raw Data'!BN225/10</f>
        <v>66.7</v>
      </c>
      <c r="BO224" s="86">
        <f>'Raw Data'!BO225/10</f>
        <v>65.900000000000006</v>
      </c>
      <c r="BP224" s="86">
        <f>'Raw Data'!BP225/10</f>
        <v>64.400000000000006</v>
      </c>
      <c r="BQ224" s="86">
        <f>'Raw Data'!BQ225/10</f>
        <v>64.2</v>
      </c>
      <c r="BR224" s="86">
        <f>'Raw Data'!BR225/10</f>
        <v>62.8</v>
      </c>
      <c r="BS224" s="86">
        <f>'Raw Data'!BS225/10</f>
        <v>62.5</v>
      </c>
      <c r="BT224" s="86">
        <f>'Raw Data'!BT225/10</f>
        <v>62.7</v>
      </c>
      <c r="BU224" s="86">
        <f>'Raw Data'!BU225/10</f>
        <v>59.2</v>
      </c>
      <c r="BV224" s="86">
        <f>'Raw Data'!BV225/10</f>
        <v>57.4</v>
      </c>
      <c r="BW224" s="86">
        <f>'Raw Data'!BW225/10</f>
        <v>62.7</v>
      </c>
      <c r="BX224" s="86">
        <f>'Raw Data'!BX225/10</f>
        <v>55</v>
      </c>
      <c r="BY224" s="86">
        <f>'Raw Data'!BY225/10</f>
        <v>55.2</v>
      </c>
      <c r="BZ224" s="86">
        <f>'Raw Data'!BZ225/10</f>
        <v>53.7</v>
      </c>
      <c r="CA224" s="86">
        <f>'Raw Data'!CA225/10</f>
        <v>54.1</v>
      </c>
      <c r="CB224" s="86">
        <f>'Raw Data'!CB225/10</f>
        <v>51</v>
      </c>
      <c r="CC224" s="86">
        <f>'Raw Data'!CC225/10</f>
        <v>51.5</v>
      </c>
      <c r="CD224" s="86">
        <f>'Raw Data'!CD225/10</f>
        <v>53.4</v>
      </c>
      <c r="CE224" s="86">
        <f>'Raw Data'!CE225/10</f>
        <v>51.1</v>
      </c>
      <c r="CF224" s="86">
        <f>'Raw Data'!CF225/10</f>
        <v>53.3</v>
      </c>
      <c r="CG224" s="86">
        <f>'Raw Data'!CG225/100</f>
        <v>46.78</v>
      </c>
      <c r="CH224" s="86">
        <f>'Raw Data'!CH225/100</f>
        <v>42.92</v>
      </c>
      <c r="CI224" s="86">
        <f>'Raw Data'!CI225/100</f>
        <v>39.35</v>
      </c>
      <c r="CJ224" s="86">
        <f>'Raw Data'!CJ225/100</f>
        <v>36.409999999999997</v>
      </c>
      <c r="CK224" s="86">
        <f>'Raw Data'!CK225/100</f>
        <v>33.82</v>
      </c>
      <c r="CL224" s="86">
        <f>'Raw Data'!CL225/100</f>
        <v>32.28</v>
      </c>
      <c r="CM224" s="86">
        <f>'Raw Data'!CM225/100</f>
        <v>31.82</v>
      </c>
      <c r="CN224" s="86">
        <f>'Raw Data'!CN225/100</f>
        <v>29.6</v>
      </c>
      <c r="CO224" s="86">
        <f>'Raw Data'!CO225/100</f>
        <v>28.87</v>
      </c>
      <c r="CP224" s="86">
        <f>'Raw Data'!CP225/100</f>
        <v>27.72</v>
      </c>
      <c r="CQ224" s="86">
        <f>'Raw Data'!CQ225/100</f>
        <v>26.98</v>
      </c>
      <c r="CR224" s="86">
        <f>'Raw Data'!CR225/100</f>
        <v>25.8</v>
      </c>
      <c r="CS224" s="86">
        <f>'Raw Data'!CS225/100</f>
        <v>25.25</v>
      </c>
      <c r="CT224" s="86">
        <f>'Raw Data'!CT225/100</f>
        <v>24.99</v>
      </c>
      <c r="CU224" s="382"/>
    </row>
    <row r="225" spans="4:99" s="86" customFormat="1" x14ac:dyDescent="0.2">
      <c r="D225" s="375"/>
      <c r="E225" s="164"/>
      <c r="F225" s="394"/>
      <c r="G225" s="86">
        <f>'Raw Data'!G226</f>
        <v>315</v>
      </c>
      <c r="H225" s="86">
        <f>'Raw Data'!H226</f>
        <v>317</v>
      </c>
      <c r="I225" s="86">
        <f>'Raw Data'!I226</f>
        <v>312</v>
      </c>
      <c r="J225" s="86">
        <f>'Raw Data'!J226</f>
        <v>296</v>
      </c>
      <c r="K225" s="86">
        <f>'Raw Data'!K226</f>
        <v>323</v>
      </c>
      <c r="L225" s="86">
        <f>'Raw Data'!L226</f>
        <v>314</v>
      </c>
      <c r="M225" s="86">
        <f>'Raw Data'!M226</f>
        <v>297</v>
      </c>
      <c r="N225" s="86">
        <f>'Raw Data'!N226</f>
        <v>269</v>
      </c>
      <c r="O225" s="86">
        <f>'Raw Data'!O226</f>
        <v>321</v>
      </c>
      <c r="P225" s="86">
        <f>'Raw Data'!P226</f>
        <v>296</v>
      </c>
      <c r="Q225" s="86">
        <f>'Raw Data'!Q226</f>
        <v>274</v>
      </c>
      <c r="R225" s="86">
        <f>'Raw Data'!R226</f>
        <v>287</v>
      </c>
      <c r="S225" s="86">
        <f>'Raw Data'!S226</f>
        <v>299</v>
      </c>
      <c r="T225" s="86">
        <f>'Raw Data'!T226</f>
        <v>291</v>
      </c>
      <c r="U225" s="86">
        <f>'Raw Data'!U226</f>
        <v>287</v>
      </c>
      <c r="V225" s="86">
        <f>'Raw Data'!V226</f>
        <v>288</v>
      </c>
      <c r="W225" s="86">
        <f>'Raw Data'!W226</f>
        <v>265</v>
      </c>
      <c r="X225" s="86">
        <f>'Raw Data'!X226</f>
        <v>298</v>
      </c>
      <c r="Y225" s="86">
        <f>'Raw Data'!Y226</f>
        <v>278</v>
      </c>
      <c r="Z225" s="86">
        <f>'Raw Data'!Z226</f>
        <v>267</v>
      </c>
      <c r="AA225" s="86">
        <f>'Raw Data'!AA226/10</f>
        <v>267.3</v>
      </c>
      <c r="AB225" s="86">
        <f>'Raw Data'!AB226/10</f>
        <v>247.4</v>
      </c>
      <c r="AC225" s="86">
        <f>'Raw Data'!AC226/10</f>
        <v>230.9</v>
      </c>
      <c r="AD225" s="86">
        <f>'Raw Data'!AD226/10</f>
        <v>217</v>
      </c>
      <c r="AE225" s="86">
        <f>'Raw Data'!AE226/10</f>
        <v>200.4</v>
      </c>
      <c r="AF225" s="86">
        <f>'Raw Data'!AF226/10</f>
        <v>189.9</v>
      </c>
      <c r="AG225" s="86">
        <f>'Raw Data'!AG226/10</f>
        <v>178.6</v>
      </c>
      <c r="AH225" s="86">
        <f>'Raw Data'!AH226/10</f>
        <v>168</v>
      </c>
      <c r="AI225" s="86">
        <f>'Raw Data'!AI226/10</f>
        <v>163.5</v>
      </c>
      <c r="AJ225" s="86">
        <f>'Raw Data'!AJ226/10</f>
        <v>156.80000000000001</v>
      </c>
      <c r="AK225" s="86">
        <f>'Raw Data'!AK226/10</f>
        <v>148.9</v>
      </c>
      <c r="AL225" s="86">
        <f>'Raw Data'!AL226/10</f>
        <v>142.1</v>
      </c>
      <c r="AM225" s="86">
        <f>'Raw Data'!AM226/10</f>
        <v>138.5</v>
      </c>
      <c r="AN225" s="86">
        <f>'Raw Data'!AN226/10</f>
        <v>130.19999999999999</v>
      </c>
      <c r="AO225" s="86">
        <f>'Raw Data'!AO226/10</f>
        <v>124.6</v>
      </c>
      <c r="AP225" s="86">
        <f>'Raw Data'!AP226/10</f>
        <v>113.4</v>
      </c>
      <c r="AQ225" s="86">
        <f>'Raw Data'!AQ226/10</f>
        <v>112.3</v>
      </c>
      <c r="AR225" s="86">
        <f>'Raw Data'!AR226/10</f>
        <v>111.8</v>
      </c>
      <c r="AS225" s="86">
        <f>'Raw Data'!AS226/10</f>
        <v>106</v>
      </c>
      <c r="AT225" s="86">
        <f>'Raw Data'!AT226/10</f>
        <v>102.1</v>
      </c>
      <c r="AU225" s="86">
        <f>'Raw Data'!AU226/10</f>
        <v>97.5</v>
      </c>
      <c r="AV225" s="86">
        <f>'Raw Data'!AV226/10</f>
        <v>90.3</v>
      </c>
      <c r="AW225" s="86">
        <f>'Raw Data'!AW226/10</f>
        <v>91</v>
      </c>
      <c r="AX225" s="86">
        <f>'Raw Data'!AX226/10</f>
        <v>89.7</v>
      </c>
      <c r="AY225" s="86">
        <f>'Raw Data'!AY226/10</f>
        <v>90.8</v>
      </c>
      <c r="AZ225" s="86">
        <f>'Raw Data'!AZ226/10</f>
        <v>85.7</v>
      </c>
      <c r="BA225" s="86">
        <f>'Raw Data'!BA226/10</f>
        <v>88.5</v>
      </c>
      <c r="BB225" s="86">
        <f>'Raw Data'!BB226/10</f>
        <v>81.2</v>
      </c>
      <c r="BC225" s="86">
        <f>'Raw Data'!BC226/10</f>
        <v>78.599999999999994</v>
      </c>
      <c r="BD225" s="86">
        <f>'Raw Data'!BD226/10</f>
        <v>73.900000000000006</v>
      </c>
      <c r="BE225" s="86">
        <f>'Raw Data'!BE226/10</f>
        <v>74.7</v>
      </c>
      <c r="BF225" s="86">
        <f>'Raw Data'!BF226/10</f>
        <v>74.5</v>
      </c>
      <c r="BG225" s="86">
        <f>'Raw Data'!BG226/10</f>
        <v>72.400000000000006</v>
      </c>
      <c r="BH225" s="86">
        <f>'Raw Data'!BH226/10</f>
        <v>68.7</v>
      </c>
      <c r="BI225" s="86">
        <f>'Raw Data'!BI226/10</f>
        <v>70.2</v>
      </c>
      <c r="BJ225" s="86">
        <f>'Raw Data'!BJ226/10</f>
        <v>68.900000000000006</v>
      </c>
      <c r="BK225" s="86">
        <f>'Raw Data'!BK226/10</f>
        <v>67.900000000000006</v>
      </c>
      <c r="BL225" s="86">
        <f>'Raw Data'!BL226/10</f>
        <v>68.3</v>
      </c>
      <c r="BM225" s="86">
        <f>'Raw Data'!BM226/10</f>
        <v>63.9</v>
      </c>
      <c r="BN225" s="86">
        <f>'Raw Data'!BN226/10</f>
        <v>62.1</v>
      </c>
      <c r="BO225" s="86">
        <f>'Raw Data'!BO226/10</f>
        <v>63.2</v>
      </c>
      <c r="BP225" s="86">
        <f>'Raw Data'!BP226/10</f>
        <v>61.3</v>
      </c>
      <c r="BQ225" s="86">
        <f>'Raw Data'!BQ226/10</f>
        <v>63.5</v>
      </c>
      <c r="BR225" s="86">
        <f>'Raw Data'!BR226/10</f>
        <v>60.4</v>
      </c>
      <c r="BS225" s="86">
        <f>'Raw Data'!BS226/10</f>
        <v>56.7</v>
      </c>
      <c r="BT225" s="86">
        <f>'Raw Data'!BT226/10</f>
        <v>57</v>
      </c>
      <c r="BU225" s="86">
        <f>'Raw Data'!BU226/10</f>
        <v>53.8</v>
      </c>
      <c r="BV225" s="86">
        <f>'Raw Data'!BV226/10</f>
        <v>56.9</v>
      </c>
      <c r="BW225" s="86">
        <f>'Raw Data'!BW226/10</f>
        <v>57.5</v>
      </c>
      <c r="BX225" s="86">
        <f>'Raw Data'!BX226/10</f>
        <v>56</v>
      </c>
      <c r="BY225" s="86">
        <f>'Raw Data'!BY226/10</f>
        <v>53.9</v>
      </c>
      <c r="BZ225" s="86">
        <f>'Raw Data'!BZ226/10</f>
        <v>54.2</v>
      </c>
      <c r="CA225" s="86">
        <f>'Raw Data'!CA226/10</f>
        <v>54.7</v>
      </c>
      <c r="CB225" s="86">
        <f>'Raw Data'!CB226/10</f>
        <v>51.5</v>
      </c>
      <c r="CC225" s="86">
        <f>'Raw Data'!CC226/10</f>
        <v>50.7</v>
      </c>
      <c r="CD225" s="86">
        <f>'Raw Data'!CD226/10</f>
        <v>49.4</v>
      </c>
      <c r="CE225" s="86">
        <f>'Raw Data'!CE226/10</f>
        <v>52.3</v>
      </c>
      <c r="CF225" s="86">
        <f>'Raw Data'!CF226/10</f>
        <v>50.6</v>
      </c>
      <c r="CG225" s="86">
        <f>'Raw Data'!CG226/100</f>
        <v>46.8</v>
      </c>
      <c r="CH225" s="86">
        <f>'Raw Data'!CH226/100</f>
        <v>42.61</v>
      </c>
      <c r="CI225" s="86">
        <f>'Raw Data'!CI226/100</f>
        <v>39.51</v>
      </c>
      <c r="CJ225" s="86">
        <f>'Raw Data'!CJ226/100</f>
        <v>37.25</v>
      </c>
      <c r="CK225" s="86">
        <f>'Raw Data'!CK226/100</f>
        <v>35.11</v>
      </c>
      <c r="CL225" s="86">
        <f>'Raw Data'!CL226/100</f>
        <v>33.92</v>
      </c>
      <c r="CM225" s="86">
        <f>'Raw Data'!CM226/100</f>
        <v>33</v>
      </c>
      <c r="CN225" s="86">
        <f>'Raw Data'!CN226/100</f>
        <v>30.75</v>
      </c>
      <c r="CO225" s="86">
        <f>'Raw Data'!CO226/100</f>
        <v>30.08</v>
      </c>
      <c r="CP225" s="86">
        <f>'Raw Data'!CP226/100</f>
        <v>29.22</v>
      </c>
      <c r="CQ225" s="86">
        <f>'Raw Data'!CQ226/100</f>
        <v>29.36</v>
      </c>
      <c r="CR225" s="86">
        <f>'Raw Data'!CR226/100</f>
        <v>27.21</v>
      </c>
      <c r="CS225" s="86">
        <f>'Raw Data'!CS226/100</f>
        <v>27.27</v>
      </c>
      <c r="CT225" s="86">
        <f>'Raw Data'!CT226/100</f>
        <v>26.11</v>
      </c>
      <c r="CU225" s="382"/>
    </row>
    <row r="226" spans="4:99" s="86" customFormat="1" x14ac:dyDescent="0.2">
      <c r="D226" s="375"/>
      <c r="E226" s="164"/>
      <c r="F226" s="394"/>
      <c r="G226" s="86">
        <f>'Raw Data'!G227</f>
        <v>858</v>
      </c>
      <c r="H226" s="86">
        <f>'Raw Data'!H227</f>
        <v>805</v>
      </c>
      <c r="I226" s="86">
        <f>'Raw Data'!I227</f>
        <v>832</v>
      </c>
      <c r="J226" s="86">
        <f>'Raw Data'!J227</f>
        <v>812</v>
      </c>
      <c r="K226" s="86">
        <f>'Raw Data'!K227</f>
        <v>787</v>
      </c>
      <c r="L226" s="86">
        <f>'Raw Data'!L227</f>
        <v>812</v>
      </c>
      <c r="M226" s="86">
        <f>'Raw Data'!M227</f>
        <v>796</v>
      </c>
      <c r="N226" s="86">
        <f>'Raw Data'!N227</f>
        <v>1022</v>
      </c>
      <c r="O226" s="86">
        <f>'Raw Data'!O227</f>
        <v>769</v>
      </c>
      <c r="P226" s="86">
        <f>'Raw Data'!P227</f>
        <v>787</v>
      </c>
      <c r="Q226" s="86">
        <f>'Raw Data'!Q227</f>
        <v>763</v>
      </c>
      <c r="R226" s="86">
        <f>'Raw Data'!R227</f>
        <v>741</v>
      </c>
      <c r="S226" s="86">
        <f>'Raw Data'!S227</f>
        <v>759</v>
      </c>
      <c r="T226" s="86">
        <f>'Raw Data'!T227</f>
        <v>733</v>
      </c>
      <c r="U226" s="86">
        <f>'Raw Data'!U227</f>
        <v>741</v>
      </c>
      <c r="V226" s="86">
        <f>'Raw Data'!V227</f>
        <v>751</v>
      </c>
      <c r="W226" s="86">
        <f>'Raw Data'!W227</f>
        <v>719</v>
      </c>
      <c r="X226" s="86">
        <f>'Raw Data'!X227</f>
        <v>701</v>
      </c>
      <c r="Y226" s="86">
        <f>'Raw Data'!Y227</f>
        <v>747</v>
      </c>
      <c r="Z226" s="86">
        <f>'Raw Data'!Z227</f>
        <v>714</v>
      </c>
      <c r="AA226" s="86">
        <f>'Raw Data'!AA227/10</f>
        <v>678.5</v>
      </c>
      <c r="AB226" s="86">
        <f>'Raw Data'!AB227/10</f>
        <v>639.79999999999995</v>
      </c>
      <c r="AC226" s="86">
        <f>'Raw Data'!AC227/10</f>
        <v>580.6</v>
      </c>
      <c r="AD226" s="86">
        <f>'Raw Data'!AD227/10</f>
        <v>553.70000000000005</v>
      </c>
      <c r="AE226" s="86">
        <f>'Raw Data'!AE227/10</f>
        <v>508</v>
      </c>
      <c r="AF226" s="86">
        <f>'Raw Data'!AF227/10</f>
        <v>477.7</v>
      </c>
      <c r="AG226" s="86">
        <f>'Raw Data'!AG227/10</f>
        <v>454.1</v>
      </c>
      <c r="AH226" s="86">
        <f>'Raw Data'!AH227/10</f>
        <v>426.5</v>
      </c>
      <c r="AI226" s="86">
        <f>'Raw Data'!AI227/10</f>
        <v>392.6</v>
      </c>
      <c r="AJ226" s="86">
        <f>'Raw Data'!AJ227/10</f>
        <v>375</v>
      </c>
      <c r="AK226" s="86">
        <f>'Raw Data'!AK227/10</f>
        <v>356.3</v>
      </c>
      <c r="AL226" s="86">
        <f>'Raw Data'!AL227/10</f>
        <v>332.4</v>
      </c>
      <c r="AM226" s="86">
        <f>'Raw Data'!AM227/10</f>
        <v>325.3</v>
      </c>
      <c r="AN226" s="86">
        <f>'Raw Data'!AN227/10</f>
        <v>312.2</v>
      </c>
      <c r="AO226" s="86">
        <f>'Raw Data'!AO227/10</f>
        <v>297.39999999999998</v>
      </c>
      <c r="AP226" s="86">
        <f>'Raw Data'!AP227/10</f>
        <v>282.7</v>
      </c>
      <c r="AQ226" s="86">
        <f>'Raw Data'!AQ227/10</f>
        <v>264.8</v>
      </c>
      <c r="AR226" s="86">
        <f>'Raw Data'!AR227/10</f>
        <v>254.1</v>
      </c>
      <c r="AS226" s="86">
        <f>'Raw Data'!AS227/10</f>
        <v>248.5</v>
      </c>
      <c r="AT226" s="86">
        <f>'Raw Data'!AT227/10</f>
        <v>237.9</v>
      </c>
      <c r="AU226" s="86">
        <f>'Raw Data'!AU227/10</f>
        <v>237.2</v>
      </c>
      <c r="AV226" s="86">
        <f>'Raw Data'!AV227/10</f>
        <v>220.4</v>
      </c>
      <c r="AW226" s="86">
        <f>'Raw Data'!AW227/10</f>
        <v>211.5</v>
      </c>
      <c r="AX226" s="86">
        <f>'Raw Data'!AX227/10</f>
        <v>205.9</v>
      </c>
      <c r="AY226" s="86">
        <f>'Raw Data'!AY227/10</f>
        <v>204</v>
      </c>
      <c r="AZ226" s="86">
        <f>'Raw Data'!AZ227/10</f>
        <v>198.1</v>
      </c>
      <c r="BA226" s="86">
        <f>'Raw Data'!BA227/10</f>
        <v>185.3</v>
      </c>
      <c r="BB226" s="86">
        <f>'Raw Data'!BB227/10</f>
        <v>180.7</v>
      </c>
      <c r="BC226" s="86">
        <f>'Raw Data'!BC227/10</f>
        <v>173.2</v>
      </c>
      <c r="BD226" s="86">
        <f>'Raw Data'!BD227/10</f>
        <v>168.1</v>
      </c>
      <c r="BE226" s="86">
        <f>'Raw Data'!BE227/10</f>
        <v>165.7</v>
      </c>
      <c r="BF226" s="86">
        <f>'Raw Data'!BF227/10</f>
        <v>158.19999999999999</v>
      </c>
      <c r="BG226" s="86">
        <f>'Raw Data'!BG227/10</f>
        <v>152.19999999999999</v>
      </c>
      <c r="BH226" s="86">
        <f>'Raw Data'!BH227/10</f>
        <v>156.6</v>
      </c>
      <c r="BI226" s="86">
        <f>'Raw Data'!BI227/10</f>
        <v>153.6</v>
      </c>
      <c r="BJ226" s="86">
        <f>'Raw Data'!BJ227/10</f>
        <v>144.30000000000001</v>
      </c>
      <c r="BK226" s="86">
        <f>'Raw Data'!BK227/10</f>
        <v>143</v>
      </c>
      <c r="BL226" s="86">
        <f>'Raw Data'!BL227/10</f>
        <v>140</v>
      </c>
      <c r="BM226" s="86">
        <f>'Raw Data'!BM227/10</f>
        <v>135.5</v>
      </c>
      <c r="BN226" s="86">
        <f>'Raw Data'!BN227/10</f>
        <v>137.1</v>
      </c>
      <c r="BO226" s="86">
        <f>'Raw Data'!BO227/10</f>
        <v>133</v>
      </c>
      <c r="BP226" s="86">
        <f>'Raw Data'!BP227/10</f>
        <v>125.1</v>
      </c>
      <c r="BQ226" s="86">
        <f>'Raw Data'!BQ227/10</f>
        <v>126.6</v>
      </c>
      <c r="BR226" s="86">
        <f>'Raw Data'!BR227/10</f>
        <v>124.9</v>
      </c>
      <c r="BS226" s="86">
        <f>'Raw Data'!BS227/10</f>
        <v>117.5</v>
      </c>
      <c r="BT226" s="86">
        <f>'Raw Data'!BT227/10</f>
        <v>119.1</v>
      </c>
      <c r="BU226" s="86">
        <f>'Raw Data'!BU227/10</f>
        <v>111.3</v>
      </c>
      <c r="BV226" s="86">
        <f>'Raw Data'!BV227/10</f>
        <v>114.8</v>
      </c>
      <c r="BW226" s="86">
        <f>'Raw Data'!BW227/10</f>
        <v>108.7</v>
      </c>
      <c r="BX226" s="86">
        <f>'Raw Data'!BX227/10</f>
        <v>111.3</v>
      </c>
      <c r="BY226" s="86">
        <f>'Raw Data'!BY227/10</f>
        <v>103.5</v>
      </c>
      <c r="BZ226" s="86">
        <f>'Raw Data'!BZ227/10</f>
        <v>107.5</v>
      </c>
      <c r="CA226" s="86">
        <f>'Raw Data'!CA227/10</f>
        <v>107</v>
      </c>
      <c r="CB226" s="86">
        <f>'Raw Data'!CB227/10</f>
        <v>102.8</v>
      </c>
      <c r="CC226" s="86">
        <f>'Raw Data'!CC227/10</f>
        <v>94</v>
      </c>
      <c r="CD226" s="86">
        <f>'Raw Data'!CD227/10</f>
        <v>102</v>
      </c>
      <c r="CE226" s="86">
        <f>'Raw Data'!CE227/10</f>
        <v>95.3</v>
      </c>
      <c r="CF226" s="86">
        <f>'Raw Data'!CF227/10</f>
        <v>95</v>
      </c>
      <c r="CG226" s="86">
        <f>'Raw Data'!CG227/100</f>
        <v>89.05</v>
      </c>
      <c r="CH226" s="86">
        <f>'Raw Data'!CH227/100</f>
        <v>78.97</v>
      </c>
      <c r="CI226" s="86">
        <f>'Raw Data'!CI227/100</f>
        <v>71.150000000000006</v>
      </c>
      <c r="CJ226" s="86">
        <f>'Raw Data'!CJ227/100</f>
        <v>64.44</v>
      </c>
      <c r="CK226" s="86">
        <f>'Raw Data'!CK227/100</f>
        <v>59.44</v>
      </c>
      <c r="CL226" s="86">
        <f>'Raw Data'!CL227/100</f>
        <v>55.65</v>
      </c>
      <c r="CM226" s="86">
        <f>'Raw Data'!CM227/100</f>
        <v>52.79</v>
      </c>
      <c r="CN226" s="86">
        <f>'Raw Data'!CN227/100</f>
        <v>48.49</v>
      </c>
      <c r="CO226" s="86">
        <f>'Raw Data'!CO227/100</f>
        <v>46.11</v>
      </c>
      <c r="CP226" s="86">
        <f>'Raw Data'!CP227/100</f>
        <v>43.65</v>
      </c>
      <c r="CQ226" s="86">
        <f>'Raw Data'!CQ227/100</f>
        <v>42.32</v>
      </c>
      <c r="CR226" s="86">
        <f>'Raw Data'!CR227/100</f>
        <v>40.770000000000003</v>
      </c>
      <c r="CS226" s="86">
        <f>'Raw Data'!CS227/100</f>
        <v>40.08</v>
      </c>
      <c r="CT226" s="86">
        <f>'Raw Data'!CT227/100</f>
        <v>38.57</v>
      </c>
      <c r="CU226" s="382"/>
    </row>
    <row r="227" spans="4:99" s="86" customFormat="1" x14ac:dyDescent="0.2">
      <c r="D227" s="375"/>
      <c r="E227" s="164"/>
      <c r="F227" s="394"/>
      <c r="G227" s="86">
        <f>'Raw Data'!G228</f>
        <v>397</v>
      </c>
      <c r="H227" s="86">
        <f>'Raw Data'!H228</f>
        <v>350</v>
      </c>
      <c r="I227" s="86">
        <f>'Raw Data'!I228</f>
        <v>371</v>
      </c>
      <c r="J227" s="86">
        <f>'Raw Data'!J228</f>
        <v>358</v>
      </c>
      <c r="K227" s="86">
        <f>'Raw Data'!K228</f>
        <v>358</v>
      </c>
      <c r="L227" s="86">
        <f>'Raw Data'!L228</f>
        <v>359</v>
      </c>
      <c r="M227" s="86">
        <f>'Raw Data'!M228</f>
        <v>363</v>
      </c>
      <c r="N227" s="86">
        <f>'Raw Data'!N228</f>
        <v>370</v>
      </c>
      <c r="O227" s="86">
        <f>'Raw Data'!O228</f>
        <v>328</v>
      </c>
      <c r="P227" s="86">
        <f>'Raw Data'!P228</f>
        <v>381</v>
      </c>
      <c r="Q227" s="86">
        <f>'Raw Data'!Q228</f>
        <v>353</v>
      </c>
      <c r="R227" s="86">
        <f>'Raw Data'!R228</f>
        <v>336</v>
      </c>
      <c r="S227" s="86">
        <f>'Raw Data'!S228</f>
        <v>350</v>
      </c>
      <c r="T227" s="86">
        <f>'Raw Data'!T228</f>
        <v>355</v>
      </c>
      <c r="U227" s="86">
        <f>'Raw Data'!U228</f>
        <v>329</v>
      </c>
      <c r="V227" s="86">
        <f>'Raw Data'!V228</f>
        <v>322</v>
      </c>
      <c r="W227" s="86">
        <f>'Raw Data'!W228</f>
        <v>293</v>
      </c>
      <c r="X227" s="86">
        <f>'Raw Data'!X228</f>
        <v>311</v>
      </c>
      <c r="Y227" s="86">
        <f>'Raw Data'!Y228</f>
        <v>325</v>
      </c>
      <c r="Z227" s="86">
        <f>'Raw Data'!Z228</f>
        <v>310</v>
      </c>
      <c r="AA227" s="86">
        <f>'Raw Data'!AA228/10</f>
        <v>311.89999999999998</v>
      </c>
      <c r="AB227" s="86">
        <f>'Raw Data'!AB228/10</f>
        <v>295.3</v>
      </c>
      <c r="AC227" s="86">
        <f>'Raw Data'!AC228/10</f>
        <v>279.89999999999998</v>
      </c>
      <c r="AD227" s="86">
        <f>'Raw Data'!AD228/10</f>
        <v>255.8</v>
      </c>
      <c r="AE227" s="86">
        <f>'Raw Data'!AE228/10</f>
        <v>241.5</v>
      </c>
      <c r="AF227" s="86">
        <f>'Raw Data'!AF228/10</f>
        <v>224.4</v>
      </c>
      <c r="AG227" s="86">
        <f>'Raw Data'!AG228/10</f>
        <v>219</v>
      </c>
      <c r="AH227" s="86">
        <f>'Raw Data'!AH228/10</f>
        <v>205.4</v>
      </c>
      <c r="AI227" s="86">
        <f>'Raw Data'!AI228/10</f>
        <v>200</v>
      </c>
      <c r="AJ227" s="86">
        <f>'Raw Data'!AJ228/10</f>
        <v>189.2</v>
      </c>
      <c r="AK227" s="86">
        <f>'Raw Data'!AK228/10</f>
        <v>175.5</v>
      </c>
      <c r="AL227" s="86">
        <f>'Raw Data'!AL228/10</f>
        <v>174.6</v>
      </c>
      <c r="AM227" s="86">
        <f>'Raw Data'!AM228/10</f>
        <v>159.80000000000001</v>
      </c>
      <c r="AN227" s="86">
        <f>'Raw Data'!AN228/10</f>
        <v>157</v>
      </c>
      <c r="AO227" s="86">
        <f>'Raw Data'!AO228/10</f>
        <v>149.6</v>
      </c>
      <c r="AP227" s="86">
        <f>'Raw Data'!AP228/10</f>
        <v>145.1</v>
      </c>
      <c r="AQ227" s="86">
        <f>'Raw Data'!AQ228/10</f>
        <v>141.1</v>
      </c>
      <c r="AR227" s="86">
        <f>'Raw Data'!AR228/10</f>
        <v>135.6</v>
      </c>
      <c r="AS227" s="86">
        <f>'Raw Data'!AS228/10</f>
        <v>136.19999999999999</v>
      </c>
      <c r="AT227" s="86">
        <f>'Raw Data'!AT228/10</f>
        <v>124</v>
      </c>
      <c r="AU227" s="86">
        <f>'Raw Data'!AU228/10</f>
        <v>124.3</v>
      </c>
      <c r="AV227" s="86">
        <f>'Raw Data'!AV228/10</f>
        <v>120.4</v>
      </c>
      <c r="AW227" s="86">
        <f>'Raw Data'!AW228/10</f>
        <v>113.7</v>
      </c>
      <c r="AX227" s="86">
        <f>'Raw Data'!AX228/10</f>
        <v>113</v>
      </c>
      <c r="AY227" s="86">
        <f>'Raw Data'!AY228/10</f>
        <v>112.2</v>
      </c>
      <c r="AZ227" s="86">
        <f>'Raw Data'!AZ228/10</f>
        <v>107.3</v>
      </c>
      <c r="BA227" s="86">
        <f>'Raw Data'!BA228/10</f>
        <v>105.1</v>
      </c>
      <c r="BB227" s="86">
        <f>'Raw Data'!BB228/10</f>
        <v>100.2</v>
      </c>
      <c r="BC227" s="86">
        <f>'Raw Data'!BC228/10</f>
        <v>96.6</v>
      </c>
      <c r="BD227" s="86">
        <f>'Raw Data'!BD228/10</f>
        <v>101.4</v>
      </c>
      <c r="BE227" s="86">
        <f>'Raw Data'!BE228/10</f>
        <v>94.6</v>
      </c>
      <c r="BF227" s="86">
        <f>'Raw Data'!BF228/10</f>
        <v>91.7</v>
      </c>
      <c r="BG227" s="86">
        <f>'Raw Data'!BG228/10</f>
        <v>91.5</v>
      </c>
      <c r="BH227" s="86">
        <f>'Raw Data'!BH228/10</f>
        <v>89.7</v>
      </c>
      <c r="BI227" s="86">
        <f>'Raw Data'!BI228/10</f>
        <v>87.2</v>
      </c>
      <c r="BJ227" s="86">
        <f>'Raw Data'!BJ228/10</f>
        <v>87.7</v>
      </c>
      <c r="BK227" s="86">
        <f>'Raw Data'!BK228/10</f>
        <v>82.7</v>
      </c>
      <c r="BL227" s="86">
        <f>'Raw Data'!BL228/10</f>
        <v>80.599999999999994</v>
      </c>
      <c r="BM227" s="86">
        <f>'Raw Data'!BM228/10</f>
        <v>79</v>
      </c>
      <c r="BN227" s="86">
        <f>'Raw Data'!BN228/10</f>
        <v>82.4</v>
      </c>
      <c r="BO227" s="86">
        <f>'Raw Data'!BO228/10</f>
        <v>79.099999999999994</v>
      </c>
      <c r="BP227" s="86">
        <f>'Raw Data'!BP228/10</f>
        <v>77.7</v>
      </c>
      <c r="BQ227" s="86">
        <f>'Raw Data'!BQ228/10</f>
        <v>81.5</v>
      </c>
      <c r="BR227" s="86">
        <f>'Raw Data'!BR228/10</f>
        <v>76.7</v>
      </c>
      <c r="BS227" s="86">
        <f>'Raw Data'!BS228/10</f>
        <v>70.599999999999994</v>
      </c>
      <c r="BT227" s="86">
        <f>'Raw Data'!BT228/10</f>
        <v>72.099999999999994</v>
      </c>
      <c r="BU227" s="86">
        <f>'Raw Data'!BU228/10</f>
        <v>70</v>
      </c>
      <c r="BV227" s="86">
        <f>'Raw Data'!BV228/10</f>
        <v>71.7</v>
      </c>
      <c r="BW227" s="86">
        <f>'Raw Data'!BW228/10</f>
        <v>71.3</v>
      </c>
      <c r="BX227" s="86">
        <f>'Raw Data'!BX228/10</f>
        <v>70.400000000000006</v>
      </c>
      <c r="BY227" s="86">
        <f>'Raw Data'!BY228/10</f>
        <v>67.900000000000006</v>
      </c>
      <c r="BZ227" s="86">
        <f>'Raw Data'!BZ228/10</f>
        <v>65.2</v>
      </c>
      <c r="CA227" s="86">
        <f>'Raw Data'!CA228/10</f>
        <v>68.2</v>
      </c>
      <c r="CB227" s="86">
        <f>'Raw Data'!CB228/10</f>
        <v>63.8</v>
      </c>
      <c r="CC227" s="86">
        <f>'Raw Data'!CC228/10</f>
        <v>61.7</v>
      </c>
      <c r="CD227" s="86">
        <f>'Raw Data'!CD228/10</f>
        <v>63.5</v>
      </c>
      <c r="CE227" s="86">
        <f>'Raw Data'!CE228/10</f>
        <v>65.8</v>
      </c>
      <c r="CF227" s="86">
        <f>'Raw Data'!CF228/10</f>
        <v>60.8</v>
      </c>
      <c r="CG227" s="86">
        <f>'Raw Data'!CG228/100</f>
        <v>59.34</v>
      </c>
      <c r="CH227" s="86">
        <f>'Raw Data'!CH228/100</f>
        <v>54.08</v>
      </c>
      <c r="CI227" s="86">
        <f>'Raw Data'!CI228/100</f>
        <v>50.87</v>
      </c>
      <c r="CJ227" s="86">
        <f>'Raw Data'!CJ228/100</f>
        <v>47.95</v>
      </c>
      <c r="CK227" s="86">
        <f>'Raw Data'!CK228/100</f>
        <v>45.36</v>
      </c>
      <c r="CL227" s="86">
        <f>'Raw Data'!CL228/100</f>
        <v>42.62</v>
      </c>
      <c r="CM227" s="86">
        <f>'Raw Data'!CM228/100</f>
        <v>41.01</v>
      </c>
      <c r="CN227" s="86">
        <f>'Raw Data'!CN228/100</f>
        <v>38.450000000000003</v>
      </c>
      <c r="CO227" s="86">
        <f>'Raw Data'!CO228/100</f>
        <v>37.22</v>
      </c>
      <c r="CP227" s="86">
        <f>'Raw Data'!CP228/100</f>
        <v>36.72</v>
      </c>
      <c r="CQ227" s="86">
        <f>'Raw Data'!CQ228/100</f>
        <v>35.270000000000003</v>
      </c>
      <c r="CR227" s="86">
        <f>'Raw Data'!CR228/100</f>
        <v>34.99</v>
      </c>
      <c r="CS227" s="86">
        <f>'Raw Data'!CS228/100</f>
        <v>34.15</v>
      </c>
      <c r="CT227" s="86">
        <f>'Raw Data'!CT228/100</f>
        <v>32.36</v>
      </c>
      <c r="CU227" s="382"/>
    </row>
    <row r="228" spans="4:99" s="86" customFormat="1" x14ac:dyDescent="0.2">
      <c r="D228" s="375"/>
      <c r="E228" s="164"/>
      <c r="F228" s="394"/>
      <c r="G228" s="86">
        <f>'Raw Data'!G229</f>
        <v>16</v>
      </c>
      <c r="H228" s="86">
        <f>'Raw Data'!H229</f>
        <v>12</v>
      </c>
      <c r="I228" s="86">
        <f>'Raw Data'!I229</f>
        <v>23</v>
      </c>
      <c r="J228" s="86">
        <f>'Raw Data'!J229</f>
        <v>19</v>
      </c>
      <c r="K228" s="86">
        <f>'Raw Data'!K229</f>
        <v>21</v>
      </c>
      <c r="L228" s="86">
        <f>'Raw Data'!L229</f>
        <v>21</v>
      </c>
      <c r="M228" s="86">
        <f>'Raw Data'!M229</f>
        <v>25</v>
      </c>
      <c r="N228" s="86">
        <f>'Raw Data'!N229</f>
        <v>13</v>
      </c>
      <c r="O228" s="86">
        <f>'Raw Data'!O229</f>
        <v>18</v>
      </c>
      <c r="P228" s="86">
        <f>'Raw Data'!P229</f>
        <v>24</v>
      </c>
      <c r="Q228" s="86">
        <f>'Raw Data'!Q229</f>
        <v>22</v>
      </c>
      <c r="R228" s="86">
        <f>'Raw Data'!R229</f>
        <v>22</v>
      </c>
      <c r="S228" s="86">
        <f>'Raw Data'!S229</f>
        <v>16</v>
      </c>
      <c r="T228" s="86">
        <f>'Raw Data'!T229</f>
        <v>15</v>
      </c>
      <c r="U228" s="86">
        <f>'Raw Data'!U229</f>
        <v>20</v>
      </c>
      <c r="V228" s="86">
        <f>'Raw Data'!V229</f>
        <v>23</v>
      </c>
      <c r="W228" s="86">
        <f>'Raw Data'!W229</f>
        <v>18</v>
      </c>
      <c r="X228" s="86">
        <f>'Raw Data'!X229</f>
        <v>20</v>
      </c>
      <c r="Y228" s="86">
        <f>'Raw Data'!Y229</f>
        <v>24</v>
      </c>
      <c r="Z228" s="86">
        <f>'Raw Data'!Z229</f>
        <v>20</v>
      </c>
      <c r="AA228" s="86">
        <f>'Raw Data'!AA229/10</f>
        <v>21.8</v>
      </c>
      <c r="AB228" s="86">
        <f>'Raw Data'!AB229/10</f>
        <v>22.4</v>
      </c>
      <c r="AC228" s="86">
        <f>'Raw Data'!AC229/10</f>
        <v>20.100000000000001</v>
      </c>
      <c r="AD228" s="86">
        <f>'Raw Data'!AD229/10</f>
        <v>20.399999999999999</v>
      </c>
      <c r="AE228" s="86">
        <f>'Raw Data'!AE229/10</f>
        <v>19.7</v>
      </c>
      <c r="AF228" s="86">
        <f>'Raw Data'!AF229/10</f>
        <v>22.6</v>
      </c>
      <c r="AG228" s="86">
        <f>'Raw Data'!AG229/10</f>
        <v>19.3</v>
      </c>
      <c r="AH228" s="86">
        <f>'Raw Data'!AH229/10</f>
        <v>20.399999999999999</v>
      </c>
      <c r="AI228" s="86">
        <f>'Raw Data'!AI229/10</f>
        <v>20.7</v>
      </c>
      <c r="AJ228" s="86">
        <f>'Raw Data'!AJ229/10</f>
        <v>20.399999999999999</v>
      </c>
      <c r="AK228" s="86">
        <f>'Raw Data'!AK229/10</f>
        <v>20</v>
      </c>
      <c r="AL228" s="86">
        <f>'Raw Data'!AL229/10</f>
        <v>18.5</v>
      </c>
      <c r="AM228" s="86">
        <f>'Raw Data'!AM229/10</f>
        <v>18.600000000000001</v>
      </c>
      <c r="AN228" s="86">
        <f>'Raw Data'!AN229/10</f>
        <v>21.6</v>
      </c>
      <c r="AO228" s="86">
        <f>'Raw Data'!AO229/10</f>
        <v>18.5</v>
      </c>
      <c r="AP228" s="86">
        <f>'Raw Data'!AP229/10</f>
        <v>19.3</v>
      </c>
      <c r="AQ228" s="86">
        <f>'Raw Data'!AQ229/10</f>
        <v>19</v>
      </c>
      <c r="AR228" s="86">
        <f>'Raw Data'!AR229/10</f>
        <v>19.600000000000001</v>
      </c>
      <c r="AS228" s="86">
        <f>'Raw Data'!AS229/10</f>
        <v>17.399999999999999</v>
      </c>
      <c r="AT228" s="86">
        <f>'Raw Data'!AT229/10</f>
        <v>17.5</v>
      </c>
      <c r="AU228" s="86">
        <f>'Raw Data'!AU229/10</f>
        <v>18.3</v>
      </c>
      <c r="AV228" s="86">
        <f>'Raw Data'!AV229/10</f>
        <v>16.3</v>
      </c>
      <c r="AW228" s="86">
        <f>'Raw Data'!AW229/10</f>
        <v>18.399999999999999</v>
      </c>
      <c r="AX228" s="86">
        <f>'Raw Data'!AX229/10</f>
        <v>17</v>
      </c>
      <c r="AY228" s="86">
        <f>'Raw Data'!AY229/10</f>
        <v>19.3</v>
      </c>
      <c r="AZ228" s="86">
        <f>'Raw Data'!AZ229/10</f>
        <v>18</v>
      </c>
      <c r="BA228" s="86">
        <f>'Raw Data'!BA229/10</f>
        <v>17.600000000000001</v>
      </c>
      <c r="BB228" s="86">
        <f>'Raw Data'!BB229/10</f>
        <v>17.899999999999999</v>
      </c>
      <c r="BC228" s="86">
        <f>'Raw Data'!BC229/10</f>
        <v>18.2</v>
      </c>
      <c r="BD228" s="86">
        <f>'Raw Data'!BD229/10</f>
        <v>17.899999999999999</v>
      </c>
      <c r="BE228" s="86">
        <f>'Raw Data'!BE229/10</f>
        <v>17.8</v>
      </c>
      <c r="BF228" s="86">
        <f>'Raw Data'!BF229/10</f>
        <v>18.600000000000001</v>
      </c>
      <c r="BG228" s="86">
        <f>'Raw Data'!BG229/10</f>
        <v>17.399999999999999</v>
      </c>
      <c r="BH228" s="86">
        <f>'Raw Data'!BH229/10</f>
        <v>17.7</v>
      </c>
      <c r="BI228" s="86">
        <f>'Raw Data'!BI229/10</f>
        <v>16</v>
      </c>
      <c r="BJ228" s="86">
        <f>'Raw Data'!BJ229/10</f>
        <v>16.7</v>
      </c>
      <c r="BK228" s="86">
        <f>'Raw Data'!BK229/10</f>
        <v>15.7</v>
      </c>
      <c r="BL228" s="86">
        <f>'Raw Data'!BL229/10</f>
        <v>16.2</v>
      </c>
      <c r="BM228" s="86">
        <f>'Raw Data'!BM229/10</f>
        <v>17.100000000000001</v>
      </c>
      <c r="BN228" s="86">
        <f>'Raw Data'!BN229/10</f>
        <v>16.3</v>
      </c>
      <c r="BO228" s="86">
        <f>'Raw Data'!BO229/10</f>
        <v>18.399999999999999</v>
      </c>
      <c r="BP228" s="86">
        <f>'Raw Data'!BP229/10</f>
        <v>17.399999999999999</v>
      </c>
      <c r="BQ228" s="86">
        <f>'Raw Data'!BQ229/10</f>
        <v>16.8</v>
      </c>
      <c r="BR228" s="86">
        <f>'Raw Data'!BR229/10</f>
        <v>17</v>
      </c>
      <c r="BS228" s="86">
        <f>'Raw Data'!BS229/10</f>
        <v>16.899999999999999</v>
      </c>
      <c r="BT228" s="86">
        <f>'Raw Data'!BT229/10</f>
        <v>17</v>
      </c>
      <c r="BU228" s="86">
        <f>'Raw Data'!BU229/10</f>
        <v>17</v>
      </c>
      <c r="BV228" s="86">
        <f>'Raw Data'!BV229/10</f>
        <v>18.100000000000001</v>
      </c>
      <c r="BW228" s="86">
        <f>'Raw Data'!BW229/10</f>
        <v>15.7</v>
      </c>
      <c r="BX228" s="86">
        <f>'Raw Data'!BX229/10</f>
        <v>18.399999999999999</v>
      </c>
      <c r="BY228" s="86">
        <f>'Raw Data'!BY229/10</f>
        <v>15.8</v>
      </c>
      <c r="BZ228" s="86">
        <f>'Raw Data'!BZ229/10</f>
        <v>15.4</v>
      </c>
      <c r="CA228" s="86">
        <f>'Raw Data'!CA229/10</f>
        <v>17.399999999999999</v>
      </c>
      <c r="CB228" s="86">
        <f>'Raw Data'!CB229/10</f>
        <v>15</v>
      </c>
      <c r="CC228" s="86">
        <f>'Raw Data'!CC229/10</f>
        <v>16.399999999999999</v>
      </c>
      <c r="CD228" s="86">
        <f>'Raw Data'!CD229/10</f>
        <v>15.7</v>
      </c>
      <c r="CE228" s="86">
        <f>'Raw Data'!CE229/10</f>
        <v>16.5</v>
      </c>
      <c r="CF228" s="86">
        <f>'Raw Data'!CF229/10</f>
        <v>16.399999999999999</v>
      </c>
      <c r="CG228" s="86">
        <f>'Raw Data'!CG229/100</f>
        <v>15.93</v>
      </c>
      <c r="CH228" s="86">
        <f>'Raw Data'!CH229/100</f>
        <v>15.7</v>
      </c>
      <c r="CI228" s="86">
        <f>'Raw Data'!CI229/100</f>
        <v>16.13</v>
      </c>
      <c r="CJ228" s="86">
        <f>'Raw Data'!CJ229/100</f>
        <v>15.93</v>
      </c>
      <c r="CK228" s="86">
        <f>'Raw Data'!CK229/100</f>
        <v>15.68</v>
      </c>
      <c r="CL228" s="86">
        <f>'Raw Data'!CL229/100</f>
        <v>15.76</v>
      </c>
      <c r="CM228" s="86">
        <f>'Raw Data'!CM229/100</f>
        <v>15.65</v>
      </c>
      <c r="CN228" s="86">
        <f>'Raw Data'!CN229/100</f>
        <v>15.29</v>
      </c>
      <c r="CO228" s="86">
        <f>'Raw Data'!CO229/100</f>
        <v>15.53</v>
      </c>
      <c r="CP228" s="86">
        <f>'Raw Data'!CP229/100</f>
        <v>14.88</v>
      </c>
      <c r="CQ228" s="86">
        <f>'Raw Data'!CQ229/100</f>
        <v>15.19</v>
      </c>
      <c r="CR228" s="86">
        <f>'Raw Data'!CR229/100</f>
        <v>15.56</v>
      </c>
      <c r="CS228" s="86">
        <f>'Raw Data'!CS229/100</f>
        <v>14.92</v>
      </c>
      <c r="CT228" s="86">
        <f>'Raw Data'!CT229/100</f>
        <v>14.76</v>
      </c>
      <c r="CU228" s="382"/>
    </row>
    <row r="229" spans="4:99" s="86" customFormat="1" x14ac:dyDescent="0.2">
      <c r="D229" s="375"/>
      <c r="E229" s="164"/>
      <c r="F229" s="394"/>
      <c r="G229" s="86">
        <f>'Raw Data'!G230</f>
        <v>361</v>
      </c>
      <c r="H229" s="86">
        <f>'Raw Data'!H230</f>
        <v>376</v>
      </c>
      <c r="I229" s="86">
        <f>'Raw Data'!I230</f>
        <v>319</v>
      </c>
      <c r="J229" s="86">
        <f>'Raw Data'!J230</f>
        <v>345</v>
      </c>
      <c r="K229" s="86">
        <f>'Raw Data'!K230</f>
        <v>333</v>
      </c>
      <c r="L229" s="86">
        <f>'Raw Data'!L230</f>
        <v>334</v>
      </c>
      <c r="M229" s="86">
        <f>'Raw Data'!M230</f>
        <v>341</v>
      </c>
      <c r="N229" s="86">
        <f>'Raw Data'!N230</f>
        <v>338</v>
      </c>
      <c r="O229" s="86">
        <f>'Raw Data'!O230</f>
        <v>338</v>
      </c>
      <c r="P229" s="86">
        <f>'Raw Data'!P230</f>
        <v>337</v>
      </c>
      <c r="Q229" s="86">
        <f>'Raw Data'!Q230</f>
        <v>333</v>
      </c>
      <c r="R229" s="86">
        <f>'Raw Data'!R230</f>
        <v>316</v>
      </c>
      <c r="S229" s="86">
        <f>'Raw Data'!S230</f>
        <v>313</v>
      </c>
      <c r="T229" s="86">
        <f>'Raw Data'!T230</f>
        <v>317</v>
      </c>
      <c r="U229" s="86">
        <f>'Raw Data'!U230</f>
        <v>312</v>
      </c>
      <c r="V229" s="86">
        <f>'Raw Data'!V230</f>
        <v>317</v>
      </c>
      <c r="W229" s="86">
        <f>'Raw Data'!W230</f>
        <v>310</v>
      </c>
      <c r="X229" s="86">
        <f>'Raw Data'!X230</f>
        <v>278</v>
      </c>
      <c r="Y229" s="86">
        <f>'Raw Data'!Y230</f>
        <v>326</v>
      </c>
      <c r="Z229" s="86">
        <f>'Raw Data'!Z230</f>
        <v>308</v>
      </c>
      <c r="AA229" s="86">
        <f>'Raw Data'!AA230/10</f>
        <v>289.8</v>
      </c>
      <c r="AB229" s="86">
        <f>'Raw Data'!AB230/10</f>
        <v>270.8</v>
      </c>
      <c r="AC229" s="86">
        <f>'Raw Data'!AC230/10</f>
        <v>256.7</v>
      </c>
      <c r="AD229" s="86">
        <f>'Raw Data'!AD230/10</f>
        <v>245.4</v>
      </c>
      <c r="AE229" s="86">
        <f>'Raw Data'!AE230/10</f>
        <v>226</v>
      </c>
      <c r="AF229" s="86">
        <f>'Raw Data'!AF230/10</f>
        <v>216.4</v>
      </c>
      <c r="AG229" s="86">
        <f>'Raw Data'!AG230/10</f>
        <v>202.2</v>
      </c>
      <c r="AH229" s="86">
        <f>'Raw Data'!AH230/10</f>
        <v>191.3</v>
      </c>
      <c r="AI229" s="86">
        <f>'Raw Data'!AI230/10</f>
        <v>180.3</v>
      </c>
      <c r="AJ229" s="86">
        <f>'Raw Data'!AJ230/10</f>
        <v>168.7</v>
      </c>
      <c r="AK229" s="86">
        <f>'Raw Data'!AK230/10</f>
        <v>161</v>
      </c>
      <c r="AL229" s="86">
        <f>'Raw Data'!AL230/10</f>
        <v>150.30000000000001</v>
      </c>
      <c r="AM229" s="86">
        <f>'Raw Data'!AM230/10</f>
        <v>142.9</v>
      </c>
      <c r="AN229" s="86">
        <f>'Raw Data'!AN230/10</f>
        <v>136.19999999999999</v>
      </c>
      <c r="AO229" s="86">
        <f>'Raw Data'!AO230/10</f>
        <v>133.1</v>
      </c>
      <c r="AP229" s="86">
        <f>'Raw Data'!AP230/10</f>
        <v>123.6</v>
      </c>
      <c r="AQ229" s="86">
        <f>'Raw Data'!AQ230/10</f>
        <v>121.1</v>
      </c>
      <c r="AR229" s="86">
        <f>'Raw Data'!AR230/10</f>
        <v>118.5</v>
      </c>
      <c r="AS229" s="86">
        <f>'Raw Data'!AS230/10</f>
        <v>110.6</v>
      </c>
      <c r="AT229" s="86">
        <f>'Raw Data'!AT230/10</f>
        <v>113</v>
      </c>
      <c r="AU229" s="86">
        <f>'Raw Data'!AU230/10</f>
        <v>103.7</v>
      </c>
      <c r="AV229" s="86">
        <f>'Raw Data'!AV230/10</f>
        <v>100.8</v>
      </c>
      <c r="AW229" s="86">
        <f>'Raw Data'!AW230/10</f>
        <v>100.6</v>
      </c>
      <c r="AX229" s="86">
        <f>'Raw Data'!AX230/10</f>
        <v>95.8</v>
      </c>
      <c r="AY229" s="86">
        <f>'Raw Data'!AY230/10</f>
        <v>95.5</v>
      </c>
      <c r="AZ229" s="86">
        <f>'Raw Data'!AZ230/10</f>
        <v>88.8</v>
      </c>
      <c r="BA229" s="86">
        <f>'Raw Data'!BA230/10</f>
        <v>87.5</v>
      </c>
      <c r="BB229" s="86">
        <f>'Raw Data'!BB230/10</f>
        <v>82.1</v>
      </c>
      <c r="BC229" s="86">
        <f>'Raw Data'!BC230/10</f>
        <v>83.2</v>
      </c>
      <c r="BD229" s="86">
        <f>'Raw Data'!BD230/10</f>
        <v>78.599999999999994</v>
      </c>
      <c r="BE229" s="86">
        <f>'Raw Data'!BE230/10</f>
        <v>78.3</v>
      </c>
      <c r="BF229" s="86">
        <f>'Raw Data'!BF230/10</f>
        <v>72</v>
      </c>
      <c r="BG229" s="86">
        <f>'Raw Data'!BG230/10</f>
        <v>72.400000000000006</v>
      </c>
      <c r="BH229" s="86">
        <f>'Raw Data'!BH230/10</f>
        <v>73</v>
      </c>
      <c r="BI229" s="86">
        <f>'Raw Data'!BI230/10</f>
        <v>69.5</v>
      </c>
      <c r="BJ229" s="86">
        <f>'Raw Data'!BJ230/10</f>
        <v>73.400000000000006</v>
      </c>
      <c r="BK229" s="86">
        <f>'Raw Data'!BK230/10</f>
        <v>64.2</v>
      </c>
      <c r="BL229" s="86">
        <f>'Raw Data'!BL230/10</f>
        <v>66.099999999999994</v>
      </c>
      <c r="BM229" s="86">
        <f>'Raw Data'!BM230/10</f>
        <v>63.2</v>
      </c>
      <c r="BN229" s="86">
        <f>'Raw Data'!BN230/10</f>
        <v>60.6</v>
      </c>
      <c r="BO229" s="86">
        <f>'Raw Data'!BO230/10</f>
        <v>61.1</v>
      </c>
      <c r="BP229" s="86">
        <f>'Raw Data'!BP230/10</f>
        <v>57.5</v>
      </c>
      <c r="BQ229" s="86">
        <f>'Raw Data'!BQ230/10</f>
        <v>63.3</v>
      </c>
      <c r="BR229" s="86">
        <f>'Raw Data'!BR230/10</f>
        <v>58.6</v>
      </c>
      <c r="BS229" s="86">
        <f>'Raw Data'!BS230/10</f>
        <v>60.2</v>
      </c>
      <c r="BT229" s="86">
        <f>'Raw Data'!BT230/10</f>
        <v>56.8</v>
      </c>
      <c r="BU229" s="86">
        <f>'Raw Data'!BU230/10</f>
        <v>54.1</v>
      </c>
      <c r="BV229" s="86">
        <f>'Raw Data'!BV230/10</f>
        <v>55.7</v>
      </c>
      <c r="BW229" s="86">
        <f>'Raw Data'!BW230/10</f>
        <v>57.2</v>
      </c>
      <c r="BX229" s="86">
        <f>'Raw Data'!BX230/10</f>
        <v>54.6</v>
      </c>
      <c r="BY229" s="86">
        <f>'Raw Data'!BY230/10</f>
        <v>53.6</v>
      </c>
      <c r="BZ229" s="86">
        <f>'Raw Data'!BZ230/10</f>
        <v>53.2</v>
      </c>
      <c r="CA229" s="86">
        <f>'Raw Data'!CA230/10</f>
        <v>51.4</v>
      </c>
      <c r="CB229" s="86">
        <f>'Raw Data'!CB230/10</f>
        <v>51.3</v>
      </c>
      <c r="CC229" s="86">
        <f>'Raw Data'!CC230/10</f>
        <v>52.4</v>
      </c>
      <c r="CD229" s="86">
        <f>'Raw Data'!CD230/10</f>
        <v>51.2</v>
      </c>
      <c r="CE229" s="86">
        <f>'Raw Data'!CE230/10</f>
        <v>48.7</v>
      </c>
      <c r="CF229" s="86">
        <f>'Raw Data'!CF230/10</f>
        <v>48.9</v>
      </c>
      <c r="CG229" s="86">
        <f>'Raw Data'!CG230/100</f>
        <v>45.04</v>
      </c>
      <c r="CH229" s="86">
        <f>'Raw Data'!CH230/100</f>
        <v>40.17</v>
      </c>
      <c r="CI229" s="86">
        <f>'Raw Data'!CI230/100</f>
        <v>37.409999999999997</v>
      </c>
      <c r="CJ229" s="86">
        <f>'Raw Data'!CJ230/100</f>
        <v>35.450000000000003</v>
      </c>
      <c r="CK229" s="86">
        <f>'Raw Data'!CK230/100</f>
        <v>32.840000000000003</v>
      </c>
      <c r="CL229" s="86">
        <f>'Raw Data'!CL230/100</f>
        <v>30.45</v>
      </c>
      <c r="CM229" s="86">
        <f>'Raw Data'!CM230/100</f>
        <v>29.12</v>
      </c>
      <c r="CN229" s="86">
        <f>'Raw Data'!CN230/100</f>
        <v>28.09</v>
      </c>
      <c r="CO229" s="86">
        <f>'Raw Data'!CO230/100</f>
        <v>27.18</v>
      </c>
      <c r="CP229" s="86">
        <f>'Raw Data'!CP230/100</f>
        <v>27.67</v>
      </c>
      <c r="CQ229" s="86">
        <f>'Raw Data'!CQ230/100</f>
        <v>25.38</v>
      </c>
      <c r="CR229" s="86">
        <f>'Raw Data'!CR230/100</f>
        <v>24.55</v>
      </c>
      <c r="CS229" s="86">
        <f>'Raw Data'!CS230/100</f>
        <v>23.85</v>
      </c>
      <c r="CT229" s="86">
        <f>'Raw Data'!CT230/100</f>
        <v>23.79</v>
      </c>
      <c r="CU229" s="382"/>
    </row>
    <row r="230" spans="4:99" s="86" customFormat="1" x14ac:dyDescent="0.2">
      <c r="D230" s="375"/>
      <c r="E230" s="164"/>
      <c r="F230" s="394"/>
      <c r="G230" s="86">
        <f>'Raw Data'!G231</f>
        <v>255</v>
      </c>
      <c r="H230" s="86">
        <f>'Raw Data'!H231</f>
        <v>240</v>
      </c>
      <c r="I230" s="86">
        <f>'Raw Data'!I231</f>
        <v>234</v>
      </c>
      <c r="J230" s="86">
        <f>'Raw Data'!J231</f>
        <v>240</v>
      </c>
      <c r="K230" s="86">
        <f>'Raw Data'!K231</f>
        <v>233</v>
      </c>
      <c r="L230" s="86">
        <f>'Raw Data'!L231</f>
        <v>237</v>
      </c>
      <c r="M230" s="86">
        <f>'Raw Data'!M231</f>
        <v>229</v>
      </c>
      <c r="N230" s="86">
        <f>'Raw Data'!N231</f>
        <v>242</v>
      </c>
      <c r="O230" s="86">
        <f>'Raw Data'!O231</f>
        <v>241</v>
      </c>
      <c r="P230" s="86">
        <f>'Raw Data'!P231</f>
        <v>204</v>
      </c>
      <c r="Q230" s="86">
        <f>'Raw Data'!Q231</f>
        <v>239</v>
      </c>
      <c r="R230" s="86">
        <f>'Raw Data'!R231</f>
        <v>227</v>
      </c>
      <c r="S230" s="86">
        <f>'Raw Data'!S231</f>
        <v>218</v>
      </c>
      <c r="T230" s="86">
        <f>'Raw Data'!T231</f>
        <v>226</v>
      </c>
      <c r="U230" s="86">
        <f>'Raw Data'!U231</f>
        <v>216</v>
      </c>
      <c r="V230" s="86">
        <f>'Raw Data'!V231</f>
        <v>201</v>
      </c>
      <c r="W230" s="86">
        <f>'Raw Data'!W231</f>
        <v>187</v>
      </c>
      <c r="X230" s="86">
        <f>'Raw Data'!X231</f>
        <v>222</v>
      </c>
      <c r="Y230" s="86">
        <f>'Raw Data'!Y231</f>
        <v>191</v>
      </c>
      <c r="Z230" s="86">
        <f>'Raw Data'!Z231</f>
        <v>208</v>
      </c>
      <c r="AA230" s="86">
        <f>'Raw Data'!AA231/10</f>
        <v>198.3</v>
      </c>
      <c r="AB230" s="86">
        <f>'Raw Data'!AB231/10</f>
        <v>192.6</v>
      </c>
      <c r="AC230" s="86">
        <f>'Raw Data'!AC231/10</f>
        <v>178.1</v>
      </c>
      <c r="AD230" s="86">
        <f>'Raw Data'!AD231/10</f>
        <v>167.2</v>
      </c>
      <c r="AE230" s="86">
        <f>'Raw Data'!AE231/10</f>
        <v>154.6</v>
      </c>
      <c r="AF230" s="86">
        <f>'Raw Data'!AF231/10</f>
        <v>146.69999999999999</v>
      </c>
      <c r="AG230" s="86">
        <f>'Raw Data'!AG231/10</f>
        <v>141.4</v>
      </c>
      <c r="AH230" s="86">
        <f>'Raw Data'!AH231/10</f>
        <v>134.30000000000001</v>
      </c>
      <c r="AI230" s="86">
        <f>'Raw Data'!AI231/10</f>
        <v>127</v>
      </c>
      <c r="AJ230" s="86">
        <f>'Raw Data'!AJ231/10</f>
        <v>120.4</v>
      </c>
      <c r="AK230" s="86">
        <f>'Raw Data'!AK231/10</f>
        <v>114.3</v>
      </c>
      <c r="AL230" s="86">
        <f>'Raw Data'!AL231/10</f>
        <v>105.4</v>
      </c>
      <c r="AM230" s="86">
        <f>'Raw Data'!AM231/10</f>
        <v>99.9</v>
      </c>
      <c r="AN230" s="86">
        <f>'Raw Data'!AN231/10</f>
        <v>96.3</v>
      </c>
      <c r="AO230" s="86">
        <f>'Raw Data'!AO231/10</f>
        <v>93.7</v>
      </c>
      <c r="AP230" s="86">
        <f>'Raw Data'!AP231/10</f>
        <v>90.9</v>
      </c>
      <c r="AQ230" s="86">
        <f>'Raw Data'!AQ231/10</f>
        <v>86.6</v>
      </c>
      <c r="AR230" s="86">
        <f>'Raw Data'!AR231/10</f>
        <v>84.7</v>
      </c>
      <c r="AS230" s="86">
        <f>'Raw Data'!AS231/10</f>
        <v>80.5</v>
      </c>
      <c r="AT230" s="86">
        <f>'Raw Data'!AT231/10</f>
        <v>78.7</v>
      </c>
      <c r="AU230" s="86">
        <f>'Raw Data'!AU231/10</f>
        <v>76.400000000000006</v>
      </c>
      <c r="AV230" s="86">
        <f>'Raw Data'!AV231/10</f>
        <v>70.8</v>
      </c>
      <c r="AW230" s="86">
        <f>'Raw Data'!AW231/10</f>
        <v>70.5</v>
      </c>
      <c r="AX230" s="86">
        <f>'Raw Data'!AX231/10</f>
        <v>70.8</v>
      </c>
      <c r="AY230" s="86">
        <f>'Raw Data'!AY231/10</f>
        <v>65.7</v>
      </c>
      <c r="AZ230" s="86">
        <f>'Raw Data'!AZ231/10</f>
        <v>64.400000000000006</v>
      </c>
      <c r="BA230" s="86">
        <f>'Raw Data'!BA231/10</f>
        <v>65.400000000000006</v>
      </c>
      <c r="BB230" s="86">
        <f>'Raw Data'!BB231/10</f>
        <v>59.3</v>
      </c>
      <c r="BC230" s="86">
        <f>'Raw Data'!BC231/10</f>
        <v>59.4</v>
      </c>
      <c r="BD230" s="86">
        <f>'Raw Data'!BD231/10</f>
        <v>56.3</v>
      </c>
      <c r="BE230" s="86">
        <f>'Raw Data'!BE231/10</f>
        <v>57.3</v>
      </c>
      <c r="BF230" s="86">
        <f>'Raw Data'!BF231/10</f>
        <v>54.3</v>
      </c>
      <c r="BG230" s="86">
        <f>'Raw Data'!BG231/10</f>
        <v>54.4</v>
      </c>
      <c r="BH230" s="86">
        <f>'Raw Data'!BH231/10</f>
        <v>53.8</v>
      </c>
      <c r="BI230" s="86">
        <f>'Raw Data'!BI231/10</f>
        <v>52</v>
      </c>
      <c r="BJ230" s="86">
        <f>'Raw Data'!BJ231/10</f>
        <v>51.5</v>
      </c>
      <c r="BK230" s="86">
        <f>'Raw Data'!BK231/10</f>
        <v>47.2</v>
      </c>
      <c r="BL230" s="86">
        <f>'Raw Data'!BL231/10</f>
        <v>49.4</v>
      </c>
      <c r="BM230" s="86">
        <f>'Raw Data'!BM231/10</f>
        <v>47.2</v>
      </c>
      <c r="BN230" s="86">
        <f>'Raw Data'!BN231/10</f>
        <v>49.6</v>
      </c>
      <c r="BO230" s="86">
        <f>'Raw Data'!BO231/10</f>
        <v>45.5</v>
      </c>
      <c r="BP230" s="86">
        <f>'Raw Data'!BP231/10</f>
        <v>45.2</v>
      </c>
      <c r="BQ230" s="86">
        <f>'Raw Data'!BQ231/10</f>
        <v>44</v>
      </c>
      <c r="BR230" s="86">
        <f>'Raw Data'!BR231/10</f>
        <v>43.8</v>
      </c>
      <c r="BS230" s="86">
        <f>'Raw Data'!BS231/10</f>
        <v>45.2</v>
      </c>
      <c r="BT230" s="86">
        <f>'Raw Data'!BT231/10</f>
        <v>43.2</v>
      </c>
      <c r="BU230" s="86">
        <f>'Raw Data'!BU231/10</f>
        <v>41.8</v>
      </c>
      <c r="BV230" s="86">
        <f>'Raw Data'!BV231/10</f>
        <v>39.5</v>
      </c>
      <c r="BW230" s="86">
        <f>'Raw Data'!BW231/10</f>
        <v>40.6</v>
      </c>
      <c r="BX230" s="86">
        <f>'Raw Data'!BX231/10</f>
        <v>38.200000000000003</v>
      </c>
      <c r="BY230" s="86">
        <f>'Raw Data'!BY231/10</f>
        <v>42.2</v>
      </c>
      <c r="BZ230" s="86">
        <f>'Raw Data'!BZ231/10</f>
        <v>40.6</v>
      </c>
      <c r="CA230" s="86">
        <f>'Raw Data'!CA231/10</f>
        <v>39.299999999999997</v>
      </c>
      <c r="CB230" s="86">
        <f>'Raw Data'!CB231/10</f>
        <v>39.700000000000003</v>
      </c>
      <c r="CC230" s="86">
        <f>'Raw Data'!CC231/10</f>
        <v>36.700000000000003</v>
      </c>
      <c r="CD230" s="86">
        <f>'Raw Data'!CD231/10</f>
        <v>37.4</v>
      </c>
      <c r="CE230" s="86">
        <f>'Raw Data'!CE231/10</f>
        <v>35.4</v>
      </c>
      <c r="CF230" s="86">
        <f>'Raw Data'!CF231/10</f>
        <v>35.5</v>
      </c>
      <c r="CG230" s="86">
        <f>'Raw Data'!CG231/100</f>
        <v>33.39</v>
      </c>
      <c r="CH230" s="86">
        <f>'Raw Data'!CH231/100</f>
        <v>31.1</v>
      </c>
      <c r="CI230" s="86">
        <f>'Raw Data'!CI231/100</f>
        <v>28.73</v>
      </c>
      <c r="CJ230" s="86">
        <f>'Raw Data'!CJ231/100</f>
        <v>26.93</v>
      </c>
      <c r="CK230" s="86">
        <f>'Raw Data'!CK231/100</f>
        <v>25.94</v>
      </c>
      <c r="CL230" s="86">
        <f>'Raw Data'!CL231/100</f>
        <v>24.98</v>
      </c>
      <c r="CM230" s="86">
        <f>'Raw Data'!CM231/100</f>
        <v>23.85</v>
      </c>
      <c r="CN230" s="86">
        <f>'Raw Data'!CN231/100</f>
        <v>22.43</v>
      </c>
      <c r="CO230" s="86">
        <f>'Raw Data'!CO231/100</f>
        <v>22.23</v>
      </c>
      <c r="CP230" s="86">
        <f>'Raw Data'!CP231/100</f>
        <v>21.07</v>
      </c>
      <c r="CQ230" s="86">
        <f>'Raw Data'!CQ231/100</f>
        <v>21.31</v>
      </c>
      <c r="CR230" s="86">
        <f>'Raw Data'!CR231/100</f>
        <v>20.27</v>
      </c>
      <c r="CS230" s="86">
        <f>'Raw Data'!CS231/100</f>
        <v>19.600000000000001</v>
      </c>
      <c r="CT230" s="86">
        <f>'Raw Data'!CT231/100</f>
        <v>19.61</v>
      </c>
      <c r="CU230" s="382"/>
    </row>
    <row r="231" spans="4:99" s="86" customFormat="1" x14ac:dyDescent="0.2">
      <c r="D231" s="379"/>
      <c r="E231" s="381"/>
      <c r="F231" s="395"/>
      <c r="G231" s="87">
        <f>'Raw Data'!G232</f>
        <v>350</v>
      </c>
      <c r="H231" s="87">
        <f>'Raw Data'!H232</f>
        <v>350</v>
      </c>
      <c r="I231" s="87">
        <f>'Raw Data'!I232</f>
        <v>345</v>
      </c>
      <c r="J231" s="87">
        <f>'Raw Data'!J232</f>
        <v>356</v>
      </c>
      <c r="K231" s="87">
        <f>'Raw Data'!K232</f>
        <v>374</v>
      </c>
      <c r="L231" s="87">
        <f>'Raw Data'!L232</f>
        <v>342</v>
      </c>
      <c r="M231" s="87">
        <f>'Raw Data'!M232</f>
        <v>349</v>
      </c>
      <c r="N231" s="87">
        <f>'Raw Data'!N232</f>
        <v>328</v>
      </c>
      <c r="O231" s="87">
        <f>'Raw Data'!O232</f>
        <v>343</v>
      </c>
      <c r="P231" s="87">
        <f>'Raw Data'!P232</f>
        <v>321</v>
      </c>
      <c r="Q231" s="87">
        <f>'Raw Data'!Q232</f>
        <v>345</v>
      </c>
      <c r="R231" s="87">
        <f>'Raw Data'!R232</f>
        <v>317</v>
      </c>
      <c r="S231" s="87">
        <f>'Raw Data'!S232</f>
        <v>348</v>
      </c>
      <c r="T231" s="87">
        <f>'Raw Data'!T232</f>
        <v>331</v>
      </c>
      <c r="U231" s="87">
        <f>'Raw Data'!U232</f>
        <v>328</v>
      </c>
      <c r="V231" s="87">
        <f>'Raw Data'!V232</f>
        <v>340</v>
      </c>
      <c r="W231" s="87">
        <f>'Raw Data'!W232</f>
        <v>336</v>
      </c>
      <c r="X231" s="87">
        <f>'Raw Data'!X232</f>
        <v>316</v>
      </c>
      <c r="Y231" s="87">
        <f>'Raw Data'!Y232</f>
        <v>321</v>
      </c>
      <c r="Z231" s="87">
        <f>'Raw Data'!Z232</f>
        <v>315</v>
      </c>
      <c r="AA231" s="87">
        <f>'Raw Data'!AA232/10</f>
        <v>298.8</v>
      </c>
      <c r="AB231" s="87">
        <f>'Raw Data'!AB232/10</f>
        <v>275.2</v>
      </c>
      <c r="AC231" s="87">
        <f>'Raw Data'!AC232/10</f>
        <v>267.2</v>
      </c>
      <c r="AD231" s="87">
        <f>'Raw Data'!AD232/10</f>
        <v>240</v>
      </c>
      <c r="AE231" s="87">
        <f>'Raw Data'!AE232/10</f>
        <v>238.5</v>
      </c>
      <c r="AF231" s="87">
        <f>'Raw Data'!AF232/10</f>
        <v>219.6</v>
      </c>
      <c r="AG231" s="87">
        <f>'Raw Data'!AG232/10</f>
        <v>203.4</v>
      </c>
      <c r="AH231" s="87">
        <f>'Raw Data'!AH232/10</f>
        <v>193.7</v>
      </c>
      <c r="AI231" s="87">
        <f>'Raw Data'!AI232/10</f>
        <v>186.5</v>
      </c>
      <c r="AJ231" s="87">
        <f>'Raw Data'!AJ232/10</f>
        <v>170.3</v>
      </c>
      <c r="AK231" s="87">
        <f>'Raw Data'!AK232/10</f>
        <v>171.3</v>
      </c>
      <c r="AL231" s="87">
        <f>'Raw Data'!AL232/10</f>
        <v>159.4</v>
      </c>
      <c r="AM231" s="87">
        <f>'Raw Data'!AM232/10</f>
        <v>150.30000000000001</v>
      </c>
      <c r="AN231" s="87">
        <f>'Raw Data'!AN232/10</f>
        <v>146.6</v>
      </c>
      <c r="AO231" s="87">
        <f>'Raw Data'!AO232/10</f>
        <v>139.19999999999999</v>
      </c>
      <c r="AP231" s="87">
        <f>'Raw Data'!AP232/10</f>
        <v>131.80000000000001</v>
      </c>
      <c r="AQ231" s="87">
        <f>'Raw Data'!AQ232/10</f>
        <v>130</v>
      </c>
      <c r="AR231" s="87">
        <f>'Raw Data'!AR232/10</f>
        <v>120.9</v>
      </c>
      <c r="AS231" s="87">
        <f>'Raw Data'!AS232/10</f>
        <v>118.9</v>
      </c>
      <c r="AT231" s="87">
        <f>'Raw Data'!AT232/10</f>
        <v>113.2</v>
      </c>
      <c r="AU231" s="87">
        <f>'Raw Data'!AU232/10</f>
        <v>108.4</v>
      </c>
      <c r="AV231" s="87">
        <f>'Raw Data'!AV232/10</f>
        <v>104.6</v>
      </c>
      <c r="AW231" s="87">
        <f>'Raw Data'!AW232/10</f>
        <v>101.5</v>
      </c>
      <c r="AX231" s="87">
        <f>'Raw Data'!AX232/10</f>
        <v>97</v>
      </c>
      <c r="AY231" s="87">
        <f>'Raw Data'!AY232/10</f>
        <v>99.5</v>
      </c>
      <c r="AZ231" s="87">
        <f>'Raw Data'!AZ232/10</f>
        <v>93.1</v>
      </c>
      <c r="BA231" s="87">
        <f>'Raw Data'!BA232/10</f>
        <v>91.5</v>
      </c>
      <c r="BB231" s="87">
        <f>'Raw Data'!BB232/10</f>
        <v>89.3</v>
      </c>
      <c r="BC231" s="87">
        <f>'Raw Data'!BC232/10</f>
        <v>90.6</v>
      </c>
      <c r="BD231" s="87">
        <f>'Raw Data'!BD232/10</f>
        <v>84.6</v>
      </c>
      <c r="BE231" s="87">
        <f>'Raw Data'!BE232/10</f>
        <v>87.7</v>
      </c>
      <c r="BF231" s="87">
        <f>'Raw Data'!BF232/10</f>
        <v>78.3</v>
      </c>
      <c r="BG231" s="87">
        <f>'Raw Data'!BG232/10</f>
        <v>81</v>
      </c>
      <c r="BH231" s="87">
        <f>'Raw Data'!BH232/10</f>
        <v>76.599999999999994</v>
      </c>
      <c r="BI231" s="87">
        <f>'Raw Data'!BI232/10</f>
        <v>75.7</v>
      </c>
      <c r="BJ231" s="87">
        <f>'Raw Data'!BJ232/10</f>
        <v>71</v>
      </c>
      <c r="BK231" s="87">
        <f>'Raw Data'!BK232/10</f>
        <v>72.900000000000006</v>
      </c>
      <c r="BL231" s="87">
        <f>'Raw Data'!BL232/10</f>
        <v>73.099999999999994</v>
      </c>
      <c r="BM231" s="87">
        <f>'Raw Data'!BM232/10</f>
        <v>69.099999999999994</v>
      </c>
      <c r="BN231" s="87">
        <f>'Raw Data'!BN232/10</f>
        <v>65</v>
      </c>
      <c r="BO231" s="87">
        <f>'Raw Data'!BO232/10</f>
        <v>64.2</v>
      </c>
      <c r="BP231" s="87">
        <f>'Raw Data'!BP232/10</f>
        <v>66.7</v>
      </c>
      <c r="BQ231" s="87">
        <f>'Raw Data'!BQ232/10</f>
        <v>62.5</v>
      </c>
      <c r="BR231" s="87">
        <f>'Raw Data'!BR232/10</f>
        <v>64.7</v>
      </c>
      <c r="BS231" s="87">
        <f>'Raw Data'!BS232/10</f>
        <v>60</v>
      </c>
      <c r="BT231" s="87">
        <f>'Raw Data'!BT232/10</f>
        <v>61.4</v>
      </c>
      <c r="BU231" s="87">
        <f>'Raw Data'!BU232/10</f>
        <v>59.3</v>
      </c>
      <c r="BV231" s="87">
        <f>'Raw Data'!BV232/10</f>
        <v>56.2</v>
      </c>
      <c r="BW231" s="87">
        <f>'Raw Data'!BW232/10</f>
        <v>58.2</v>
      </c>
      <c r="BX231" s="87">
        <f>'Raw Data'!BX232/10</f>
        <v>57.7</v>
      </c>
      <c r="BY231" s="87">
        <f>'Raw Data'!BY232/10</f>
        <v>57.9</v>
      </c>
      <c r="BZ231" s="87">
        <f>'Raw Data'!BZ232/10</f>
        <v>56.5</v>
      </c>
      <c r="CA231" s="87">
        <f>'Raw Data'!CA232/10</f>
        <v>56.8</v>
      </c>
      <c r="CB231" s="87">
        <f>'Raw Data'!CB232/10</f>
        <v>53.1</v>
      </c>
      <c r="CC231" s="87">
        <f>'Raw Data'!CC232/10</f>
        <v>52.6</v>
      </c>
      <c r="CD231" s="87">
        <f>'Raw Data'!CD232/10</f>
        <v>54.5</v>
      </c>
      <c r="CE231" s="87">
        <f>'Raw Data'!CE232/10</f>
        <v>54.3</v>
      </c>
      <c r="CF231" s="87">
        <f>'Raw Data'!CF232/10</f>
        <v>49.7</v>
      </c>
      <c r="CG231" s="87">
        <f>'Raw Data'!CG232/100</f>
        <v>48.34</v>
      </c>
      <c r="CH231" s="87">
        <f>'Raw Data'!CH232/100</f>
        <v>44.07</v>
      </c>
      <c r="CI231" s="87">
        <f>'Raw Data'!CI232/100</f>
        <v>39.909999999999997</v>
      </c>
      <c r="CJ231" s="87">
        <f>'Raw Data'!CJ232/100</f>
        <v>37.39</v>
      </c>
      <c r="CK231" s="87">
        <f>'Raw Data'!CK232/100</f>
        <v>34.9</v>
      </c>
      <c r="CL231" s="87">
        <f>'Raw Data'!CL232/100</f>
        <v>33.39</v>
      </c>
      <c r="CM231" s="87">
        <f>'Raw Data'!CM232/100</f>
        <v>31.55</v>
      </c>
      <c r="CN231" s="87">
        <f>'Raw Data'!CN232/100</f>
        <v>30.04</v>
      </c>
      <c r="CO231" s="87">
        <f>'Raw Data'!CO232/100</f>
        <v>29.13</v>
      </c>
      <c r="CP231" s="87">
        <f>'Raw Data'!CP232/100</f>
        <v>28.18</v>
      </c>
      <c r="CQ231" s="87">
        <f>'Raw Data'!CQ232/100</f>
        <v>27.49</v>
      </c>
      <c r="CR231" s="87">
        <f>'Raw Data'!CR232/100</f>
        <v>26.75</v>
      </c>
      <c r="CS231" s="87">
        <f>'Raw Data'!CS232/100</f>
        <v>25.78</v>
      </c>
      <c r="CT231" s="87">
        <f>'Raw Data'!CT232/100</f>
        <v>24.9</v>
      </c>
      <c r="CU231" s="382"/>
    </row>
    <row r="232" spans="4:99" s="86" customFormat="1" x14ac:dyDescent="0.2">
      <c r="D232" s="376"/>
      <c r="E232" s="164"/>
      <c r="F232" s="394"/>
      <c r="G232" s="86">
        <f>'Raw Data'!G233</f>
        <v>69</v>
      </c>
      <c r="H232" s="86">
        <f>'Raw Data'!H233</f>
        <v>49</v>
      </c>
      <c r="I232" s="86">
        <f>'Raw Data'!I233</f>
        <v>55</v>
      </c>
      <c r="J232" s="86">
        <f>'Raw Data'!J233</f>
        <v>52</v>
      </c>
      <c r="K232" s="86">
        <f>'Raw Data'!K233</f>
        <v>63</v>
      </c>
      <c r="L232" s="86">
        <f>'Raw Data'!L233</f>
        <v>64</v>
      </c>
      <c r="M232" s="86">
        <f>'Raw Data'!M233</f>
        <v>69</v>
      </c>
      <c r="N232" s="86">
        <f>'Raw Data'!N233</f>
        <v>63</v>
      </c>
      <c r="O232" s="86">
        <f>'Raw Data'!O233</f>
        <v>59</v>
      </c>
      <c r="P232" s="86">
        <f>'Raw Data'!P233</f>
        <v>72</v>
      </c>
      <c r="Q232" s="86">
        <f>'Raw Data'!Q233</f>
        <v>56</v>
      </c>
      <c r="R232" s="86">
        <f>'Raw Data'!R233</f>
        <v>70</v>
      </c>
      <c r="S232" s="86">
        <f>'Raw Data'!S233</f>
        <v>64</v>
      </c>
      <c r="T232" s="86">
        <f>'Raw Data'!T233</f>
        <v>66</v>
      </c>
      <c r="U232" s="86">
        <f>'Raw Data'!U233</f>
        <v>63</v>
      </c>
      <c r="V232" s="86">
        <f>'Raw Data'!V233</f>
        <v>67</v>
      </c>
      <c r="W232" s="86">
        <f>'Raw Data'!W233</f>
        <v>63</v>
      </c>
      <c r="X232" s="86">
        <f>'Raw Data'!X233</f>
        <v>59</v>
      </c>
      <c r="Y232" s="86">
        <f>'Raw Data'!Y233</f>
        <v>67</v>
      </c>
      <c r="Z232" s="86">
        <f>'Raw Data'!Z233</f>
        <v>63</v>
      </c>
      <c r="AA232" s="83">
        <f>'Raw Data'!AA233/10</f>
        <v>66.8</v>
      </c>
      <c r="AB232" s="83">
        <f>'Raw Data'!AB233/10</f>
        <v>65.599999999999994</v>
      </c>
      <c r="AC232" s="83">
        <f>'Raw Data'!AC233/10</f>
        <v>64.5</v>
      </c>
      <c r="AD232" s="83">
        <f>'Raw Data'!AD233/10</f>
        <v>67.400000000000006</v>
      </c>
      <c r="AE232" s="83">
        <f>'Raw Data'!AE233/10</f>
        <v>65.2</v>
      </c>
      <c r="AF232" s="83">
        <f>'Raw Data'!AF233/10</f>
        <v>62.6</v>
      </c>
      <c r="AG232" s="83">
        <f>'Raw Data'!AG233/10</f>
        <v>64.8</v>
      </c>
      <c r="AH232" s="83">
        <f>'Raw Data'!AH233/10</f>
        <v>62.5</v>
      </c>
      <c r="AI232" s="83">
        <f>'Raw Data'!AI233/10</f>
        <v>60.3</v>
      </c>
      <c r="AJ232" s="83">
        <f>'Raw Data'!AJ233/10</f>
        <v>61.5</v>
      </c>
      <c r="AK232" s="83">
        <f>'Raw Data'!AK233/10</f>
        <v>61.2</v>
      </c>
      <c r="AL232" s="83">
        <f>'Raw Data'!AL233/10</f>
        <v>59</v>
      </c>
      <c r="AM232" s="83">
        <f>'Raw Data'!AM233/10</f>
        <v>59.9</v>
      </c>
      <c r="AN232" s="83">
        <f>'Raw Data'!AN233/10</f>
        <v>55.7</v>
      </c>
      <c r="AO232" s="83">
        <f>'Raw Data'!AO233/10</f>
        <v>57.9</v>
      </c>
      <c r="AP232" s="83">
        <f>'Raw Data'!AP233/10</f>
        <v>58.9</v>
      </c>
      <c r="AQ232" s="83">
        <f>'Raw Data'!AQ233/10</f>
        <v>56.7</v>
      </c>
      <c r="AR232" s="83">
        <f>'Raw Data'!AR233/10</f>
        <v>52.6</v>
      </c>
      <c r="AS232" s="83">
        <f>'Raw Data'!AS233/10</f>
        <v>56.6</v>
      </c>
      <c r="AT232" s="83">
        <f>'Raw Data'!AT233/10</f>
        <v>53.6</v>
      </c>
      <c r="AU232" s="83">
        <f>'Raw Data'!AU233/10</f>
        <v>55.8</v>
      </c>
      <c r="AV232" s="83">
        <f>'Raw Data'!AV233/10</f>
        <v>56.3</v>
      </c>
      <c r="AW232" s="83">
        <f>'Raw Data'!AW233/10</f>
        <v>54.5</v>
      </c>
      <c r="AX232" s="83">
        <f>'Raw Data'!AX233/10</f>
        <v>50.1</v>
      </c>
      <c r="AY232" s="83">
        <f>'Raw Data'!AY233/10</f>
        <v>52.6</v>
      </c>
      <c r="AZ232" s="83">
        <f>'Raw Data'!AZ233/10</f>
        <v>51.2</v>
      </c>
      <c r="BA232" s="83">
        <f>'Raw Data'!BA233/10</f>
        <v>52</v>
      </c>
      <c r="BB232" s="83">
        <f>'Raw Data'!BB233/10</f>
        <v>51.2</v>
      </c>
      <c r="BC232" s="83">
        <f>'Raw Data'!BC233/10</f>
        <v>52.2</v>
      </c>
      <c r="BD232" s="83">
        <f>'Raw Data'!BD233/10</f>
        <v>50</v>
      </c>
      <c r="BE232" s="83">
        <f>'Raw Data'!BE233/10</f>
        <v>48.5</v>
      </c>
      <c r="BF232" s="83">
        <f>'Raw Data'!BF233/10</f>
        <v>51</v>
      </c>
      <c r="BG232" s="83">
        <f>'Raw Data'!BG233/10</f>
        <v>51.2</v>
      </c>
      <c r="BH232" s="83">
        <f>'Raw Data'!BH233/10</f>
        <v>49.1</v>
      </c>
      <c r="BI232" s="83">
        <f>'Raw Data'!BI233/10</f>
        <v>49.1</v>
      </c>
      <c r="BJ232" s="83">
        <f>'Raw Data'!BJ233/10</f>
        <v>50.3</v>
      </c>
      <c r="BK232" s="83">
        <f>'Raw Data'!BK233/10</f>
        <v>49</v>
      </c>
      <c r="BL232" s="83">
        <f>'Raw Data'!BL233/10</f>
        <v>52.2</v>
      </c>
      <c r="BM232" s="83">
        <f>'Raw Data'!BM233/10</f>
        <v>48.5</v>
      </c>
      <c r="BN232" s="83">
        <f>'Raw Data'!BN233/10</f>
        <v>53</v>
      </c>
      <c r="BO232" s="83">
        <f>'Raw Data'!BO233/10</f>
        <v>46.1</v>
      </c>
      <c r="BP232" s="83">
        <f>'Raw Data'!BP233/10</f>
        <v>48.1</v>
      </c>
      <c r="BQ232" s="83">
        <f>'Raw Data'!BQ233/10</f>
        <v>50.7</v>
      </c>
      <c r="BR232" s="83">
        <f>'Raw Data'!BR233/10</f>
        <v>46.7</v>
      </c>
      <c r="BS232" s="83">
        <f>'Raw Data'!BS233/10</f>
        <v>47</v>
      </c>
      <c r="BT232" s="83">
        <f>'Raw Data'!BT233/10</f>
        <v>48.1</v>
      </c>
      <c r="BU232" s="83">
        <f>'Raw Data'!BU233/10</f>
        <v>46.3</v>
      </c>
      <c r="BV232" s="83">
        <f>'Raw Data'!BV233/10</f>
        <v>46.8</v>
      </c>
      <c r="BW232" s="83">
        <f>'Raw Data'!BW233/10</f>
        <v>48.3</v>
      </c>
      <c r="BX232" s="83">
        <f>'Raw Data'!BX233/10</f>
        <v>47.1</v>
      </c>
      <c r="BY232" s="83">
        <f>'Raw Data'!BY233/10</f>
        <v>46.5</v>
      </c>
      <c r="BZ232" s="83">
        <f>'Raw Data'!BZ233/10</f>
        <v>45.4</v>
      </c>
      <c r="CA232" s="83">
        <f>'Raw Data'!CA233/10</f>
        <v>47.2</v>
      </c>
      <c r="CB232" s="83">
        <f>'Raw Data'!CB233/10</f>
        <v>46.4</v>
      </c>
      <c r="CC232" s="83">
        <f>'Raw Data'!CC233/10</f>
        <v>46.5</v>
      </c>
      <c r="CD232" s="83">
        <f>'Raw Data'!CD233/10</f>
        <v>44.7</v>
      </c>
      <c r="CE232" s="83">
        <f>'Raw Data'!CE233/10</f>
        <v>47.5</v>
      </c>
      <c r="CF232" s="83">
        <f>'Raw Data'!CF233/10</f>
        <v>46</v>
      </c>
      <c r="CG232" s="83">
        <f>'Raw Data'!CG233/100</f>
        <v>44.57</v>
      </c>
      <c r="CH232" s="83">
        <f>'Raw Data'!CH233/100</f>
        <v>44.54</v>
      </c>
      <c r="CI232" s="83">
        <f>'Raw Data'!CI233/100</f>
        <v>43.38</v>
      </c>
      <c r="CJ232" s="83">
        <f>'Raw Data'!CJ233/100</f>
        <v>41.73</v>
      </c>
      <c r="CK232" s="83">
        <f>'Raw Data'!CK233/100</f>
        <v>41.39</v>
      </c>
      <c r="CL232" s="83">
        <f>'Raw Data'!CL233/100</f>
        <v>40.24</v>
      </c>
      <c r="CM232" s="83">
        <f>'Raw Data'!CM233/100</f>
        <v>39.85</v>
      </c>
      <c r="CN232" s="83">
        <f>'Raw Data'!CN233/100</f>
        <v>39.799999999999997</v>
      </c>
      <c r="CO232" s="83">
        <f>'Raw Data'!CO233/100</f>
        <v>39.26</v>
      </c>
      <c r="CP232" s="83">
        <f>'Raw Data'!CP233/100</f>
        <v>38.18</v>
      </c>
      <c r="CQ232" s="83">
        <f>'Raw Data'!CQ233/100</f>
        <v>37.93</v>
      </c>
      <c r="CR232" s="83">
        <f>'Raw Data'!CR233/100</f>
        <v>38.69</v>
      </c>
      <c r="CS232" s="83">
        <f>'Raw Data'!CS233/100</f>
        <v>38.200000000000003</v>
      </c>
      <c r="CT232" s="83">
        <f>'Raw Data'!CT233/100</f>
        <v>38.4</v>
      </c>
      <c r="CU232" s="382"/>
    </row>
    <row r="233" spans="4:99" s="86" customFormat="1" x14ac:dyDescent="0.2">
      <c r="D233" s="376"/>
      <c r="E233" s="164"/>
      <c r="F233" s="394"/>
      <c r="G233" s="86">
        <f>'Raw Data'!G234</f>
        <v>39</v>
      </c>
      <c r="H233" s="86">
        <f>'Raw Data'!H234</f>
        <v>42</v>
      </c>
      <c r="I233" s="86">
        <f>'Raw Data'!I234</f>
        <v>46</v>
      </c>
      <c r="J233" s="86">
        <f>'Raw Data'!J234</f>
        <v>40</v>
      </c>
      <c r="K233" s="86">
        <f>'Raw Data'!K234</f>
        <v>41</v>
      </c>
      <c r="L233" s="86">
        <f>'Raw Data'!L234</f>
        <v>49</v>
      </c>
      <c r="M233" s="86">
        <f>'Raw Data'!M234</f>
        <v>45</v>
      </c>
      <c r="N233" s="86">
        <f>'Raw Data'!N234</f>
        <v>42</v>
      </c>
      <c r="O233" s="86">
        <f>'Raw Data'!O234</f>
        <v>35</v>
      </c>
      <c r="P233" s="86">
        <f>'Raw Data'!P234</f>
        <v>44</v>
      </c>
      <c r="Q233" s="86">
        <f>'Raw Data'!Q234</f>
        <v>44</v>
      </c>
      <c r="R233" s="86">
        <f>'Raw Data'!R234</f>
        <v>44</v>
      </c>
      <c r="S233" s="86">
        <f>'Raw Data'!S234</f>
        <v>46</v>
      </c>
      <c r="T233" s="86">
        <f>'Raw Data'!T234</f>
        <v>43</v>
      </c>
      <c r="U233" s="86">
        <f>'Raw Data'!U234</f>
        <v>41</v>
      </c>
      <c r="V233" s="86">
        <f>'Raw Data'!V234</f>
        <v>53</v>
      </c>
      <c r="W233" s="86">
        <f>'Raw Data'!W234</f>
        <v>43</v>
      </c>
      <c r="X233" s="86">
        <f>'Raw Data'!X234</f>
        <v>45</v>
      </c>
      <c r="Y233" s="86">
        <f>'Raw Data'!Y234</f>
        <v>43</v>
      </c>
      <c r="Z233" s="86">
        <f>'Raw Data'!Z234</f>
        <v>43</v>
      </c>
      <c r="AA233" s="83">
        <f>'Raw Data'!AA234/10</f>
        <v>45.4</v>
      </c>
      <c r="AB233" s="83">
        <f>'Raw Data'!AB234/10</f>
        <v>45.3</v>
      </c>
      <c r="AC233" s="83">
        <f>'Raw Data'!AC234/10</f>
        <v>45.3</v>
      </c>
      <c r="AD233" s="83">
        <f>'Raw Data'!AD234/10</f>
        <v>46.4</v>
      </c>
      <c r="AE233" s="83">
        <f>'Raw Data'!AE234/10</f>
        <v>42.7</v>
      </c>
      <c r="AF233" s="83">
        <f>'Raw Data'!AF234/10</f>
        <v>44.4</v>
      </c>
      <c r="AG233" s="83">
        <f>'Raw Data'!AG234/10</f>
        <v>42.8</v>
      </c>
      <c r="AH233" s="83">
        <f>'Raw Data'!AH234/10</f>
        <v>45</v>
      </c>
      <c r="AI233" s="83">
        <f>'Raw Data'!AI234/10</f>
        <v>43.9</v>
      </c>
      <c r="AJ233" s="83">
        <f>'Raw Data'!AJ234/10</f>
        <v>42.9</v>
      </c>
      <c r="AK233" s="83">
        <f>'Raw Data'!AK234/10</f>
        <v>42</v>
      </c>
      <c r="AL233" s="83">
        <f>'Raw Data'!AL234/10</f>
        <v>39.5</v>
      </c>
      <c r="AM233" s="83">
        <f>'Raw Data'!AM234/10</f>
        <v>42.3</v>
      </c>
      <c r="AN233" s="83">
        <f>'Raw Data'!AN234/10</f>
        <v>39.700000000000003</v>
      </c>
      <c r="AO233" s="83">
        <f>'Raw Data'!AO234/10</f>
        <v>40.200000000000003</v>
      </c>
      <c r="AP233" s="83">
        <f>'Raw Data'!AP234/10</f>
        <v>44.2</v>
      </c>
      <c r="AQ233" s="83">
        <f>'Raw Data'!AQ234/10</f>
        <v>38.5</v>
      </c>
      <c r="AR233" s="83">
        <f>'Raw Data'!AR234/10</f>
        <v>39.700000000000003</v>
      </c>
      <c r="AS233" s="83">
        <f>'Raw Data'!AS234/10</f>
        <v>37.799999999999997</v>
      </c>
      <c r="AT233" s="83">
        <f>'Raw Data'!AT234/10</f>
        <v>37.799999999999997</v>
      </c>
      <c r="AU233" s="83">
        <f>'Raw Data'!AU234/10</f>
        <v>38.9</v>
      </c>
      <c r="AV233" s="83">
        <f>'Raw Data'!AV234/10</f>
        <v>39.299999999999997</v>
      </c>
      <c r="AW233" s="83">
        <f>'Raw Data'!AW234/10</f>
        <v>37.1</v>
      </c>
      <c r="AX233" s="83">
        <f>'Raw Data'!AX234/10</f>
        <v>34.4</v>
      </c>
      <c r="AY233" s="83">
        <f>'Raw Data'!AY234/10</f>
        <v>35.6</v>
      </c>
      <c r="AZ233" s="83">
        <f>'Raw Data'!AZ234/10</f>
        <v>38.700000000000003</v>
      </c>
      <c r="BA233" s="83">
        <f>'Raw Data'!BA234/10</f>
        <v>37.6</v>
      </c>
      <c r="BB233" s="83">
        <f>'Raw Data'!BB234/10</f>
        <v>38</v>
      </c>
      <c r="BC233" s="83">
        <f>'Raw Data'!BC234/10</f>
        <v>38.700000000000003</v>
      </c>
      <c r="BD233" s="83">
        <f>'Raw Data'!BD234/10</f>
        <v>35.799999999999997</v>
      </c>
      <c r="BE233" s="83">
        <f>'Raw Data'!BE234/10</f>
        <v>35.299999999999997</v>
      </c>
      <c r="BF233" s="83">
        <f>'Raw Data'!BF234/10</f>
        <v>36.4</v>
      </c>
      <c r="BG233" s="83">
        <f>'Raw Data'!BG234/10</f>
        <v>38.4</v>
      </c>
      <c r="BH233" s="83">
        <f>'Raw Data'!BH234/10</f>
        <v>34.6</v>
      </c>
      <c r="BI233" s="83">
        <f>'Raw Data'!BI234/10</f>
        <v>34.299999999999997</v>
      </c>
      <c r="BJ233" s="83">
        <f>'Raw Data'!BJ234/10</f>
        <v>37.700000000000003</v>
      </c>
      <c r="BK233" s="83">
        <f>'Raw Data'!BK234/10</f>
        <v>34.700000000000003</v>
      </c>
      <c r="BL233" s="83">
        <f>'Raw Data'!BL234/10</f>
        <v>37.9</v>
      </c>
      <c r="BM233" s="83">
        <f>'Raw Data'!BM234/10</f>
        <v>35.5</v>
      </c>
      <c r="BN233" s="83">
        <f>'Raw Data'!BN234/10</f>
        <v>34.799999999999997</v>
      </c>
      <c r="BO233" s="83">
        <f>'Raw Data'!BO234/10</f>
        <v>35.1</v>
      </c>
      <c r="BP233" s="83">
        <f>'Raw Data'!BP234/10</f>
        <v>35.6</v>
      </c>
      <c r="BQ233" s="83">
        <f>'Raw Data'!BQ234/10</f>
        <v>34.1</v>
      </c>
      <c r="BR233" s="83">
        <f>'Raw Data'!BR234/10</f>
        <v>33.1</v>
      </c>
      <c r="BS233" s="83">
        <f>'Raw Data'!BS234/10</f>
        <v>36.4</v>
      </c>
      <c r="BT233" s="83">
        <f>'Raw Data'!BT234/10</f>
        <v>34.4</v>
      </c>
      <c r="BU233" s="83">
        <f>'Raw Data'!BU234/10</f>
        <v>35.299999999999997</v>
      </c>
      <c r="BV233" s="83">
        <f>'Raw Data'!BV234/10</f>
        <v>34.299999999999997</v>
      </c>
      <c r="BW233" s="83">
        <f>'Raw Data'!BW234/10</f>
        <v>34.200000000000003</v>
      </c>
      <c r="BX233" s="83">
        <f>'Raw Data'!BX234/10</f>
        <v>35.5</v>
      </c>
      <c r="BY233" s="83">
        <f>'Raw Data'!BY234/10</f>
        <v>34.200000000000003</v>
      </c>
      <c r="BZ233" s="83">
        <f>'Raw Data'!BZ234/10</f>
        <v>36.5</v>
      </c>
      <c r="CA233" s="83">
        <f>'Raw Data'!CA234/10</f>
        <v>31.7</v>
      </c>
      <c r="CB233" s="83">
        <f>'Raw Data'!CB234/10</f>
        <v>35.1</v>
      </c>
      <c r="CC233" s="83">
        <f>'Raw Data'!CC234/10</f>
        <v>33.700000000000003</v>
      </c>
      <c r="CD233" s="83">
        <f>'Raw Data'!CD234/10</f>
        <v>31.2</v>
      </c>
      <c r="CE233" s="83">
        <f>'Raw Data'!CE234/10</f>
        <v>32</v>
      </c>
      <c r="CF233" s="83">
        <f>'Raw Data'!CF234/10</f>
        <v>32.5</v>
      </c>
      <c r="CG233" s="83">
        <f>'Raw Data'!CG234/100</f>
        <v>33.130000000000003</v>
      </c>
      <c r="CH233" s="83">
        <f>'Raw Data'!CH234/100</f>
        <v>32.82</v>
      </c>
      <c r="CI233" s="83">
        <f>'Raw Data'!CI234/100</f>
        <v>32.229999999999997</v>
      </c>
      <c r="CJ233" s="83">
        <f>'Raw Data'!CJ234/100</f>
        <v>31.18</v>
      </c>
      <c r="CK233" s="83">
        <f>'Raw Data'!CK234/100</f>
        <v>30.98</v>
      </c>
      <c r="CL233" s="83">
        <f>'Raw Data'!CL234/100</f>
        <v>30.9</v>
      </c>
      <c r="CM233" s="83">
        <f>'Raw Data'!CM234/100</f>
        <v>30.5</v>
      </c>
      <c r="CN233" s="83">
        <f>'Raw Data'!CN234/100</f>
        <v>29.61</v>
      </c>
      <c r="CO233" s="83">
        <f>'Raw Data'!CO234/100</f>
        <v>30.28</v>
      </c>
      <c r="CP233" s="83">
        <f>'Raw Data'!CP234/100</f>
        <v>30.02</v>
      </c>
      <c r="CQ233" s="83">
        <f>'Raw Data'!CQ234/100</f>
        <v>29.59</v>
      </c>
      <c r="CR233" s="83">
        <f>'Raw Data'!CR234/100</f>
        <v>29.26</v>
      </c>
      <c r="CS233" s="83">
        <f>'Raw Data'!CS234/100</f>
        <v>28.68</v>
      </c>
      <c r="CT233" s="83">
        <f>'Raw Data'!CT234/100</f>
        <v>29.51</v>
      </c>
      <c r="CU233" s="382"/>
    </row>
    <row r="234" spans="4:99" s="86" customFormat="1" x14ac:dyDescent="0.2">
      <c r="D234" s="376"/>
      <c r="E234" s="164"/>
      <c r="F234" s="394"/>
      <c r="G234" s="86">
        <f>'Raw Data'!G235</f>
        <v>44</v>
      </c>
      <c r="H234" s="86">
        <f>'Raw Data'!H235</f>
        <v>35</v>
      </c>
      <c r="I234" s="86">
        <f>'Raw Data'!I235</f>
        <v>38</v>
      </c>
      <c r="J234" s="86">
        <f>'Raw Data'!J235</f>
        <v>44</v>
      </c>
      <c r="K234" s="86">
        <f>'Raw Data'!K235</f>
        <v>38</v>
      </c>
      <c r="L234" s="86">
        <f>'Raw Data'!L235</f>
        <v>35</v>
      </c>
      <c r="M234" s="86">
        <f>'Raw Data'!M235</f>
        <v>49</v>
      </c>
      <c r="N234" s="86">
        <f>'Raw Data'!N235</f>
        <v>35</v>
      </c>
      <c r="O234" s="86">
        <f>'Raw Data'!O235</f>
        <v>45</v>
      </c>
      <c r="P234" s="86">
        <f>'Raw Data'!P235</f>
        <v>39</v>
      </c>
      <c r="Q234" s="86">
        <f>'Raw Data'!Q235</f>
        <v>38</v>
      </c>
      <c r="R234" s="86">
        <f>'Raw Data'!R235</f>
        <v>46</v>
      </c>
      <c r="S234" s="86">
        <f>'Raw Data'!S235</f>
        <v>42</v>
      </c>
      <c r="T234" s="86">
        <f>'Raw Data'!T235</f>
        <v>40</v>
      </c>
      <c r="U234" s="86">
        <f>'Raw Data'!U235</f>
        <v>42</v>
      </c>
      <c r="V234" s="86">
        <f>'Raw Data'!V235</f>
        <v>35</v>
      </c>
      <c r="W234" s="86">
        <f>'Raw Data'!W235</f>
        <v>46</v>
      </c>
      <c r="X234" s="86">
        <f>'Raw Data'!X235</f>
        <v>43</v>
      </c>
      <c r="Y234" s="86">
        <f>'Raw Data'!Y235</f>
        <v>37</v>
      </c>
      <c r="Z234" s="86">
        <f>'Raw Data'!Z235</f>
        <v>41</v>
      </c>
      <c r="AA234" s="83">
        <f>'Raw Data'!AA235/10</f>
        <v>42.5</v>
      </c>
      <c r="AB234" s="83">
        <f>'Raw Data'!AB235/10</f>
        <v>40.5</v>
      </c>
      <c r="AC234" s="83">
        <f>'Raw Data'!AC235/10</f>
        <v>41.6</v>
      </c>
      <c r="AD234" s="83">
        <f>'Raw Data'!AD235/10</f>
        <v>40.799999999999997</v>
      </c>
      <c r="AE234" s="83">
        <f>'Raw Data'!AE235/10</f>
        <v>43.5</v>
      </c>
      <c r="AF234" s="83">
        <f>'Raw Data'!AF235/10</f>
        <v>40.1</v>
      </c>
      <c r="AG234" s="83">
        <f>'Raw Data'!AG235/10</f>
        <v>40.9</v>
      </c>
      <c r="AH234" s="83">
        <f>'Raw Data'!AH235/10</f>
        <v>40</v>
      </c>
      <c r="AI234" s="83">
        <f>'Raw Data'!AI235/10</f>
        <v>38</v>
      </c>
      <c r="AJ234" s="83">
        <f>'Raw Data'!AJ235/10</f>
        <v>37.9</v>
      </c>
      <c r="AK234" s="83">
        <f>'Raw Data'!AK235/10</f>
        <v>37</v>
      </c>
      <c r="AL234" s="83">
        <f>'Raw Data'!AL235/10</f>
        <v>36.200000000000003</v>
      </c>
      <c r="AM234" s="83">
        <f>'Raw Data'!AM235/10</f>
        <v>36.6</v>
      </c>
      <c r="AN234" s="83">
        <f>'Raw Data'!AN235/10</f>
        <v>39.700000000000003</v>
      </c>
      <c r="AO234" s="83">
        <f>'Raw Data'!AO235/10</f>
        <v>39.1</v>
      </c>
      <c r="AP234" s="83">
        <f>'Raw Data'!AP235/10</f>
        <v>36.5</v>
      </c>
      <c r="AQ234" s="83">
        <f>'Raw Data'!AQ235/10</f>
        <v>35.799999999999997</v>
      </c>
      <c r="AR234" s="83">
        <f>'Raw Data'!AR235/10</f>
        <v>34.4</v>
      </c>
      <c r="AS234" s="83">
        <f>'Raw Data'!AS235/10</f>
        <v>33.799999999999997</v>
      </c>
      <c r="AT234" s="83">
        <f>'Raw Data'!AT235/10</f>
        <v>34.9</v>
      </c>
      <c r="AU234" s="83">
        <f>'Raw Data'!AU235/10</f>
        <v>34.9</v>
      </c>
      <c r="AV234" s="83">
        <f>'Raw Data'!AV235/10</f>
        <v>33.200000000000003</v>
      </c>
      <c r="AW234" s="83">
        <f>'Raw Data'!AW235/10</f>
        <v>33.4</v>
      </c>
      <c r="AX234" s="83">
        <f>'Raw Data'!AX235/10</f>
        <v>32.200000000000003</v>
      </c>
      <c r="AY234" s="83">
        <f>'Raw Data'!AY235/10</f>
        <v>34.200000000000003</v>
      </c>
      <c r="AZ234" s="83">
        <f>'Raw Data'!AZ235/10</f>
        <v>34.700000000000003</v>
      </c>
      <c r="BA234" s="83">
        <f>'Raw Data'!BA235/10</f>
        <v>35</v>
      </c>
      <c r="BB234" s="83">
        <f>'Raw Data'!BB235/10</f>
        <v>34.700000000000003</v>
      </c>
      <c r="BC234" s="83">
        <f>'Raw Data'!BC235/10</f>
        <v>34.299999999999997</v>
      </c>
      <c r="BD234" s="83">
        <f>'Raw Data'!BD235/10</f>
        <v>35.200000000000003</v>
      </c>
      <c r="BE234" s="83">
        <f>'Raw Data'!BE235/10</f>
        <v>32.9</v>
      </c>
      <c r="BF234" s="83">
        <f>'Raw Data'!BF235/10</f>
        <v>30.5</v>
      </c>
      <c r="BG234" s="83">
        <f>'Raw Data'!BG235/10</f>
        <v>32.299999999999997</v>
      </c>
      <c r="BH234" s="83">
        <f>'Raw Data'!BH235/10</f>
        <v>32.299999999999997</v>
      </c>
      <c r="BI234" s="83">
        <f>'Raw Data'!BI235/10</f>
        <v>32.799999999999997</v>
      </c>
      <c r="BJ234" s="83">
        <f>'Raw Data'!BJ235/10</f>
        <v>29.6</v>
      </c>
      <c r="BK234" s="83">
        <f>'Raw Data'!BK235/10</f>
        <v>33.799999999999997</v>
      </c>
      <c r="BL234" s="83">
        <f>'Raw Data'!BL235/10</f>
        <v>32.1</v>
      </c>
      <c r="BM234" s="83">
        <f>'Raw Data'!BM235/10</f>
        <v>30</v>
      </c>
      <c r="BN234" s="83">
        <f>'Raw Data'!BN235/10</f>
        <v>32.799999999999997</v>
      </c>
      <c r="BO234" s="83">
        <f>'Raw Data'!BO235/10</f>
        <v>31.7</v>
      </c>
      <c r="BP234" s="83">
        <f>'Raw Data'!BP235/10</f>
        <v>30.4</v>
      </c>
      <c r="BQ234" s="83">
        <f>'Raw Data'!BQ235/10</f>
        <v>32.700000000000003</v>
      </c>
      <c r="BR234" s="83">
        <f>'Raw Data'!BR235/10</f>
        <v>29.8</v>
      </c>
      <c r="BS234" s="83">
        <f>'Raw Data'!BS235/10</f>
        <v>28.3</v>
      </c>
      <c r="BT234" s="83">
        <f>'Raw Data'!BT235/10</f>
        <v>30.4</v>
      </c>
      <c r="BU234" s="83">
        <f>'Raw Data'!BU235/10</f>
        <v>29.4</v>
      </c>
      <c r="BV234" s="83">
        <f>'Raw Data'!BV235/10</f>
        <v>28.4</v>
      </c>
      <c r="BW234" s="83">
        <f>'Raw Data'!BW235/10</f>
        <v>29</v>
      </c>
      <c r="BX234" s="83">
        <f>'Raw Data'!BX235/10</f>
        <v>30.3</v>
      </c>
      <c r="BY234" s="83">
        <f>'Raw Data'!BY235/10</f>
        <v>28.6</v>
      </c>
      <c r="BZ234" s="83">
        <f>'Raw Data'!BZ235/10</f>
        <v>28.5</v>
      </c>
      <c r="CA234" s="83">
        <f>'Raw Data'!CA235/10</f>
        <v>27.2</v>
      </c>
      <c r="CB234" s="83">
        <f>'Raw Data'!CB235/10</f>
        <v>28.3</v>
      </c>
      <c r="CC234" s="83">
        <f>'Raw Data'!CC235/10</f>
        <v>29.6</v>
      </c>
      <c r="CD234" s="83">
        <f>'Raw Data'!CD235/10</f>
        <v>28</v>
      </c>
      <c r="CE234" s="83">
        <f>'Raw Data'!CE235/10</f>
        <v>26.5</v>
      </c>
      <c r="CF234" s="83">
        <f>'Raw Data'!CF235/10</f>
        <v>29.1</v>
      </c>
      <c r="CG234" s="83">
        <f>'Raw Data'!CG235/100</f>
        <v>29.4</v>
      </c>
      <c r="CH234" s="83">
        <f>'Raw Data'!CH235/100</f>
        <v>27.19</v>
      </c>
      <c r="CI234" s="83">
        <f>'Raw Data'!CI235/100</f>
        <v>27.72</v>
      </c>
      <c r="CJ234" s="83">
        <f>'Raw Data'!CJ235/100</f>
        <v>26.69</v>
      </c>
      <c r="CK234" s="83">
        <f>'Raw Data'!CK235/100</f>
        <v>25.73</v>
      </c>
      <c r="CL234" s="83">
        <f>'Raw Data'!CL235/100</f>
        <v>25.73</v>
      </c>
      <c r="CM234" s="83">
        <f>'Raw Data'!CM235/100</f>
        <v>25.76</v>
      </c>
      <c r="CN234" s="83">
        <f>'Raw Data'!CN235/100</f>
        <v>25.09</v>
      </c>
      <c r="CO234" s="83">
        <f>'Raw Data'!CO235/100</f>
        <v>25.13</v>
      </c>
      <c r="CP234" s="83">
        <f>'Raw Data'!CP235/100</f>
        <v>24.85</v>
      </c>
      <c r="CQ234" s="83">
        <f>'Raw Data'!CQ235/100</f>
        <v>24.35</v>
      </c>
      <c r="CR234" s="83">
        <f>'Raw Data'!CR235/100</f>
        <v>24.07</v>
      </c>
      <c r="CS234" s="83">
        <f>'Raw Data'!CS235/100</f>
        <v>23.92</v>
      </c>
      <c r="CT234" s="83">
        <f>'Raw Data'!CT235/100</f>
        <v>23.75</v>
      </c>
      <c r="CU234" s="382"/>
    </row>
    <row r="235" spans="4:99" s="86" customFormat="1" x14ac:dyDescent="0.2">
      <c r="D235" s="376"/>
      <c r="E235" s="164"/>
      <c r="F235" s="394"/>
      <c r="G235" s="86">
        <f>'Raw Data'!G236</f>
        <v>26</v>
      </c>
      <c r="H235" s="86">
        <f>'Raw Data'!H236</f>
        <v>23</v>
      </c>
      <c r="I235" s="86">
        <f>'Raw Data'!I236</f>
        <v>28</v>
      </c>
      <c r="J235" s="86">
        <f>'Raw Data'!J236</f>
        <v>33</v>
      </c>
      <c r="K235" s="86">
        <f>'Raw Data'!K236</f>
        <v>32</v>
      </c>
      <c r="L235" s="86">
        <f>'Raw Data'!L236</f>
        <v>22</v>
      </c>
      <c r="M235" s="86">
        <f>'Raw Data'!M236</f>
        <v>30</v>
      </c>
      <c r="N235" s="86">
        <f>'Raw Data'!N236</f>
        <v>32</v>
      </c>
      <c r="O235" s="86">
        <f>'Raw Data'!O236</f>
        <v>34</v>
      </c>
      <c r="P235" s="86">
        <f>'Raw Data'!P236</f>
        <v>27</v>
      </c>
      <c r="Q235" s="86">
        <f>'Raw Data'!Q236</f>
        <v>29</v>
      </c>
      <c r="R235" s="86">
        <f>'Raw Data'!R236</f>
        <v>32</v>
      </c>
      <c r="S235" s="86">
        <f>'Raw Data'!S236</f>
        <v>32</v>
      </c>
      <c r="T235" s="86">
        <f>'Raw Data'!T236</f>
        <v>30</v>
      </c>
      <c r="U235" s="86">
        <f>'Raw Data'!U236</f>
        <v>31</v>
      </c>
      <c r="V235" s="86">
        <f>'Raw Data'!V236</f>
        <v>28</v>
      </c>
      <c r="W235" s="86">
        <f>'Raw Data'!W236</f>
        <v>27</v>
      </c>
      <c r="X235" s="86">
        <f>'Raw Data'!X236</f>
        <v>30</v>
      </c>
      <c r="Y235" s="86">
        <f>'Raw Data'!Y236</f>
        <v>37</v>
      </c>
      <c r="Z235" s="86">
        <f>'Raw Data'!Z236</f>
        <v>30</v>
      </c>
      <c r="AA235" s="83">
        <f>'Raw Data'!AA236/10</f>
        <v>31.2</v>
      </c>
      <c r="AB235" s="83">
        <f>'Raw Data'!AB236/10</f>
        <v>30.9</v>
      </c>
      <c r="AC235" s="83">
        <f>'Raw Data'!AC236/10</f>
        <v>32</v>
      </c>
      <c r="AD235" s="83">
        <f>'Raw Data'!AD236/10</f>
        <v>32.299999999999997</v>
      </c>
      <c r="AE235" s="83">
        <f>'Raw Data'!AE236/10</f>
        <v>32.9</v>
      </c>
      <c r="AF235" s="83">
        <f>'Raw Data'!AF236/10</f>
        <v>31.5</v>
      </c>
      <c r="AG235" s="83">
        <f>'Raw Data'!AG236/10</f>
        <v>29.5</v>
      </c>
      <c r="AH235" s="83">
        <f>'Raw Data'!AH236/10</f>
        <v>31.3</v>
      </c>
      <c r="AI235" s="83">
        <f>'Raw Data'!AI236/10</f>
        <v>31.2</v>
      </c>
      <c r="AJ235" s="83">
        <f>'Raw Data'!AJ236/10</f>
        <v>31.8</v>
      </c>
      <c r="AK235" s="83">
        <f>'Raw Data'!AK236/10</f>
        <v>31.2</v>
      </c>
      <c r="AL235" s="83">
        <f>'Raw Data'!AL236/10</f>
        <v>33.700000000000003</v>
      </c>
      <c r="AM235" s="83">
        <f>'Raw Data'!AM236/10</f>
        <v>29.1</v>
      </c>
      <c r="AN235" s="83">
        <f>'Raw Data'!AN236/10</f>
        <v>29.2</v>
      </c>
      <c r="AO235" s="83">
        <f>'Raw Data'!AO236/10</f>
        <v>30.4</v>
      </c>
      <c r="AP235" s="83">
        <f>'Raw Data'!AP236/10</f>
        <v>28.1</v>
      </c>
      <c r="AQ235" s="83">
        <f>'Raw Data'!AQ236/10</f>
        <v>30.5</v>
      </c>
      <c r="AR235" s="83">
        <f>'Raw Data'!AR236/10</f>
        <v>28</v>
      </c>
      <c r="AS235" s="83">
        <f>'Raw Data'!AS236/10</f>
        <v>26.8</v>
      </c>
      <c r="AT235" s="83">
        <f>'Raw Data'!AT236/10</f>
        <v>29.6</v>
      </c>
      <c r="AU235" s="83">
        <f>'Raw Data'!AU236/10</f>
        <v>28</v>
      </c>
      <c r="AV235" s="83">
        <f>'Raw Data'!AV236/10</f>
        <v>27</v>
      </c>
      <c r="AW235" s="83">
        <f>'Raw Data'!AW236/10</f>
        <v>29.2</v>
      </c>
      <c r="AX235" s="83">
        <f>'Raw Data'!AX236/10</f>
        <v>28.8</v>
      </c>
      <c r="AY235" s="83">
        <f>'Raw Data'!AY236/10</f>
        <v>27.2</v>
      </c>
      <c r="AZ235" s="83">
        <f>'Raw Data'!AZ236/10</f>
        <v>28.2</v>
      </c>
      <c r="BA235" s="83">
        <f>'Raw Data'!BA236/10</f>
        <v>24.9</v>
      </c>
      <c r="BB235" s="83">
        <f>'Raw Data'!BB236/10</f>
        <v>27.5</v>
      </c>
      <c r="BC235" s="83">
        <f>'Raw Data'!BC236/10</f>
        <v>28.4</v>
      </c>
      <c r="BD235" s="83">
        <f>'Raw Data'!BD236/10</f>
        <v>24.2</v>
      </c>
      <c r="BE235" s="83">
        <f>'Raw Data'!BE236/10</f>
        <v>26.9</v>
      </c>
      <c r="BF235" s="83">
        <f>'Raw Data'!BF236/10</f>
        <v>26.8</v>
      </c>
      <c r="BG235" s="83">
        <f>'Raw Data'!BG236/10</f>
        <v>28.2</v>
      </c>
      <c r="BH235" s="83">
        <f>'Raw Data'!BH236/10</f>
        <v>27.3</v>
      </c>
      <c r="BI235" s="83">
        <f>'Raw Data'!BI236/10</f>
        <v>25.1</v>
      </c>
      <c r="BJ235" s="83">
        <f>'Raw Data'!BJ236/10</f>
        <v>26</v>
      </c>
      <c r="BK235" s="83">
        <f>'Raw Data'!BK236/10</f>
        <v>26.8</v>
      </c>
      <c r="BL235" s="83">
        <f>'Raw Data'!BL236/10</f>
        <v>26.1</v>
      </c>
      <c r="BM235" s="83">
        <f>'Raw Data'!BM236/10</f>
        <v>26.8</v>
      </c>
      <c r="BN235" s="83">
        <f>'Raw Data'!BN236/10</f>
        <v>25.4</v>
      </c>
      <c r="BO235" s="83">
        <f>'Raw Data'!BO236/10</f>
        <v>25.8</v>
      </c>
      <c r="BP235" s="83">
        <f>'Raw Data'!BP236/10</f>
        <v>25.8</v>
      </c>
      <c r="BQ235" s="83">
        <f>'Raw Data'!BQ236/10</f>
        <v>25.5</v>
      </c>
      <c r="BR235" s="83">
        <f>'Raw Data'!BR236/10</f>
        <v>25.4</v>
      </c>
      <c r="BS235" s="83">
        <f>'Raw Data'!BS236/10</f>
        <v>25.3</v>
      </c>
      <c r="BT235" s="83">
        <f>'Raw Data'!BT236/10</f>
        <v>24.6</v>
      </c>
      <c r="BU235" s="83">
        <f>'Raw Data'!BU236/10</f>
        <v>23.9</v>
      </c>
      <c r="BV235" s="83">
        <f>'Raw Data'!BV236/10</f>
        <v>23.4</v>
      </c>
      <c r="BW235" s="83">
        <f>'Raw Data'!BW236/10</f>
        <v>25.3</v>
      </c>
      <c r="BX235" s="83">
        <f>'Raw Data'!BX236/10</f>
        <v>27.5</v>
      </c>
      <c r="BY235" s="83">
        <f>'Raw Data'!BY236/10</f>
        <v>23.1</v>
      </c>
      <c r="BZ235" s="83">
        <f>'Raw Data'!BZ236/10</f>
        <v>24.7</v>
      </c>
      <c r="CA235" s="83">
        <f>'Raw Data'!CA236/10</f>
        <v>23.5</v>
      </c>
      <c r="CB235" s="83">
        <f>'Raw Data'!CB236/10</f>
        <v>24.1</v>
      </c>
      <c r="CC235" s="83">
        <f>'Raw Data'!CC236/10</f>
        <v>23.7</v>
      </c>
      <c r="CD235" s="83">
        <f>'Raw Data'!CD236/10</f>
        <v>23.4</v>
      </c>
      <c r="CE235" s="83">
        <f>'Raw Data'!CE236/10</f>
        <v>25.4</v>
      </c>
      <c r="CF235" s="83">
        <f>'Raw Data'!CF236/10</f>
        <v>24.7</v>
      </c>
      <c r="CG235" s="83">
        <f>'Raw Data'!CG236/100</f>
        <v>23.72</v>
      </c>
      <c r="CH235" s="83">
        <f>'Raw Data'!CH236/100</f>
        <v>23.51</v>
      </c>
      <c r="CI235" s="83">
        <f>'Raw Data'!CI236/100</f>
        <v>23.45</v>
      </c>
      <c r="CJ235" s="83">
        <f>'Raw Data'!CJ236/100</f>
        <v>22.63</v>
      </c>
      <c r="CK235" s="83">
        <f>'Raw Data'!CK236/100</f>
        <v>22.01</v>
      </c>
      <c r="CL235" s="83">
        <f>'Raw Data'!CL236/100</f>
        <v>22.01</v>
      </c>
      <c r="CM235" s="83">
        <f>'Raw Data'!CM236/100</f>
        <v>21.5</v>
      </c>
      <c r="CN235" s="83">
        <f>'Raw Data'!CN236/100</f>
        <v>21.7</v>
      </c>
      <c r="CO235" s="83">
        <f>'Raw Data'!CO236/100</f>
        <v>20.93</v>
      </c>
      <c r="CP235" s="83">
        <f>'Raw Data'!CP236/100</f>
        <v>21.09</v>
      </c>
      <c r="CQ235" s="83">
        <f>'Raw Data'!CQ236/100</f>
        <v>20.83</v>
      </c>
      <c r="CR235" s="83">
        <f>'Raw Data'!CR236/100</f>
        <v>20.72</v>
      </c>
      <c r="CS235" s="83">
        <f>'Raw Data'!CS236/100</f>
        <v>20.82</v>
      </c>
      <c r="CT235" s="83">
        <f>'Raw Data'!CT236/100</f>
        <v>21.03</v>
      </c>
      <c r="CU235" s="382"/>
    </row>
    <row r="236" spans="4:99" s="86" customFormat="1" x14ac:dyDescent="0.2">
      <c r="D236" s="376"/>
      <c r="E236" s="164"/>
      <c r="F236" s="394"/>
      <c r="G236" s="86">
        <f>'Raw Data'!G237</f>
        <v>27</v>
      </c>
      <c r="H236" s="86">
        <f>'Raw Data'!H237</f>
        <v>35</v>
      </c>
      <c r="I236" s="86">
        <f>'Raw Data'!I237</f>
        <v>24</v>
      </c>
      <c r="J236" s="86">
        <f>'Raw Data'!J237</f>
        <v>28</v>
      </c>
      <c r="K236" s="86">
        <f>'Raw Data'!K237</f>
        <v>28</v>
      </c>
      <c r="L236" s="86">
        <f>'Raw Data'!L237</f>
        <v>28</v>
      </c>
      <c r="M236" s="86">
        <f>'Raw Data'!M237</f>
        <v>32</v>
      </c>
      <c r="N236" s="86">
        <f>'Raw Data'!N237</f>
        <v>21</v>
      </c>
      <c r="O236" s="86">
        <f>'Raw Data'!O237</f>
        <v>29</v>
      </c>
      <c r="P236" s="86">
        <f>'Raw Data'!P237</f>
        <v>24</v>
      </c>
      <c r="Q236" s="86">
        <f>'Raw Data'!Q237</f>
        <v>31</v>
      </c>
      <c r="R236" s="86">
        <f>'Raw Data'!R237</f>
        <v>23</v>
      </c>
      <c r="S236" s="86">
        <f>'Raw Data'!S237</f>
        <v>29</v>
      </c>
      <c r="T236" s="86">
        <f>'Raw Data'!T237</f>
        <v>44</v>
      </c>
      <c r="U236" s="86">
        <f>'Raw Data'!U237</f>
        <v>34</v>
      </c>
      <c r="V236" s="86">
        <f>'Raw Data'!V237</f>
        <v>28</v>
      </c>
      <c r="W236" s="86">
        <f>'Raw Data'!W237</f>
        <v>29</v>
      </c>
      <c r="X236" s="86">
        <f>'Raw Data'!X237</f>
        <v>32</v>
      </c>
      <c r="Y236" s="86">
        <f>'Raw Data'!Y237</f>
        <v>25</v>
      </c>
      <c r="Z236" s="86">
        <f>'Raw Data'!Z237</f>
        <v>27</v>
      </c>
      <c r="AA236" s="83">
        <f>'Raw Data'!AA237/10</f>
        <v>31.1</v>
      </c>
      <c r="AB236" s="83">
        <f>'Raw Data'!AB237/10</f>
        <v>30</v>
      </c>
      <c r="AC236" s="83">
        <f>'Raw Data'!AC237/10</f>
        <v>30.2</v>
      </c>
      <c r="AD236" s="83">
        <f>'Raw Data'!AD237/10</f>
        <v>27.9</v>
      </c>
      <c r="AE236" s="83">
        <f>'Raw Data'!AE237/10</f>
        <v>29.2</v>
      </c>
      <c r="AF236" s="83">
        <f>'Raw Data'!AF237/10</f>
        <v>29</v>
      </c>
      <c r="AG236" s="83">
        <f>'Raw Data'!AG237/10</f>
        <v>27.2</v>
      </c>
      <c r="AH236" s="83">
        <f>'Raw Data'!AH237/10</f>
        <v>29.2</v>
      </c>
      <c r="AI236" s="83">
        <f>'Raw Data'!AI237/10</f>
        <v>28.6</v>
      </c>
      <c r="AJ236" s="83">
        <f>'Raw Data'!AJ237/10</f>
        <v>27.3</v>
      </c>
      <c r="AK236" s="83">
        <f>'Raw Data'!AK237/10</f>
        <v>27.6</v>
      </c>
      <c r="AL236" s="83">
        <f>'Raw Data'!AL237/10</f>
        <v>27.8</v>
      </c>
      <c r="AM236" s="83">
        <f>'Raw Data'!AM237/10</f>
        <v>25</v>
      </c>
      <c r="AN236" s="83">
        <f>'Raw Data'!AN237/10</f>
        <v>26.8</v>
      </c>
      <c r="AO236" s="83">
        <f>'Raw Data'!AO237/10</f>
        <v>24.5</v>
      </c>
      <c r="AP236" s="83">
        <f>'Raw Data'!AP237/10</f>
        <v>26.5</v>
      </c>
      <c r="AQ236" s="83">
        <f>'Raw Data'!AQ237/10</f>
        <v>26.2</v>
      </c>
      <c r="AR236" s="83">
        <f>'Raw Data'!AR237/10</f>
        <v>23.4</v>
      </c>
      <c r="AS236" s="83">
        <f>'Raw Data'!AS237/10</f>
        <v>25.2</v>
      </c>
      <c r="AT236" s="83">
        <f>'Raw Data'!AT237/10</f>
        <v>25.8</v>
      </c>
      <c r="AU236" s="83">
        <f>'Raw Data'!AU237/10</f>
        <v>24.5</v>
      </c>
      <c r="AV236" s="83">
        <f>'Raw Data'!AV237/10</f>
        <v>25.7</v>
      </c>
      <c r="AW236" s="83">
        <f>'Raw Data'!AW237/10</f>
        <v>26.3</v>
      </c>
      <c r="AX236" s="83">
        <f>'Raw Data'!AX237/10</f>
        <v>23.9</v>
      </c>
      <c r="AY236" s="83">
        <f>'Raw Data'!AY237/10</f>
        <v>24.2</v>
      </c>
      <c r="AZ236" s="83">
        <f>'Raw Data'!AZ237/10</f>
        <v>24.8</v>
      </c>
      <c r="BA236" s="83">
        <f>'Raw Data'!BA237/10</f>
        <v>24</v>
      </c>
      <c r="BB236" s="83">
        <f>'Raw Data'!BB237/10</f>
        <v>23.9</v>
      </c>
      <c r="BC236" s="83">
        <f>'Raw Data'!BC237/10</f>
        <v>21.5</v>
      </c>
      <c r="BD236" s="83">
        <f>'Raw Data'!BD237/10</f>
        <v>23.1</v>
      </c>
      <c r="BE236" s="83">
        <f>'Raw Data'!BE237/10</f>
        <v>24.2</v>
      </c>
      <c r="BF236" s="83">
        <f>'Raw Data'!BF237/10</f>
        <v>24.2</v>
      </c>
      <c r="BG236" s="83">
        <f>'Raw Data'!BG237/10</f>
        <v>21.5</v>
      </c>
      <c r="BH236" s="83">
        <f>'Raw Data'!BH237/10</f>
        <v>22.7</v>
      </c>
      <c r="BI236" s="83">
        <f>'Raw Data'!BI237/10</f>
        <v>21.9</v>
      </c>
      <c r="BJ236" s="83">
        <f>'Raw Data'!BJ237/10</f>
        <v>22.6</v>
      </c>
      <c r="BK236" s="83">
        <f>'Raw Data'!BK237/10</f>
        <v>24</v>
      </c>
      <c r="BL236" s="83">
        <f>'Raw Data'!BL237/10</f>
        <v>22.5</v>
      </c>
      <c r="BM236" s="83">
        <f>'Raw Data'!BM237/10</f>
        <v>21.5</v>
      </c>
      <c r="BN236" s="83">
        <f>'Raw Data'!BN237/10</f>
        <v>22.5</v>
      </c>
      <c r="BO236" s="83">
        <f>'Raw Data'!BO237/10</f>
        <v>21.8</v>
      </c>
      <c r="BP236" s="83">
        <f>'Raw Data'!BP237/10</f>
        <v>20.8</v>
      </c>
      <c r="BQ236" s="83">
        <f>'Raw Data'!BQ237/10</f>
        <v>21.8</v>
      </c>
      <c r="BR236" s="83">
        <f>'Raw Data'!BR237/10</f>
        <v>21.5</v>
      </c>
      <c r="BS236" s="83">
        <f>'Raw Data'!BS237/10</f>
        <v>22.1</v>
      </c>
      <c r="BT236" s="83">
        <f>'Raw Data'!BT237/10</f>
        <v>22</v>
      </c>
      <c r="BU236" s="83">
        <f>'Raw Data'!BU237/10</f>
        <v>21.2</v>
      </c>
      <c r="BV236" s="83">
        <f>'Raw Data'!BV237/10</f>
        <v>20.3</v>
      </c>
      <c r="BW236" s="83">
        <f>'Raw Data'!BW237/10</f>
        <v>22.7</v>
      </c>
      <c r="BX236" s="83">
        <f>'Raw Data'!BX237/10</f>
        <v>21.7</v>
      </c>
      <c r="BY236" s="83">
        <f>'Raw Data'!BY237/10</f>
        <v>21.1</v>
      </c>
      <c r="BZ236" s="83">
        <f>'Raw Data'!BZ237/10</f>
        <v>21.2</v>
      </c>
      <c r="CA236" s="83">
        <f>'Raw Data'!CA237/10</f>
        <v>21.8</v>
      </c>
      <c r="CB236" s="83">
        <f>'Raw Data'!CB237/10</f>
        <v>21.6</v>
      </c>
      <c r="CC236" s="83">
        <f>'Raw Data'!CC237/10</f>
        <v>19.600000000000001</v>
      </c>
      <c r="CD236" s="83">
        <f>'Raw Data'!CD237/10</f>
        <v>20.8</v>
      </c>
      <c r="CE236" s="83">
        <f>'Raw Data'!CE237/10</f>
        <v>23.3</v>
      </c>
      <c r="CF236" s="83">
        <f>'Raw Data'!CF237/10</f>
        <v>19.399999999999999</v>
      </c>
      <c r="CG236" s="83">
        <f>'Raw Data'!CG237/100</f>
        <v>20.6</v>
      </c>
      <c r="CH236" s="83">
        <f>'Raw Data'!CH237/100</f>
        <v>19.71</v>
      </c>
      <c r="CI236" s="83">
        <f>'Raw Data'!CI237/100</f>
        <v>19.89</v>
      </c>
      <c r="CJ236" s="83">
        <f>'Raw Data'!CJ237/100</f>
        <v>19.05</v>
      </c>
      <c r="CK236" s="83">
        <f>'Raw Data'!CK237/100</f>
        <v>18.899999999999999</v>
      </c>
      <c r="CL236" s="83">
        <f>'Raw Data'!CL237/100</f>
        <v>18.7</v>
      </c>
      <c r="CM236" s="83">
        <f>'Raw Data'!CM237/100</f>
        <v>18.5</v>
      </c>
      <c r="CN236" s="83">
        <f>'Raw Data'!CN237/100</f>
        <v>18.37</v>
      </c>
      <c r="CO236" s="83">
        <f>'Raw Data'!CO237/100</f>
        <v>18.309999999999999</v>
      </c>
      <c r="CP236" s="83">
        <f>'Raw Data'!CP237/100</f>
        <v>17.920000000000002</v>
      </c>
      <c r="CQ236" s="83">
        <f>'Raw Data'!CQ237/100</f>
        <v>17.97</v>
      </c>
      <c r="CR236" s="83">
        <f>'Raw Data'!CR237/100</f>
        <v>17.79</v>
      </c>
      <c r="CS236" s="83">
        <f>'Raw Data'!CS237/100</f>
        <v>18.18</v>
      </c>
      <c r="CT236" s="83">
        <f>'Raw Data'!CT237/100</f>
        <v>18.03</v>
      </c>
      <c r="CU236" s="382"/>
    </row>
    <row r="237" spans="4:99" s="86" customFormat="1" x14ac:dyDescent="0.2">
      <c r="D237" s="376"/>
      <c r="E237" s="164"/>
      <c r="F237" s="394"/>
      <c r="G237" s="86">
        <f>'Raw Data'!G238</f>
        <v>34</v>
      </c>
      <c r="H237" s="86">
        <f>'Raw Data'!H238</f>
        <v>22</v>
      </c>
      <c r="I237" s="86">
        <f>'Raw Data'!I238</f>
        <v>27</v>
      </c>
      <c r="J237" s="86">
        <f>'Raw Data'!J238</f>
        <v>32</v>
      </c>
      <c r="K237" s="86">
        <f>'Raw Data'!K238</f>
        <v>19</v>
      </c>
      <c r="L237" s="86">
        <f>'Raw Data'!L238</f>
        <v>25</v>
      </c>
      <c r="M237" s="86">
        <f>'Raw Data'!M238</f>
        <v>25</v>
      </c>
      <c r="N237" s="86">
        <f>'Raw Data'!N238</f>
        <v>31</v>
      </c>
      <c r="O237" s="86">
        <f>'Raw Data'!O238</f>
        <v>26</v>
      </c>
      <c r="P237" s="86">
        <f>'Raw Data'!P238</f>
        <v>25</v>
      </c>
      <c r="Q237" s="86">
        <f>'Raw Data'!Q238</f>
        <v>29</v>
      </c>
      <c r="R237" s="86">
        <f>'Raw Data'!R238</f>
        <v>24</v>
      </c>
      <c r="S237" s="86">
        <f>'Raw Data'!S238</f>
        <v>20</v>
      </c>
      <c r="T237" s="86">
        <f>'Raw Data'!T238</f>
        <v>29</v>
      </c>
      <c r="U237" s="86">
        <f>'Raw Data'!U238</f>
        <v>28</v>
      </c>
      <c r="V237" s="86">
        <f>'Raw Data'!V238</f>
        <v>30</v>
      </c>
      <c r="W237" s="86">
        <f>'Raw Data'!W238</f>
        <v>26</v>
      </c>
      <c r="X237" s="86">
        <f>'Raw Data'!X238</f>
        <v>24</v>
      </c>
      <c r="Y237" s="86">
        <f>'Raw Data'!Y238</f>
        <v>29</v>
      </c>
      <c r="Z237" s="86">
        <f>'Raw Data'!Z238</f>
        <v>32</v>
      </c>
      <c r="AA237" s="83">
        <f>'Raw Data'!AA238/10</f>
        <v>28.1</v>
      </c>
      <c r="AB237" s="83">
        <f>'Raw Data'!AB238/10</f>
        <v>27.3</v>
      </c>
      <c r="AC237" s="83">
        <f>'Raw Data'!AC238/10</f>
        <v>28.6</v>
      </c>
      <c r="AD237" s="83">
        <f>'Raw Data'!AD238/10</f>
        <v>28.1</v>
      </c>
      <c r="AE237" s="83">
        <f>'Raw Data'!AE238/10</f>
        <v>25.8</v>
      </c>
      <c r="AF237" s="83">
        <f>'Raw Data'!AF238/10</f>
        <v>51.1</v>
      </c>
      <c r="AG237" s="83">
        <f>'Raw Data'!AG238/10</f>
        <v>25</v>
      </c>
      <c r="AH237" s="83">
        <f>'Raw Data'!AH238/10</f>
        <v>26.5</v>
      </c>
      <c r="AI237" s="83">
        <f>'Raw Data'!AI238/10</f>
        <v>25</v>
      </c>
      <c r="AJ237" s="83">
        <f>'Raw Data'!AJ238/10</f>
        <v>25.9</v>
      </c>
      <c r="AK237" s="83">
        <f>'Raw Data'!AK238/10</f>
        <v>25.9</v>
      </c>
      <c r="AL237" s="83">
        <f>'Raw Data'!AL238/10</f>
        <v>23.9</v>
      </c>
      <c r="AM237" s="83">
        <f>'Raw Data'!AM238/10</f>
        <v>22.7</v>
      </c>
      <c r="AN237" s="83">
        <f>'Raw Data'!AN238/10</f>
        <v>22.1</v>
      </c>
      <c r="AO237" s="83">
        <f>'Raw Data'!AO238/10</f>
        <v>22</v>
      </c>
      <c r="AP237" s="83">
        <f>'Raw Data'!AP238/10</f>
        <v>23.2</v>
      </c>
      <c r="AQ237" s="83">
        <f>'Raw Data'!AQ238/10</f>
        <v>21.9</v>
      </c>
      <c r="AR237" s="83">
        <f>'Raw Data'!AR238/10</f>
        <v>22</v>
      </c>
      <c r="AS237" s="83">
        <f>'Raw Data'!AS238/10</f>
        <v>23.6</v>
      </c>
      <c r="AT237" s="83">
        <f>'Raw Data'!AT238/10</f>
        <v>21.3</v>
      </c>
      <c r="AU237" s="83">
        <f>'Raw Data'!AU238/10</f>
        <v>22.3</v>
      </c>
      <c r="AV237" s="83">
        <f>'Raw Data'!AV238/10</f>
        <v>22.2</v>
      </c>
      <c r="AW237" s="83">
        <f>'Raw Data'!AW238/10</f>
        <v>21.2</v>
      </c>
      <c r="AX237" s="83">
        <f>'Raw Data'!AX238/10</f>
        <v>19.899999999999999</v>
      </c>
      <c r="AY237" s="83">
        <f>'Raw Data'!AY238/10</f>
        <v>22.7</v>
      </c>
      <c r="AZ237" s="83">
        <f>'Raw Data'!AZ238/10</f>
        <v>21.9</v>
      </c>
      <c r="BA237" s="83">
        <f>'Raw Data'!BA238/10</f>
        <v>20.6</v>
      </c>
      <c r="BB237" s="83">
        <f>'Raw Data'!BB238/10</f>
        <v>22</v>
      </c>
      <c r="BC237" s="83">
        <f>'Raw Data'!BC238/10</f>
        <v>21.2</v>
      </c>
      <c r="BD237" s="83">
        <f>'Raw Data'!BD238/10</f>
        <v>20</v>
      </c>
      <c r="BE237" s="83">
        <f>'Raw Data'!BE238/10</f>
        <v>21.5</v>
      </c>
      <c r="BF237" s="83">
        <f>'Raw Data'!BF238/10</f>
        <v>21.8</v>
      </c>
      <c r="BG237" s="83">
        <f>'Raw Data'!BG238/10</f>
        <v>20</v>
      </c>
      <c r="BH237" s="83">
        <f>'Raw Data'!BH238/10</f>
        <v>20.3</v>
      </c>
      <c r="BI237" s="83">
        <f>'Raw Data'!BI238/10</f>
        <v>21.5</v>
      </c>
      <c r="BJ237" s="83">
        <f>'Raw Data'!BJ238/10</f>
        <v>19.7</v>
      </c>
      <c r="BK237" s="83">
        <f>'Raw Data'!BK238/10</f>
        <v>21.5</v>
      </c>
      <c r="BL237" s="83">
        <f>'Raw Data'!BL238/10</f>
        <v>18.7</v>
      </c>
      <c r="BM237" s="83">
        <f>'Raw Data'!BM238/10</f>
        <v>18.8</v>
      </c>
      <c r="BN237" s="83">
        <f>'Raw Data'!BN238/10</f>
        <v>20.8</v>
      </c>
      <c r="BO237" s="83">
        <f>'Raw Data'!BO238/10</f>
        <v>19.399999999999999</v>
      </c>
      <c r="BP237" s="83">
        <f>'Raw Data'!BP238/10</f>
        <v>20.100000000000001</v>
      </c>
      <c r="BQ237" s="83">
        <f>'Raw Data'!BQ238/10</f>
        <v>21</v>
      </c>
      <c r="BR237" s="83">
        <f>'Raw Data'!BR238/10</f>
        <v>21.1</v>
      </c>
      <c r="BS237" s="83">
        <f>'Raw Data'!BS238/10</f>
        <v>19.5</v>
      </c>
      <c r="BT237" s="83">
        <f>'Raw Data'!BT238/10</f>
        <v>20.100000000000001</v>
      </c>
      <c r="BU237" s="83">
        <f>'Raw Data'!BU238/10</f>
        <v>19.5</v>
      </c>
      <c r="BV237" s="83">
        <f>'Raw Data'!BV238/10</f>
        <v>21.3</v>
      </c>
      <c r="BW237" s="83">
        <f>'Raw Data'!BW238/10</f>
        <v>18.7</v>
      </c>
      <c r="BX237" s="83">
        <f>'Raw Data'!BX238/10</f>
        <v>20.2</v>
      </c>
      <c r="BY237" s="83">
        <f>'Raw Data'!BY238/10</f>
        <v>19.100000000000001</v>
      </c>
      <c r="BZ237" s="83">
        <f>'Raw Data'!BZ238/10</f>
        <v>18.399999999999999</v>
      </c>
      <c r="CA237" s="83">
        <f>'Raw Data'!CA238/10</f>
        <v>18.600000000000001</v>
      </c>
      <c r="CB237" s="83">
        <f>'Raw Data'!CB238/10</f>
        <v>20.399999999999999</v>
      </c>
      <c r="CC237" s="83">
        <f>'Raw Data'!CC238/10</f>
        <v>21.2</v>
      </c>
      <c r="CD237" s="83">
        <f>'Raw Data'!CD238/10</f>
        <v>18.600000000000001</v>
      </c>
      <c r="CE237" s="83">
        <f>'Raw Data'!CE238/10</f>
        <v>19.7</v>
      </c>
      <c r="CF237" s="83">
        <f>'Raw Data'!CF238/10</f>
        <v>20.7</v>
      </c>
      <c r="CG237" s="83">
        <f>'Raw Data'!CG238/100</f>
        <v>18.8</v>
      </c>
      <c r="CH237" s="83">
        <f>'Raw Data'!CH238/100</f>
        <v>19.059999999999999</v>
      </c>
      <c r="CI237" s="83">
        <f>'Raw Data'!CI238/100</f>
        <v>18.489999999999998</v>
      </c>
      <c r="CJ237" s="83">
        <f>'Raw Data'!CJ238/100</f>
        <v>17.98</v>
      </c>
      <c r="CK237" s="83">
        <f>'Raw Data'!CK238/100</f>
        <v>17.37</v>
      </c>
      <c r="CL237" s="83">
        <f>'Raw Data'!CL238/100</f>
        <v>17.61</v>
      </c>
      <c r="CM237" s="83">
        <f>'Raw Data'!CM238/100</f>
        <v>17.39</v>
      </c>
      <c r="CN237" s="83">
        <f>'Raw Data'!CN238/100</f>
        <v>17.510000000000002</v>
      </c>
      <c r="CO237" s="83">
        <f>'Raw Data'!CO238/100</f>
        <v>18.11</v>
      </c>
      <c r="CP237" s="83">
        <f>'Raw Data'!CP238/100</f>
        <v>17.54</v>
      </c>
      <c r="CQ237" s="83">
        <f>'Raw Data'!CQ238/100</f>
        <v>16.97</v>
      </c>
      <c r="CR237" s="83">
        <f>'Raw Data'!CR238/100</f>
        <v>16.88</v>
      </c>
      <c r="CS237" s="83">
        <f>'Raw Data'!CS238/100</f>
        <v>16.95</v>
      </c>
      <c r="CT237" s="83">
        <f>'Raw Data'!CT238/100</f>
        <v>16.489999999999998</v>
      </c>
      <c r="CU237" s="382"/>
    </row>
    <row r="238" spans="4:99" s="86" customFormat="1" x14ac:dyDescent="0.2">
      <c r="D238" s="376"/>
      <c r="E238" s="164"/>
      <c r="F238" s="394"/>
      <c r="G238" s="86">
        <f>'Raw Data'!G239</f>
        <v>28</v>
      </c>
      <c r="H238" s="86">
        <f>'Raw Data'!H239</f>
        <v>27</v>
      </c>
      <c r="I238" s="86">
        <f>'Raw Data'!I239</f>
        <v>26</v>
      </c>
      <c r="J238" s="86">
        <f>'Raw Data'!J239</f>
        <v>36</v>
      </c>
      <c r="K238" s="86">
        <f>'Raw Data'!K239</f>
        <v>30</v>
      </c>
      <c r="L238" s="86">
        <f>'Raw Data'!L239</f>
        <v>28</v>
      </c>
      <c r="M238" s="86">
        <f>'Raw Data'!M239</f>
        <v>40</v>
      </c>
      <c r="N238" s="86">
        <f>'Raw Data'!N239</f>
        <v>32</v>
      </c>
      <c r="O238" s="86">
        <f>'Raw Data'!O239</f>
        <v>29</v>
      </c>
      <c r="P238" s="86">
        <f>'Raw Data'!P239</f>
        <v>32</v>
      </c>
      <c r="Q238" s="86">
        <f>'Raw Data'!Q239</f>
        <v>33</v>
      </c>
      <c r="R238" s="86">
        <f>'Raw Data'!R239</f>
        <v>28</v>
      </c>
      <c r="S238" s="86">
        <f>'Raw Data'!S239</f>
        <v>30</v>
      </c>
      <c r="T238" s="86">
        <f>'Raw Data'!T239</f>
        <v>28</v>
      </c>
      <c r="U238" s="86">
        <f>'Raw Data'!U239</f>
        <v>30</v>
      </c>
      <c r="V238" s="86">
        <f>'Raw Data'!V239</f>
        <v>27</v>
      </c>
      <c r="W238" s="86">
        <f>'Raw Data'!W239</f>
        <v>27</v>
      </c>
      <c r="X238" s="86">
        <f>'Raw Data'!X239</f>
        <v>33</v>
      </c>
      <c r="Y238" s="86">
        <f>'Raw Data'!Y239</f>
        <v>29</v>
      </c>
      <c r="Z238" s="86">
        <f>'Raw Data'!Z239</f>
        <v>29</v>
      </c>
      <c r="AA238" s="83">
        <f>'Raw Data'!AA239/10</f>
        <v>28.9</v>
      </c>
      <c r="AB238" s="83">
        <f>'Raw Data'!AB239/10</f>
        <v>35.1</v>
      </c>
      <c r="AC238" s="83">
        <f>'Raw Data'!AC239/10</f>
        <v>32.799999999999997</v>
      </c>
      <c r="AD238" s="83">
        <f>'Raw Data'!AD239/10</f>
        <v>32.1</v>
      </c>
      <c r="AE238" s="83">
        <f>'Raw Data'!AE239/10</f>
        <v>29.3</v>
      </c>
      <c r="AF238" s="83">
        <f>'Raw Data'!AF239/10</f>
        <v>30.4</v>
      </c>
      <c r="AG238" s="83">
        <f>'Raw Data'!AG239/10</f>
        <v>30.4</v>
      </c>
      <c r="AH238" s="83">
        <f>'Raw Data'!AH239/10</f>
        <v>30.3</v>
      </c>
      <c r="AI238" s="83">
        <f>'Raw Data'!AI239/10</f>
        <v>29.9</v>
      </c>
      <c r="AJ238" s="83">
        <f>'Raw Data'!AJ239/10</f>
        <v>30.1</v>
      </c>
      <c r="AK238" s="83">
        <f>'Raw Data'!AK239/10</f>
        <v>28.3</v>
      </c>
      <c r="AL238" s="83">
        <f>'Raw Data'!AL239/10</f>
        <v>27.8</v>
      </c>
      <c r="AM238" s="83">
        <f>'Raw Data'!AM239/10</f>
        <v>26.1</v>
      </c>
      <c r="AN238" s="83">
        <f>'Raw Data'!AN239/10</f>
        <v>28.2</v>
      </c>
      <c r="AO238" s="83">
        <f>'Raw Data'!AO239/10</f>
        <v>26.5</v>
      </c>
      <c r="AP238" s="83">
        <f>'Raw Data'!AP239/10</f>
        <v>25</v>
      </c>
      <c r="AQ238" s="83">
        <f>'Raw Data'!AQ239/10</f>
        <v>29.2</v>
      </c>
      <c r="AR238" s="83">
        <f>'Raw Data'!AR239/10</f>
        <v>24.7</v>
      </c>
      <c r="AS238" s="83">
        <f>'Raw Data'!AS239/10</f>
        <v>26.3</v>
      </c>
      <c r="AT238" s="83">
        <f>'Raw Data'!AT239/10</f>
        <v>25.4</v>
      </c>
      <c r="AU238" s="83">
        <f>'Raw Data'!AU239/10</f>
        <v>27.5</v>
      </c>
      <c r="AV238" s="83">
        <f>'Raw Data'!AV239/10</f>
        <v>23.8</v>
      </c>
      <c r="AW238" s="83">
        <f>'Raw Data'!AW239/10</f>
        <v>25.3</v>
      </c>
      <c r="AX238" s="83">
        <f>'Raw Data'!AX239/10</f>
        <v>25.9</v>
      </c>
      <c r="AY238" s="83">
        <f>'Raw Data'!AY239/10</f>
        <v>25.5</v>
      </c>
      <c r="AZ238" s="83">
        <f>'Raw Data'!AZ239/10</f>
        <v>23.6</v>
      </c>
      <c r="BA238" s="83">
        <f>'Raw Data'!BA239/10</f>
        <v>24.1</v>
      </c>
      <c r="BB238" s="83">
        <f>'Raw Data'!BB239/10</f>
        <v>24.2</v>
      </c>
      <c r="BC238" s="83">
        <f>'Raw Data'!BC239/10</f>
        <v>24.2</v>
      </c>
      <c r="BD238" s="83">
        <f>'Raw Data'!BD239/10</f>
        <v>23.9</v>
      </c>
      <c r="BE238" s="83">
        <f>'Raw Data'!BE239/10</f>
        <v>24.8</v>
      </c>
      <c r="BF238" s="83">
        <f>'Raw Data'!BF239/10</f>
        <v>25.4</v>
      </c>
      <c r="BG238" s="83">
        <f>'Raw Data'!BG239/10</f>
        <v>22.1</v>
      </c>
      <c r="BH238" s="83">
        <f>'Raw Data'!BH239/10</f>
        <v>23.5</v>
      </c>
      <c r="BI238" s="83">
        <f>'Raw Data'!BI239/10</f>
        <v>23.8</v>
      </c>
      <c r="BJ238" s="83">
        <f>'Raw Data'!BJ239/10</f>
        <v>21.2</v>
      </c>
      <c r="BK238" s="83">
        <f>'Raw Data'!BK239/10</f>
        <v>22.6</v>
      </c>
      <c r="BL238" s="83">
        <f>'Raw Data'!BL239/10</f>
        <v>22.8</v>
      </c>
      <c r="BM238" s="83">
        <f>'Raw Data'!BM239/10</f>
        <v>25.1</v>
      </c>
      <c r="BN238" s="83">
        <f>'Raw Data'!BN239/10</f>
        <v>21.7</v>
      </c>
      <c r="BO238" s="83">
        <f>'Raw Data'!BO239/10</f>
        <v>20.5</v>
      </c>
      <c r="BP238" s="83">
        <f>'Raw Data'!BP239/10</f>
        <v>23.1</v>
      </c>
      <c r="BQ238" s="83">
        <f>'Raw Data'!BQ239/10</f>
        <v>22.4</v>
      </c>
      <c r="BR238" s="83">
        <f>'Raw Data'!BR239/10</f>
        <v>21.1</v>
      </c>
      <c r="BS238" s="83">
        <f>'Raw Data'!BS239/10</f>
        <v>22.1</v>
      </c>
      <c r="BT238" s="83">
        <f>'Raw Data'!BT239/10</f>
        <v>20.3</v>
      </c>
      <c r="BU238" s="83">
        <f>'Raw Data'!BU239/10</f>
        <v>20</v>
      </c>
      <c r="BV238" s="83">
        <f>'Raw Data'!BV239/10</f>
        <v>19.7</v>
      </c>
      <c r="BW238" s="83">
        <f>'Raw Data'!BW239/10</f>
        <v>21.5</v>
      </c>
      <c r="BX238" s="83">
        <f>'Raw Data'!BX239/10</f>
        <v>19.7</v>
      </c>
      <c r="BY238" s="83">
        <f>'Raw Data'!BY239/10</f>
        <v>22</v>
      </c>
      <c r="BZ238" s="83">
        <f>'Raw Data'!BZ239/10</f>
        <v>21.4</v>
      </c>
      <c r="CA238" s="83">
        <f>'Raw Data'!CA239/10</f>
        <v>20.9</v>
      </c>
      <c r="CB238" s="83">
        <f>'Raw Data'!CB239/10</f>
        <v>19.899999999999999</v>
      </c>
      <c r="CC238" s="83">
        <f>'Raw Data'!CC239/10</f>
        <v>20.3</v>
      </c>
      <c r="CD238" s="83">
        <f>'Raw Data'!CD239/10</f>
        <v>21.7</v>
      </c>
      <c r="CE238" s="83">
        <f>'Raw Data'!CE239/10</f>
        <v>20.100000000000001</v>
      </c>
      <c r="CF238" s="83">
        <f>'Raw Data'!CF239/10</f>
        <v>20.9</v>
      </c>
      <c r="CG238" s="83">
        <f>'Raw Data'!CG239/100</f>
        <v>19.829999999999998</v>
      </c>
      <c r="CH238" s="83">
        <f>'Raw Data'!CH239/100</f>
        <v>20.149999999999999</v>
      </c>
      <c r="CI238" s="83">
        <f>'Raw Data'!CI239/100</f>
        <v>19.25</v>
      </c>
      <c r="CJ238" s="83">
        <f>'Raw Data'!CJ239/100</f>
        <v>19.09</v>
      </c>
      <c r="CK238" s="83">
        <f>'Raw Data'!CK239/100</f>
        <v>18.37</v>
      </c>
      <c r="CL238" s="83">
        <f>'Raw Data'!CL239/100</f>
        <v>18.23</v>
      </c>
      <c r="CM238" s="83">
        <f>'Raw Data'!CM239/100</f>
        <v>17.59</v>
      </c>
      <c r="CN238" s="83">
        <f>'Raw Data'!CN239/100</f>
        <v>16.82</v>
      </c>
      <c r="CO238" s="83">
        <f>'Raw Data'!CO239/100</f>
        <v>17.11</v>
      </c>
      <c r="CP238" s="83">
        <f>'Raw Data'!CP239/100</f>
        <v>17.39</v>
      </c>
      <c r="CQ238" s="83">
        <f>'Raw Data'!CQ239/100</f>
        <v>16.7</v>
      </c>
      <c r="CR238" s="83">
        <f>'Raw Data'!CR239/100</f>
        <v>16.32</v>
      </c>
      <c r="CS238" s="83">
        <f>'Raw Data'!CS239/100</f>
        <v>16.66</v>
      </c>
      <c r="CT238" s="83">
        <f>'Raw Data'!CT239/100</f>
        <v>16.7</v>
      </c>
      <c r="CU238" s="382"/>
    </row>
    <row r="239" spans="4:99" s="86" customFormat="1" x14ac:dyDescent="0.2">
      <c r="D239" s="376"/>
      <c r="E239" s="164"/>
      <c r="F239" s="394"/>
      <c r="G239" s="86">
        <f>'Raw Data'!G240</f>
        <v>24</v>
      </c>
      <c r="H239" s="86">
        <f>'Raw Data'!H240</f>
        <v>21</v>
      </c>
      <c r="I239" s="86">
        <f>'Raw Data'!I240</f>
        <v>25</v>
      </c>
      <c r="J239" s="86">
        <f>'Raw Data'!J240</f>
        <v>24</v>
      </c>
      <c r="K239" s="86">
        <f>'Raw Data'!K240</f>
        <v>28</v>
      </c>
      <c r="L239" s="86">
        <f>'Raw Data'!L240</f>
        <v>23</v>
      </c>
      <c r="M239" s="86">
        <f>'Raw Data'!M240</f>
        <v>22</v>
      </c>
      <c r="N239" s="86">
        <f>'Raw Data'!N240</f>
        <v>26</v>
      </c>
      <c r="O239" s="86">
        <f>'Raw Data'!O240</f>
        <v>23</v>
      </c>
      <c r="P239" s="86">
        <f>'Raw Data'!P240</f>
        <v>26</v>
      </c>
      <c r="Q239" s="86">
        <f>'Raw Data'!Q240</f>
        <v>22</v>
      </c>
      <c r="R239" s="86">
        <f>'Raw Data'!R240</f>
        <v>24</v>
      </c>
      <c r="S239" s="86">
        <f>'Raw Data'!S240</f>
        <v>24</v>
      </c>
      <c r="T239" s="86">
        <f>'Raw Data'!T240</f>
        <v>28</v>
      </c>
      <c r="U239" s="86">
        <f>'Raw Data'!U240</f>
        <v>26</v>
      </c>
      <c r="V239" s="86">
        <f>'Raw Data'!V240</f>
        <v>24</v>
      </c>
      <c r="W239" s="86">
        <f>'Raw Data'!W240</f>
        <v>24</v>
      </c>
      <c r="X239" s="86">
        <f>'Raw Data'!X240</f>
        <v>26</v>
      </c>
      <c r="Y239" s="86">
        <f>'Raw Data'!Y240</f>
        <v>21</v>
      </c>
      <c r="Z239" s="86">
        <f>'Raw Data'!Z240</f>
        <v>27</v>
      </c>
      <c r="AA239" s="83">
        <f>'Raw Data'!AA240/10</f>
        <v>26.7</v>
      </c>
      <c r="AB239" s="83">
        <f>'Raw Data'!AB240/10</f>
        <v>25.8</v>
      </c>
      <c r="AC239" s="83">
        <f>'Raw Data'!AC240/10</f>
        <v>25.5</v>
      </c>
      <c r="AD239" s="83">
        <f>'Raw Data'!AD240/10</f>
        <v>24.3</v>
      </c>
      <c r="AE239" s="83">
        <f>'Raw Data'!AE240/10</f>
        <v>26.2</v>
      </c>
      <c r="AF239" s="83">
        <f>'Raw Data'!AF240/10</f>
        <v>26</v>
      </c>
      <c r="AG239" s="83">
        <f>'Raw Data'!AG240/10</f>
        <v>26.7</v>
      </c>
      <c r="AH239" s="83">
        <f>'Raw Data'!AH240/10</f>
        <v>24.5</v>
      </c>
      <c r="AI239" s="83">
        <f>'Raw Data'!AI240/10</f>
        <v>25.3</v>
      </c>
      <c r="AJ239" s="83">
        <f>'Raw Data'!AJ240/10</f>
        <v>22.1</v>
      </c>
      <c r="AK239" s="83">
        <f>'Raw Data'!AK240/10</f>
        <v>23</v>
      </c>
      <c r="AL239" s="83">
        <f>'Raw Data'!AL240/10</f>
        <v>22.7</v>
      </c>
      <c r="AM239" s="83">
        <f>'Raw Data'!AM240/10</f>
        <v>23.3</v>
      </c>
      <c r="AN239" s="83">
        <f>'Raw Data'!AN240/10</f>
        <v>20.5</v>
      </c>
      <c r="AO239" s="83">
        <f>'Raw Data'!AO240/10</f>
        <v>22.6</v>
      </c>
      <c r="AP239" s="83">
        <f>'Raw Data'!AP240/10</f>
        <v>20.6</v>
      </c>
      <c r="AQ239" s="83">
        <f>'Raw Data'!AQ240/10</f>
        <v>21.7</v>
      </c>
      <c r="AR239" s="83">
        <f>'Raw Data'!AR240/10</f>
        <v>21.7</v>
      </c>
      <c r="AS239" s="83">
        <f>'Raw Data'!AS240/10</f>
        <v>21.1</v>
      </c>
      <c r="AT239" s="83">
        <f>'Raw Data'!AT240/10</f>
        <v>21.2</v>
      </c>
      <c r="AU239" s="83">
        <f>'Raw Data'!AU240/10</f>
        <v>21.8</v>
      </c>
      <c r="AV239" s="83">
        <f>'Raw Data'!AV240/10</f>
        <v>22.4</v>
      </c>
      <c r="AW239" s="83">
        <f>'Raw Data'!AW240/10</f>
        <v>21.8</v>
      </c>
      <c r="AX239" s="83">
        <f>'Raw Data'!AX240/10</f>
        <v>19.5</v>
      </c>
      <c r="AY239" s="83">
        <f>'Raw Data'!AY240/10</f>
        <v>20.7</v>
      </c>
      <c r="AZ239" s="83">
        <f>'Raw Data'!AZ240/10</f>
        <v>19.3</v>
      </c>
      <c r="BA239" s="83">
        <f>'Raw Data'!BA240/10</f>
        <v>21.5</v>
      </c>
      <c r="BB239" s="83">
        <f>'Raw Data'!BB240/10</f>
        <v>20.6</v>
      </c>
      <c r="BC239" s="83">
        <f>'Raw Data'!BC240/10</f>
        <v>20.100000000000001</v>
      </c>
      <c r="BD239" s="83">
        <f>'Raw Data'!BD240/10</f>
        <v>19.100000000000001</v>
      </c>
      <c r="BE239" s="83">
        <f>'Raw Data'!BE240/10</f>
        <v>20.2</v>
      </c>
      <c r="BF239" s="83">
        <f>'Raw Data'!BF240/10</f>
        <v>21.5</v>
      </c>
      <c r="BG239" s="83">
        <f>'Raw Data'!BG240/10</f>
        <v>18.2</v>
      </c>
      <c r="BH239" s="83">
        <f>'Raw Data'!BH240/10</f>
        <v>20.5</v>
      </c>
      <c r="BI239" s="83">
        <f>'Raw Data'!BI240/10</f>
        <v>18.3</v>
      </c>
      <c r="BJ239" s="83">
        <f>'Raw Data'!BJ240/10</f>
        <v>18.2</v>
      </c>
      <c r="BK239" s="83">
        <f>'Raw Data'!BK240/10</f>
        <v>18.100000000000001</v>
      </c>
      <c r="BL239" s="83">
        <f>'Raw Data'!BL240/10</f>
        <v>20.6</v>
      </c>
      <c r="BM239" s="83">
        <f>'Raw Data'!BM240/10</f>
        <v>19.600000000000001</v>
      </c>
      <c r="BN239" s="83">
        <f>'Raw Data'!BN240/10</f>
        <v>17.7</v>
      </c>
      <c r="BO239" s="83">
        <f>'Raw Data'!BO240/10</f>
        <v>18.5</v>
      </c>
      <c r="BP239" s="83">
        <f>'Raw Data'!BP240/10</f>
        <v>18.7</v>
      </c>
      <c r="BQ239" s="83">
        <f>'Raw Data'!BQ240/10</f>
        <v>18.2</v>
      </c>
      <c r="BR239" s="83">
        <f>'Raw Data'!BR240/10</f>
        <v>19.3</v>
      </c>
      <c r="BS239" s="83">
        <f>'Raw Data'!BS240/10</f>
        <v>19.3</v>
      </c>
      <c r="BT239" s="83">
        <f>'Raw Data'!BT240/10</f>
        <v>19.5</v>
      </c>
      <c r="BU239" s="83">
        <f>'Raw Data'!BU240/10</f>
        <v>18.100000000000001</v>
      </c>
      <c r="BV239" s="83">
        <f>'Raw Data'!BV240/10</f>
        <v>17.399999999999999</v>
      </c>
      <c r="BW239" s="83">
        <f>'Raw Data'!BW240/10</f>
        <v>19.899999999999999</v>
      </c>
      <c r="BX239" s="83">
        <f>'Raw Data'!BX240/10</f>
        <v>19</v>
      </c>
      <c r="BY239" s="83">
        <f>'Raw Data'!BY240/10</f>
        <v>19.100000000000001</v>
      </c>
      <c r="BZ239" s="83">
        <f>'Raw Data'!BZ240/10</f>
        <v>17.3</v>
      </c>
      <c r="CA239" s="83">
        <f>'Raw Data'!CA240/10</f>
        <v>18.7</v>
      </c>
      <c r="CB239" s="83">
        <f>'Raw Data'!CB240/10</f>
        <v>19</v>
      </c>
      <c r="CC239" s="83">
        <f>'Raw Data'!CC240/10</f>
        <v>20.2</v>
      </c>
      <c r="CD239" s="83">
        <f>'Raw Data'!CD240/10</f>
        <v>18.8</v>
      </c>
      <c r="CE239" s="83">
        <f>'Raw Data'!CE240/10</f>
        <v>17</v>
      </c>
      <c r="CF239" s="83">
        <f>'Raw Data'!CF240/10</f>
        <v>18.5</v>
      </c>
      <c r="CG239" s="83">
        <f>'Raw Data'!CG240/100</f>
        <v>17.61</v>
      </c>
      <c r="CH239" s="83">
        <f>'Raw Data'!CH240/100</f>
        <v>17.46</v>
      </c>
      <c r="CI239" s="83">
        <f>'Raw Data'!CI240/100</f>
        <v>17.43</v>
      </c>
      <c r="CJ239" s="83">
        <f>'Raw Data'!CJ240/100</f>
        <v>16.73</v>
      </c>
      <c r="CK239" s="83">
        <f>'Raw Data'!CK240/100</f>
        <v>16.61</v>
      </c>
      <c r="CL239" s="83">
        <f>'Raw Data'!CL240/100</f>
        <v>16.440000000000001</v>
      </c>
      <c r="CM239" s="83">
        <f>'Raw Data'!CM240/100</f>
        <v>16.09</v>
      </c>
      <c r="CN239" s="83">
        <f>'Raw Data'!CN240/100</f>
        <v>15.48</v>
      </c>
      <c r="CO239" s="83">
        <f>'Raw Data'!CO240/100</f>
        <v>15.74</v>
      </c>
      <c r="CP239" s="83">
        <f>'Raw Data'!CP240/100</f>
        <v>15.91</v>
      </c>
      <c r="CQ239" s="83">
        <f>'Raw Data'!CQ240/100</f>
        <v>15.13</v>
      </c>
      <c r="CR239" s="83">
        <f>'Raw Data'!CR240/100</f>
        <v>15.71</v>
      </c>
      <c r="CS239" s="83">
        <f>'Raw Data'!CS240/100</f>
        <v>15.41</v>
      </c>
      <c r="CT239" s="83">
        <f>'Raw Data'!CT240/100</f>
        <v>15.12</v>
      </c>
      <c r="CU239" s="382"/>
    </row>
    <row r="240" spans="4:99" s="86" customFormat="1" x14ac:dyDescent="0.2">
      <c r="D240" s="376"/>
      <c r="E240" s="164"/>
      <c r="F240" s="394"/>
      <c r="G240" s="86">
        <f>'Raw Data'!G241</f>
        <v>14</v>
      </c>
      <c r="H240" s="86">
        <f>'Raw Data'!H241</f>
        <v>19</v>
      </c>
      <c r="I240" s="86">
        <f>'Raw Data'!I241</f>
        <v>22</v>
      </c>
      <c r="J240" s="86">
        <f>'Raw Data'!J241</f>
        <v>17</v>
      </c>
      <c r="K240" s="86">
        <f>'Raw Data'!K241</f>
        <v>19</v>
      </c>
      <c r="L240" s="86">
        <f>'Raw Data'!L241</f>
        <v>16</v>
      </c>
      <c r="M240" s="86">
        <f>'Raw Data'!M241</f>
        <v>15</v>
      </c>
      <c r="N240" s="86">
        <f>'Raw Data'!N241</f>
        <v>14</v>
      </c>
      <c r="O240" s="86">
        <f>'Raw Data'!O241</f>
        <v>18</v>
      </c>
      <c r="P240" s="86">
        <f>'Raw Data'!P241</f>
        <v>17</v>
      </c>
      <c r="Q240" s="86">
        <f>'Raw Data'!Q241</f>
        <v>19</v>
      </c>
      <c r="R240" s="86">
        <f>'Raw Data'!R241</f>
        <v>10</v>
      </c>
      <c r="S240" s="86">
        <f>'Raw Data'!S241</f>
        <v>25</v>
      </c>
      <c r="T240" s="86">
        <f>'Raw Data'!T241</f>
        <v>14</v>
      </c>
      <c r="U240" s="86">
        <f>'Raw Data'!U241</f>
        <v>11</v>
      </c>
      <c r="V240" s="86">
        <f>'Raw Data'!V241</f>
        <v>17</v>
      </c>
      <c r="W240" s="86">
        <f>'Raw Data'!W241</f>
        <v>13</v>
      </c>
      <c r="X240" s="86">
        <f>'Raw Data'!X241</f>
        <v>17</v>
      </c>
      <c r="Y240" s="86">
        <f>'Raw Data'!Y241</f>
        <v>21</v>
      </c>
      <c r="Z240" s="86">
        <f>'Raw Data'!Z241</f>
        <v>14</v>
      </c>
      <c r="AA240" s="83">
        <f>'Raw Data'!AA241/10</f>
        <v>17.3</v>
      </c>
      <c r="AB240" s="83">
        <f>'Raw Data'!AB241/10</f>
        <v>17.5</v>
      </c>
      <c r="AC240" s="83">
        <f>'Raw Data'!AC241/10</f>
        <v>15.3</v>
      </c>
      <c r="AD240" s="83">
        <f>'Raw Data'!AD241/10</f>
        <v>18.2</v>
      </c>
      <c r="AE240" s="83">
        <f>'Raw Data'!AE241/10</f>
        <v>18.600000000000001</v>
      </c>
      <c r="AF240" s="83">
        <f>'Raw Data'!AF241/10</f>
        <v>17.5</v>
      </c>
      <c r="AG240" s="83">
        <f>'Raw Data'!AG241/10</f>
        <v>17.3</v>
      </c>
      <c r="AH240" s="83">
        <f>'Raw Data'!AH241/10</f>
        <v>18</v>
      </c>
      <c r="AI240" s="83">
        <f>'Raw Data'!AI241/10</f>
        <v>17.600000000000001</v>
      </c>
      <c r="AJ240" s="83">
        <f>'Raw Data'!AJ241/10</f>
        <v>15.5</v>
      </c>
      <c r="AK240" s="83">
        <f>'Raw Data'!AK241/10</f>
        <v>14.6</v>
      </c>
      <c r="AL240" s="83">
        <f>'Raw Data'!AL241/10</f>
        <v>18</v>
      </c>
      <c r="AM240" s="83">
        <f>'Raw Data'!AM241/10</f>
        <v>16.100000000000001</v>
      </c>
      <c r="AN240" s="83">
        <f>'Raw Data'!AN241/10</f>
        <v>17.899999999999999</v>
      </c>
      <c r="AO240" s="83">
        <f>'Raw Data'!AO241/10</f>
        <v>16.2</v>
      </c>
      <c r="AP240" s="83">
        <f>'Raw Data'!AP241/10</f>
        <v>15.2</v>
      </c>
      <c r="AQ240" s="83">
        <f>'Raw Data'!AQ241/10</f>
        <v>16.399999999999999</v>
      </c>
      <c r="AR240" s="83">
        <f>'Raw Data'!AR241/10</f>
        <v>16.7</v>
      </c>
      <c r="AS240" s="83">
        <f>'Raw Data'!AS241/10</f>
        <v>15.9</v>
      </c>
      <c r="AT240" s="83">
        <f>'Raw Data'!AT241/10</f>
        <v>14.8</v>
      </c>
      <c r="AU240" s="83">
        <f>'Raw Data'!AU241/10</f>
        <v>16.5</v>
      </c>
      <c r="AV240" s="83">
        <f>'Raw Data'!AV241/10</f>
        <v>14</v>
      </c>
      <c r="AW240" s="83">
        <f>'Raw Data'!AW241/10</f>
        <v>16.2</v>
      </c>
      <c r="AX240" s="83">
        <f>'Raw Data'!AX241/10</f>
        <v>15.2</v>
      </c>
      <c r="AY240" s="83">
        <f>'Raw Data'!AY241/10</f>
        <v>13.8</v>
      </c>
      <c r="AZ240" s="83">
        <f>'Raw Data'!AZ241/10</f>
        <v>16.5</v>
      </c>
      <c r="BA240" s="83">
        <f>'Raw Data'!BA241/10</f>
        <v>14.9</v>
      </c>
      <c r="BB240" s="83">
        <f>'Raw Data'!BB241/10</f>
        <v>14.6</v>
      </c>
      <c r="BC240" s="83">
        <f>'Raw Data'!BC241/10</f>
        <v>15.7</v>
      </c>
      <c r="BD240" s="83">
        <f>'Raw Data'!BD241/10</f>
        <v>13.3</v>
      </c>
      <c r="BE240" s="83">
        <f>'Raw Data'!BE241/10</f>
        <v>16.399999999999999</v>
      </c>
      <c r="BF240" s="83">
        <f>'Raw Data'!BF241/10</f>
        <v>14.8</v>
      </c>
      <c r="BG240" s="83">
        <f>'Raw Data'!BG241/10</f>
        <v>14.6</v>
      </c>
      <c r="BH240" s="83">
        <f>'Raw Data'!BH241/10</f>
        <v>13.9</v>
      </c>
      <c r="BI240" s="83">
        <f>'Raw Data'!BI241/10</f>
        <v>15.5</v>
      </c>
      <c r="BJ240" s="83">
        <f>'Raw Data'!BJ241/10</f>
        <v>15.4</v>
      </c>
      <c r="BK240" s="83">
        <f>'Raw Data'!BK241/10</f>
        <v>15.4</v>
      </c>
      <c r="BL240" s="83">
        <f>'Raw Data'!BL241/10</f>
        <v>14.4</v>
      </c>
      <c r="BM240" s="83">
        <f>'Raw Data'!BM241/10</f>
        <v>16</v>
      </c>
      <c r="BN240" s="83">
        <f>'Raw Data'!BN241/10</f>
        <v>15.1</v>
      </c>
      <c r="BO240" s="83">
        <f>'Raw Data'!BO241/10</f>
        <v>12.7</v>
      </c>
      <c r="BP240" s="83">
        <f>'Raw Data'!BP241/10</f>
        <v>14.3</v>
      </c>
      <c r="BQ240" s="83">
        <f>'Raw Data'!BQ241/10</f>
        <v>15.1</v>
      </c>
      <c r="BR240" s="83">
        <f>'Raw Data'!BR241/10</f>
        <v>15</v>
      </c>
      <c r="BS240" s="83">
        <f>'Raw Data'!BS241/10</f>
        <v>14</v>
      </c>
      <c r="BT240" s="83">
        <f>'Raw Data'!BT241/10</f>
        <v>14.6</v>
      </c>
      <c r="BU240" s="83">
        <f>'Raw Data'!BU241/10</f>
        <v>12.2</v>
      </c>
      <c r="BV240" s="83">
        <f>'Raw Data'!BV241/10</f>
        <v>14.3</v>
      </c>
      <c r="BW240" s="83">
        <f>'Raw Data'!BW241/10</f>
        <v>14.6</v>
      </c>
      <c r="BX240" s="83">
        <f>'Raw Data'!BX241/10</f>
        <v>14.4</v>
      </c>
      <c r="BY240" s="83">
        <f>'Raw Data'!BY241/10</f>
        <v>14.7</v>
      </c>
      <c r="BZ240" s="83">
        <f>'Raw Data'!BZ241/10</f>
        <v>14.6</v>
      </c>
      <c r="CA240" s="83">
        <f>'Raw Data'!CA241/10</f>
        <v>13.3</v>
      </c>
      <c r="CB240" s="83">
        <f>'Raw Data'!CB241/10</f>
        <v>14</v>
      </c>
      <c r="CC240" s="83">
        <f>'Raw Data'!CC241/10</f>
        <v>12.7</v>
      </c>
      <c r="CD240" s="83">
        <f>'Raw Data'!CD241/10</f>
        <v>13</v>
      </c>
      <c r="CE240" s="83">
        <f>'Raw Data'!CE241/10</f>
        <v>12.9</v>
      </c>
      <c r="CF240" s="83">
        <f>'Raw Data'!CF241/10</f>
        <v>14.8</v>
      </c>
      <c r="CG240" s="83">
        <f>'Raw Data'!CG241/100</f>
        <v>13.18</v>
      </c>
      <c r="CH240" s="83">
        <f>'Raw Data'!CH241/100</f>
        <v>13.42</v>
      </c>
      <c r="CI240" s="83">
        <f>'Raw Data'!CI241/100</f>
        <v>12.93</v>
      </c>
      <c r="CJ240" s="83">
        <f>'Raw Data'!CJ241/100</f>
        <v>13.66</v>
      </c>
      <c r="CK240" s="83">
        <f>'Raw Data'!CK241/100</f>
        <v>12.72</v>
      </c>
      <c r="CL240" s="83">
        <f>'Raw Data'!CL241/100</f>
        <v>12.61</v>
      </c>
      <c r="CM240" s="83">
        <f>'Raw Data'!CM241/100</f>
        <v>13.69</v>
      </c>
      <c r="CN240" s="83">
        <f>'Raw Data'!CN241/100</f>
        <v>13</v>
      </c>
      <c r="CO240" s="83">
        <f>'Raw Data'!CO241/100</f>
        <v>12.49</v>
      </c>
      <c r="CP240" s="83">
        <f>'Raw Data'!CP241/100</f>
        <v>12.49</v>
      </c>
      <c r="CQ240" s="83">
        <f>'Raw Data'!CQ241/100</f>
        <v>12.95</v>
      </c>
      <c r="CR240" s="83">
        <f>'Raw Data'!CR241/100</f>
        <v>12.68</v>
      </c>
      <c r="CS240" s="83">
        <f>'Raw Data'!CS241/100</f>
        <v>12.49</v>
      </c>
      <c r="CT240" s="83">
        <f>'Raw Data'!CT241/100</f>
        <v>12.18</v>
      </c>
      <c r="CU240" s="382"/>
    </row>
    <row r="241" spans="4:99" s="86" customFormat="1" x14ac:dyDescent="0.2">
      <c r="D241" s="376"/>
      <c r="E241" s="164"/>
      <c r="F241" s="394"/>
      <c r="G241" s="86">
        <f>'Raw Data'!G242</f>
        <v>20</v>
      </c>
      <c r="H241" s="86">
        <f>'Raw Data'!H242</f>
        <v>18</v>
      </c>
      <c r="I241" s="86">
        <f>'Raw Data'!I242</f>
        <v>22</v>
      </c>
      <c r="J241" s="86">
        <f>'Raw Data'!J242</f>
        <v>24</v>
      </c>
      <c r="K241" s="86">
        <f>'Raw Data'!K242</f>
        <v>18</v>
      </c>
      <c r="L241" s="86">
        <f>'Raw Data'!L242</f>
        <v>23</v>
      </c>
      <c r="M241" s="86">
        <f>'Raw Data'!M242</f>
        <v>22</v>
      </c>
      <c r="N241" s="86">
        <f>'Raw Data'!N242</f>
        <v>24</v>
      </c>
      <c r="O241" s="86">
        <f>'Raw Data'!O242</f>
        <v>28</v>
      </c>
      <c r="P241" s="86">
        <f>'Raw Data'!P242</f>
        <v>20</v>
      </c>
      <c r="Q241" s="86">
        <f>'Raw Data'!Q242</f>
        <v>16</v>
      </c>
      <c r="R241" s="86">
        <f>'Raw Data'!R242</f>
        <v>21</v>
      </c>
      <c r="S241" s="86">
        <f>'Raw Data'!S242</f>
        <v>20</v>
      </c>
      <c r="T241" s="86">
        <f>'Raw Data'!T242</f>
        <v>19</v>
      </c>
      <c r="U241" s="86">
        <f>'Raw Data'!U242</f>
        <v>28</v>
      </c>
      <c r="V241" s="86">
        <f>'Raw Data'!V242</f>
        <v>17</v>
      </c>
      <c r="W241" s="86">
        <f>'Raw Data'!W242</f>
        <v>23</v>
      </c>
      <c r="X241" s="86">
        <f>'Raw Data'!X242</f>
        <v>23</v>
      </c>
      <c r="Y241" s="86">
        <f>'Raw Data'!Y242</f>
        <v>21</v>
      </c>
      <c r="Z241" s="86">
        <f>'Raw Data'!Z242</f>
        <v>22</v>
      </c>
      <c r="AA241" s="83">
        <f>'Raw Data'!AA242/10</f>
        <v>21.9</v>
      </c>
      <c r="AB241" s="83">
        <f>'Raw Data'!AB242/10</f>
        <v>22.9</v>
      </c>
      <c r="AC241" s="83">
        <f>'Raw Data'!AC242/10</f>
        <v>22</v>
      </c>
      <c r="AD241" s="83">
        <f>'Raw Data'!AD242/10</f>
        <v>21.5</v>
      </c>
      <c r="AE241" s="83">
        <f>'Raw Data'!AE242/10</f>
        <v>20.5</v>
      </c>
      <c r="AF241" s="83">
        <f>'Raw Data'!AF242/10</f>
        <v>21.7</v>
      </c>
      <c r="AG241" s="83">
        <f>'Raw Data'!AG242/10</f>
        <v>19.7</v>
      </c>
      <c r="AH241" s="83">
        <f>'Raw Data'!AH242/10</f>
        <v>20.3</v>
      </c>
      <c r="AI241" s="83">
        <f>'Raw Data'!AI242/10</f>
        <v>21.9</v>
      </c>
      <c r="AJ241" s="83">
        <f>'Raw Data'!AJ242/10</f>
        <v>21.1</v>
      </c>
      <c r="AK241" s="83">
        <f>'Raw Data'!AK242/10</f>
        <v>18.899999999999999</v>
      </c>
      <c r="AL241" s="83">
        <f>'Raw Data'!AL242/10</f>
        <v>17.899999999999999</v>
      </c>
      <c r="AM241" s="83">
        <f>'Raw Data'!AM242/10</f>
        <v>20.8</v>
      </c>
      <c r="AN241" s="83">
        <f>'Raw Data'!AN242/10</f>
        <v>19.100000000000001</v>
      </c>
      <c r="AO241" s="83">
        <f>'Raw Data'!AO242/10</f>
        <v>20.2</v>
      </c>
      <c r="AP241" s="83">
        <f>'Raw Data'!AP242/10</f>
        <v>18.7</v>
      </c>
      <c r="AQ241" s="83">
        <f>'Raw Data'!AQ242/10</f>
        <v>18.5</v>
      </c>
      <c r="AR241" s="83">
        <f>'Raw Data'!AR242/10</f>
        <v>19.8</v>
      </c>
      <c r="AS241" s="83">
        <f>'Raw Data'!AS242/10</f>
        <v>17.5</v>
      </c>
      <c r="AT241" s="83">
        <f>'Raw Data'!AT242/10</f>
        <v>17.3</v>
      </c>
      <c r="AU241" s="83">
        <f>'Raw Data'!AU242/10</f>
        <v>19.7</v>
      </c>
      <c r="AV241" s="83">
        <f>'Raw Data'!AV242/10</f>
        <v>17.2</v>
      </c>
      <c r="AW241" s="83">
        <f>'Raw Data'!AW242/10</f>
        <v>17.600000000000001</v>
      </c>
      <c r="AX241" s="83">
        <f>'Raw Data'!AX242/10</f>
        <v>15.9</v>
      </c>
      <c r="AY241" s="83">
        <f>'Raw Data'!AY242/10</f>
        <v>17</v>
      </c>
      <c r="AZ241" s="83">
        <f>'Raw Data'!AZ242/10</f>
        <v>14.4</v>
      </c>
      <c r="BA241" s="83">
        <f>'Raw Data'!BA242/10</f>
        <v>16.8</v>
      </c>
      <c r="BB241" s="83">
        <f>'Raw Data'!BB242/10</f>
        <v>17.5</v>
      </c>
      <c r="BC241" s="83">
        <f>'Raw Data'!BC242/10</f>
        <v>17.5</v>
      </c>
      <c r="BD241" s="83">
        <f>'Raw Data'!BD242/10</f>
        <v>17.2</v>
      </c>
      <c r="BE241" s="83">
        <f>'Raw Data'!BE242/10</f>
        <v>17.3</v>
      </c>
      <c r="BF241" s="83">
        <f>'Raw Data'!BF242/10</f>
        <v>16.2</v>
      </c>
      <c r="BG241" s="83">
        <f>'Raw Data'!BG242/10</f>
        <v>16.5</v>
      </c>
      <c r="BH241" s="83">
        <f>'Raw Data'!BH242/10</f>
        <v>17.3</v>
      </c>
      <c r="BI241" s="83">
        <f>'Raw Data'!BI242/10</f>
        <v>17.2</v>
      </c>
      <c r="BJ241" s="83">
        <f>'Raw Data'!BJ242/10</f>
        <v>15.5</v>
      </c>
      <c r="BK241" s="83">
        <f>'Raw Data'!BK242/10</f>
        <v>16.8</v>
      </c>
      <c r="BL241" s="83">
        <f>'Raw Data'!BL242/10</f>
        <v>15.8</v>
      </c>
      <c r="BM241" s="83">
        <f>'Raw Data'!BM242/10</f>
        <v>16.2</v>
      </c>
      <c r="BN241" s="83">
        <f>'Raw Data'!BN242/10</f>
        <v>15.4</v>
      </c>
      <c r="BO241" s="83">
        <f>'Raw Data'!BO242/10</f>
        <v>17.3</v>
      </c>
      <c r="BP241" s="83">
        <f>'Raw Data'!BP242/10</f>
        <v>16.2</v>
      </c>
      <c r="BQ241" s="83">
        <f>'Raw Data'!BQ242/10</f>
        <v>16</v>
      </c>
      <c r="BR241" s="83">
        <f>'Raw Data'!BR242/10</f>
        <v>15.4</v>
      </c>
      <c r="BS241" s="83">
        <f>'Raw Data'!BS242/10</f>
        <v>14.5</v>
      </c>
      <c r="BT241" s="83">
        <f>'Raw Data'!BT242/10</f>
        <v>16.100000000000001</v>
      </c>
      <c r="BU241" s="83">
        <f>'Raw Data'!BU242/10</f>
        <v>14.3</v>
      </c>
      <c r="BV241" s="83">
        <f>'Raw Data'!BV242/10</f>
        <v>16.600000000000001</v>
      </c>
      <c r="BW241" s="83">
        <f>'Raw Data'!BW242/10</f>
        <v>15.6</v>
      </c>
      <c r="BX241" s="83">
        <f>'Raw Data'!BX242/10</f>
        <v>14.9</v>
      </c>
      <c r="BY241" s="83">
        <f>'Raw Data'!BY242/10</f>
        <v>15.1</v>
      </c>
      <c r="BZ241" s="83">
        <f>'Raw Data'!BZ242/10</f>
        <v>15.8</v>
      </c>
      <c r="CA241" s="83">
        <f>'Raw Data'!CA242/10</f>
        <v>15.8</v>
      </c>
      <c r="CB241" s="83">
        <f>'Raw Data'!CB242/10</f>
        <v>16.7</v>
      </c>
      <c r="CC241" s="83">
        <f>'Raw Data'!CC242/10</f>
        <v>15.1</v>
      </c>
      <c r="CD241" s="83">
        <f>'Raw Data'!CD242/10</f>
        <v>15.3</v>
      </c>
      <c r="CE241" s="83">
        <f>'Raw Data'!CE242/10</f>
        <v>14.3</v>
      </c>
      <c r="CF241" s="83">
        <f>'Raw Data'!CF242/10</f>
        <v>15.6</v>
      </c>
      <c r="CG241" s="83">
        <f>'Raw Data'!CG242/100</f>
        <v>15.98</v>
      </c>
      <c r="CH241" s="83">
        <f>'Raw Data'!CH242/100</f>
        <v>14.92</v>
      </c>
      <c r="CI241" s="83">
        <f>'Raw Data'!CI242/100</f>
        <v>14.38</v>
      </c>
      <c r="CJ241" s="83">
        <f>'Raw Data'!CJ242/100</f>
        <v>13.97</v>
      </c>
      <c r="CK241" s="83">
        <f>'Raw Data'!CK242/100</f>
        <v>14.45</v>
      </c>
      <c r="CL241" s="83">
        <f>'Raw Data'!CL242/100</f>
        <v>13.9</v>
      </c>
      <c r="CM241" s="83">
        <f>'Raw Data'!CM242/100</f>
        <v>13.85</v>
      </c>
      <c r="CN241" s="83">
        <f>'Raw Data'!CN242/100</f>
        <v>13.86</v>
      </c>
      <c r="CO241" s="83">
        <f>'Raw Data'!CO242/100</f>
        <v>13.78</v>
      </c>
      <c r="CP241" s="83">
        <f>'Raw Data'!CP242/100</f>
        <v>13.9</v>
      </c>
      <c r="CQ241" s="83">
        <f>'Raw Data'!CQ242/100</f>
        <v>13.91</v>
      </c>
      <c r="CR241" s="83">
        <f>'Raw Data'!CR242/100</f>
        <v>13.28</v>
      </c>
      <c r="CS241" s="83">
        <f>'Raw Data'!CS242/100</f>
        <v>13.09</v>
      </c>
      <c r="CT241" s="83">
        <f>'Raw Data'!CT242/100</f>
        <v>13.35</v>
      </c>
      <c r="CU241" s="382"/>
    </row>
    <row r="242" spans="4:99" s="86" customFormat="1" x14ac:dyDescent="0.2">
      <c r="D242" s="376"/>
      <c r="E242" s="164"/>
      <c r="F242" s="394"/>
      <c r="G242" s="86">
        <f>'Raw Data'!G243</f>
        <v>14</v>
      </c>
      <c r="H242" s="86">
        <f>'Raw Data'!H243</f>
        <v>19</v>
      </c>
      <c r="I242" s="86">
        <f>'Raw Data'!I243</f>
        <v>27</v>
      </c>
      <c r="J242" s="86">
        <f>'Raw Data'!J243</f>
        <v>13</v>
      </c>
      <c r="K242" s="86">
        <f>'Raw Data'!K243</f>
        <v>19</v>
      </c>
      <c r="L242" s="86">
        <f>'Raw Data'!L243</f>
        <v>22</v>
      </c>
      <c r="M242" s="86">
        <f>'Raw Data'!M243</f>
        <v>18</v>
      </c>
      <c r="N242" s="86">
        <f>'Raw Data'!N243</f>
        <v>19</v>
      </c>
      <c r="O242" s="86">
        <f>'Raw Data'!O243</f>
        <v>17</v>
      </c>
      <c r="P242" s="86">
        <f>'Raw Data'!P243</f>
        <v>22</v>
      </c>
      <c r="Q242" s="86">
        <f>'Raw Data'!Q243</f>
        <v>26</v>
      </c>
      <c r="R242" s="86">
        <f>'Raw Data'!R243</f>
        <v>19</v>
      </c>
      <c r="S242" s="86">
        <f>'Raw Data'!S243</f>
        <v>15</v>
      </c>
      <c r="T242" s="86">
        <f>'Raw Data'!T243</f>
        <v>15</v>
      </c>
      <c r="U242" s="86">
        <f>'Raw Data'!U243</f>
        <v>35</v>
      </c>
      <c r="V242" s="86">
        <f>'Raw Data'!V243</f>
        <v>21</v>
      </c>
      <c r="W242" s="86">
        <f>'Raw Data'!W243</f>
        <v>17</v>
      </c>
      <c r="X242" s="86">
        <f>'Raw Data'!X243</f>
        <v>20</v>
      </c>
      <c r="Y242" s="86">
        <f>'Raw Data'!Y243</f>
        <v>22</v>
      </c>
      <c r="Z242" s="86">
        <f>'Raw Data'!Z243</f>
        <v>21</v>
      </c>
      <c r="AA242" s="83">
        <f>'Raw Data'!AA243/10</f>
        <v>19.5</v>
      </c>
      <c r="AB242" s="83">
        <f>'Raw Data'!AB243/10</f>
        <v>21.3</v>
      </c>
      <c r="AC242" s="83">
        <f>'Raw Data'!AC243/10</f>
        <v>20.6</v>
      </c>
      <c r="AD242" s="83">
        <f>'Raw Data'!AD243/10</f>
        <v>20.9</v>
      </c>
      <c r="AE242" s="83">
        <f>'Raw Data'!AE243/10</f>
        <v>19.5</v>
      </c>
      <c r="AF242" s="83">
        <f>'Raw Data'!AF243/10</f>
        <v>20.7</v>
      </c>
      <c r="AG242" s="83">
        <f>'Raw Data'!AG243/10</f>
        <v>20.7</v>
      </c>
      <c r="AH242" s="83">
        <f>'Raw Data'!AH243/10</f>
        <v>21.1</v>
      </c>
      <c r="AI242" s="83">
        <f>'Raw Data'!AI243/10</f>
        <v>19.2</v>
      </c>
      <c r="AJ242" s="83">
        <f>'Raw Data'!AJ243/10</f>
        <v>18.8</v>
      </c>
      <c r="AK242" s="83">
        <f>'Raw Data'!AK243/10</f>
        <v>17.3</v>
      </c>
      <c r="AL242" s="83">
        <f>'Raw Data'!AL243/10</f>
        <v>17.399999999999999</v>
      </c>
      <c r="AM242" s="83">
        <f>'Raw Data'!AM243/10</f>
        <v>17.2</v>
      </c>
      <c r="AN242" s="83">
        <f>'Raw Data'!AN243/10</f>
        <v>17.2</v>
      </c>
      <c r="AO242" s="83">
        <f>'Raw Data'!AO243/10</f>
        <v>18.2</v>
      </c>
      <c r="AP242" s="83">
        <f>'Raw Data'!AP243/10</f>
        <v>16.3</v>
      </c>
      <c r="AQ242" s="83">
        <f>'Raw Data'!AQ243/10</f>
        <v>16.399999999999999</v>
      </c>
      <c r="AR242" s="83">
        <f>'Raw Data'!AR243/10</f>
        <v>15.9</v>
      </c>
      <c r="AS242" s="83">
        <f>'Raw Data'!AS243/10</f>
        <v>16.5</v>
      </c>
      <c r="AT242" s="83">
        <f>'Raw Data'!AT243/10</f>
        <v>15.9</v>
      </c>
      <c r="AU242" s="83">
        <f>'Raw Data'!AU243/10</f>
        <v>16.7</v>
      </c>
      <c r="AV242" s="83">
        <f>'Raw Data'!AV243/10</f>
        <v>16.2</v>
      </c>
      <c r="AW242" s="83">
        <f>'Raw Data'!AW243/10</f>
        <v>17.100000000000001</v>
      </c>
      <c r="AX242" s="83">
        <f>'Raw Data'!AX243/10</f>
        <v>17.600000000000001</v>
      </c>
      <c r="AY242" s="83">
        <f>'Raw Data'!AY243/10</f>
        <v>14.8</v>
      </c>
      <c r="AZ242" s="83">
        <f>'Raw Data'!AZ243/10</f>
        <v>16.8</v>
      </c>
      <c r="BA242" s="83">
        <f>'Raw Data'!BA243/10</f>
        <v>14.1</v>
      </c>
      <c r="BB242" s="83">
        <f>'Raw Data'!BB243/10</f>
        <v>16.8</v>
      </c>
      <c r="BC242" s="83">
        <f>'Raw Data'!BC243/10</f>
        <v>16.7</v>
      </c>
      <c r="BD242" s="83">
        <f>'Raw Data'!BD243/10</f>
        <v>15.3</v>
      </c>
      <c r="BE242" s="83">
        <f>'Raw Data'!BE243/10</f>
        <v>17</v>
      </c>
      <c r="BF242" s="83">
        <f>'Raw Data'!BF243/10</f>
        <v>16</v>
      </c>
      <c r="BG242" s="83">
        <f>'Raw Data'!BG243/10</f>
        <v>15.8</v>
      </c>
      <c r="BH242" s="83">
        <f>'Raw Data'!BH243/10</f>
        <v>14.5</v>
      </c>
      <c r="BI242" s="83">
        <f>'Raw Data'!BI243/10</f>
        <v>14.1</v>
      </c>
      <c r="BJ242" s="83">
        <f>'Raw Data'!BJ243/10</f>
        <v>15.5</v>
      </c>
      <c r="BK242" s="83">
        <f>'Raw Data'!BK243/10</f>
        <v>14.7</v>
      </c>
      <c r="BL242" s="83">
        <f>'Raw Data'!BL243/10</f>
        <v>15</v>
      </c>
      <c r="BM242" s="83">
        <f>'Raw Data'!BM243/10</f>
        <v>15.3</v>
      </c>
      <c r="BN242" s="83">
        <f>'Raw Data'!BN243/10</f>
        <v>15.3</v>
      </c>
      <c r="BO242" s="83">
        <f>'Raw Data'!BO243/10</f>
        <v>14.3</v>
      </c>
      <c r="BP242" s="83">
        <f>'Raw Data'!BP243/10</f>
        <v>13.8</v>
      </c>
      <c r="BQ242" s="83">
        <f>'Raw Data'!BQ243/10</f>
        <v>14.2</v>
      </c>
      <c r="BR242" s="83">
        <f>'Raw Data'!BR243/10</f>
        <v>16.399999999999999</v>
      </c>
      <c r="BS242" s="83">
        <f>'Raw Data'!BS243/10</f>
        <v>14.4</v>
      </c>
      <c r="BT242" s="83">
        <f>'Raw Data'!BT243/10</f>
        <v>14.4</v>
      </c>
      <c r="BU242" s="83">
        <f>'Raw Data'!BU243/10</f>
        <v>15.3</v>
      </c>
      <c r="BV242" s="83">
        <f>'Raw Data'!BV243/10</f>
        <v>16.100000000000001</v>
      </c>
      <c r="BW242" s="83">
        <f>'Raw Data'!BW243/10</f>
        <v>14.2</v>
      </c>
      <c r="BX242" s="83">
        <f>'Raw Data'!BX243/10</f>
        <v>15</v>
      </c>
      <c r="BY242" s="83">
        <f>'Raw Data'!BY243/10</f>
        <v>15.7</v>
      </c>
      <c r="BZ242" s="83">
        <f>'Raw Data'!BZ243/10</f>
        <v>14.6</v>
      </c>
      <c r="CA242" s="83">
        <f>'Raw Data'!CA243/10</f>
        <v>14.9</v>
      </c>
      <c r="CB242" s="83">
        <f>'Raw Data'!CB243/10</f>
        <v>14.6</v>
      </c>
      <c r="CC242" s="83">
        <f>'Raw Data'!CC243/10</f>
        <v>12.7</v>
      </c>
      <c r="CD242" s="83">
        <f>'Raw Data'!CD243/10</f>
        <v>14.5</v>
      </c>
      <c r="CE242" s="83">
        <f>'Raw Data'!CE243/10</f>
        <v>13</v>
      </c>
      <c r="CF242" s="83">
        <f>'Raw Data'!CF243/10</f>
        <v>15.3</v>
      </c>
      <c r="CG242" s="83">
        <f>'Raw Data'!CG243/100</f>
        <v>14.28</v>
      </c>
      <c r="CH242" s="83">
        <f>'Raw Data'!CH243/100</f>
        <v>13.61</v>
      </c>
      <c r="CI242" s="83">
        <f>'Raw Data'!CI243/100</f>
        <v>13.43</v>
      </c>
      <c r="CJ242" s="83">
        <f>'Raw Data'!CJ243/100</f>
        <v>13.59</v>
      </c>
      <c r="CK242" s="83">
        <f>'Raw Data'!CK243/100</f>
        <v>12.9</v>
      </c>
      <c r="CL242" s="83">
        <f>'Raw Data'!CL243/100</f>
        <v>13.16</v>
      </c>
      <c r="CM242" s="83">
        <f>'Raw Data'!CM243/100</f>
        <v>13.23</v>
      </c>
      <c r="CN242" s="83">
        <f>'Raw Data'!CN243/100</f>
        <v>12.59</v>
      </c>
      <c r="CO242" s="83">
        <f>'Raw Data'!CO243/100</f>
        <v>12.4</v>
      </c>
      <c r="CP242" s="83">
        <f>'Raw Data'!CP243/100</f>
        <v>12.8</v>
      </c>
      <c r="CQ242" s="83">
        <f>'Raw Data'!CQ243/100</f>
        <v>12.91</v>
      </c>
      <c r="CR242" s="83">
        <f>'Raw Data'!CR243/100</f>
        <v>12.82</v>
      </c>
      <c r="CS242" s="83">
        <f>'Raw Data'!CS243/100</f>
        <v>12.2</v>
      </c>
      <c r="CT242" s="83">
        <f>'Raw Data'!CT243/100</f>
        <v>11.97</v>
      </c>
      <c r="CU242" s="382"/>
    </row>
    <row r="243" spans="4:99" s="86" customFormat="1" x14ac:dyDescent="0.2">
      <c r="D243" s="379"/>
      <c r="E243" s="381"/>
      <c r="F243" s="395"/>
      <c r="G243" s="87">
        <f>'Raw Data'!G244</f>
        <v>24</v>
      </c>
      <c r="H243" s="87">
        <f>'Raw Data'!H244</f>
        <v>17</v>
      </c>
      <c r="I243" s="87">
        <f>'Raw Data'!I244</f>
        <v>23</v>
      </c>
      <c r="J243" s="87">
        <f>'Raw Data'!J244</f>
        <v>18</v>
      </c>
      <c r="K243" s="87">
        <f>'Raw Data'!K244</f>
        <v>24</v>
      </c>
      <c r="L243" s="87">
        <f>'Raw Data'!L244</f>
        <v>19</v>
      </c>
      <c r="M243" s="87">
        <f>'Raw Data'!M244</f>
        <v>21</v>
      </c>
      <c r="N243" s="87">
        <f>'Raw Data'!N244</f>
        <v>22</v>
      </c>
      <c r="O243" s="87">
        <f>'Raw Data'!O244</f>
        <v>23</v>
      </c>
      <c r="P243" s="87">
        <f>'Raw Data'!P244</f>
        <v>22</v>
      </c>
      <c r="Q243" s="87">
        <f>'Raw Data'!Q244</f>
        <v>18</v>
      </c>
      <c r="R243" s="87">
        <f>'Raw Data'!R244</f>
        <v>18</v>
      </c>
      <c r="S243" s="87">
        <f>'Raw Data'!S244</f>
        <v>16</v>
      </c>
      <c r="T243" s="87">
        <f>'Raw Data'!T244</f>
        <v>22</v>
      </c>
      <c r="U243" s="87">
        <f>'Raw Data'!U244</f>
        <v>22</v>
      </c>
      <c r="V243" s="87">
        <f>'Raw Data'!V244</f>
        <v>23</v>
      </c>
      <c r="W243" s="87">
        <f>'Raw Data'!W244</f>
        <v>31</v>
      </c>
      <c r="X243" s="87">
        <f>'Raw Data'!X244</f>
        <v>21</v>
      </c>
      <c r="Y243" s="87">
        <f>'Raw Data'!Y244</f>
        <v>18</v>
      </c>
      <c r="Z243" s="87">
        <f>'Raw Data'!Z244</f>
        <v>21</v>
      </c>
      <c r="AA243" s="87">
        <f>'Raw Data'!AA244/10</f>
        <v>21.2</v>
      </c>
      <c r="AB243" s="87">
        <f>'Raw Data'!AB244/10</f>
        <v>19.399999999999999</v>
      </c>
      <c r="AC243" s="87">
        <f>'Raw Data'!AC244/10</f>
        <v>20.2</v>
      </c>
      <c r="AD243" s="87">
        <f>'Raw Data'!AD244/10</f>
        <v>20.399999999999999</v>
      </c>
      <c r="AE243" s="87">
        <f>'Raw Data'!AE244/10</f>
        <v>20.8</v>
      </c>
      <c r="AF243" s="87">
        <f>'Raw Data'!AF244/10</f>
        <v>19.7</v>
      </c>
      <c r="AG243" s="87">
        <f>'Raw Data'!AG244/10</f>
        <v>19.100000000000001</v>
      </c>
      <c r="AH243" s="87">
        <f>'Raw Data'!AH244/10</f>
        <v>20.7</v>
      </c>
      <c r="AI243" s="87">
        <f>'Raw Data'!AI244/10</f>
        <v>18.399999999999999</v>
      </c>
      <c r="AJ243" s="87">
        <f>'Raw Data'!AJ244/10</f>
        <v>17.600000000000001</v>
      </c>
      <c r="AK243" s="87">
        <f>'Raw Data'!AK244/10</f>
        <v>19</v>
      </c>
      <c r="AL243" s="87">
        <f>'Raw Data'!AL244/10</f>
        <v>19.3</v>
      </c>
      <c r="AM243" s="87">
        <f>'Raw Data'!AM244/10</f>
        <v>17</v>
      </c>
      <c r="AN243" s="87">
        <f>'Raw Data'!AN244/10</f>
        <v>17</v>
      </c>
      <c r="AO243" s="87">
        <f>'Raw Data'!AO244/10</f>
        <v>18.899999999999999</v>
      </c>
      <c r="AP243" s="87">
        <f>'Raw Data'!AP244/10</f>
        <v>16.899999999999999</v>
      </c>
      <c r="AQ243" s="87">
        <f>'Raw Data'!AQ244/10</f>
        <v>16.7</v>
      </c>
      <c r="AR243" s="87">
        <f>'Raw Data'!AR244/10</f>
        <v>18.3</v>
      </c>
      <c r="AS243" s="87">
        <f>'Raw Data'!AS244/10</f>
        <v>17.7</v>
      </c>
      <c r="AT243" s="87">
        <f>'Raw Data'!AT244/10</f>
        <v>16.100000000000001</v>
      </c>
      <c r="AU243" s="87">
        <f>'Raw Data'!AU244/10</f>
        <v>17.7</v>
      </c>
      <c r="AV243" s="87">
        <f>'Raw Data'!AV244/10</f>
        <v>16.899999999999999</v>
      </c>
      <c r="AW243" s="87">
        <f>'Raw Data'!AW244/10</f>
        <v>18.2</v>
      </c>
      <c r="AX243" s="87">
        <f>'Raw Data'!AX244/10</f>
        <v>17.899999999999999</v>
      </c>
      <c r="AY243" s="87">
        <f>'Raw Data'!AY244/10</f>
        <v>16.5</v>
      </c>
      <c r="AZ243" s="87">
        <f>'Raw Data'!AZ244/10</f>
        <v>17.600000000000001</v>
      </c>
      <c r="BA243" s="87">
        <f>'Raw Data'!BA244/10</f>
        <v>16.899999999999999</v>
      </c>
      <c r="BB243" s="87">
        <f>'Raw Data'!BB244/10</f>
        <v>15.6</v>
      </c>
      <c r="BC243" s="87">
        <f>'Raw Data'!BC244/10</f>
        <v>18.600000000000001</v>
      </c>
      <c r="BD243" s="87">
        <f>'Raw Data'!BD244/10</f>
        <v>15.6</v>
      </c>
      <c r="BE243" s="87">
        <f>'Raw Data'!BE244/10</f>
        <v>16.899999999999999</v>
      </c>
      <c r="BF243" s="87">
        <f>'Raw Data'!BF244/10</f>
        <v>16.5</v>
      </c>
      <c r="BG243" s="87">
        <f>'Raw Data'!BG244/10</f>
        <v>16.2</v>
      </c>
      <c r="BH243" s="87">
        <f>'Raw Data'!BH244/10</f>
        <v>14.2</v>
      </c>
      <c r="BI243" s="87">
        <f>'Raw Data'!BI244/10</f>
        <v>16.7</v>
      </c>
      <c r="BJ243" s="87">
        <f>'Raw Data'!BJ244/10</f>
        <v>15.8</v>
      </c>
      <c r="BK243" s="87">
        <f>'Raw Data'!BK244/10</f>
        <v>14.9</v>
      </c>
      <c r="BL243" s="87">
        <f>'Raw Data'!BL244/10</f>
        <v>15.7</v>
      </c>
      <c r="BM243" s="87">
        <f>'Raw Data'!BM244/10</f>
        <v>16.8</v>
      </c>
      <c r="BN243" s="87">
        <f>'Raw Data'!BN244/10</f>
        <v>15.6</v>
      </c>
      <c r="BO243" s="87">
        <f>'Raw Data'!BO244/10</f>
        <v>14.8</v>
      </c>
      <c r="BP243" s="87">
        <f>'Raw Data'!BP244/10</f>
        <v>17.100000000000001</v>
      </c>
      <c r="BQ243" s="87">
        <f>'Raw Data'!BQ244/10</f>
        <v>15.1</v>
      </c>
      <c r="BR243" s="87">
        <f>'Raw Data'!BR244/10</f>
        <v>15.6</v>
      </c>
      <c r="BS243" s="87">
        <f>'Raw Data'!BS244/10</f>
        <v>14.7</v>
      </c>
      <c r="BT243" s="87">
        <f>'Raw Data'!BT244/10</f>
        <v>15.7</v>
      </c>
      <c r="BU243" s="87">
        <f>'Raw Data'!BU244/10</f>
        <v>14.4</v>
      </c>
      <c r="BV243" s="87">
        <f>'Raw Data'!BV244/10</f>
        <v>16</v>
      </c>
      <c r="BW243" s="87">
        <f>'Raw Data'!BW244/10</f>
        <v>15.6</v>
      </c>
      <c r="BX243" s="87">
        <f>'Raw Data'!BX244/10</f>
        <v>14.4</v>
      </c>
      <c r="BY243" s="87">
        <f>'Raw Data'!BY244/10</f>
        <v>16.100000000000001</v>
      </c>
      <c r="BZ243" s="87">
        <f>'Raw Data'!BZ244/10</f>
        <v>14.1</v>
      </c>
      <c r="CA243" s="87">
        <f>'Raw Data'!CA244/10</f>
        <v>16.8</v>
      </c>
      <c r="CB243" s="87">
        <f>'Raw Data'!CB244/10</f>
        <v>14.6</v>
      </c>
      <c r="CC243" s="87">
        <f>'Raw Data'!CC244/10</f>
        <v>15</v>
      </c>
      <c r="CD243" s="87">
        <f>'Raw Data'!CD244/10</f>
        <v>15.3</v>
      </c>
      <c r="CE243" s="87">
        <f>'Raw Data'!CE244/10</f>
        <v>16.3</v>
      </c>
      <c r="CF243" s="87">
        <f>'Raw Data'!CF244/10</f>
        <v>15.8</v>
      </c>
      <c r="CG243" s="87">
        <f>'Raw Data'!CG244/100</f>
        <v>14.55</v>
      </c>
      <c r="CH243" s="87">
        <f>'Raw Data'!CH244/100</f>
        <v>14.2</v>
      </c>
      <c r="CI243" s="87">
        <f>'Raw Data'!CI244/100</f>
        <v>13.96</v>
      </c>
      <c r="CJ243" s="87">
        <f>'Raw Data'!CJ244/100</f>
        <v>13.45</v>
      </c>
      <c r="CK243" s="87">
        <f>'Raw Data'!CK244/100</f>
        <v>12.94</v>
      </c>
      <c r="CL243" s="87">
        <f>'Raw Data'!CL244/100</f>
        <v>12.95</v>
      </c>
      <c r="CM243" s="87">
        <f>'Raw Data'!CM244/100</f>
        <v>13.17</v>
      </c>
      <c r="CN243" s="87">
        <f>'Raw Data'!CN244/100</f>
        <v>12.66</v>
      </c>
      <c r="CO243" s="87">
        <f>'Raw Data'!CO244/100</f>
        <v>12.83</v>
      </c>
      <c r="CP243" s="87">
        <f>'Raw Data'!CP244/100</f>
        <v>12.49</v>
      </c>
      <c r="CQ243" s="87">
        <f>'Raw Data'!CQ244/100</f>
        <v>12.54</v>
      </c>
      <c r="CR243" s="87">
        <f>'Raw Data'!CR244/100</f>
        <v>12.49</v>
      </c>
      <c r="CS243" s="87">
        <f>'Raw Data'!CS244/100</f>
        <v>12.13</v>
      </c>
      <c r="CT243" s="87">
        <f>'Raw Data'!CT244/100</f>
        <v>12.71</v>
      </c>
      <c r="CU243" s="382"/>
    </row>
    <row r="244" spans="4:99" s="75" customFormat="1" x14ac:dyDescent="0.2">
      <c r="D244"/>
      <c r="E244"/>
      <c r="F244" s="41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</row>
    <row r="301" ht="12" hidden="1" customHeight="1" x14ac:dyDescent="0.2"/>
    <row r="302" ht="12" hidden="1" customHeight="1" x14ac:dyDescent="0.2"/>
    <row r="303" ht="12" hidden="1" customHeight="1" x14ac:dyDescent="0.2"/>
    <row r="304" ht="12" hidden="1" customHeight="1" x14ac:dyDescent="0.2"/>
    <row r="305" ht="12" hidden="1" customHeight="1" x14ac:dyDescent="0.2"/>
    <row r="306" ht="12" hidden="1" customHeight="1" x14ac:dyDescent="0.2"/>
    <row r="307" ht="12" hidden="1" customHeight="1" x14ac:dyDescent="0.2"/>
    <row r="308" ht="12" hidden="1" customHeight="1" x14ac:dyDescent="0.2"/>
    <row r="309" ht="12" hidden="1" customHeight="1" x14ac:dyDescent="0.2"/>
    <row r="310" ht="12" hidden="1" customHeight="1" x14ac:dyDescent="0.2"/>
    <row r="311" ht="12" hidden="1" customHeight="1" x14ac:dyDescent="0.2"/>
    <row r="312" ht="12" hidden="1" customHeight="1" x14ac:dyDescent="0.2"/>
    <row r="313" ht="12" hidden="1" customHeight="1" x14ac:dyDescent="0.2"/>
    <row r="314" ht="12" hidden="1" customHeight="1" x14ac:dyDescent="0.2"/>
    <row r="315" ht="12" hidden="1" customHeight="1" x14ac:dyDescent="0.2"/>
    <row r="316" ht="12" hidden="1" customHeight="1" x14ac:dyDescent="0.2"/>
    <row r="317" ht="12" hidden="1" customHeight="1" x14ac:dyDescent="0.2"/>
    <row r="318" ht="12" hidden="1" customHeight="1" x14ac:dyDescent="0.2"/>
    <row r="319" ht="12" hidden="1" customHeight="1" x14ac:dyDescent="0.2"/>
    <row r="320" ht="12.75" hidden="1" customHeight="1" thickBot="1" x14ac:dyDescent="0.25"/>
  </sheetData>
  <pageMargins left="0.75" right="0.75" top="1" bottom="1" header="0.5" footer="0.5"/>
  <pageSetup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147"/>
  <sheetViews>
    <sheetView tabSelected="1" zoomScaleNormal="100" workbookViewId="0">
      <pane xSplit="1" topLeftCell="Y1" activePane="topRight" state="frozenSplit"/>
      <selection activeCell="A28" sqref="A28"/>
      <selection pane="topRight" activeCell="AI29" sqref="AI29"/>
    </sheetView>
  </sheetViews>
  <sheetFormatPr defaultColWidth="11.1640625" defaultRowHeight="12" x14ac:dyDescent="0.2"/>
  <cols>
    <col min="1" max="1" width="17.1640625" bestFit="1" customWidth="1"/>
    <col min="2" max="3" width="8.6640625" customWidth="1"/>
    <col min="4" max="4" width="8.33203125" customWidth="1"/>
    <col min="5" max="5" width="6" customWidth="1"/>
    <col min="6" max="7" width="6.33203125" customWidth="1"/>
    <col min="8" max="8" width="6.83203125" customWidth="1"/>
    <col min="9" max="10" width="7" customWidth="1"/>
    <col min="11" max="15" width="5.6640625" style="101" customWidth="1"/>
    <col min="16" max="16" width="6.1640625" style="101" customWidth="1"/>
    <col min="17" max="17" width="6.83203125" customWidth="1"/>
    <col min="18" max="18" width="11.1640625" hidden="1" customWidth="1"/>
    <col min="19" max="19" width="7.5" customWidth="1"/>
    <col min="20" max="20" width="8.5" customWidth="1"/>
    <col min="21" max="21" width="7.1640625" customWidth="1"/>
    <col min="22" max="22" width="8" bestFit="1" customWidth="1"/>
    <col min="23" max="24" width="7.33203125" customWidth="1"/>
    <col min="25" max="25" width="5.6640625" style="101" customWidth="1"/>
    <col min="26" max="26" width="6.33203125" style="101" customWidth="1"/>
    <col min="27" max="27" width="6" style="101" customWidth="1"/>
    <col min="28" max="28" width="6.83203125" style="101" customWidth="1"/>
    <col min="29" max="29" width="6.33203125" style="101" customWidth="1"/>
    <col min="30" max="30" width="6.83203125" style="101" customWidth="1"/>
    <col min="31" max="31" width="8.6640625" style="101" customWidth="1"/>
    <col min="32" max="32" width="11.33203125" bestFit="1" customWidth="1"/>
    <col min="33" max="33" width="13.1640625" customWidth="1"/>
    <col min="34" max="34" width="14.6640625" customWidth="1"/>
    <col min="35" max="35" width="12" customWidth="1"/>
    <col min="36" max="36" width="14.83203125" customWidth="1"/>
    <col min="37" max="37" width="11.1640625" customWidth="1"/>
    <col min="38" max="38" width="11.5" customWidth="1"/>
    <col min="39" max="39" width="11" customWidth="1"/>
    <col min="40" max="40" width="10.33203125" bestFit="1" customWidth="1"/>
    <col min="41" max="42" width="11.1640625" style="2" customWidth="1"/>
    <col min="43" max="43" width="11.6640625" style="2" customWidth="1"/>
    <col min="44" max="44" width="10.33203125" style="2" customWidth="1"/>
    <col min="45" max="45" width="9.1640625" style="2" customWidth="1"/>
    <col min="46" max="46" width="10.33203125" style="2" customWidth="1"/>
    <col min="47" max="47" width="9.83203125" style="2" customWidth="1"/>
    <col min="48" max="48" width="13.5" style="2" customWidth="1"/>
    <col min="49" max="49" width="7.5" style="2" customWidth="1"/>
    <col min="50" max="50" width="7.33203125" style="2" customWidth="1"/>
    <col min="51" max="51" width="9.1640625" style="2" bestFit="1" customWidth="1"/>
    <col min="52" max="52" width="16" style="2" customWidth="1"/>
    <col min="53" max="53" width="14.1640625" style="2" customWidth="1"/>
    <col min="54" max="55" width="11.1640625" style="2" customWidth="1"/>
    <col min="56" max="56" width="10" customWidth="1"/>
    <col min="57" max="57" width="7.83203125" bestFit="1" customWidth="1"/>
    <col min="58" max="58" width="10.5" customWidth="1"/>
    <col min="59" max="59" width="13" bestFit="1" customWidth="1"/>
    <col min="60" max="60" width="7.6640625" customWidth="1"/>
    <col min="61" max="61" width="8.33203125" customWidth="1"/>
    <col min="62" max="62" width="8" customWidth="1"/>
    <col min="63" max="63" width="9" customWidth="1"/>
    <col min="64" max="64" width="14.33203125" customWidth="1"/>
    <col min="65" max="65" width="11.1640625" customWidth="1"/>
    <col min="66" max="66" width="9.5" customWidth="1"/>
    <col min="67" max="67" width="7.6640625" bestFit="1" customWidth="1"/>
    <col min="68" max="68" width="9.33203125" bestFit="1" customWidth="1"/>
    <col min="69" max="69" width="5.6640625" bestFit="1" customWidth="1"/>
    <col min="70" max="70" width="8.5" bestFit="1" customWidth="1"/>
    <col min="71" max="71" width="13" bestFit="1" customWidth="1"/>
    <col min="72" max="72" width="13.6640625" bestFit="1" customWidth="1"/>
    <col min="73" max="73" width="11.1640625" customWidth="1"/>
    <col min="74" max="74" width="9.1640625" customWidth="1"/>
    <col min="75" max="75" width="9" customWidth="1"/>
    <col min="76" max="76" width="9.5" bestFit="1" customWidth="1"/>
    <col min="77" max="77" width="7.6640625" bestFit="1" customWidth="1"/>
    <col min="78" max="78" width="6.6640625" bestFit="1" customWidth="1"/>
    <col min="79" max="79" width="13.83203125" bestFit="1" customWidth="1"/>
    <col min="80" max="80" width="13.6640625" bestFit="1" customWidth="1"/>
    <col min="81" max="81" width="11.1640625" customWidth="1"/>
    <col min="82" max="82" width="9.5" customWidth="1"/>
    <col min="83" max="83" width="9" customWidth="1"/>
    <col min="84" max="84" width="7.33203125" bestFit="1" customWidth="1"/>
    <col min="85" max="85" width="7.6640625" bestFit="1" customWidth="1"/>
    <col min="86" max="86" width="6.6640625" bestFit="1" customWidth="1"/>
    <col min="87" max="87" width="13" bestFit="1" customWidth="1"/>
    <col min="88" max="88" width="13.6640625" bestFit="1" customWidth="1"/>
    <col min="89" max="90" width="11.1640625" customWidth="1"/>
    <col min="91" max="92" width="9.83203125" customWidth="1"/>
    <col min="93" max="93" width="8.5" customWidth="1"/>
    <col min="94" max="94" width="13.83203125" bestFit="1" customWidth="1"/>
    <col min="95" max="95" width="9.1640625" customWidth="1"/>
    <col min="96" max="96" width="7.1640625" customWidth="1"/>
    <col min="97" max="97" width="13.33203125" customWidth="1"/>
    <col min="98" max="98" width="9.5" customWidth="1"/>
    <col min="99" max="99" width="7.5" customWidth="1"/>
    <col min="100" max="100" width="13.1640625" customWidth="1"/>
    <col min="101" max="101" width="9.5" customWidth="1"/>
    <col min="102" max="102" width="7" customWidth="1"/>
    <col min="103" max="103" width="13.5" customWidth="1"/>
    <col min="104" max="104" width="9.6640625" customWidth="1"/>
    <col min="105" max="105" width="7.33203125" customWidth="1"/>
    <col min="106" max="106" width="13.83203125" customWidth="1"/>
    <col min="107" max="107" width="9.5" customWidth="1"/>
    <col min="108" max="108" width="8" customWidth="1"/>
    <col min="109" max="109" width="12.1640625" customWidth="1"/>
  </cols>
  <sheetData>
    <row r="1" spans="1:109" ht="13.5" thickBot="1" x14ac:dyDescent="0.25">
      <c r="B1" s="49"/>
      <c r="C1" s="175"/>
      <c r="D1" s="175"/>
      <c r="E1" s="181" t="s">
        <v>140</v>
      </c>
      <c r="F1" s="182"/>
      <c r="G1" s="182"/>
      <c r="H1" s="182"/>
      <c r="I1" s="182"/>
      <c r="J1" s="182"/>
      <c r="K1" s="183"/>
      <c r="L1" s="183"/>
      <c r="M1" s="183"/>
      <c r="N1" s="183"/>
      <c r="O1" s="177"/>
      <c r="P1" s="178"/>
      <c r="Q1" s="176" t="s">
        <v>60</v>
      </c>
      <c r="R1" s="175"/>
      <c r="S1" s="175"/>
      <c r="T1" s="175"/>
      <c r="U1" s="175"/>
      <c r="V1" s="175"/>
      <c r="W1" s="175"/>
      <c r="X1" s="175"/>
      <c r="Y1" s="177"/>
      <c r="Z1" s="177"/>
      <c r="AA1" s="177"/>
      <c r="AB1" s="177"/>
      <c r="AC1" s="177"/>
      <c r="AD1" s="177"/>
      <c r="AE1" s="177"/>
      <c r="AF1" s="332" t="s">
        <v>90</v>
      </c>
      <c r="AG1" s="333" t="s">
        <v>62</v>
      </c>
      <c r="AH1" s="333" t="s">
        <v>81</v>
      </c>
      <c r="AI1" s="334"/>
      <c r="AJ1" s="335" t="s">
        <v>92</v>
      </c>
      <c r="AK1" s="335"/>
      <c r="AL1" s="333" t="s">
        <v>65</v>
      </c>
      <c r="AM1" s="333" t="s">
        <v>83</v>
      </c>
      <c r="AN1" s="333" t="s">
        <v>71</v>
      </c>
      <c r="AO1" s="333" t="s">
        <v>86</v>
      </c>
      <c r="AP1" s="336" t="s">
        <v>32</v>
      </c>
      <c r="AQ1" s="337" t="s">
        <v>87</v>
      </c>
      <c r="AR1" s="337"/>
      <c r="AS1" s="227" t="s">
        <v>76</v>
      </c>
      <c r="AT1" s="228"/>
      <c r="AU1" s="228"/>
      <c r="AV1" s="228"/>
      <c r="AW1" s="229"/>
      <c r="AX1" s="230" t="s">
        <v>12</v>
      </c>
      <c r="AY1" s="315">
        <v>500</v>
      </c>
      <c r="AZ1" s="231" t="s">
        <v>49</v>
      </c>
      <c r="BA1" s="232" t="s">
        <v>30</v>
      </c>
      <c r="BB1" s="232" t="s">
        <v>30</v>
      </c>
      <c r="BC1" s="233" t="s">
        <v>30</v>
      </c>
      <c r="BD1" s="220" t="s">
        <v>77</v>
      </c>
      <c r="BE1" s="221"/>
      <c r="BF1" s="222"/>
      <c r="BG1" s="221"/>
      <c r="BH1" s="222"/>
      <c r="BI1" s="222"/>
      <c r="BJ1" s="222"/>
      <c r="BK1" s="222"/>
      <c r="BL1" s="223" t="s">
        <v>49</v>
      </c>
      <c r="BM1" s="257" t="s">
        <v>30</v>
      </c>
      <c r="BN1" s="213" t="s">
        <v>40</v>
      </c>
      <c r="BO1" s="214"/>
      <c r="BP1" s="214"/>
      <c r="BQ1" s="215" t="s">
        <v>44</v>
      </c>
      <c r="BR1" s="215" t="s">
        <v>35</v>
      </c>
      <c r="BS1" s="215"/>
      <c r="BT1" s="216" t="s">
        <v>49</v>
      </c>
      <c r="BU1" s="208" t="s">
        <v>146</v>
      </c>
      <c r="BV1" s="209"/>
      <c r="BW1" s="210"/>
      <c r="BX1" s="210" t="s">
        <v>45</v>
      </c>
      <c r="BY1" s="209"/>
      <c r="BZ1" s="209"/>
      <c r="CA1" s="211"/>
      <c r="CB1" s="212" t="s">
        <v>49</v>
      </c>
      <c r="CC1" s="269" t="s">
        <v>147</v>
      </c>
      <c r="CD1" s="161"/>
      <c r="CE1" s="314"/>
      <c r="CF1" s="161" t="s">
        <v>45</v>
      </c>
      <c r="CG1" s="161"/>
      <c r="CH1" s="161"/>
      <c r="CI1" s="161"/>
      <c r="CJ1" s="270" t="s">
        <v>49</v>
      </c>
      <c r="CM1" s="275" t="s">
        <v>141</v>
      </c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6"/>
      <c r="CY1" s="276"/>
      <c r="CZ1" s="276"/>
      <c r="DA1" s="276"/>
      <c r="DB1" s="276"/>
      <c r="DC1" s="276"/>
      <c r="DD1" s="276"/>
      <c r="DE1" s="277" t="s">
        <v>117</v>
      </c>
    </row>
    <row r="2" spans="1:109" ht="13.5" x14ac:dyDescent="0.25">
      <c r="B2" s="184" t="s">
        <v>104</v>
      </c>
      <c r="C2" s="171" t="s">
        <v>105</v>
      </c>
      <c r="D2" s="171" t="s">
        <v>106</v>
      </c>
      <c r="E2" s="172" t="s">
        <v>25</v>
      </c>
      <c r="F2" s="171" t="s">
        <v>5</v>
      </c>
      <c r="G2" s="171" t="s">
        <v>6</v>
      </c>
      <c r="H2" s="171" t="s">
        <v>7</v>
      </c>
      <c r="I2" s="171" t="s">
        <v>8</v>
      </c>
      <c r="J2" s="171" t="s">
        <v>28</v>
      </c>
      <c r="K2" s="171" t="s">
        <v>108</v>
      </c>
      <c r="L2" s="171" t="s">
        <v>108</v>
      </c>
      <c r="M2" s="171" t="s">
        <v>108</v>
      </c>
      <c r="N2" s="268" t="s">
        <v>108</v>
      </c>
      <c r="O2" s="171" t="s">
        <v>108</v>
      </c>
      <c r="P2" s="185" t="s">
        <v>108</v>
      </c>
      <c r="Q2" s="179" t="s">
        <v>4</v>
      </c>
      <c r="R2" s="173"/>
      <c r="S2" s="171" t="s">
        <v>11</v>
      </c>
      <c r="T2" s="171" t="s">
        <v>109</v>
      </c>
      <c r="U2" s="171" t="s">
        <v>110</v>
      </c>
      <c r="V2" s="171" t="s">
        <v>111</v>
      </c>
      <c r="W2" s="171" t="s">
        <v>114</v>
      </c>
      <c r="X2" s="171" t="s">
        <v>113</v>
      </c>
      <c r="Y2" s="171" t="s">
        <v>4</v>
      </c>
      <c r="Z2" s="171" t="s">
        <v>11</v>
      </c>
      <c r="AA2" s="174" t="s">
        <v>109</v>
      </c>
      <c r="AB2" s="174" t="s">
        <v>110</v>
      </c>
      <c r="AC2" s="174" t="s">
        <v>111</v>
      </c>
      <c r="AD2" s="174" t="s">
        <v>112</v>
      </c>
      <c r="AE2" s="174" t="s">
        <v>113</v>
      </c>
      <c r="AF2" s="338" t="s">
        <v>24</v>
      </c>
      <c r="AG2" s="339" t="s">
        <v>63</v>
      </c>
      <c r="AH2" s="339" t="s">
        <v>82</v>
      </c>
      <c r="AI2" s="339" t="s">
        <v>61</v>
      </c>
      <c r="AJ2" s="339" t="s">
        <v>93</v>
      </c>
      <c r="AK2" s="339" t="s">
        <v>134</v>
      </c>
      <c r="AL2" s="339" t="s">
        <v>64</v>
      </c>
      <c r="AM2" s="339" t="s">
        <v>84</v>
      </c>
      <c r="AN2" s="339" t="s">
        <v>70</v>
      </c>
      <c r="AO2" s="339" t="s">
        <v>33</v>
      </c>
      <c r="AP2" s="340" t="s">
        <v>33</v>
      </c>
      <c r="AQ2" s="341" t="s">
        <v>69</v>
      </c>
      <c r="AR2" s="342" t="s">
        <v>16</v>
      </c>
      <c r="AS2" s="235" t="s">
        <v>99</v>
      </c>
      <c r="AT2" s="236" t="s">
        <v>16</v>
      </c>
      <c r="AU2" s="237" t="s">
        <v>26</v>
      </c>
      <c r="AV2" s="237" t="s">
        <v>66</v>
      </c>
      <c r="AW2" s="238" t="s">
        <v>34</v>
      </c>
      <c r="AX2" s="238" t="s">
        <v>35</v>
      </c>
      <c r="AY2" s="238" t="s">
        <v>27</v>
      </c>
      <c r="AZ2" s="238" t="s">
        <v>48</v>
      </c>
      <c r="BA2" s="239" t="s">
        <v>15</v>
      </c>
      <c r="BB2" s="239" t="s">
        <v>10</v>
      </c>
      <c r="BC2" s="240" t="s">
        <v>29</v>
      </c>
      <c r="BD2" s="241" t="s">
        <v>75</v>
      </c>
      <c r="BE2" s="242" t="s">
        <v>16</v>
      </c>
      <c r="BF2" s="259" t="s">
        <v>26</v>
      </c>
      <c r="BG2" s="259" t="s">
        <v>66</v>
      </c>
      <c r="BH2" s="244" t="s">
        <v>34</v>
      </c>
      <c r="BI2" s="244" t="s">
        <v>35</v>
      </c>
      <c r="BJ2" s="244" t="s">
        <v>27</v>
      </c>
      <c r="BK2" s="243" t="s">
        <v>59</v>
      </c>
      <c r="BL2" s="244" t="s">
        <v>48</v>
      </c>
      <c r="BM2" s="258" t="s">
        <v>31</v>
      </c>
      <c r="BN2" s="245" t="s">
        <v>75</v>
      </c>
      <c r="BO2" s="246" t="s">
        <v>43</v>
      </c>
      <c r="BP2" s="247" t="s">
        <v>26</v>
      </c>
      <c r="BQ2" s="248" t="s">
        <v>42</v>
      </c>
      <c r="BR2" s="248" t="s">
        <v>41</v>
      </c>
      <c r="BS2" s="255" t="s">
        <v>66</v>
      </c>
      <c r="BT2" s="249" t="s">
        <v>48</v>
      </c>
      <c r="BU2" s="250" t="s">
        <v>75</v>
      </c>
      <c r="BV2" s="251" t="s">
        <v>43</v>
      </c>
      <c r="BW2" s="252" t="s">
        <v>26</v>
      </c>
      <c r="BX2" s="253" t="s">
        <v>44</v>
      </c>
      <c r="BY2" s="253" t="s">
        <v>35</v>
      </c>
      <c r="BZ2" s="253" t="s">
        <v>27</v>
      </c>
      <c r="CA2" s="256" t="s">
        <v>66</v>
      </c>
      <c r="CB2" s="254" t="s">
        <v>48</v>
      </c>
      <c r="CC2" s="271" t="s">
        <v>69</v>
      </c>
      <c r="CD2" s="272" t="s">
        <v>43</v>
      </c>
      <c r="CE2" s="273" t="s">
        <v>26</v>
      </c>
      <c r="CF2" s="162" t="s">
        <v>44</v>
      </c>
      <c r="CG2" s="162" t="s">
        <v>35</v>
      </c>
      <c r="CH2" s="162" t="s">
        <v>27</v>
      </c>
      <c r="CI2" s="162" t="s">
        <v>66</v>
      </c>
      <c r="CJ2" s="274" t="s">
        <v>48</v>
      </c>
      <c r="CK2" s="6"/>
      <c r="CM2" s="281" t="s">
        <v>99</v>
      </c>
      <c r="CN2" s="278" t="s">
        <v>118</v>
      </c>
      <c r="CO2" s="278" t="s">
        <v>119</v>
      </c>
      <c r="CP2" s="279" t="s">
        <v>120</v>
      </c>
      <c r="CQ2" s="278" t="s">
        <v>121</v>
      </c>
      <c r="CR2" s="278" t="s">
        <v>122</v>
      </c>
      <c r="CS2" s="279" t="s">
        <v>66</v>
      </c>
      <c r="CT2" s="278" t="s">
        <v>121</v>
      </c>
      <c r="CU2" s="278" t="s">
        <v>122</v>
      </c>
      <c r="CV2" s="279" t="s">
        <v>123</v>
      </c>
      <c r="CW2" s="278" t="s">
        <v>121</v>
      </c>
      <c r="CX2" s="278" t="s">
        <v>122</v>
      </c>
      <c r="CY2" s="279" t="s">
        <v>124</v>
      </c>
      <c r="CZ2" s="278" t="s">
        <v>121</v>
      </c>
      <c r="DA2" s="278" t="s">
        <v>122</v>
      </c>
      <c r="DB2" s="279" t="s">
        <v>125</v>
      </c>
      <c r="DC2" s="278" t="s">
        <v>121</v>
      </c>
      <c r="DD2" s="278" t="s">
        <v>122</v>
      </c>
      <c r="DE2" s="280" t="s">
        <v>126</v>
      </c>
    </row>
    <row r="3" spans="1:109" x14ac:dyDescent="0.2">
      <c r="A3" t="str">
        <f>'Raw Data'!$B303</f>
        <v>pIRIR01f_rdx1_d30</v>
      </c>
      <c r="B3" s="186">
        <f>'Raw Data'!B5</f>
        <v>30</v>
      </c>
      <c r="C3" s="197" t="s">
        <v>171</v>
      </c>
      <c r="D3" s="198" t="s">
        <v>107</v>
      </c>
      <c r="E3" s="170">
        <f>'Raw Data'!E6/'Raw Data'!E6</f>
        <v>1</v>
      </c>
      <c r="F3" s="170">
        <f>'Raw Data'!E8/'Raw Data'!E6</f>
        <v>0.68918594743938655</v>
      </c>
      <c r="G3" s="170">
        <f>'Raw Data'!E10/'Raw Data'!E6</f>
        <v>0.87573724656503082</v>
      </c>
      <c r="H3" s="170">
        <f>'Raw Data'!E12/'Raw Data'!E6</f>
        <v>0.92296238698310029</v>
      </c>
      <c r="I3" s="170">
        <f>'Raw Data'!E14/'Raw Data'!E6</f>
        <v>0.89634292615539868</v>
      </c>
      <c r="J3" s="170">
        <f>'Raw Data'!E16/'Raw Data'!E6</f>
        <v>0.94963975216934549</v>
      </c>
      <c r="K3" s="168">
        <f>'Raw Data'!E6/'Raw Data'!E6</f>
        <v>1</v>
      </c>
      <c r="L3" s="168">
        <f>SQRT(('Raw Data'!$F8/'Raw Data'!$E8)^2+('Raw Data'!$F6/'Raw Data'!$E6)^2)*F3</f>
        <v>4.6660241656185956E-3</v>
      </c>
      <c r="M3" s="168">
        <f>SQRT(('Raw Data'!$F10/'Raw Data'!$E10)^2+('Raw Data'!$F6/'Raw Data'!$E6)^2)*G3</f>
        <v>5.593696889801378E-3</v>
      </c>
      <c r="N3" s="168">
        <f>SQRT(('Raw Data'!$F12/'Raw Data'!$E12)^2+('Raw Data'!$F6/'Raw Data'!$E6)^2)*H3</f>
        <v>5.8605097962991315E-3</v>
      </c>
      <c r="O3" s="168">
        <f>SQRT(('Raw Data'!$F14/'Raw Data'!$E14)^2+('Raw Data'!$F6/'Raw Data'!$E6)^2)*I3</f>
        <v>5.6145357923874789E-3</v>
      </c>
      <c r="P3" s="187">
        <f>SQRT(('Raw Data'!$F16/'Raw Data'!$E16)^2+('Raw Data'!$F6/'Raw Data'!$E6)^2)*J3</f>
        <v>5.9006031593299589E-3</v>
      </c>
      <c r="Q3" s="180">
        <f>'Raw Data'!E5</f>
        <v>22262.15</v>
      </c>
      <c r="R3" s="98">
        <f>'Raw Data'!F5</f>
        <v>48.479246174238881</v>
      </c>
      <c r="S3" s="145">
        <f>'Raw Data'!E6</f>
        <v>6044.45</v>
      </c>
      <c r="T3" s="145">
        <f>'Raw Data'!E7*$E3/F3</f>
        <v>11764.459258236811</v>
      </c>
      <c r="U3" s="145">
        <f>'Raw Data'!E9*$E3/G3</f>
        <v>21389.749121066998</v>
      </c>
      <c r="V3" s="145">
        <f>'Raw Data'!E11*$E3/H3</f>
        <v>30992.595585072057</v>
      </c>
      <c r="W3" s="145">
        <f>'Raw Data'!E13*$E3/I3</f>
        <v>0.11156444378818363</v>
      </c>
      <c r="X3" s="145">
        <f>'Raw Data'!E15*$E3/J3</f>
        <v>12988.293689079363</v>
      </c>
      <c r="Y3" s="168">
        <f>'Raw Data'!F5</f>
        <v>48.479246174238881</v>
      </c>
      <c r="Z3" s="168">
        <f>'Raw Data'!F6</f>
        <v>26.241570612284679</v>
      </c>
      <c r="AA3" s="169">
        <f>SQRT(('Raw Data'!F7/'Raw Data'!E7)^2+(L3/F3)^2)*T3</f>
        <v>90.395173142927035</v>
      </c>
      <c r="AB3" s="169">
        <f>SQRT(('Raw Data'!F9/'Raw Data'!E9)^2+(M3/E3)^2)*U3</f>
        <v>130.10514538210182</v>
      </c>
      <c r="AC3" s="169">
        <f>SQRT(('Raw Data'!F11/'Raw Data'!E11)^2+(N3/H3)^2)*V3</f>
        <v>205.68654087399199</v>
      </c>
      <c r="AD3" s="169">
        <f>SQRT(('Raw Data'!F13/'Raw Data'!E13)^2+(O3/I3)^2)*W3</f>
        <v>5.3660665830238878</v>
      </c>
      <c r="AE3" s="169">
        <f>SQRT(('Raw Data'!F15/'Raw Data'!E15)^2+(P3/J3)^2)*X3</f>
        <v>89.362854614631587</v>
      </c>
      <c r="AF3" s="343">
        <f t="shared" ref="AF3:AF22" si="0">X3/T3</f>
        <v>1.1040281073680196</v>
      </c>
      <c r="AG3" s="170">
        <f t="shared" ref="AG3:AG22" si="1">ABS(1-AF3)/SQRT(1/T3+1/X3)</f>
        <v>8.1733666001097482</v>
      </c>
      <c r="AH3" s="170">
        <f>100*W3/Q3</f>
        <v>5.0113957451631403E-4</v>
      </c>
      <c r="AI3" s="170">
        <f>AQ3/V23</f>
        <v>0.66860779637172429</v>
      </c>
      <c r="AJ3" s="68" t="e">
        <f>((AVERAGE('Raw Data'!G5:'Raw Data'!H5)-AVERAGE(INDEX('Raw Data'!G5:IV5,MATCH(ROUND($AR$41*10-1,0),'Raw Data'!$G$4:$IV$4,0)):INDEX('Raw Data'!G5:IV5,MATCH(ROUND($AR$41*10+1,0),'Raw Data'!$G$4:$IV$4,0))))/(AVERAGE(INDEX('Raw Data'!G5:IV5,MATCH(ROUND($AR$41*10-1,0),'Raw Data'!$G$4:$IV$4,0)):INDEX('Raw Data'!G5:IV5,MATCH(ROUND($AR$41*10+1,0),'Raw Data'!$G$4:$IV$4,0)))-AVERAGE(INDEX('Raw Data'!G5:IV5,MATCH(ROUND($AR$42*10,0),'Raw Data'!$G$4:$IV$4,0)):INDEX('Raw Data'!G5:IV5,MATCH(ROUND(IF($AR$43&gt;25,25,$AR$43)*10,0),'Raw Data'!$G$4:$IV$4,0)))))</f>
        <v>#N/A</v>
      </c>
      <c r="AK3" s="68" t="s">
        <v>161</v>
      </c>
      <c r="AL3" s="321">
        <f>S3/($AW3*(1-EXP(-$AX3*($S23+$AY3))))</f>
        <v>1.1790220918790404</v>
      </c>
      <c r="AM3" s="324">
        <f>('Raw Data'!G12/'Raw Data'!H12)/('Raw Data'!G5/'Raw Data'!H5)</f>
        <v>0.9997518305693569</v>
      </c>
      <c r="AN3" s="321">
        <f>100*AR3/AQ3</f>
        <v>6.8992121068874628</v>
      </c>
      <c r="AO3" s="145">
        <f>'Sig-Dose Plt'!Q4*'TD Plts'!Y4*'Signals Plt'!Y4</f>
        <v>1</v>
      </c>
      <c r="AP3" s="285">
        <v>1</v>
      </c>
      <c r="AQ3" s="56">
        <f>CHOOSE('Sig-Dose Plt'!R4,Regression!BN3,Regression!BU3,CC3,Regression!AS3,Regression!BD3)</f>
        <v>562.24254786781216</v>
      </c>
      <c r="AR3" s="57">
        <f>CHOOSE('Sig-Dose Plt'!R4,Regression!BO3,Regression!BV3,CC3*0.1,Regression!AT3,Regression!BE3)</f>
        <v>38.790305932568636</v>
      </c>
      <c r="AS3" s="224">
        <f t="shared" ref="AS3:AS22" si="2">-LN(1-Q3/$AW3)/$AX3-$AY3</f>
        <v>562.24254786781216</v>
      </c>
      <c r="AT3" s="224">
        <f t="shared" ref="AT3:AT22" si="3">TINV($AS$36/2,SUM($T$44:$X$44)-2)*SQRT((($T$44*($T23+LN(1-$T3/$AW3)/$AX3+$AY3)^2+$U$44*($U23+LN(1-$U3/$AW3)/$AX3+$AY3)^2+$V$44*($V23+LN(1-$V3/$AW3)/$AX3+$AY3)^2+$W$44*($W23+LN(1-$W3/$AW3)/$AX3+$AY3)^2+$X$44*($X23+LN(1-$X3/$AW3)/$AX3+$AY3)^2)/(SUM($T$44:$X$44)-2))*(1/SUM($T$44:$X$44)+(($Q3-SUM($T3*$T$44,$U3*$U$44,$V3*$U$44,$W3*$W$44,$X3*$X$44)/SUM($T$44:$X$44))^2/(($T3-SUM($T3*$T$44,$U3*$U$44,$V3*$U$44,$W3*$W$44,$X3*$X$44)/SUM($T$44:$X$44))^2+($U3-SUM($T3*$T$44,$U3*$U$44,$V3*$U$44,$W3*$W$44,$X3*$X$44)/SUM($T$44:$X$44))^2+($V3-SUM($T3*$T$44,$U3*$U$44,$V3*$U$44,$W3*$W$44,$X3*$X$44)/SUM($T$44:$X$44))^2+($W3-SUM($T3*$T$44,$U3*$U$44,$V3*$U$44,$W3*$W$44,$X3*$X$44)/SUM($T$44:$X$44))^2+($X3-SUM($T3*$T$44,$U3*$U$44,$V3*$U$44,$W3*$W$44,$X3*$X$44)/SUM($T$44:$X$44))^2))))</f>
        <v>38.790305932568636</v>
      </c>
      <c r="AU3" s="225">
        <f t="shared" ref="AU3:AU22" si="4">1-$AZ3/SUM(($T3-AVERAGE($T3:$X3))^2,($U3-AVERAGE($T3:$X3))^2,($V3-AVERAGE($T3:$X3))^2,($W3-AVERAGE($T3:$X3))^2,($X3-AVERAGE($T3:$X3))^2)</f>
        <v>0.9967869647791332</v>
      </c>
      <c r="AV3" s="205">
        <f t="shared" ref="AV3:AV22" si="5">-LN(1-U3/$AW3)/$AX3-$AY3</f>
        <v>535.74649665264303</v>
      </c>
      <c r="AW3" s="219">
        <v>71206.160642319301</v>
      </c>
      <c r="AX3" s="218">
        <v>6.6679647356592399E-4</v>
      </c>
      <c r="AY3" s="218">
        <v>1.480955434247355E-3</v>
      </c>
      <c r="AZ3" s="219">
        <f t="shared" ref="AZ3:AZ22" si="6">SUM((($T3-AW3*(1-EXP(-AX3*($T23+AY3))))^2)*$T$44,(($U3-AW3*(1-EXP(-AX3*($U23+AY3))))^2)*$U$44,(($V3-AW3*(1-EXP(-AX3*($V23+AY3))))^2)*$V$44,(($W3-AW3*(1-EXP(-AX3*($W23+AY3))))^2)*$W$44,(($X3-AW3*(1-EXP(-AX3*($X23+AY3))))^2)*$X$44)</f>
        <v>1719592.4261801683</v>
      </c>
      <c r="BA3" s="234"/>
      <c r="BB3" s="234"/>
      <c r="BC3" s="226" t="str">
        <f>IF(AS3&gt;MAX(Q23:X23),"&gt; Max. Dose","")</f>
        <v/>
      </c>
      <c r="BD3" s="69">
        <f t="shared" ref="BD3:BD22" si="7">CM3</f>
        <v>583.17872421600964</v>
      </c>
      <c r="BE3" s="224">
        <f t="shared" ref="BE3:BE22" si="8">TINV($AS$36/2,SUM($T$44:$X$44)-2)*SQRT((($T$44*($T23-$CP3)^2+$U$44*($U23-$CS3)^2+$V$44*($V23-$CV3)^2+$W$44*($W23-$CY3)^2+$X$44*($X23-$DB3)^2)/(SUM($T$44:$X$44)-2))*(1/SUM($T$44:$X$44)+(($Q3-SUM($T3*$T$44,$U3*$U$44,$V3*$V$44,$W3*$W$44,$X3*$X$44))^2/(($T3-SUM($T3*$T$44,$U3*$U$44,$V3*$V$44,$W3*$W$44,$X3*$X$44))^2+($U3-SUM($T3*$T$44,$U3*$U$44,$V3*$V$44,$W3*$W$44,$X3*$X$44))^2+($V3-SUM($T3*$T$44,$U3*$U$44,$V3*$V$44,$W3*$W$44,$X3*$X$44))^2+($W3-SUM($T3*$T$44,$U3*$U$44,$V3*$V$44,$W3*$W$44,$X3*$X$44))^2+($X3-SUM($T3*$T$44,$U3*$U$44,$V3*$V$44,$W3*$W$44,$X3*$X$44))^2))))</f>
        <v>81.957013698649703</v>
      </c>
      <c r="BF3" s="225">
        <f t="shared" ref="BF3:BF22" si="9">1-$BL3/SUM(($T3-AVERAGE($T3:$X3))^2,($U3-AVERAGE($T3:$X3))^2,($V3-AVERAGE($T3:$X3))^2,($W3-AVERAGE($T3:$X3))^2,($X3-AVERAGE($T3:$X3))^2)</f>
        <v>0.9858190420398496</v>
      </c>
      <c r="BG3" s="205">
        <f t="shared" ref="BG3:BG22" si="10">CS3</f>
        <v>560.32533262620029</v>
      </c>
      <c r="BH3" s="219">
        <v>0</v>
      </c>
      <c r="BI3" s="218">
        <v>0</v>
      </c>
      <c r="BJ3" s="218">
        <v>4.1277961597259702</v>
      </c>
      <c r="BK3" s="219">
        <v>38.173803459527598</v>
      </c>
      <c r="BL3" s="219">
        <f t="shared" ref="BL3:BL22" si="11">SUM((($T3-(BH3*(1-EXP(-BI3*($T23+BJ3)))+$BK3*$T23))^2)*$T$44,(($U3-(BH3*(1-EXP(-BI3*($U23+BJ3)))+$BK3*$U23))^2)*$U$44,(($V3-(BH3*(1-EXP(-BI3*($V23+BJ3)))+$BK3*$V23))^2)*$V$44,(($W3-(BH3*(1-EXP(-BI3*($W23+BJ3)))+$BK3*$W23))^2)*$W$44,(($X3-(BH3*(1-EXP(-BI3*($X23+BJ3)))+$BK3*$X23))^2)*$X$44)</f>
        <v>7589542.6685286453</v>
      </c>
      <c r="BM3" s="226" t="str">
        <f>IF(BD3&gt;MAX(Q23:X23),"&gt; Max. Dose","")</f>
        <v/>
      </c>
      <c r="BN3" s="70">
        <f>($Q3-$BR3)/$BQ3</f>
        <v>582.13953502277036</v>
      </c>
      <c r="BO3" s="217">
        <f t="shared" ref="BO3:BO22" si="12">TINV($AS$36/2,COUNT($T3:$X3)-2)*SQRT(((($T23-($T3-$BR3)/$BQ3)^2+($U23-($U3-$BR3)/$BQ3)^2+($V23-($V3-$BR3)/$BQ3)^2+($W23-($W3-$BR3)/$BQ3)^2+($X23-($X3-$BR3)/$BQ3)^2)/(COUNT($T3:$X3)-2))*(1/COUNT($T3:$X3)+(($Q3-AVERAGE($T3:$X3))^2/(($T3-AVERAGE($T3:$X3))^2+($U3-AVERAGE($T3:$X3))^2+($V3-AVERAGE($T3:$X3))^2+($W3-AVERAGE($T3:$X3))^2+($X3-AVERAGE($T3:$X3))^2))))</f>
        <v>61.715620231279388</v>
      </c>
      <c r="BP3" s="218">
        <f>RSQ($T3:$X3,$T23:$X23)</f>
        <v>0.99117643612760364</v>
      </c>
      <c r="BQ3" s="219">
        <f t="shared" ref="BQ3:BQ22" si="13">INDEX(LINEST($T3:$X3,$T23:$X23,$BR$25),1)</f>
        <v>36.032539812959939</v>
      </c>
      <c r="BR3" s="219">
        <f t="shared" ref="BR3:BR22" si="14">INDEX(LINEST($T3:$X3,$T23:$X23,$BR$25),2)</f>
        <v>1286.1840275940413</v>
      </c>
      <c r="BS3" s="205">
        <f>-LN(1-U3/$AW3)/$AX3-$AY3</f>
        <v>535.74649665264303</v>
      </c>
      <c r="BT3" s="111">
        <f>SUM((BR3+BQ3*T23-T3)^2,(BR3+BQ3*U23-U3)^2,(BR3+BQ3*V23-V3)^2,(BR3+BQ3*W23-W3)^2,(BR3+BQ3*X23-X3)^2)</f>
        <v>4722305.4102706239</v>
      </c>
      <c r="BU3" s="71">
        <f t="shared" ref="BU3:BU22" si="15">(-$BY3+SQRT($BY3^2-4*$BX3*($BZ3-$Q3)))/(2*$BX3)</f>
        <v>563.86288266813756</v>
      </c>
      <c r="BV3" s="205">
        <f t="shared" ref="BV3:BV22" si="16">TINV($AS$36/2,COUNT($T3:$X3)-2)*SQRT(((($T23-(-$BY3+SQRT($BY3^2-4*$BX3*($BZ3-$T3)))/(2*$BX3))^2+($U23-(-$BY3+SQRT($BY3^2-4*$BX3*($BZ3-$U3)))/(2*$BX3))^2+($V23-(-$BY3+SQRT($BY3^2-4*$BX3*($BZ3-$V3)))/(2*$BX3))^2+($W23-(-$BY3+SQRT($BY3^2-4*$BX3*($BZ3-$W3)))/(2*$BX3))^2+($X23-(-$BY3+SQRT($BY3^2-4*$BX3*($BZ3-$X3)))/(2*$BX3))^2)/(COUNT($T3:$X3)-2))*(1/COUNT($T3:$X3)+(($Q3-AVERAGE($T3:$X3))^2/(($T3-AVERAGE($T3:$X3))^2+($U3-AVERAGE($T3:$X3))^2+($V3-AVERAGE($T3:$X3))^2+($W3-AVERAGE($T3:$X3))^2+($X3-AVERAGE($T3:$X3))^2))))</f>
        <v>37.256616999756282</v>
      </c>
      <c r="BW3" s="145">
        <f>INDEX(LINEST($T3:$X3,$T$48:$X$49,TRUE,TRUE),3,1)</f>
        <v>0.99671566064331951</v>
      </c>
      <c r="BX3" s="207">
        <f>INDEX(LINEST($T3:$X3,$T$48:$X$49,TRUE,TRUE),1,1)</f>
        <v>-1.0034426219118913E-2</v>
      </c>
      <c r="BY3" s="207">
        <f>INDEX(LINEST($T3:$X3,$T$48:$X$49,TRUE,TRUE),1,2)</f>
        <v>44.686944287134843</v>
      </c>
      <c r="BZ3" s="207">
        <f>INDEX(LINEST($T3:$X3,$T$48:$X$49,TRUE,TRUE),1,3)</f>
        <v>255.19979973148702</v>
      </c>
      <c r="CA3" s="205">
        <f>-LN(1-U3/$AW3)/$AX3-$AY3</f>
        <v>535.74649665264303</v>
      </c>
      <c r="CB3" s="111">
        <f>SUM((BX3*T23^2+BY3*T23+BZ3-T3)^2+(BX3*U23^2+BY3*U23+BZ3-U3)^2+(BX3*V23^2+BY3*V23+BZ3-V3)^2+(BX3*W23^2+BY3*W23+BZ3-W3)^2+(BX3*X23^2+BY3*X23+BZ3-X3)^2)</f>
        <v>1757753.8665229795</v>
      </c>
      <c r="CC3" s="71">
        <f t="shared" ref="CC3:CC22" si="17">(-$CG3+SQRT($CG3^2-4*$CF3*($CH3-$Q3)))/(2*$CF3)</f>
        <v>586.09628932769442</v>
      </c>
      <c r="CD3" s="53">
        <f t="shared" ref="CD3:CD22" si="18">TINV($AS$36/2,COUNT($T3:$V3)-2)*SQRT(((($T23-(-$CG3+SQRT($CG3^2-4*$CF3*($CH3-$T3)))/(2*$CF3))^2+($U23-(-$CG3+SQRT($CG3^2-4*$CF3*($CH3-$U3)))/(2*$CF3))^2+($V23-(-$CG3+SQRT($CG3^2-4*$CF3*($CH3-$V3)))/(2*$CF3))^2)/(COUNT($T3:$V3)-2))*(1/COUNT($T3:$V3)+(($Q3-AVERAGE($T3:$V3))^2/(($T3-AVERAGE($T3:$V3))^2+($U3-AVERAGE($T3:$V3))^2+($V3-AVERAGE($T3:$V3))^2))))</f>
        <v>1.6458539646674026E-10</v>
      </c>
      <c r="CE3" s="145">
        <f>INDEX(LINEST($T3:$V3,$T$48:$V$49,TRUE,TRUE),3,1)</f>
        <v>1</v>
      </c>
      <c r="CF3" s="207">
        <f>INDEX(LINEST($T3:$V3,$T$48:$V$49,TRUE,TRUE),1,1)</f>
        <v>-1.2668881268326814E-4</v>
      </c>
      <c r="CG3" s="207">
        <f>INDEX(LINEST($T3:$V3,$T$48:$V$49,TRUE,TRUE),1,2)</f>
        <v>34.442140867022601</v>
      </c>
      <c r="CH3" s="207">
        <f>INDEX(LINEST($T3:$V3,$T$48:$V$49,TRUE,TRUE),1,3)</f>
        <v>2119.257771001835</v>
      </c>
      <c r="CI3" s="207">
        <f>-LN(1-U3/$AW3)/$AX3-$AY3</f>
        <v>535.74649665264303</v>
      </c>
      <c r="CJ3" s="111">
        <f>SUM((BX3*T23^2+BY3*T23+BZ3-T3)^2+(BX3*U23^2+BY3*U23+BZ3-U3)^2+(BX3*V23^2+BY3*V23+BZ3-V3)^2+(BX3*W23^2+BY3*W23+BZ3-W3)^2+(BX3*X23^2+BY3*X23+BZ3-X3)^2)</f>
        <v>1757753.8665229795</v>
      </c>
      <c r="CK3" s="112"/>
      <c r="CL3" s="100"/>
      <c r="CM3" s="69">
        <v>583.17872421600964</v>
      </c>
      <c r="CN3" s="55">
        <f t="shared" ref="CN3:CN22" si="19">$BH3*(1-EXP(-($CM3+$BJ3)*$BI3))+$CM3*$BK3</f>
        <v>22262.15</v>
      </c>
      <c r="CO3" s="204">
        <f t="shared" ref="CO3:CO22" si="20">(CN3-Q3)^2</f>
        <v>0</v>
      </c>
      <c r="CP3" s="205">
        <v>308.18148028423883</v>
      </c>
      <c r="CQ3" s="55">
        <f t="shared" ref="CQ3:CQ22" si="21">$BH3*(1-EXP(-($CP3+$BJ3)*$BI3))+$CP3*$BK3</f>
        <v>11764.459258236813</v>
      </c>
      <c r="CR3" s="205">
        <f t="shared" ref="CR3:CR22" si="22">($CQ3-$T3)^2</f>
        <v>3.3087224502121107E-24</v>
      </c>
      <c r="CS3" s="205">
        <v>560.32533262620029</v>
      </c>
      <c r="CT3" s="55">
        <f t="shared" ref="CT3:CT22" si="23">$BH3*(1-EXP(-($CS3+$BJ3)*$BI3))+$CS3*$BK3</f>
        <v>21389.749121066998</v>
      </c>
      <c r="CU3" s="205">
        <f t="shared" ref="CU3:CU22" si="24">($CT3-$U3)^2</f>
        <v>0</v>
      </c>
      <c r="CV3" s="205">
        <v>811.88125825425914</v>
      </c>
      <c r="CW3" s="55">
        <f t="shared" ref="CW3:CW22" si="25">$BH3*(1-EXP(-($CV3+$BJ3)*$BI3))+$CV3*$BK3</f>
        <v>30992.595585072057</v>
      </c>
      <c r="CX3" s="205">
        <f t="shared" ref="CX3:CX22" si="26">($CW3-$V3)^2</f>
        <v>0</v>
      </c>
      <c r="CY3" s="205">
        <v>2.9036376996493013E-3</v>
      </c>
      <c r="CZ3" s="55">
        <f t="shared" ref="CZ3:CZ22" si="27">$BH3*(1-EXP(-($CY3+$BJ3)*$BI3))+$CY3*$BK3</f>
        <v>0.11084289486408726</v>
      </c>
      <c r="DA3" s="205">
        <f t="shared" ref="DA3:DA22" si="28">($CZ3-$W3)^2</f>
        <v>5.2063284986463099E-7</v>
      </c>
      <c r="DB3" s="205">
        <v>340.24101640408281</v>
      </c>
      <c r="DC3" s="55">
        <f t="shared" ref="DC3:DC22" si="29">$BH3*(1-EXP(-($DB3+$BJ3)*$BI3))+$DB3*$BK3</f>
        <v>12988.293689079363</v>
      </c>
      <c r="DD3" s="205">
        <f t="shared" ref="DD3:DD22" si="30">($DC3-$X3)^2</f>
        <v>0</v>
      </c>
      <c r="DE3" s="206">
        <f>$U3/($BH3*(1-EXP(-($U23+$BJ3)*$BI3))+$U23*$BK3)</f>
        <v>0.99940391643321391</v>
      </c>
    </row>
    <row r="4" spans="1:109" x14ac:dyDescent="0.2">
      <c r="A4" s="25" t="str">
        <f>'Raw Data'!$B304</f>
        <v>pIRIR01f_rdx1_d31</v>
      </c>
      <c r="B4" s="186">
        <f>'Raw Data'!B17</f>
        <v>31</v>
      </c>
      <c r="C4" s="371" t="s">
        <v>171</v>
      </c>
      <c r="D4" s="372" t="s">
        <v>107</v>
      </c>
      <c r="E4" s="321">
        <f>'Raw Data'!E18/'Raw Data'!E18</f>
        <v>1</v>
      </c>
      <c r="F4" s="321">
        <f>'Raw Data'!E20/'Raw Data'!E18</f>
        <v>1.5440717407344344</v>
      </c>
      <c r="G4" s="321">
        <f>'Raw Data'!E22/'Raw Data'!E18</f>
        <v>1.5101121894924041</v>
      </c>
      <c r="H4" s="321">
        <f>'Raw Data'!E24/'Raw Data'!E18</f>
        <v>1.5458501239192539</v>
      </c>
      <c r="I4" s="321">
        <f>'Raw Data'!E26/'Raw Data'!E18</f>
        <v>1.3889551052840685</v>
      </c>
      <c r="J4" s="321">
        <f>'Raw Data'!E28/'Raw Data'!E18</f>
        <v>1.4119794918364645</v>
      </c>
      <c r="K4" s="169">
        <f>'Raw Data'!E18/'Raw Data'!E18</f>
        <v>1</v>
      </c>
      <c r="L4" s="169">
        <f>SQRT(('Raw Data'!$F20/'Raw Data'!$E20)^2+('Raw Data'!$F18/'Raw Data'!$E18)^2)*F4</f>
        <v>1.3480460233470829E-2</v>
      </c>
      <c r="M4" s="169">
        <f>SQRT(('Raw Data'!$F22/'Raw Data'!$E22)^2+('Raw Data'!$F18/'Raw Data'!$E18)^2)*G4</f>
        <v>1.3239433324065878E-2</v>
      </c>
      <c r="N4" s="169">
        <f>SQRT(('Raw Data'!$F24/'Raw Data'!$E24)^2+('Raw Data'!$F18/'Raw Data'!$E18)^2)*H4</f>
        <v>1.3504182670586867E-2</v>
      </c>
      <c r="O4" s="169">
        <f>SQRT(('Raw Data'!$F26/'Raw Data'!$E26)^2+('Raw Data'!$F18/'Raw Data'!$E18)^2)*I4</f>
        <v>1.2273790779963564E-2</v>
      </c>
      <c r="P4" s="354">
        <f>SQRT(('Raw Data'!$F28/'Raw Data'!$E28)^2+('Raw Data'!$F18/'Raw Data'!$E18)^2)*J4</f>
        <v>1.2472831407408895E-2</v>
      </c>
      <c r="Q4" s="355">
        <f>'Raw Data'!E17</f>
        <v>13644.35</v>
      </c>
      <c r="R4" s="356">
        <f>'Raw Data'!F17</f>
        <v>38.521900300862121</v>
      </c>
      <c r="S4" s="357">
        <f>'Raw Data'!E18</f>
        <v>2642.85</v>
      </c>
      <c r="T4" s="357">
        <f>'Raw Data'!E19*$E4/F4</f>
        <v>5686.7500183789743</v>
      </c>
      <c r="U4" s="357">
        <f>'Raw Data'!E21*$E4/G4</f>
        <v>9719.2447701077417</v>
      </c>
      <c r="V4" s="357">
        <f>'Raw Data'!E23*$E4/H4</f>
        <v>12514.117442998935</v>
      </c>
      <c r="W4" s="357">
        <f>'Raw Data'!E25*$E4/I4</f>
        <v>61.773054919908468</v>
      </c>
      <c r="X4" s="357">
        <f>'Raw Data'!E27*$E4/J4</f>
        <v>5620.2303545348568</v>
      </c>
      <c r="Y4" s="169">
        <f>'Raw Data'!F17</f>
        <v>38.521900300862121</v>
      </c>
      <c r="Z4" s="169">
        <f>'Raw Data'!F18</f>
        <v>18.355297784589915</v>
      </c>
      <c r="AA4" s="169">
        <f>SQRT(('Raw Data'!F19/'Raw Data'!E19)^2+(L4/F4)^2)*T4</f>
        <v>53.514794648941589</v>
      </c>
      <c r="AB4" s="169">
        <f>SQRT(('Raw Data'!F21/'Raw Data'!E21)^2+(M4/E4)^2)*U4</f>
        <v>131.29371515506068</v>
      </c>
      <c r="AC4" s="169">
        <f>SQRT(('Raw Data'!F23/'Raw Data'!E23)^2+(N4/H4)^2)*V4</f>
        <v>113.13995588540313</v>
      </c>
      <c r="AD4" s="169">
        <f>SQRT(('Raw Data'!F25/'Raw Data'!E25)^2+(O4/I4)^2)*W4</f>
        <v>3.9898009501922624</v>
      </c>
      <c r="AE4" s="169">
        <f>SQRT(('Raw Data'!F27/'Raw Data'!E27)^2+(P4/J4)^2)*X4</f>
        <v>53.738985300580275</v>
      </c>
      <c r="AF4" s="343">
        <f t="shared" si="0"/>
        <v>0.98830269246421365</v>
      </c>
      <c r="AG4" s="321">
        <f t="shared" si="1"/>
        <v>0.62190165988233903</v>
      </c>
      <c r="AH4" s="321">
        <f t="shared" ref="AH4:AH22" si="31">100*W4/Q4</f>
        <v>0.45273724963012868</v>
      </c>
      <c r="AI4" s="321">
        <f t="shared" ref="AI4:AI18" si="32">AQ4/V24</f>
        <v>1.167732814901022</v>
      </c>
      <c r="AJ4" s="68" t="e">
        <f>(AVERAGE('Raw Data'!G17:H17)-AVERAGE(INDEX('Raw Data'!G17:IV17,MATCH(ROUND($AR$41*10-1,0),'Raw Data'!$G$4:$IV$4,0)):INDEX('Raw Data'!G17:IV17,MATCH(ROUND($AR$41*10+1,0),'Raw Data'!$G$4:$IV$4,0))))/(AVERAGE(INDEX('Raw Data'!G17:IV17,MATCH(ROUND($AR$41*10-1,0),'Raw Data'!$G$4:$IV$4,0)):INDEX('Raw Data'!G17:IV17,MATCH(ROUND($AR$41*10+1,0),'Raw Data'!$G$4:$IV$4,0)))-AVERAGE(INDEX('Raw Data'!G17:IV17,MATCH(ROUND($AR$42*10,0),'Raw Data'!$G$4:$IV$4,0)):INDEX('Raw Data'!G17:IV17,MATCH(ROUND(IF($AR$43&gt;25,25,$AR$43)*10,0),'Raw Data'!$G$4:$IV$4,0))))</f>
        <v>#N/A</v>
      </c>
      <c r="AK4" s="68" t="s">
        <v>161</v>
      </c>
      <c r="AL4" s="321">
        <f>S4/($AW4*(1-EXP(-$AX4*($S24+$AY4))))</f>
        <v>1.045132468652338</v>
      </c>
      <c r="AM4" s="324">
        <f>('Raw Data'!G24/'Raw Data'!H24)/('Raw Data'!G17/'Raw Data'!H17)</f>
        <v>0.93346791407974816</v>
      </c>
      <c r="AN4" s="321">
        <f t="shared" ref="AN4:AN22" si="33">100*AR4/AQ4</f>
        <v>0.88030794139418289</v>
      </c>
      <c r="AO4" s="357">
        <f>'Sig-Dose Plt'!Q6*'TD Plts'!Y6*'Signals Plt'!Y6</f>
        <v>0</v>
      </c>
      <c r="AP4" s="285">
        <v>0</v>
      </c>
      <c r="AQ4" s="358">
        <f>CHOOSE('Sig-Dose Plt'!R6,Regression!BN4,Regression!BU4,CC4,Regression!AS4,Regression!BD4)</f>
        <v>981.96442913415092</v>
      </c>
      <c r="AR4" s="359">
        <f>CHOOSE('Sig-Dose Plt'!R6,Regression!BO4,Regression!BV4,CC4*0.1,Regression!AT4,Regression!BE4)</f>
        <v>8.6443108513339837</v>
      </c>
      <c r="AS4" s="360">
        <f t="shared" si="2"/>
        <v>981.96442913415092</v>
      </c>
      <c r="AT4" s="360">
        <f t="shared" si="3"/>
        <v>8.6443108513339837</v>
      </c>
      <c r="AU4" s="361">
        <f t="shared" si="4"/>
        <v>0.99994337750834028</v>
      </c>
      <c r="AV4" s="322">
        <f t="shared" si="5"/>
        <v>564.35308229755594</v>
      </c>
      <c r="AW4" s="362">
        <v>19650.711216613596</v>
      </c>
      <c r="AX4" s="363">
        <v>1.2042034752731568E-3</v>
      </c>
      <c r="AY4" s="363">
        <v>2.3330304311084769</v>
      </c>
      <c r="AZ4" s="362">
        <f t="shared" si="6"/>
        <v>5049.3871391529865</v>
      </c>
      <c r="BA4" s="364"/>
      <c r="BB4" s="364"/>
      <c r="BC4" s="365" t="str">
        <f t="shared" ref="BC4:BC18" si="34">IF(AS4&gt;MAX(Q24:X24),"&gt; Max. Dose","")</f>
        <v>&gt; Max. Dose</v>
      </c>
      <c r="BD4" s="323">
        <f t="shared" si="7"/>
        <v>840.12754921714065</v>
      </c>
      <c r="BE4" s="360">
        <f t="shared" si="8"/>
        <v>132.21036775331038</v>
      </c>
      <c r="BF4" s="361">
        <f t="shared" si="9"/>
        <v>0.95388619462639268</v>
      </c>
      <c r="BG4" s="322">
        <f t="shared" si="10"/>
        <v>598.44589804220266</v>
      </c>
      <c r="BH4" s="362">
        <v>0</v>
      </c>
      <c r="BI4" s="363">
        <v>0</v>
      </c>
      <c r="BJ4" s="363">
        <v>3.5905712185403655</v>
      </c>
      <c r="BK4" s="362">
        <v>16.240807735342411</v>
      </c>
      <c r="BL4" s="362">
        <f t="shared" si="11"/>
        <v>4112260.8519278714</v>
      </c>
      <c r="BM4" s="365" t="str">
        <f t="shared" ref="BM4:BM18" si="35">IF(BD4&gt;MAX(Q24:X24),"&gt; Max. Dose","")</f>
        <v/>
      </c>
      <c r="BN4" s="366">
        <f t="shared" ref="BN4:BN22" si="36">($Q4-$BR4)/$BQ4</f>
        <v>867.4887427470718</v>
      </c>
      <c r="BO4" s="367">
        <f t="shared" si="12"/>
        <v>173.47103069883434</v>
      </c>
      <c r="BP4" s="363">
        <f t="shared" ref="BP4:BP18" si="37">RSQ($T4:$X4,$T24:$X24)</f>
        <v>0.97333589640034834</v>
      </c>
      <c r="BQ4" s="362">
        <f t="shared" si="13"/>
        <v>14.57540357997779</v>
      </c>
      <c r="BR4" s="362">
        <f t="shared" si="14"/>
        <v>1000.3514733738975</v>
      </c>
      <c r="BS4" s="322">
        <f>-LN(1-U4/$AW4)/$AX4-$AY4</f>
        <v>564.35308229755594</v>
      </c>
      <c r="BT4" s="368">
        <f>SUM((BR4+BQ4*T24-T4)^2,(BR4+BQ4*U24-U4)^2,(BR4+BQ4*V24-V4)^2,(BR4+BQ4*W24-W4)^2,(BR4+BQ4*X24-X4)^2)</f>
        <v>2377807.4374090303</v>
      </c>
      <c r="BU4" s="369">
        <f t="shared" si="15"/>
        <v>1058.564512365894</v>
      </c>
      <c r="BV4" s="322">
        <f t="shared" si="16"/>
        <v>9.4965028935134015</v>
      </c>
      <c r="BW4" s="357">
        <f>INDEX(LINEST($T4:$X4,$T$50:$X$51,TRUE,TRUE),3,1)</f>
        <v>0.99992791983069951</v>
      </c>
      <c r="BX4" s="324">
        <f>INDEX(LINEST($T4:$X4,$T$50:$X$51,TRUE,TRUE),1,1)</f>
        <v>-8.9745685697055419E-3</v>
      </c>
      <c r="BY4" s="324">
        <f>INDEX(LINEST($T4:$X4,$T$50:$X$51,TRUE,TRUE),1,2)</f>
        <v>22.315711265479816</v>
      </c>
      <c r="BZ4" s="324">
        <f>INDEX(LINEST($T4:$X4,$T$50:$X$51,TRUE,TRUE),1,3)</f>
        <v>78.262014027624446</v>
      </c>
      <c r="CA4" s="322">
        <f t="shared" ref="CA4:CA22" si="38">-LN(1-U4/$AW4)/$AX4-$AY4</f>
        <v>564.35308229755594</v>
      </c>
      <c r="CB4" s="368">
        <f>SUM((BX4*T24^2+BY4*T24+BZ4-T4)^2+(BX4*U24^2+BY4*U24+BZ4-U4)^2+(BX4*V24^2+BY4*V24+BZ4-V4)^2+(BX4*W24^2+BY4*W24+BZ4-W4)^2+(BX4*X24^2+BY4*X24+BZ4-X4)^2)</f>
        <v>6427.8464120011722</v>
      </c>
      <c r="CC4" s="369">
        <f t="shared" si="17"/>
        <v>1018.3377776811776</v>
      </c>
      <c r="CD4" s="41">
        <f t="shared" si="18"/>
        <v>1.6894147864367186E-12</v>
      </c>
      <c r="CE4" s="357">
        <f>INDEX(LINEST($T4:$V4,$T$50:$V$51,TRUE,TRUE),3,1)</f>
        <v>1</v>
      </c>
      <c r="CF4" s="324">
        <f>INDEX(LINEST($T4:$V4,$T$50:$V$51,TRUE,TRUE),1,1)</f>
        <v>-7.8707841603279424E-3</v>
      </c>
      <c r="CG4" s="324">
        <f>INDEX(LINEST($T4:$V4,$T$50:$V$51,TRUE,TRUE),1,2)</f>
        <v>21.004070685731854</v>
      </c>
      <c r="CH4" s="324">
        <f>INDEX(LINEST($T4:$V4,$T$50:$V$51,TRUE,TRUE),1,3)</f>
        <v>417.20761696199452</v>
      </c>
      <c r="CI4" s="324">
        <f t="shared" ref="CI4:CI22" si="39">-LN(1-U4/$AW4)/$AX4-$AY4</f>
        <v>564.35308229755594</v>
      </c>
      <c r="CJ4" s="368">
        <f t="shared" ref="CJ4:CJ22" si="40">SUM((BX4*T24^2+BY4*T24+BZ4-T4)^2+(BX4*U24^2+BY4*U24+BZ4-U4)^2+(BX4*V24^2+BY4*V24+BZ4-V4)^2+(BX4*W24^2+BY4*W24+BZ4-W4)^2+(BX4*X24^2+BY4*X24+BZ4-X4)^2)</f>
        <v>6427.8464120011722</v>
      </c>
      <c r="CK4" s="112"/>
      <c r="CL4" s="100"/>
      <c r="CM4" s="69">
        <v>840.12754921714065</v>
      </c>
      <c r="CN4" s="55">
        <f t="shared" si="19"/>
        <v>13644.35</v>
      </c>
      <c r="CO4" s="204">
        <f t="shared" si="20"/>
        <v>0</v>
      </c>
      <c r="CP4" s="205">
        <v>350.15192046167516</v>
      </c>
      <c r="CQ4" s="55">
        <f t="shared" si="21"/>
        <v>5686.7500183789743</v>
      </c>
      <c r="CR4" s="205">
        <f t="shared" si="22"/>
        <v>0</v>
      </c>
      <c r="CS4" s="205">
        <v>598.44589804220266</v>
      </c>
      <c r="CT4" s="55">
        <f t="shared" si="23"/>
        <v>9719.2447701077417</v>
      </c>
      <c r="CU4" s="205">
        <f t="shared" si="24"/>
        <v>0</v>
      </c>
      <c r="CV4" s="205">
        <v>770.53540974851614</v>
      </c>
      <c r="CW4" s="55">
        <f t="shared" si="25"/>
        <v>12514.117442998935</v>
      </c>
      <c r="CX4" s="205">
        <f t="shared" si="26"/>
        <v>0</v>
      </c>
      <c r="CY4" s="205">
        <v>3.8035703597106889</v>
      </c>
      <c r="CZ4" s="55">
        <f t="shared" si="27"/>
        <v>61.773054919908475</v>
      </c>
      <c r="DA4" s="205">
        <f t="shared" si="28"/>
        <v>5.0487097934144756E-29</v>
      </c>
      <c r="DB4" s="205">
        <v>346.05608576378876</v>
      </c>
      <c r="DC4" s="55">
        <f t="shared" si="29"/>
        <v>5620.2303545348577</v>
      </c>
      <c r="DD4" s="205">
        <f t="shared" si="30"/>
        <v>8.2718061255302767E-25</v>
      </c>
      <c r="DE4" s="206">
        <f t="shared" ref="DE4:DE22" si="41">$U4/($BH4*(1-EXP(-($U24+$BJ4)*$BI4))+$U24*$BK4)</f>
        <v>1.0673962775760517</v>
      </c>
    </row>
    <row r="5" spans="1:109" s="25" customFormat="1" x14ac:dyDescent="0.2">
      <c r="A5" s="25" t="str">
        <f>'Raw Data'!$B305</f>
        <v>pIRIR01f_rdx1_d32</v>
      </c>
      <c r="B5" s="186">
        <f>'Raw Data'!B29</f>
        <v>32</v>
      </c>
      <c r="C5" s="371" t="s">
        <v>171</v>
      </c>
      <c r="D5" s="372" t="s">
        <v>107</v>
      </c>
      <c r="E5" s="321">
        <f>'Raw Data'!E30/'Raw Data'!E30</f>
        <v>1</v>
      </c>
      <c r="F5" s="321">
        <f>'Raw Data'!E32/'Raw Data'!E30</f>
        <v>0.87430478309232496</v>
      </c>
      <c r="G5" s="321">
        <f>'Raw Data'!E34/'Raw Data'!E30</f>
        <v>0.63236929922135721</v>
      </c>
      <c r="H5" s="321">
        <f>'Raw Data'!E36/'Raw Data'!E30</f>
        <v>0.7041156840934375</v>
      </c>
      <c r="I5" s="321">
        <f>'Raw Data'!E38/'Raw Data'!E30</f>
        <v>0.52892102335928814</v>
      </c>
      <c r="J5" s="321">
        <f>'Raw Data'!E40/'Raw Data'!E30</f>
        <v>0.57119021134594006</v>
      </c>
      <c r="K5" s="169">
        <f>'Raw Data'!E30/'Raw Data'!E30</f>
        <v>1</v>
      </c>
      <c r="L5" s="169">
        <f>SQRT(('Raw Data'!$F32/'Raw Data'!$E32)^2+('Raw Data'!$F30/'Raw Data'!$E30)^2)*F5</f>
        <v>8.3677251234728231E-2</v>
      </c>
      <c r="M5" s="169">
        <f>SQRT(('Raw Data'!$F34/'Raw Data'!$E34)^2+('Raw Data'!$F30/'Raw Data'!$E30)^2)*G5</f>
        <v>6.7985617215351943E-2</v>
      </c>
      <c r="N5" s="169">
        <f>SQRT(('Raw Data'!$F36/'Raw Data'!$E36)^2+('Raw Data'!$F30/'Raw Data'!$E30)^2)*H5</f>
        <v>7.0148738356776444E-2</v>
      </c>
      <c r="O5" s="169">
        <f>SQRT(('Raw Data'!$F38/'Raw Data'!$E38)^2+('Raw Data'!$F30/'Raw Data'!$E30)^2)*I5</f>
        <v>5.9110312838766575E-2</v>
      </c>
      <c r="P5" s="354">
        <f>SQRT(('Raw Data'!$F40/'Raw Data'!$E40)^2+('Raw Data'!$F30/'Raw Data'!$E30)^2)*J5</f>
        <v>6.0734529177526725E-2</v>
      </c>
      <c r="Q5" s="355">
        <f>'Raw Data'!E29</f>
        <v>174.5</v>
      </c>
      <c r="R5" s="356">
        <f>'Raw Data'!F29</f>
        <v>7.4268871811356378</v>
      </c>
      <c r="S5" s="357">
        <f>'Raw Data'!E30</f>
        <v>89.899999999999977</v>
      </c>
      <c r="T5" s="357">
        <f>'Raw Data'!E31*$E5/F5</f>
        <v>101.85235368956742</v>
      </c>
      <c r="U5" s="357">
        <f>'Raw Data'!E33*$E5/G5</f>
        <v>136.86622691292874</v>
      </c>
      <c r="V5" s="357">
        <f>'Raw Data'!E35*$E5/H5</f>
        <v>150.75647709320688</v>
      </c>
      <c r="W5" s="357">
        <f>'Raw Data'!E37*$E5/I5</f>
        <v>79.217875920084126</v>
      </c>
      <c r="X5" s="357">
        <f>'Raw Data'!E39*$E5/J5</f>
        <v>97.340603700097333</v>
      </c>
      <c r="Y5" s="169">
        <f>'Raw Data'!F29</f>
        <v>7.4268871811356378</v>
      </c>
      <c r="Z5" s="169">
        <f>'Raw Data'!F30</f>
        <v>6.1373900124256089</v>
      </c>
      <c r="AA5" s="169">
        <f>SQRT(('Raw Data'!F31/'Raw Data'!E31)^2+(L5/F5)^2)*T5</f>
        <v>11.646027232479705</v>
      </c>
      <c r="AB5" s="169">
        <f>SQRT(('Raw Data'!F33/'Raw Data'!E33)^2+(M5/E5)^2)*U5</f>
        <v>12.329065145361007</v>
      </c>
      <c r="AC5" s="169">
        <f>SQRT(('Raw Data'!F35/'Raw Data'!E35)^2+(N5/H5)^2)*V5</f>
        <v>16.733735721774949</v>
      </c>
      <c r="AD5" s="169">
        <f>SQRT(('Raw Data'!F37/'Raw Data'!E37)^2+(O5/I5)^2)*W5</f>
        <v>11.758742353549879</v>
      </c>
      <c r="AE5" s="169">
        <f>SQRT(('Raw Data'!F39/'Raw Data'!E39)^2+(P5/J5)^2)*X5</f>
        <v>12.68588595271863</v>
      </c>
      <c r="AF5" s="343">
        <f t="shared" si="0"/>
        <v>0.95570303654227462</v>
      </c>
      <c r="AG5" s="321">
        <f t="shared" si="1"/>
        <v>0.31251402987549759</v>
      </c>
      <c r="AH5" s="169">
        <f t="shared" si="31"/>
        <v>45.39706356451812</v>
      </c>
      <c r="AI5" s="321">
        <f t="shared" si="32"/>
        <v>2.1890809155808393</v>
      </c>
      <c r="AJ5" s="68" t="e">
        <f>(AVERAGE('Raw Data'!G29:H29)-AVERAGE(INDEX('Raw Data'!G29:IV29,MATCH(ROUND($AR$41*10-1,0),'Raw Data'!$G$4:$IV$4,0)):INDEX('Raw Data'!G29:IV29,MATCH(ROUND($AR$41*10+1,0),'Raw Data'!$G$4:$IV$4,0))))/(AVERAGE(INDEX('Raw Data'!G29:IV29,MATCH(ROUND($AR$41*10-1,0),'Raw Data'!$G$4:$IV$4,0)):INDEX('Raw Data'!G29:IV29,MATCH(ROUND($AR$41*10+1,0),'Raw Data'!$G$4:$IV$4,0)))-AVERAGE(INDEX('Raw Data'!G29:IV29,MATCH(ROUND($AR$42*10,0),'Raw Data'!$G$4:$IV$4,0)):INDEX('Raw Data'!G29:IV29,MATCH(ROUND(IF($AR$43&gt;25,25,$AR$43)*10,0),'Raw Data'!$G$4:$IV$4,0))))</f>
        <v>#N/A</v>
      </c>
      <c r="AK5" s="68" t="s">
        <v>161</v>
      </c>
      <c r="AL5" s="321">
        <f t="shared" ref="AL5:AL18" si="42">S5/($AW5*(1-EXP(-$AX5*($S25+$AY5))))</f>
        <v>0.77076324224886095</v>
      </c>
      <c r="AM5" s="324">
        <f>('Raw Data'!G36/'Raw Data'!H36)/('Raw Data'!G29/'Raw Data'!H29)</f>
        <v>1.2003693444136658</v>
      </c>
      <c r="AN5" s="321">
        <f t="shared" si="33"/>
        <v>19.076237435606291</v>
      </c>
      <c r="AO5" s="357">
        <f>'Sig-Dose Plt'!Q8*'TD Plts'!Y8*'Signals Plt'!Y8</f>
        <v>0</v>
      </c>
      <c r="AP5" s="285">
        <v>0</v>
      </c>
      <c r="AQ5" s="358">
        <f>CHOOSE('Sig-Dose Plt'!R8,Regression!BN5,Regression!BU5,CC5,Regression!AS5,Regression!BD5)</f>
        <v>674.70716204511052</v>
      </c>
      <c r="AR5" s="359">
        <f>CHOOSE('Sig-Dose Plt'!R8,Regression!BO5,Regression!BV5,CC5*0.1,Regression!AT5,Regression!BE5)</f>
        <v>128.70874022676617</v>
      </c>
      <c r="AS5" s="360">
        <f t="shared" si="2"/>
        <v>674.70716204511052</v>
      </c>
      <c r="AT5" s="360">
        <f t="shared" si="3"/>
        <v>128.70874022676617</v>
      </c>
      <c r="AU5" s="361">
        <f t="shared" si="4"/>
        <v>0.94195613110211307</v>
      </c>
      <c r="AV5" s="322">
        <f t="shared" si="5"/>
        <v>199.09877768989114</v>
      </c>
      <c r="AW5" s="362">
        <v>179.66216964713001</v>
      </c>
      <c r="AX5" s="363">
        <v>4.4471174318403217E-3</v>
      </c>
      <c r="AY5" s="363">
        <v>123.5000679574467</v>
      </c>
      <c r="AZ5" s="362">
        <f t="shared" si="6"/>
        <v>203.4816821581361</v>
      </c>
      <c r="BA5" s="364"/>
      <c r="BB5" s="364"/>
      <c r="BC5" s="365" t="str">
        <f t="shared" si="34"/>
        <v>&gt; Max. Dose</v>
      </c>
      <c r="BD5" s="323">
        <f t="shared" si="7"/>
        <v>274.09910462865258</v>
      </c>
      <c r="BE5" s="360">
        <f t="shared" si="8"/>
        <v>220.6488872266637</v>
      </c>
      <c r="BF5" s="361">
        <f t="shared" si="9"/>
        <v>-3.4245527929522925</v>
      </c>
      <c r="BG5" s="322">
        <f t="shared" si="10"/>
        <v>214.9851590300043</v>
      </c>
      <c r="BH5" s="362">
        <v>0</v>
      </c>
      <c r="BI5" s="363">
        <v>0</v>
      </c>
      <c r="BJ5" s="363">
        <v>10.964041592210869</v>
      </c>
      <c r="BK5" s="362">
        <v>0.63663104714045426</v>
      </c>
      <c r="BL5" s="362">
        <f t="shared" si="11"/>
        <v>15510.948222477755</v>
      </c>
      <c r="BM5" s="365" t="str">
        <f t="shared" si="35"/>
        <v/>
      </c>
      <c r="BN5" s="366">
        <f t="shared" si="36"/>
        <v>378.22342532036242</v>
      </c>
      <c r="BO5" s="367">
        <f t="shared" si="12"/>
        <v>177.03033913547097</v>
      </c>
      <c r="BP5" s="363">
        <f t="shared" si="37"/>
        <v>0.89014089765868465</v>
      </c>
      <c r="BQ5" s="362">
        <f t="shared" si="13"/>
        <v>0.23866596378040192</v>
      </c>
      <c r="BR5" s="362">
        <f t="shared" si="14"/>
        <v>84.230941671590827</v>
      </c>
      <c r="BS5" s="322">
        <f t="shared" ref="BS5:BS22" si="43">-LN(1-U5/$AW5)/$AX5-$AY5</f>
        <v>199.09877768989114</v>
      </c>
      <c r="BT5" s="368">
        <f>SUM((BR5+BQ5*T25-T5)^2,(BR5+BQ5*U25-U5)^2,(BR5+BQ5*V25-V5)^2,(BR5+BQ5*W25-W5)^2,(BR5+BQ5*X25-X5)^2)</f>
        <v>385.12792770792453</v>
      </c>
      <c r="BU5" s="369" t="e">
        <f t="shared" si="15"/>
        <v>#NUM!</v>
      </c>
      <c r="BV5" s="322">
        <f t="shared" si="16"/>
        <v>108.17653974442902</v>
      </c>
      <c r="BW5" s="357">
        <f>INDEX(LINEST($T5:$X5,$T$52:$X$53,TRUE,TRUE),3,1)</f>
        <v>0.95139720857344778</v>
      </c>
      <c r="BX5" s="324">
        <f>INDEX(LINEST($T5:$X5,$T$52:$X$53,TRUE,TRUE),1,1)</f>
        <v>-6.7780232604246877E-4</v>
      </c>
      <c r="BY5" s="324">
        <f>INDEX(LINEST($T5:$X5,$T$52:$X$53,TRUE,TRUE),1,2)</f>
        <v>0.45951331597487149</v>
      </c>
      <c r="BZ5" s="324">
        <f>INDEX(LINEST($T5:$X5,$T$52:$X$53,TRUE,TRUE),1,3)</f>
        <v>74.835516598784139</v>
      </c>
      <c r="CA5" s="322">
        <f t="shared" si="38"/>
        <v>199.09877768989114</v>
      </c>
      <c r="CB5" s="368">
        <f t="shared" ref="CB5:CB18" si="44">SUM((BX5*T25^2+BY5*T25+BZ5-T5)^2+(BX5*U25^2+BY5*U25+BZ5-U5)^2+(BX5*V25^2+BY5*V25+BZ5-V5)^2+(BX5*W25^2+BY5*W25+BZ5-W5)^2+(BX5*X25^2+BY5*X25+BZ5-X5)^2)</f>
        <v>170.38453750308014</v>
      </c>
      <c r="CC5" s="369" t="e">
        <f t="shared" si="17"/>
        <v>#NUM!</v>
      </c>
      <c r="CD5" s="41">
        <f t="shared" si="18"/>
        <v>2028.458780368524</v>
      </c>
      <c r="CE5" s="357">
        <f>INDEX(LINEST($T5:$V5,$T$52:$V$53,TRUE,TRUE),3,1)</f>
        <v>1</v>
      </c>
      <c r="CF5" s="324">
        <f>INDEX(LINEST($T5:$V5,$T$52:$V$53,TRUE,TRUE),1,1)</f>
        <v>-1.63259114341064E-3</v>
      </c>
      <c r="CG5" s="324">
        <f>INDEX(LINEST($T5:$V5,$T$52:$V$53,TRUE,TRUE),1,2)</f>
        <v>0.83458293697535157</v>
      </c>
      <c r="CH5" s="324">
        <f>INDEX(LINEST($T5:$V5,$T$52:$V$53,TRUE,TRUE),1,3)</f>
        <v>48.615886878919596</v>
      </c>
      <c r="CI5" s="324">
        <f t="shared" si="39"/>
        <v>199.09877768989114</v>
      </c>
      <c r="CJ5" s="368">
        <f t="shared" si="40"/>
        <v>170.38453750308014</v>
      </c>
      <c r="CK5" s="325"/>
      <c r="CL5" s="326"/>
      <c r="CM5" s="323">
        <v>274.09910462865258</v>
      </c>
      <c r="CN5" s="90">
        <f t="shared" si="19"/>
        <v>174.50000000000003</v>
      </c>
      <c r="CO5" s="327">
        <f t="shared" si="20"/>
        <v>8.0779356694631609E-28</v>
      </c>
      <c r="CP5" s="322">
        <v>159.98646963112472</v>
      </c>
      <c r="CQ5" s="90">
        <f t="shared" si="21"/>
        <v>101.85235368956742</v>
      </c>
      <c r="CR5" s="322">
        <f t="shared" si="22"/>
        <v>0</v>
      </c>
      <c r="CS5" s="322">
        <v>214.9851590300043</v>
      </c>
      <c r="CT5" s="90">
        <f t="shared" si="23"/>
        <v>136.86622691292871</v>
      </c>
      <c r="CU5" s="322">
        <f t="shared" si="24"/>
        <v>8.0779356694631609E-28</v>
      </c>
      <c r="CV5" s="322">
        <v>236.80352658004571</v>
      </c>
      <c r="CW5" s="90">
        <f t="shared" si="25"/>
        <v>150.75647709320688</v>
      </c>
      <c r="CX5" s="322">
        <f t="shared" si="26"/>
        <v>0</v>
      </c>
      <c r="CY5" s="322">
        <v>124.43294475804444</v>
      </c>
      <c r="CZ5" s="90">
        <f t="shared" si="27"/>
        <v>79.21787592008414</v>
      </c>
      <c r="DA5" s="322">
        <f t="shared" si="28"/>
        <v>2.0194839173657902E-28</v>
      </c>
      <c r="DB5" s="322">
        <v>152.89955483214428</v>
      </c>
      <c r="DC5" s="90">
        <f t="shared" si="29"/>
        <v>97.340603700097319</v>
      </c>
      <c r="DD5" s="322">
        <f t="shared" si="30"/>
        <v>2.0194839173657902E-28</v>
      </c>
      <c r="DE5" s="328">
        <f t="shared" si="41"/>
        <v>1.4388883823334544</v>
      </c>
    </row>
    <row r="6" spans="1:109" s="25" customFormat="1" x14ac:dyDescent="0.2">
      <c r="A6" s="25" t="str">
        <f>'Raw Data'!$B306</f>
        <v>pIRIR01f_rdx1_d33</v>
      </c>
      <c r="B6" s="186">
        <f>'Raw Data'!B41</f>
        <v>33</v>
      </c>
      <c r="C6" s="371" t="s">
        <v>171</v>
      </c>
      <c r="D6" s="373" t="s">
        <v>107</v>
      </c>
      <c r="E6" s="321">
        <f>'Raw Data'!E42/'Raw Data'!E42</f>
        <v>1</v>
      </c>
      <c r="F6" s="321">
        <f>'Raw Data'!E44/'Raw Data'!E42</f>
        <v>0.87077519006150583</v>
      </c>
      <c r="G6" s="321">
        <f>'Raw Data'!E46/'Raw Data'!E42</f>
        <v>0.85185269205357161</v>
      </c>
      <c r="H6" s="321">
        <f>'Raw Data'!E48/'Raw Data'!E42</f>
        <v>0.85480180009017459</v>
      </c>
      <c r="I6" s="321">
        <f>'Raw Data'!E50/'Raw Data'!E42</f>
        <v>0.74855451170994391</v>
      </c>
      <c r="J6" s="321">
        <f>'Raw Data'!E52/'Raw Data'!E42</f>
        <v>0.75703886867678627</v>
      </c>
      <c r="K6" s="169">
        <f>'Raw Data'!E42/'Raw Data'!E42</f>
        <v>1</v>
      </c>
      <c r="L6" s="169">
        <f>SQRT(('Raw Data'!$F44/'Raw Data'!$E44)^2+('Raw Data'!$F42/'Raw Data'!$E42)^2)*F6</f>
        <v>3.1735266154504769E-3</v>
      </c>
      <c r="M6" s="169">
        <f>SQRT(('Raw Data'!$F46/'Raw Data'!$E46)^2+('Raw Data'!$F42/'Raw Data'!$E42)^2)*G6</f>
        <v>3.1264936702632296E-3</v>
      </c>
      <c r="N6" s="169">
        <f>SQRT(('Raw Data'!$F48/'Raw Data'!$E48)^2+('Raw Data'!$F42/'Raw Data'!$E42)^2)*H6</f>
        <v>3.1372658094090903E-3</v>
      </c>
      <c r="O6" s="169">
        <f>SQRT(('Raw Data'!$F50/'Raw Data'!$E50)^2+('Raw Data'!$F42/'Raw Data'!$E42)^2)*I6</f>
        <v>2.8284826894471498E-3</v>
      </c>
      <c r="P6" s="354">
        <f>SQRT(('Raw Data'!$F52/'Raw Data'!$E52)^2+('Raw Data'!$F42/'Raw Data'!$E42)^2)*J6</f>
        <v>2.8641453669394912E-3</v>
      </c>
      <c r="Q6" s="355">
        <f>'Raw Data'!E41</f>
        <v>60171.75</v>
      </c>
      <c r="R6" s="356">
        <f>'Raw Data'!F41</f>
        <v>79.618461731096147</v>
      </c>
      <c r="S6" s="357">
        <f>'Raw Data'!E42</f>
        <v>17632.45</v>
      </c>
      <c r="T6" s="357">
        <f>'Raw Data'!E43*$E6/F6</f>
        <v>34779.757560456957</v>
      </c>
      <c r="U6" s="357">
        <f>'Raw Data'!E45*$E6/G6</f>
        <v>50486.604551688557</v>
      </c>
      <c r="V6" s="357">
        <f>'Raw Data'!E47*$E6/H6</f>
        <v>59440.211748080081</v>
      </c>
      <c r="W6" s="357">
        <f>'Raw Data'!E49*$E6/I6</f>
        <v>515.99448531500843</v>
      </c>
      <c r="X6" s="357">
        <f>'Raw Data'!E51*$E6/J6</f>
        <v>34335.489332843885</v>
      </c>
      <c r="Y6" s="169">
        <f>'Raw Data'!F41</f>
        <v>79.618461731096147</v>
      </c>
      <c r="Z6" s="169">
        <f>'Raw Data'!F42</f>
        <v>44.062420542182316</v>
      </c>
      <c r="AA6" s="169">
        <f>SQRT(('Raw Data'!F43/'Raw Data'!E43)^2+(L6/F6)^2)*T6</f>
        <v>142.37608532119083</v>
      </c>
      <c r="AB6" s="169">
        <f>SQRT(('Raw Data'!F45/'Raw Data'!E45)^2+(M6/E6)^2)*U6</f>
        <v>176.40833926823316</v>
      </c>
      <c r="AC6" s="169">
        <f>SQRT(('Raw Data'!F47/'Raw Data'!E47)^2+(N6/H6)^2)*V6</f>
        <v>234.22568299806684</v>
      </c>
      <c r="AD6" s="169">
        <f>SQRT(('Raw Data'!F49/'Raw Data'!E49)^2+(O6/I6)^2)*W6</f>
        <v>11.018116348019459</v>
      </c>
      <c r="AE6" s="169">
        <f>SQRT(('Raw Data'!F51/'Raw Data'!E51)^2+(P6/J6)^2)*X6</f>
        <v>147.08714933739665</v>
      </c>
      <c r="AF6" s="343">
        <f t="shared" si="0"/>
        <v>0.98722624138938264</v>
      </c>
      <c r="AG6" s="321">
        <f t="shared" si="1"/>
        <v>1.6790617519879494</v>
      </c>
      <c r="AH6" s="321">
        <f t="shared" si="31"/>
        <v>0.85753611173849598</v>
      </c>
      <c r="AI6" s="321">
        <f t="shared" si="32"/>
        <v>1.0638347697847494</v>
      </c>
      <c r="AJ6" s="68" t="e">
        <f>(AVERAGE('Raw Data'!G41:H41)-AVERAGE(INDEX('Raw Data'!G41:IV41,MATCH(ROUND($AR$41*10-1,0),'Raw Data'!$G$4:$IV$4,0)):INDEX('Raw Data'!G41:IV41,MATCH(ROUND($AR$41*10+1,0),'Raw Data'!$G$4:$IV$4,0))))/(AVERAGE(INDEX('Raw Data'!G41:IV41,MATCH(ROUND($AR$41*10-1,0),'Raw Data'!$G$4:$IV$4,0)):INDEX('Raw Data'!G41:IV41,MATCH(ROUND($AR$41*10+1,0),'Raw Data'!$G$4:$IV$4,0)))-AVERAGE(INDEX('Raw Data'!G41:IV41,MATCH(ROUND($AR$42*10,0),'Raw Data'!$G$4:$IV$4,0)):INDEX('Raw Data'!G41:IV41,MATCH(ROUND(IF($AR$43&gt;25,25,$AR$43)*10,0),'Raw Data'!$G$4:$IV$4,0))))</f>
        <v>#N/A</v>
      </c>
      <c r="AK6" s="68" t="s">
        <v>161</v>
      </c>
      <c r="AL6" s="321">
        <f t="shared" si="42"/>
        <v>1.0360405069294318</v>
      </c>
      <c r="AM6" s="324">
        <f>('Raw Data'!G48/'Raw Data'!H48)/('Raw Data'!G41/'Raw Data'!H41)</f>
        <v>0.96756163723015609</v>
      </c>
      <c r="AN6" s="321">
        <f t="shared" si="33"/>
        <v>2.8893107490924743</v>
      </c>
      <c r="AO6" s="357">
        <f>'Sig-Dose Plt'!Q10*'TD Plts'!Y10*'Signals Plt'!Y10</f>
        <v>1</v>
      </c>
      <c r="AP6" s="285">
        <v>1</v>
      </c>
      <c r="AQ6" s="358">
        <f>CHOOSE('Sig-Dose Plt'!R10,Regression!BN6,Regression!BU6,CC6,Regression!AS6,Regression!BD6)</f>
        <v>894.67365712308288</v>
      </c>
      <c r="AR6" s="359">
        <f>CHOOSE('Sig-Dose Plt'!R10,Regression!BO6,Regression!BV6,CC6*0.1,Regression!AT6,Regression!BE6)</f>
        <v>25.84990214455598</v>
      </c>
      <c r="AS6" s="360">
        <f t="shared" si="2"/>
        <v>894.67365712308288</v>
      </c>
      <c r="AT6" s="360">
        <f t="shared" si="3"/>
        <v>25.84990214455598</v>
      </c>
      <c r="AU6" s="361">
        <f t="shared" si="4"/>
        <v>0.99975245876686747</v>
      </c>
      <c r="AV6" s="322">
        <f t="shared" si="5"/>
        <v>547.98201080947831</v>
      </c>
      <c r="AW6" s="362">
        <v>67043.699241152266</v>
      </c>
      <c r="AX6" s="363">
        <v>2.5364525021929346E-3</v>
      </c>
      <c r="AY6" s="363">
        <v>3.3904043829486321</v>
      </c>
      <c r="AZ6" s="362">
        <f t="shared" si="6"/>
        <v>500686.9013659489</v>
      </c>
      <c r="BA6" s="364"/>
      <c r="BB6" s="364"/>
      <c r="BC6" s="365" t="str">
        <f t="shared" si="34"/>
        <v>&gt; Max. Dose</v>
      </c>
      <c r="BD6" s="323">
        <f t="shared" si="7"/>
        <v>726.21236344027068</v>
      </c>
      <c r="BE6" s="360">
        <f t="shared" si="8"/>
        <v>259.57453291960212</v>
      </c>
      <c r="BF6" s="361">
        <f t="shared" si="9"/>
        <v>0.81298374478542434</v>
      </c>
      <c r="BG6" s="322">
        <f t="shared" si="10"/>
        <v>609.32242146116869</v>
      </c>
      <c r="BH6" s="362">
        <v>0</v>
      </c>
      <c r="BI6" s="363">
        <v>0</v>
      </c>
      <c r="BJ6" s="363">
        <v>0.50616812679655443</v>
      </c>
      <c r="BK6" s="362">
        <v>82.856961722531992</v>
      </c>
      <c r="BL6" s="362">
        <f t="shared" si="11"/>
        <v>378266635.19255412</v>
      </c>
      <c r="BM6" s="365" t="str">
        <f t="shared" si="35"/>
        <v/>
      </c>
      <c r="BN6" s="366">
        <f t="shared" si="36"/>
        <v>756.9382320200998</v>
      </c>
      <c r="BO6" s="367">
        <f t="shared" si="12"/>
        <v>292.75997238026133</v>
      </c>
      <c r="BP6" s="363">
        <f t="shared" si="37"/>
        <v>0.89509769587640098</v>
      </c>
      <c r="BQ6" s="362">
        <f t="shared" si="13"/>
        <v>66.561587707334724</v>
      </c>
      <c r="BR6" s="362">
        <f t="shared" si="14"/>
        <v>9788.739480359247</v>
      </c>
      <c r="BS6" s="322">
        <f t="shared" si="43"/>
        <v>547.98201080947831</v>
      </c>
      <c r="BT6" s="368">
        <f>SUM((BR6+BQ6*T26-T6)^2,(BR6+BQ6*U26-U6)^2,(BR6+BQ6*V26-V6)^2,(BR6+BQ6*W26-W6)^2,(BR6+BQ6*X26-X6)^2)</f>
        <v>212179639.46102548</v>
      </c>
      <c r="BU6" s="369" t="e">
        <f t="shared" si="15"/>
        <v>#NUM!</v>
      </c>
      <c r="BV6" s="322" t="e">
        <f t="shared" si="16"/>
        <v>#NUM!</v>
      </c>
      <c r="BW6" s="357">
        <f>INDEX(LINEST($T6:$X6,$T$54:$X$55,TRUE,TRUE),3,1)</f>
        <v>0.99599474286531864</v>
      </c>
      <c r="BX6" s="324">
        <f>INDEX(LINEST($T6:$X6,$T$54:$X$55,TRUE,TRUE),1,1)</f>
        <v>-8.3240747067114096E-2</v>
      </c>
      <c r="BY6" s="324">
        <f>INDEX(LINEST($T6:$X6,$T$54:$X$55,TRUE,TRUE),1,2)</f>
        <v>138.36115438518624</v>
      </c>
      <c r="BZ6" s="324">
        <f>INDEX(LINEST($T6:$X6,$T$54:$X$55,TRUE,TRUE),1,3)</f>
        <v>1234.5282883892505</v>
      </c>
      <c r="CA6" s="322">
        <f t="shared" si="38"/>
        <v>547.98201080947831</v>
      </c>
      <c r="CB6" s="368">
        <f t="shared" si="44"/>
        <v>8101194.9345182879</v>
      </c>
      <c r="CC6" s="369">
        <f t="shared" si="17"/>
        <v>881.26363928082924</v>
      </c>
      <c r="CD6" s="41">
        <f t="shared" si="18"/>
        <v>7.5038802478049881E-12</v>
      </c>
      <c r="CE6" s="357">
        <f>INDEX(LINEST($T6:$V6,$T$54:$V$55,TRUE,TRUE),3,1)</f>
        <v>1</v>
      </c>
      <c r="CF6" s="324">
        <f>INDEX(LINEST($T6:$V6,$T$54:$V$55,TRUE,TRUE),1,1)</f>
        <v>-4.2967862088029149E-2</v>
      </c>
      <c r="CG6" s="324">
        <f>INDEX(LINEST($T6:$V6,$T$54:$V$55,TRUE,TRUE),1,2)</f>
        <v>92.165405858754994</v>
      </c>
      <c r="CH6" s="324">
        <f>INDEX(LINEST($T6:$V6,$T$54:$V$55,TRUE,TRUE),1,3)</f>
        <v>12319.67077438528</v>
      </c>
      <c r="CI6" s="324">
        <f t="shared" si="39"/>
        <v>547.98201080947831</v>
      </c>
      <c r="CJ6" s="368">
        <f t="shared" si="40"/>
        <v>8101194.9345182879</v>
      </c>
      <c r="CK6" s="325"/>
      <c r="CL6" s="326"/>
      <c r="CM6" s="323">
        <v>726.21236344027068</v>
      </c>
      <c r="CN6" s="90">
        <f t="shared" si="19"/>
        <v>60171.75</v>
      </c>
      <c r="CO6" s="327">
        <f t="shared" si="20"/>
        <v>0</v>
      </c>
      <c r="CP6" s="322">
        <v>419.75661232819505</v>
      </c>
      <c r="CQ6" s="90">
        <f t="shared" si="21"/>
        <v>34779.757560456957</v>
      </c>
      <c r="CR6" s="322">
        <f t="shared" si="22"/>
        <v>0</v>
      </c>
      <c r="CS6" s="322">
        <v>609.32242146116869</v>
      </c>
      <c r="CT6" s="90">
        <f t="shared" si="23"/>
        <v>50486.604551688557</v>
      </c>
      <c r="CU6" s="322">
        <f t="shared" si="24"/>
        <v>0</v>
      </c>
      <c r="CV6" s="322">
        <v>717.38343420231877</v>
      </c>
      <c r="CW6" s="90">
        <f t="shared" si="25"/>
        <v>59440.211748080073</v>
      </c>
      <c r="CX6" s="322">
        <f t="shared" si="26"/>
        <v>5.2939559203393771E-23</v>
      </c>
      <c r="CY6" s="322">
        <v>6.2275332644099315</v>
      </c>
      <c r="CZ6" s="90">
        <f t="shared" si="27"/>
        <v>515.99448531500843</v>
      </c>
      <c r="DA6" s="322">
        <f t="shared" si="28"/>
        <v>0</v>
      </c>
      <c r="DB6" s="322">
        <v>414.39474268710416</v>
      </c>
      <c r="DC6" s="90">
        <f t="shared" si="29"/>
        <v>34335.489332843885</v>
      </c>
      <c r="DD6" s="322">
        <f t="shared" si="30"/>
        <v>0</v>
      </c>
      <c r="DE6" s="328">
        <f t="shared" si="41"/>
        <v>1.0867957933022909</v>
      </c>
    </row>
    <row r="7" spans="1:109" s="25" customFormat="1" x14ac:dyDescent="0.2">
      <c r="A7" s="25" t="str">
        <f>'Raw Data'!$B307</f>
        <v>pIRIR01f_rdx1_d34</v>
      </c>
      <c r="B7" s="186">
        <f>'Raw Data'!B53</f>
        <v>34</v>
      </c>
      <c r="C7" s="371" t="s">
        <v>171</v>
      </c>
      <c r="D7" s="373" t="s">
        <v>107</v>
      </c>
      <c r="E7" s="321">
        <f>'Raw Data'!E54/'Raw Data'!E54</f>
        <v>1</v>
      </c>
      <c r="F7" s="321">
        <f>'Raw Data'!E56/'Raw Data'!E54</f>
        <v>0.83579638752052532</v>
      </c>
      <c r="G7" s="321">
        <f>'Raw Data'!E58/'Raw Data'!E54</f>
        <v>0.92610837438423632</v>
      </c>
      <c r="H7" s="321">
        <f>'Raw Data'!E60/'Raw Data'!E54</f>
        <v>0.99384236453201957</v>
      </c>
      <c r="I7" s="321">
        <f>'Raw Data'!E62/'Raw Data'!E54</f>
        <v>1.0718390804597702</v>
      </c>
      <c r="J7" s="321">
        <f>'Raw Data'!E64/'Raw Data'!E54</f>
        <v>1.0270935960591132</v>
      </c>
      <c r="K7" s="169">
        <f>'Raw Data'!E54/'Raw Data'!E54</f>
        <v>1</v>
      </c>
      <c r="L7" s="169">
        <f>SQRT(('Raw Data'!$F56/'Raw Data'!$E56)^2+('Raw Data'!$F54/'Raw Data'!$E54)^2)*F7</f>
        <v>5.0390346241447788E-2</v>
      </c>
      <c r="M7" s="169">
        <f>SQRT(('Raw Data'!$F58/'Raw Data'!$E58)^2+('Raw Data'!$F54/'Raw Data'!$E54)^2)*G7</f>
        <v>5.281176581884979E-2</v>
      </c>
      <c r="N7" s="169">
        <f>SQRT(('Raw Data'!$F60/'Raw Data'!$E60)^2+('Raw Data'!$F54/'Raw Data'!$E54)^2)*H7</f>
        <v>5.537625744249406E-2</v>
      </c>
      <c r="O7" s="169">
        <f>SQRT(('Raw Data'!$F62/'Raw Data'!$E62)^2+('Raw Data'!$F54/'Raw Data'!$E54)^2)*I7</f>
        <v>5.835502183113625E-2</v>
      </c>
      <c r="P7" s="354">
        <f>SQRT(('Raw Data'!$F64/'Raw Data'!$E64)^2+('Raw Data'!$F54/'Raw Data'!$E54)^2)*J7</f>
        <v>5.6168618085037571E-2</v>
      </c>
      <c r="Q7" s="355">
        <f>'Raw Data'!E53</f>
        <v>120.65</v>
      </c>
      <c r="R7" s="356">
        <f>'Raw Data'!F53</f>
        <v>5.5929906221860541</v>
      </c>
      <c r="S7" s="357">
        <f>'Raw Data'!E54</f>
        <v>121.80000000000001</v>
      </c>
      <c r="T7" s="357">
        <f>'Raw Data'!E55*$E7/F7</f>
        <v>99.007367387033412</v>
      </c>
      <c r="U7" s="357">
        <f>'Raw Data'!E57*$E7/G7</f>
        <v>145.28537234042557</v>
      </c>
      <c r="V7" s="357">
        <f>'Raw Data'!E59*$E7/H7</f>
        <v>250.19058240396535</v>
      </c>
      <c r="W7" s="357">
        <f>'Raw Data'!E61*$E7/I7</f>
        <v>15.114209115281504</v>
      </c>
      <c r="X7" s="357">
        <f>'Raw Data'!E63*$E7/J7</f>
        <v>91.715107913669073</v>
      </c>
      <c r="Y7" s="169">
        <f>'Raw Data'!F53</f>
        <v>5.5929906221860541</v>
      </c>
      <c r="Z7" s="169">
        <f>'Raw Data'!F54</f>
        <v>5.0911574914335764</v>
      </c>
      <c r="AA7" s="169">
        <f>SQRT(('Raw Data'!F55/'Raw Data'!E55)^2+(L7/F7)^2)*T7</f>
        <v>7.8219545928700578</v>
      </c>
      <c r="AB7" s="169">
        <f>SQRT(('Raw Data'!F57/'Raw Data'!E57)^2+(M7/E7)^2)*U7</f>
        <v>9.1731144234298174</v>
      </c>
      <c r="AC7" s="169">
        <f>SQRT(('Raw Data'!F59/'Raw Data'!E59)^2+(N7/H7)^2)*V7</f>
        <v>15.113873218811106</v>
      </c>
      <c r="AD7" s="169">
        <f>SQRT(('Raw Data'!F61/'Raw Data'!E61)^2+(O7/I7)^2)*W7</f>
        <v>2.6552938197245872</v>
      </c>
      <c r="AE7" s="169">
        <f>SQRT(('Raw Data'!F63/'Raw Data'!E63)^2+(P7/J7)^2)*X7</f>
        <v>6.3390330455068806</v>
      </c>
      <c r="AF7" s="343">
        <f t="shared" si="0"/>
        <v>0.92634629456555595</v>
      </c>
      <c r="AG7" s="321">
        <f t="shared" si="1"/>
        <v>0.50821544611044711</v>
      </c>
      <c r="AH7" s="321">
        <f t="shared" si="31"/>
        <v>12.527317957133446</v>
      </c>
      <c r="AI7" s="321">
        <f t="shared" si="32"/>
        <v>0.3540361690018819</v>
      </c>
      <c r="AJ7" s="68" t="e">
        <f>(AVERAGE('Raw Data'!G53:H53)-AVERAGE(INDEX('Raw Data'!G53:IV53,MATCH(ROUND($AR$41*10-1,0),'Raw Data'!$G$4:$IV$4,0)):INDEX('Raw Data'!G53:IV53,MATCH(ROUND($AR$41*10+1,0),'Raw Data'!$G$4:$IV$4,0))))/(AVERAGE(INDEX('Raw Data'!G53:IV53,MATCH(ROUND($AR$41*10-1,0),'Raw Data'!$G$4:$IV$4,0)):INDEX('Raw Data'!G53:IV53,MATCH(ROUND($AR$41*10+1,0),'Raw Data'!$G$4:$IV$4,0)))-AVERAGE(INDEX('Raw Data'!G53:IV53,MATCH(ROUND($AR$42*10,0),'Raw Data'!$G$4:$IV$4,0)):INDEX('Raw Data'!G53:IV53,MATCH(ROUND(IF($AR$43&gt;25,25,$AR$43)*10,0),'Raw Data'!$G$4:$IV$4,0))))</f>
        <v>#N/A</v>
      </c>
      <c r="AK7" s="68" t="s">
        <v>161</v>
      </c>
      <c r="AL7" s="321">
        <f t="shared" si="42"/>
        <v>0.98986919969828213</v>
      </c>
      <c r="AM7" s="324">
        <f>('Raw Data'!G60/'Raw Data'!H60)/('Raw Data'!G53/'Raw Data'!H53)</f>
        <v>1.1763392857142858</v>
      </c>
      <c r="AN7" s="321">
        <f t="shared" si="33"/>
        <v>10.266670269334206</v>
      </c>
      <c r="AO7" s="357">
        <f>'Sig-Dose Plt'!Q20*'TD Plts'!Y21*'Signals Plt'!Y26</f>
        <v>0</v>
      </c>
      <c r="AP7" s="285">
        <v>0</v>
      </c>
      <c r="AQ7" s="358">
        <f>CHOOSE('Sig-Dose Plt'!R20,Regression!BN7,Regression!BU7,CC7,Regression!AS7,Regression!BD7)</f>
        <v>109.11919114017863</v>
      </c>
      <c r="AR7" s="359">
        <f>CHOOSE('Sig-Dose Plt'!R20,Regression!BO7,Regression!BV7,CC7*0.1,Regression!AT7,Regression!BE7)</f>
        <v>11.202907554926684</v>
      </c>
      <c r="AS7" s="360">
        <f t="shared" si="2"/>
        <v>109.11919114017863</v>
      </c>
      <c r="AT7" s="360">
        <f t="shared" si="3"/>
        <v>11.202907554926684</v>
      </c>
      <c r="AU7" s="361">
        <f t="shared" si="4"/>
        <v>0.99612873798078383</v>
      </c>
      <c r="AV7" s="322">
        <f t="shared" si="5"/>
        <v>140.41371497218779</v>
      </c>
      <c r="AW7" s="362">
        <v>446.95240794655649</v>
      </c>
      <c r="AX7" s="363">
        <v>2.5084486188944855E-3</v>
      </c>
      <c r="AY7" s="363">
        <v>16.307948780872174</v>
      </c>
      <c r="AZ7" s="362">
        <f t="shared" si="6"/>
        <v>115.48109350585042</v>
      </c>
      <c r="BA7" s="364"/>
      <c r="BB7" s="364"/>
      <c r="BC7" s="365" t="str">
        <f t="shared" si="34"/>
        <v/>
      </c>
      <c r="BD7" s="323">
        <f t="shared" si="7"/>
        <v>137.09774059576182</v>
      </c>
      <c r="BE7" s="360">
        <f t="shared" si="8"/>
        <v>70.066292785204482</v>
      </c>
      <c r="BF7" s="361">
        <f t="shared" si="9"/>
        <v>0.91140051337450456</v>
      </c>
      <c r="BG7" s="322">
        <f t="shared" si="10"/>
        <v>165.09155648144497</v>
      </c>
      <c r="BH7" s="362">
        <v>0</v>
      </c>
      <c r="BI7" s="363">
        <v>0</v>
      </c>
      <c r="BJ7" s="363">
        <v>49.454955953422825</v>
      </c>
      <c r="BK7" s="362">
        <v>0.88002909074731839</v>
      </c>
      <c r="BL7" s="362">
        <f t="shared" si="11"/>
        <v>2642.9535249181736</v>
      </c>
      <c r="BM7" s="365" t="str">
        <f t="shared" si="35"/>
        <v/>
      </c>
      <c r="BN7" s="366">
        <f t="shared" si="36"/>
        <v>121.93702423274523</v>
      </c>
      <c r="BO7" s="367">
        <f t="shared" si="12"/>
        <v>26.900217511633301</v>
      </c>
      <c r="BP7" s="363">
        <f t="shared" si="37"/>
        <v>0.98220388780453882</v>
      </c>
      <c r="BQ7" s="362">
        <f t="shared" si="13"/>
        <v>0.73131858864915456</v>
      </c>
      <c r="BR7" s="362">
        <f t="shared" si="14"/>
        <v>31.475187534031008</v>
      </c>
      <c r="BS7" s="322">
        <f t="shared" si="43"/>
        <v>140.41371497218779</v>
      </c>
      <c r="BT7" s="368">
        <f>SUM((BR7+BQ7*T27-T7)^2,(BR7+BQ7*U27-U7)^2,(BR7+BQ7*V27-V7)^2,(BR7+BQ7*W27-W7)^2,(BR7+BQ7*X27-X7)^2)</f>
        <v>530.86422109470925</v>
      </c>
      <c r="BU7" s="369">
        <f t="shared" si="15"/>
        <v>109.55167251650708</v>
      </c>
      <c r="BV7" s="322">
        <f t="shared" si="16"/>
        <v>11.827471082247913</v>
      </c>
      <c r="BW7" s="357">
        <f>INDEX(LINEST($T7:$X7,$T$56:$X$57,TRUE,TRUE),3,1)</f>
        <v>0.99550264153979284</v>
      </c>
      <c r="BX7" s="324">
        <f>INDEX(LINEST($T7:$X7,$T$56:$X$57,TRUE,TRUE),1,1)</f>
        <v>-9.2125060209304142E-4</v>
      </c>
      <c r="BY7" s="324">
        <f>INDEX(LINEST($T7:$X7,$T$56:$X$57,TRUE,TRUE),1,2)</f>
        <v>1.0314883407474402</v>
      </c>
      <c r="BZ7" s="324">
        <f>INDEX(LINEST($T7:$X7,$T$56:$X$57,TRUE,TRUE),1,3)</f>
        <v>18.705179712162142</v>
      </c>
      <c r="CA7" s="322">
        <f t="shared" si="38"/>
        <v>140.41371497218779</v>
      </c>
      <c r="CB7" s="368">
        <f t="shared" si="44"/>
        <v>134.15776826639961</v>
      </c>
      <c r="CC7" s="369">
        <f t="shared" si="17"/>
        <v>110.03785000042312</v>
      </c>
      <c r="CD7" s="41">
        <f t="shared" si="18"/>
        <v>3.1257473591038238E-13</v>
      </c>
      <c r="CE7" s="357">
        <f>INDEX(LINEST($T7:$V7,$T$56:$V$57,TRUE,TRUE),3,1)</f>
        <v>1</v>
      </c>
      <c r="CF7" s="324">
        <f>INDEX(LINEST($T7:$V7,$T$56:$V$57,TRUE,TRUE),1,1)</f>
        <v>1.7609708905614262E-4</v>
      </c>
      <c r="CG7" s="324">
        <f>INDEX(LINEST($T7:$V7,$T$56:$V$57,TRUE,TRUE),1,2)</f>
        <v>0.58000808267590742</v>
      </c>
      <c r="CH7" s="324">
        <f>INDEX(LINEST($T7:$V7,$T$56:$V$57,TRUE,TRUE),1,3)</f>
        <v>54.694916209138519</v>
      </c>
      <c r="CI7" s="324">
        <f t="shared" si="39"/>
        <v>140.41371497218779</v>
      </c>
      <c r="CJ7" s="368">
        <f t="shared" si="40"/>
        <v>134.15776826639961</v>
      </c>
      <c r="CK7" s="325"/>
      <c r="CL7" s="326"/>
      <c r="CM7" s="323">
        <v>137.09774059576182</v>
      </c>
      <c r="CN7" s="90">
        <f t="shared" si="19"/>
        <v>120.64999999999999</v>
      </c>
      <c r="CO7" s="327">
        <f t="shared" si="20"/>
        <v>2.0194839173657902E-28</v>
      </c>
      <c r="CP7" s="322">
        <v>112.5046528893228</v>
      </c>
      <c r="CQ7" s="90">
        <f t="shared" si="21"/>
        <v>99.007367387033412</v>
      </c>
      <c r="CR7" s="322">
        <f t="shared" si="22"/>
        <v>0</v>
      </c>
      <c r="CS7" s="322">
        <v>165.09155648144497</v>
      </c>
      <c r="CT7" s="90">
        <f t="shared" si="23"/>
        <v>145.28537234042557</v>
      </c>
      <c r="CU7" s="322">
        <f t="shared" si="24"/>
        <v>0</v>
      </c>
      <c r="CV7" s="322">
        <v>284.29808177307427</v>
      </c>
      <c r="CW7" s="90">
        <f t="shared" si="25"/>
        <v>250.19058240396532</v>
      </c>
      <c r="CX7" s="322">
        <f t="shared" si="26"/>
        <v>8.0779356694631609E-28</v>
      </c>
      <c r="CY7" s="322">
        <v>17.174669876477104</v>
      </c>
      <c r="CZ7" s="90">
        <f t="shared" si="27"/>
        <v>15.114209115281504</v>
      </c>
      <c r="DA7" s="322">
        <f t="shared" si="28"/>
        <v>0</v>
      </c>
      <c r="DB7" s="322">
        <v>104.21826832540825</v>
      </c>
      <c r="DC7" s="90">
        <f t="shared" si="29"/>
        <v>91.715107913669073</v>
      </c>
      <c r="DD7" s="322">
        <f t="shared" si="30"/>
        <v>0</v>
      </c>
      <c r="DE7" s="328">
        <f t="shared" si="41"/>
        <v>1.104952191650332</v>
      </c>
    </row>
    <row r="8" spans="1:109" s="25" customFormat="1" x14ac:dyDescent="0.2">
      <c r="A8" s="25" t="str">
        <f>'Raw Data'!$B308</f>
        <v>pIRIR01f_rdx1_d35</v>
      </c>
      <c r="B8" s="186">
        <f>'Raw Data'!B65</f>
        <v>35</v>
      </c>
      <c r="C8" s="371" t="s">
        <v>171</v>
      </c>
      <c r="D8" s="373" t="s">
        <v>107</v>
      </c>
      <c r="E8" s="321">
        <f>'Raw Data'!E66/'Raw Data'!E66</f>
        <v>1</v>
      </c>
      <c r="F8" s="321">
        <f>'Raw Data'!E68/'Raw Data'!E66</f>
        <v>1.0690252286696442</v>
      </c>
      <c r="G8" s="321">
        <f>'Raw Data'!E70/'Raw Data'!E66</f>
        <v>1.2492992036209958</v>
      </c>
      <c r="H8" s="321">
        <f>'Raw Data'!E72/'Raw Data'!E66</f>
        <v>1.4526458813746754</v>
      </c>
      <c r="I8" s="321">
        <f>'Raw Data'!E74/'Raw Data'!E66</f>
        <v>1.4156815512674341</v>
      </c>
      <c r="J8" s="321">
        <f>'Raw Data'!E76/'Raw Data'!E66</f>
        <v>1.4128869381841873</v>
      </c>
      <c r="K8" s="169">
        <f>'Raw Data'!E66/'Raw Data'!E66</f>
        <v>1</v>
      </c>
      <c r="L8" s="169">
        <f>SQRT(('Raw Data'!$F68/'Raw Data'!$E68)^2+('Raw Data'!$F66/'Raw Data'!$E66)^2)*F8</f>
        <v>4.4979631183985954E-3</v>
      </c>
      <c r="M8" s="169">
        <f>SQRT(('Raw Data'!$F70/'Raw Data'!$E70)^2+('Raw Data'!$F66/'Raw Data'!$E66)^2)*G8</f>
        <v>5.0814161111656627E-3</v>
      </c>
      <c r="N8" s="169">
        <f>SQRT(('Raw Data'!$F72/'Raw Data'!$E72)^2+('Raw Data'!$F66/'Raw Data'!$E66)^2)*H8</f>
        <v>5.7398553193706838E-3</v>
      </c>
      <c r="O8" s="169">
        <f>SQRT(('Raw Data'!$F74/'Raw Data'!$E74)^2+('Raw Data'!$F66/'Raw Data'!$E66)^2)*I8</f>
        <v>5.5896242898635659E-3</v>
      </c>
      <c r="P8" s="354">
        <f>SQRT(('Raw Data'!$F76/'Raw Data'!$E76)^2+('Raw Data'!$F66/'Raw Data'!$E66)^2)*J8</f>
        <v>5.5894060396397775E-3</v>
      </c>
      <c r="Q8" s="355">
        <f>'Raw Data'!E65</f>
        <v>8416.7000000000007</v>
      </c>
      <c r="R8" s="356">
        <f>'Raw Data'!F65</f>
        <v>29.877328779138086</v>
      </c>
      <c r="S8" s="357">
        <f>'Raw Data'!E66</f>
        <v>11665.3</v>
      </c>
      <c r="T8" s="357">
        <f>'Raw Data'!E67*$E8/F8</f>
        <v>7370.4995810111859</v>
      </c>
      <c r="U8" s="357">
        <f>'Raw Data'!E69*$E8/G8</f>
        <v>13957.14489328196</v>
      </c>
      <c r="V8" s="357">
        <f>'Raw Data'!E71*$E8/H8</f>
        <v>26304.690282699587</v>
      </c>
      <c r="W8" s="357">
        <f>'Raw Data'!E73*$E8/I8</f>
        <v>85.400561935528785</v>
      </c>
      <c r="X8" s="357">
        <f>'Raw Data'!E75*$E8/J8</f>
        <v>7863.5803755669149</v>
      </c>
      <c r="Y8" s="169">
        <f>'Raw Data'!F65</f>
        <v>29.877328779138086</v>
      </c>
      <c r="Z8" s="169">
        <f>'Raw Data'!F66</f>
        <v>35.246514992875049</v>
      </c>
      <c r="AA8" s="169">
        <f>SQRT(('Raw Data'!F67/'Raw Data'!E67)^2+(L8/F8)^2)*T8</f>
        <v>41.193237956847518</v>
      </c>
      <c r="AB8" s="169">
        <f>SQRT(('Raw Data'!F69/'Raw Data'!E69)^2+(M8/E8)^2)*U8</f>
        <v>78.824061391836679</v>
      </c>
      <c r="AC8" s="169">
        <f>SQRT(('Raw Data'!F71/'Raw Data'!E71)^2+(N8/H8)^2)*V8</f>
        <v>112.75059368192807</v>
      </c>
      <c r="AD8" s="169">
        <f>SQRT(('Raw Data'!F73/'Raw Data'!E73)^2+(O8/I8)^2)*W8</f>
        <v>4.8218881550032329</v>
      </c>
      <c r="AE8" s="169">
        <f>SQRT(('Raw Data'!F75/'Raw Data'!E75)^2+(P8/J8)^2)*X8</f>
        <v>39.55076121576392</v>
      </c>
      <c r="AF8" s="370">
        <f t="shared" si="0"/>
        <v>1.0668992364949137</v>
      </c>
      <c r="AG8" s="321">
        <f t="shared" si="1"/>
        <v>4.1264033176405421</v>
      </c>
      <c r="AH8" s="321">
        <f t="shared" si="31"/>
        <v>1.0146561233681701</v>
      </c>
      <c r="AI8" s="321">
        <f t="shared" si="32"/>
        <v>0.2738626784006693</v>
      </c>
      <c r="AJ8" s="68" t="e">
        <f>(AVERAGE('Raw Data'!G65:H65)-AVERAGE(INDEX('Raw Data'!G65:IV65,MATCH(ROUND($AR$41*10-1,0),'Raw Data'!$G$4:$IV$4,0)):INDEX('Raw Data'!G65:IV65,MATCH(ROUND($AR$41*10+1,0),'Raw Data'!$G$4:$IV$4,0))))/(AVERAGE(INDEX('Raw Data'!G65:IV65,MATCH(ROUND($AR$41*10-1,0),'Raw Data'!$G$4:$IV$4,0)):INDEX('Raw Data'!G65:IV65,MATCH(ROUND($AR$41*10+1,0),'Raw Data'!$G$4:$IV$4,0)))-AVERAGE(INDEX('Raw Data'!G65:IV65,MATCH(ROUND($AR$42*10,0),'Raw Data'!$G$4:$IV$4,0)):INDEX('Raw Data'!G65:IV65,MATCH(ROUND(IF($AR$43&gt;25,25,$AR$43)*10,0),'Raw Data'!$G$4:$IV$4,0))))</f>
        <v>#N/A</v>
      </c>
      <c r="AK8" s="68" t="s">
        <v>161</v>
      </c>
      <c r="AL8" s="321">
        <f t="shared" si="42"/>
        <v>1.0670834448208433</v>
      </c>
      <c r="AM8" s="324">
        <f>('Raw Data'!G72/'Raw Data'!H72)/('Raw Data'!G65/'Raw Data'!H65)</f>
        <v>1.0387155344315686</v>
      </c>
      <c r="AN8" s="321">
        <f t="shared" si="33"/>
        <v>5.2010620428013707</v>
      </c>
      <c r="AO8" s="357">
        <f>'Sig-Dose Plt'!Q22*'TD Plts'!Y23*'Signals Plt'!Y28</f>
        <v>0</v>
      </c>
      <c r="AP8" s="285">
        <v>0</v>
      </c>
      <c r="AQ8" s="358">
        <f>CHOOSE('Sig-Dose Plt'!R22,Regression!BN8,Regression!BU8,CC8,Regression!AS8,Regression!BD8)</f>
        <v>84.408533836567003</v>
      </c>
      <c r="AR8" s="359">
        <f>CHOOSE('Sig-Dose Plt'!R22,Regression!BO8,Regression!BV8,CC8*0.1,Regression!AT8,Regression!BE8)</f>
        <v>4.3901402142588379</v>
      </c>
      <c r="AS8" s="360">
        <f t="shared" si="2"/>
        <v>84.408533836567003</v>
      </c>
      <c r="AT8" s="360">
        <f t="shared" si="3"/>
        <v>4.3901402142588379</v>
      </c>
      <c r="AU8" s="361">
        <f t="shared" si="4"/>
        <v>0.99948569260291231</v>
      </c>
      <c r="AV8" s="322">
        <f t="shared" si="5"/>
        <v>146.79216687955136</v>
      </c>
      <c r="AW8" s="362">
        <v>74834.53228246166</v>
      </c>
      <c r="AX8" s="363">
        <v>1.3962601426561125E-3</v>
      </c>
      <c r="AY8" s="363">
        <v>1.0439240793149958</v>
      </c>
      <c r="AZ8" s="362">
        <f t="shared" si="6"/>
        <v>198033.83038424782</v>
      </c>
      <c r="BA8" s="364"/>
      <c r="BB8" s="364"/>
      <c r="BC8" s="365" t="str">
        <f t="shared" si="34"/>
        <v/>
      </c>
      <c r="BD8" s="323">
        <f t="shared" si="7"/>
        <v>95.437335298200495</v>
      </c>
      <c r="BE8" s="360">
        <f t="shared" si="8"/>
        <v>26.598531234593022</v>
      </c>
      <c r="BF8" s="361">
        <f t="shared" si="9"/>
        <v>0.99058889241395209</v>
      </c>
      <c r="BG8" s="322">
        <f t="shared" si="10"/>
        <v>158.26068613419949</v>
      </c>
      <c r="BH8" s="362">
        <v>0</v>
      </c>
      <c r="BI8" s="363">
        <v>0</v>
      </c>
      <c r="BJ8" s="363">
        <v>3.9762873389549899E-15</v>
      </c>
      <c r="BK8" s="362">
        <v>88.190852916224515</v>
      </c>
      <c r="BL8" s="362">
        <f t="shared" si="11"/>
        <v>3623742.7149147368</v>
      </c>
      <c r="BM8" s="365" t="str">
        <f t="shared" si="35"/>
        <v/>
      </c>
      <c r="BN8" s="366">
        <f t="shared" si="36"/>
        <v>89.137378174092134</v>
      </c>
      <c r="BO8" s="367">
        <f t="shared" si="12"/>
        <v>13.756613689615341</v>
      </c>
      <c r="BP8" s="363">
        <f t="shared" si="37"/>
        <v>0.99568975841948781</v>
      </c>
      <c r="BQ8" s="362">
        <f t="shared" si="13"/>
        <v>83.655973248874247</v>
      </c>
      <c r="BR8" s="362">
        <f t="shared" si="14"/>
        <v>959.82587599336148</v>
      </c>
      <c r="BS8" s="322">
        <f t="shared" si="43"/>
        <v>146.79216687955136</v>
      </c>
      <c r="BT8" s="368">
        <f t="shared" ref="BT8:BT18" si="45">SUM((BR8+BQ8*T28-T8)^2,(BR8+BQ8*U28-U8)^2,(BR8+BQ8*V28-V8)^2,(BR8+BQ8*W28-W8)^2,(BR8+BQ8*X28-X8)^2)</f>
        <v>1659656.5690162715</v>
      </c>
      <c r="BU8" s="369">
        <f t="shared" si="15"/>
        <v>84.760457876478355</v>
      </c>
      <c r="BV8" s="322">
        <f t="shared" si="16"/>
        <v>4.4440023797991124</v>
      </c>
      <c r="BW8" s="357">
        <f>INDEX(LINEST($T8:$X8,$T$58:$X$59,TRUE,TRUE),3,1)</f>
        <v>0.99945859184715868</v>
      </c>
      <c r="BX8" s="324">
        <f>INDEX(LINEST($T8:$X8,$T$58:$X$59,TRUE,TRUE),1,1)</f>
        <v>-5.5719207715032776E-2</v>
      </c>
      <c r="BY8" s="324">
        <f>INDEX(LINEST($T8:$X8,$T$58:$X$59,TRUE,TRUE),1,2)</f>
        <v>101.81088216175343</v>
      </c>
      <c r="BZ8" s="324">
        <f>INDEX(LINEST($T8:$X8,$T$58:$X$59,TRUE,TRUE),1,3)</f>
        <v>187.46847754745841</v>
      </c>
      <c r="CA8" s="322">
        <f t="shared" si="38"/>
        <v>146.79216687955136</v>
      </c>
      <c r="CB8" s="368">
        <f t="shared" si="44"/>
        <v>208468.964116672</v>
      </c>
      <c r="CC8" s="369">
        <f t="shared" si="17"/>
        <v>86.203570500413704</v>
      </c>
      <c r="CD8" s="41">
        <f t="shared" si="18"/>
        <v>1.1511247139902561E-12</v>
      </c>
      <c r="CE8" s="357">
        <f>INDEX(LINEST($T8:$V8,$T$58:$V$59,TRUE,TRUE),3,1)</f>
        <v>1</v>
      </c>
      <c r="CF8" s="324">
        <f>INDEX(LINEST($T8:$V8,$T$58:$V$59,TRUE,TRUE),1,1)</f>
        <v>-4.4602602171532509E-2</v>
      </c>
      <c r="CG8" s="324">
        <f>INDEX(LINEST($T8:$V8,$T$58:$V$59,TRUE,TRUE),1,2)</f>
        <v>98.16453914722949</v>
      </c>
      <c r="CH8" s="324">
        <f>INDEX(LINEST($T8:$V8,$T$58:$V$59,TRUE,TRUE),1,3)</f>
        <v>286.01064415152177</v>
      </c>
      <c r="CI8" s="324">
        <f t="shared" si="39"/>
        <v>146.79216687955136</v>
      </c>
      <c r="CJ8" s="368">
        <f t="shared" si="40"/>
        <v>208468.964116672</v>
      </c>
      <c r="CK8" s="325"/>
      <c r="CL8" s="326"/>
      <c r="CM8" s="323">
        <v>95.437335298200495</v>
      </c>
      <c r="CN8" s="90">
        <f t="shared" si="19"/>
        <v>8416.7000000000025</v>
      </c>
      <c r="CO8" s="327">
        <f t="shared" si="20"/>
        <v>3.3087224502121107E-24</v>
      </c>
      <c r="CP8" s="322">
        <v>83.574422259105191</v>
      </c>
      <c r="CQ8" s="90">
        <f t="shared" si="21"/>
        <v>7370.4995810111859</v>
      </c>
      <c r="CR8" s="322">
        <f t="shared" si="22"/>
        <v>0</v>
      </c>
      <c r="CS8" s="322">
        <v>158.26068613419949</v>
      </c>
      <c r="CT8" s="90">
        <f t="shared" si="23"/>
        <v>13957.14489328196</v>
      </c>
      <c r="CU8" s="322">
        <f t="shared" si="24"/>
        <v>0</v>
      </c>
      <c r="CV8" s="322">
        <v>298.2700519711189</v>
      </c>
      <c r="CW8" s="90">
        <f t="shared" si="25"/>
        <v>26304.69028269959</v>
      </c>
      <c r="CX8" s="322">
        <f t="shared" si="26"/>
        <v>1.3234889800848443E-23</v>
      </c>
      <c r="CY8" s="322">
        <v>0.96836076658260328</v>
      </c>
      <c r="CZ8" s="90">
        <f t="shared" si="27"/>
        <v>85.400561935528785</v>
      </c>
      <c r="DA8" s="322">
        <f t="shared" si="28"/>
        <v>0</v>
      </c>
      <c r="DB8" s="322">
        <v>89.165487298742832</v>
      </c>
      <c r="DC8" s="90">
        <f t="shared" si="29"/>
        <v>7863.580375566914</v>
      </c>
      <c r="DD8" s="322">
        <f t="shared" si="30"/>
        <v>8.2718061255302767E-25</v>
      </c>
      <c r="DE8" s="328">
        <f t="shared" si="41"/>
        <v>1.0592334079527754</v>
      </c>
    </row>
    <row r="9" spans="1:109" s="25" customFormat="1" x14ac:dyDescent="0.2">
      <c r="A9" s="25" t="str">
        <f>'Raw Data'!$B309</f>
        <v>pIRIR01f_rdx1_d36</v>
      </c>
      <c r="B9" s="186">
        <f>'Raw Data'!B77</f>
        <v>36</v>
      </c>
      <c r="C9" s="371" t="s">
        <v>171</v>
      </c>
      <c r="D9" s="373" t="s">
        <v>107</v>
      </c>
      <c r="E9" s="321">
        <f>'Raw Data'!E78/'Raw Data'!E78</f>
        <v>1</v>
      </c>
      <c r="F9" s="321">
        <f>'Raw Data'!E80/'Raw Data'!E78</f>
        <v>0.90617730386464479</v>
      </c>
      <c r="G9" s="321">
        <f>'Raw Data'!E82/'Raw Data'!E78</f>
        <v>0.89537808609870229</v>
      </c>
      <c r="H9" s="321">
        <f>'Raw Data'!E84/'Raw Data'!E78</f>
        <v>0.90184626906884646</v>
      </c>
      <c r="I9" s="321">
        <f>'Raw Data'!E86/'Raw Data'!E78</f>
        <v>0.82018451342999044</v>
      </c>
      <c r="J9" s="321">
        <f>'Raw Data'!E88/'Raw Data'!E78</f>
        <v>0.81915187369265163</v>
      </c>
      <c r="K9" s="169">
        <f>'Raw Data'!E78/'Raw Data'!E78</f>
        <v>1</v>
      </c>
      <c r="L9" s="169">
        <f>SQRT(('Raw Data'!$F80/'Raw Data'!$E80)^2+('Raw Data'!$F78/'Raw Data'!$E78)^2)*F9</f>
        <v>3.7777606432839944E-3</v>
      </c>
      <c r="M9" s="169">
        <f>SQRT(('Raw Data'!$F82/'Raw Data'!$E82)^2+('Raw Data'!$F78/'Raw Data'!$E78)^2)*G9</f>
        <v>3.7485441432680497E-3</v>
      </c>
      <c r="N9" s="169">
        <f>SQRT(('Raw Data'!$F84/'Raw Data'!$E84)^2+('Raw Data'!$F78/'Raw Data'!$E78)^2)*H9</f>
        <v>3.7779082744274447E-3</v>
      </c>
      <c r="O9" s="169">
        <f>SQRT(('Raw Data'!$F86/'Raw Data'!$E86)^2+('Raw Data'!$F78/'Raw Data'!$E78)^2)*I9</f>
        <v>3.5030270804910983E-3</v>
      </c>
      <c r="P9" s="354">
        <f>SQRT(('Raw Data'!$F88/'Raw Data'!$E88)^2+('Raw Data'!$F78/'Raw Data'!$E78)^2)*J9</f>
        <v>3.5055356959616695E-3</v>
      </c>
      <c r="Q9" s="355">
        <f>'Raw Data'!E77</f>
        <v>18476.8</v>
      </c>
      <c r="R9" s="356">
        <f>'Raw Data'!F77</f>
        <v>44.702257391417859</v>
      </c>
      <c r="S9" s="357">
        <f>'Raw Data'!E78</f>
        <v>13218.55</v>
      </c>
      <c r="T9" s="357">
        <f>'Raw Data'!E79*$E9/F9</f>
        <v>9358.543812378166</v>
      </c>
      <c r="U9" s="357">
        <f>'Raw Data'!E81*$E9/G9</f>
        <v>16366.493917503125</v>
      </c>
      <c r="V9" s="357">
        <f>'Raw Data'!E83*$E9/H9</f>
        <v>27529.303886386322</v>
      </c>
      <c r="W9" s="357">
        <f>'Raw Data'!E85*$E9/I9</f>
        <v>348.51913846139661</v>
      </c>
      <c r="X9" s="357">
        <f>'Raw Data'!E87*$E9/J9</f>
        <v>9154.8347026228294</v>
      </c>
      <c r="Y9" s="169">
        <f>'Raw Data'!F77</f>
        <v>44.702257391417859</v>
      </c>
      <c r="Z9" s="169">
        <f>'Raw Data'!F78</f>
        <v>38.104979064404482</v>
      </c>
      <c r="AA9" s="169">
        <f>SQRT(('Raw Data'!F79/'Raw Data'!E79)^2+(L9/F9)^2)*T9</f>
        <v>51.471413100957754</v>
      </c>
      <c r="AB9" s="169">
        <f>SQRT(('Raw Data'!F81/'Raw Data'!E81)^2+(M9/E9)^2)*U9</f>
        <v>75.642546824628724</v>
      </c>
      <c r="AC9" s="169">
        <f>SQRT(('Raw Data'!F83/'Raw Data'!E83)^2+(N9/H9)^2)*V9</f>
        <v>128.61484951475214</v>
      </c>
      <c r="AD9" s="169">
        <f>SQRT(('Raw Data'!F85/'Raw Data'!E85)^2+(O9/I9)^2)*W9</f>
        <v>9.3525996767014661</v>
      </c>
      <c r="AE9" s="169">
        <f>SQRT(('Raw Data'!F87/'Raw Data'!E87)^2+(P9/J9)^2)*X9</f>
        <v>52.40671219159919</v>
      </c>
      <c r="AF9" s="370">
        <f t="shared" si="0"/>
        <v>0.97823281978058396</v>
      </c>
      <c r="AG9" s="321">
        <f t="shared" si="1"/>
        <v>1.4807738121692389</v>
      </c>
      <c r="AH9" s="321">
        <f t="shared" si="31"/>
        <v>1.8862526977690757</v>
      </c>
      <c r="AI9" s="321">
        <f t="shared" si="32"/>
        <v>0.56508437247637811</v>
      </c>
      <c r="AJ9" s="68" t="e">
        <f>(AVERAGE('Raw Data'!G77:H77)-AVERAGE(INDEX('Raw Data'!G77:IV77,MATCH(ROUND($AR$41*10-1,0),'Raw Data'!$G$4:$IV$4,0)):INDEX('Raw Data'!G77:IV77,MATCH(ROUND($AR$41*10+1,0),'Raw Data'!$G$4:$IV$4,0))))/(AVERAGE(INDEX('Raw Data'!G77:IV77,MATCH(ROUND($AR$41*10-1,0),'Raw Data'!$G$4:$IV$4,0)):INDEX('Raw Data'!G77:IV77,MATCH(ROUND($AR$41*10+1,0),'Raw Data'!$G$4:$IV$4,0)))-AVERAGE(INDEX('Raw Data'!G77:IV77,MATCH(ROUND($AR$42*10,0),'Raw Data'!$G$4:$IV$4,0)):INDEX('Raw Data'!G77:IV77,MATCH(ROUND(IF($AR$43&gt;25,25,$AR$43)*10,0),'Raw Data'!$G$4:$IV$4,0))))</f>
        <v>#N/A</v>
      </c>
      <c r="AK9" s="68" t="s">
        <v>161</v>
      </c>
      <c r="AL9" s="321">
        <f t="shared" si="42"/>
        <v>1.0166231328393576</v>
      </c>
      <c r="AM9" s="324">
        <f>('Raw Data'!G84/'Raw Data'!H84)/('Raw Data'!G77/'Raw Data'!H77)</f>
        <v>0.98513385651472141</v>
      </c>
      <c r="AN9" s="321">
        <f t="shared" si="33"/>
        <v>0.92911438998729989</v>
      </c>
      <c r="AO9" s="357">
        <f>'Sig-Dose Plt'!Q24*'TD Plts'!Y25*'Signals Plt'!Y30</f>
        <v>1</v>
      </c>
      <c r="AP9" s="285">
        <v>1</v>
      </c>
      <c r="AQ9" s="358">
        <f>CHOOSE('Sig-Dose Plt'!R24,Regression!BN9,Regression!BU9,CC9,Regression!AS9,Regression!BD9)</f>
        <v>174.16737341955036</v>
      </c>
      <c r="AR9" s="359">
        <f>CHOOSE('Sig-Dose Plt'!R24,Regression!BO9,Regression!BV9,CC9*0.1,Regression!AT9,Regression!BE9)</f>
        <v>1.6182141291039578</v>
      </c>
      <c r="AS9" s="360">
        <f t="shared" si="2"/>
        <v>174.16737341955036</v>
      </c>
      <c r="AT9" s="360">
        <f t="shared" si="3"/>
        <v>1.6182141291039578</v>
      </c>
      <c r="AU9" s="361">
        <f t="shared" si="4"/>
        <v>0.99993533198663631</v>
      </c>
      <c r="AV9" s="322">
        <f t="shared" si="5"/>
        <v>148.93696622929576</v>
      </c>
      <c r="AW9" s="362">
        <v>47463.818086215026</v>
      </c>
      <c r="AX9" s="363">
        <v>2.7852780100442688E-3</v>
      </c>
      <c r="AY9" s="363">
        <v>2.8776529445044035</v>
      </c>
      <c r="AZ9" s="362">
        <f t="shared" si="6"/>
        <v>26483.739456939496</v>
      </c>
      <c r="BA9" s="364"/>
      <c r="BB9" s="364"/>
      <c r="BC9" s="365" t="str">
        <f t="shared" si="34"/>
        <v/>
      </c>
      <c r="BD9" s="323">
        <f t="shared" si="7"/>
        <v>192.807957724532</v>
      </c>
      <c r="BE9" s="360">
        <f t="shared" si="8"/>
        <v>48.840713243440256</v>
      </c>
      <c r="BF9" s="361">
        <f t="shared" si="9"/>
        <v>0.9581530335700903</v>
      </c>
      <c r="BG9" s="322">
        <f t="shared" si="10"/>
        <v>170.78662253987449</v>
      </c>
      <c r="BH9" s="362">
        <v>0</v>
      </c>
      <c r="BI9" s="363">
        <v>0</v>
      </c>
      <c r="BJ9" s="363">
        <v>1.564314552388669</v>
      </c>
      <c r="BK9" s="362">
        <v>95.830069557596346</v>
      </c>
      <c r="BL9" s="362">
        <f t="shared" si="11"/>
        <v>17137748.607810888</v>
      </c>
      <c r="BM9" s="365" t="str">
        <f t="shared" si="35"/>
        <v/>
      </c>
      <c r="BN9" s="366">
        <f t="shared" si="36"/>
        <v>190.57493488799216</v>
      </c>
      <c r="BO9" s="367">
        <f t="shared" si="12"/>
        <v>32.191382354744533</v>
      </c>
      <c r="BP9" s="363">
        <f t="shared" si="37"/>
        <v>0.9821627007330308</v>
      </c>
      <c r="BQ9" s="362">
        <f t="shared" si="13"/>
        <v>85.683421992179504</v>
      </c>
      <c r="BR9" s="362">
        <f t="shared" si="14"/>
        <v>2147.6874328600352</v>
      </c>
      <c r="BS9" s="322">
        <f t="shared" si="43"/>
        <v>148.93696622929576</v>
      </c>
      <c r="BT9" s="368">
        <f t="shared" si="45"/>
        <v>7304977.558925746</v>
      </c>
      <c r="BU9" s="369">
        <f t="shared" si="15"/>
        <v>172.29133696811451</v>
      </c>
      <c r="BV9" s="322">
        <f t="shared" si="16"/>
        <v>2.6342294966411859</v>
      </c>
      <c r="BW9" s="357">
        <f>INDEX(LINEST($T9:$X9,$T$60:$X$61,TRUE,TRUE),3,1)</f>
        <v>0.99983610504360965</v>
      </c>
      <c r="BX9" s="324">
        <f>INDEX(LINEST($T9:$X9,$T$60:$X$61,TRUE,TRUE),1,1)</f>
        <v>-0.12442997931022748</v>
      </c>
      <c r="BY9" s="324">
        <f>INDEX(LINEST($T9:$X9,$T$60:$X$61,TRUE,TRUE),1,2)</f>
        <v>126.22403597992465</v>
      </c>
      <c r="BZ9" s="324">
        <f>INDEX(LINEST($T9:$X9,$T$60:$X$61,TRUE,TRUE),1,3)</f>
        <v>423.10951489570016</v>
      </c>
      <c r="CA9" s="322">
        <f t="shared" si="38"/>
        <v>148.93696622929576</v>
      </c>
      <c r="CB9" s="368">
        <f t="shared" si="44"/>
        <v>67120.52988140026</v>
      </c>
      <c r="CC9" s="369">
        <f t="shared" si="17"/>
        <v>174.69746073818715</v>
      </c>
      <c r="CD9" s="41">
        <f t="shared" si="18"/>
        <v>9.4944742502747517E-13</v>
      </c>
      <c r="CE9" s="357">
        <f>INDEX(LINEST($T9:$V9,$T$60:$V$61,TRUE,TRUE),3,1)</f>
        <v>1</v>
      </c>
      <c r="CF9" s="324">
        <f>INDEX(LINEST($T9:$V9,$T$60:$V$61,TRUE,TRUE),1,1)</f>
        <v>-0.10016507773764366</v>
      </c>
      <c r="CG9" s="324">
        <f>INDEX(LINEST($T9:$V9,$T$60:$V$61,TRUE,TRUE),1,2)</f>
        <v>116.17115123619773</v>
      </c>
      <c r="CH9" s="324">
        <f>INDEX(LINEST($T9:$V9,$T$60:$V$61,TRUE,TRUE),1,3)</f>
        <v>1238.9531877923828</v>
      </c>
      <c r="CI9" s="324">
        <f t="shared" si="39"/>
        <v>148.93696622929576</v>
      </c>
      <c r="CJ9" s="368">
        <f t="shared" si="40"/>
        <v>67120.52988140026</v>
      </c>
      <c r="CK9" s="325"/>
      <c r="CL9" s="326"/>
      <c r="CM9" s="323">
        <v>192.807957724532</v>
      </c>
      <c r="CN9" s="90">
        <f t="shared" si="19"/>
        <v>18476.8</v>
      </c>
      <c r="CO9" s="327">
        <f t="shared" si="20"/>
        <v>0</v>
      </c>
      <c r="CP9" s="322">
        <v>97.657696123797962</v>
      </c>
      <c r="CQ9" s="90">
        <f t="shared" si="21"/>
        <v>9358.543812378166</v>
      </c>
      <c r="CR9" s="322">
        <f t="shared" si="22"/>
        <v>0</v>
      </c>
      <c r="CS9" s="322">
        <v>170.78662253987449</v>
      </c>
      <c r="CT9" s="90">
        <f t="shared" si="23"/>
        <v>16366.493917503123</v>
      </c>
      <c r="CU9" s="322">
        <f t="shared" si="24"/>
        <v>3.3087224502121107E-24</v>
      </c>
      <c r="CV9" s="322">
        <v>287.27208498831885</v>
      </c>
      <c r="CW9" s="90">
        <f t="shared" si="25"/>
        <v>27529.303886386326</v>
      </c>
      <c r="CX9" s="322">
        <f t="shared" si="26"/>
        <v>1.3234889800848443E-23</v>
      </c>
      <c r="CY9" s="322">
        <v>3.6368453040924447</v>
      </c>
      <c r="CZ9" s="90">
        <f t="shared" si="27"/>
        <v>348.51913846139661</v>
      </c>
      <c r="DA9" s="322">
        <f t="shared" si="28"/>
        <v>0</v>
      </c>
      <c r="DB9" s="322">
        <v>95.531963452458285</v>
      </c>
      <c r="DC9" s="90">
        <f t="shared" si="29"/>
        <v>9154.8347026228294</v>
      </c>
      <c r="DD9" s="322">
        <f t="shared" si="30"/>
        <v>0</v>
      </c>
      <c r="DE9" s="328">
        <f t="shared" si="41"/>
        <v>1.1425034799594715</v>
      </c>
    </row>
    <row r="10" spans="1:109" s="25" customFormat="1" x14ac:dyDescent="0.2">
      <c r="A10" s="25" t="str">
        <f>'Raw Data'!$B310</f>
        <v>pIRIR01f_rdx1_d37</v>
      </c>
      <c r="B10" s="186">
        <f>'Raw Data'!B89</f>
        <v>37</v>
      </c>
      <c r="C10" s="371" t="s">
        <v>171</v>
      </c>
      <c r="D10" s="373" t="s">
        <v>107</v>
      </c>
      <c r="E10" s="321">
        <f>'Raw Data'!E90/'Raw Data'!E90</f>
        <v>1</v>
      </c>
      <c r="F10" s="321">
        <f>'Raw Data'!E92/'Raw Data'!E90</f>
        <v>0.95469512699594594</v>
      </c>
      <c r="G10" s="321">
        <f>'Raw Data'!E94/'Raw Data'!E90</f>
        <v>0.98633793883235432</v>
      </c>
      <c r="H10" s="321">
        <f>'Raw Data'!E96/'Raw Data'!E90</f>
        <v>1.0331320151126555</v>
      </c>
      <c r="I10" s="321">
        <f>'Raw Data'!E98/'Raw Data'!E90</f>
        <v>0.96070158021014318</v>
      </c>
      <c r="J10" s="321">
        <f>'Raw Data'!E100/'Raw Data'!E90</f>
        <v>0.95768456468382002</v>
      </c>
      <c r="K10" s="169">
        <f>'Raw Data'!E90/'Raw Data'!E90</f>
        <v>1</v>
      </c>
      <c r="L10" s="169">
        <f>SQRT(('Raw Data'!$F92/'Raw Data'!$E92)^2+('Raw Data'!$F90/'Raw Data'!$E90)^2)*F10</f>
        <v>4.7402080313392577E-3</v>
      </c>
      <c r="M10" s="169">
        <f>SQRT(('Raw Data'!$F94/'Raw Data'!$E94)^2+('Raw Data'!$F90/'Raw Data'!$E90)^2)*G10</f>
        <v>4.8616908630230308E-3</v>
      </c>
      <c r="N10" s="169">
        <f>SQRT(('Raw Data'!$F96/'Raw Data'!$E96)^2+('Raw Data'!$F90/'Raw Data'!$E90)^2)*H10</f>
        <v>5.0475771056668331E-3</v>
      </c>
      <c r="O10" s="169">
        <f>SQRT(('Raw Data'!$F98/'Raw Data'!$E98)^2+('Raw Data'!$F90/'Raw Data'!$E90)^2)*I10</f>
        <v>4.7488020580019764E-3</v>
      </c>
      <c r="P10" s="354">
        <f>SQRT(('Raw Data'!$F100/'Raw Data'!$E100)^2+('Raw Data'!$F90/'Raw Data'!$E90)^2)*J10</f>
        <v>4.743784487433584E-3</v>
      </c>
      <c r="Q10" s="355">
        <f>'Raw Data'!E89</f>
        <v>11739.9</v>
      </c>
      <c r="R10" s="356">
        <f>'Raw Data'!F89</f>
        <v>35.625211029937105</v>
      </c>
      <c r="S10" s="357">
        <f>'Raw Data'!E90</f>
        <v>9065.25</v>
      </c>
      <c r="T10" s="357">
        <f>'Raw Data'!E91*$E10/F10</f>
        <v>6175.4793056831386</v>
      </c>
      <c r="U10" s="357">
        <f>'Raw Data'!E93*$E10/G10</f>
        <v>11324.46554091082</v>
      </c>
      <c r="V10" s="357">
        <f>'Raw Data'!E95*$E10/H10</f>
        <v>20319.184472964895</v>
      </c>
      <c r="W10" s="357">
        <f>'Raw Data'!E97*$E10/I10</f>
        <v>92.06813210471924</v>
      </c>
      <c r="X10" s="357">
        <f>'Raw Data'!E99*$E10/J10</f>
        <v>6153.3830838607873</v>
      </c>
      <c r="Y10" s="169">
        <f>'Raw Data'!F89</f>
        <v>35.625211029937105</v>
      </c>
      <c r="Z10" s="169">
        <f>'Raw Data'!F90</f>
        <v>31.579683803580533</v>
      </c>
      <c r="AA10" s="169">
        <f>SQRT(('Raw Data'!F91/'Raw Data'!E91)^2+(L10/F10)^2)*T10</f>
        <v>40.613478638689685</v>
      </c>
      <c r="AB10" s="169">
        <f>SQRT(('Raw Data'!F93/'Raw Data'!E93)^2+(M10/E10)^2)*U10</f>
        <v>65.230927406459713</v>
      </c>
      <c r="AC10" s="169">
        <f>SQRT(('Raw Data'!F95/'Raw Data'!E95)^2+(N10/H10)^2)*V10</f>
        <v>109.21757627342676</v>
      </c>
      <c r="AD10" s="169">
        <f>SQRT(('Raw Data'!F97/'Raw Data'!E97)^2+(O10/I10)^2)*W10</f>
        <v>6.5353432835418976</v>
      </c>
      <c r="AE10" s="169">
        <f>SQRT(('Raw Data'!F99/'Raw Data'!E99)^2+(P10/J10)^2)*X10</f>
        <v>40.306580099124986</v>
      </c>
      <c r="AF10" s="370">
        <f t="shared" si="0"/>
        <v>0.99642194221232083</v>
      </c>
      <c r="AG10" s="321">
        <f t="shared" si="1"/>
        <v>0.19864523862555289</v>
      </c>
      <c r="AH10" s="321">
        <f t="shared" si="31"/>
        <v>0.78423267749060255</v>
      </c>
      <c r="AI10" s="321">
        <f t="shared" si="32"/>
        <v>0.50331633936904396</v>
      </c>
      <c r="AJ10" s="68" t="e">
        <f>(AVERAGE('Raw Data'!G89:H89)-AVERAGE(INDEX('Raw Data'!G89:IV89,MATCH(ROUND($AR$41*10-1,0),'Raw Data'!$G$4:$IV$4,0)):INDEX('Raw Data'!G89:IV89,MATCH(ROUND($AR$41*10+1,0),'Raw Data'!$G$4:$IV$4,0))))/(AVERAGE(INDEX('Raw Data'!G89:IV89,MATCH(ROUND($AR$41*10-1,0),'Raw Data'!$G$4:$IV$4,0)):INDEX('Raw Data'!G89:IV89,MATCH(ROUND($AR$41*10+1,0),'Raw Data'!$G$4:$IV$4,0)))-AVERAGE(INDEX('Raw Data'!G89:IV89,MATCH(ROUND($AR$42*10,0),'Raw Data'!$G$4:$IV$4,0)):INDEX('Raw Data'!G89:IV89,MATCH(ROUND(IF($AR$43&gt;25,25,$AR$43)*10,0),'Raw Data'!$G$4:$IV$4,0))))</f>
        <v>#N/A</v>
      </c>
      <c r="AK10" s="68" t="s">
        <v>161</v>
      </c>
      <c r="AL10" s="321">
        <f t="shared" si="42"/>
        <v>1.0247154809505405</v>
      </c>
      <c r="AM10" s="324">
        <f>('Raw Data'!G96/'Raw Data'!H96)/('Raw Data'!G89/'Raw Data'!H89)</f>
        <v>1.0373875313180299</v>
      </c>
      <c r="AN10" s="321">
        <f t="shared" si="33"/>
        <v>0.60820991900000698</v>
      </c>
      <c r="AO10" s="357">
        <f>'Sig-Dose Plt'!Q26*'TD Plts'!Y27*'Signals Plt'!Y32</f>
        <v>1</v>
      </c>
      <c r="AP10" s="285">
        <v>1</v>
      </c>
      <c r="AQ10" s="358">
        <f>CHOOSE('Sig-Dose Plt'!R26,Regression!BN10,Regression!BU10,CC10,Regression!AS10,Regression!BD10)</f>
        <v>155.12955073043338</v>
      </c>
      <c r="AR10" s="359">
        <f>CHOOSE('Sig-Dose Plt'!R26,Regression!BO10,Regression!BV10,CC10*0.1,Regression!AT10,Regression!BE10)</f>
        <v>0.94351331484264367</v>
      </c>
      <c r="AS10" s="360">
        <f t="shared" si="2"/>
        <v>155.12955073043338</v>
      </c>
      <c r="AT10" s="360">
        <f t="shared" si="3"/>
        <v>0.94351331484264367</v>
      </c>
      <c r="AU10" s="361">
        <f t="shared" si="4"/>
        <v>0.99997965219152285</v>
      </c>
      <c r="AV10" s="322">
        <f t="shared" si="5"/>
        <v>148.72406508248272</v>
      </c>
      <c r="AW10" s="362">
        <v>45655.352209842247</v>
      </c>
      <c r="AX10" s="363">
        <v>1.9006688467896632E-3</v>
      </c>
      <c r="AY10" s="363">
        <v>1.2628251445621155</v>
      </c>
      <c r="AZ10" s="362">
        <f t="shared" si="6"/>
        <v>4655.2625872928511</v>
      </c>
      <c r="BA10" s="364"/>
      <c r="BB10" s="364"/>
      <c r="BC10" s="365" t="str">
        <f t="shared" si="34"/>
        <v/>
      </c>
      <c r="BD10" s="323">
        <f t="shared" si="7"/>
        <v>169.95605809874513</v>
      </c>
      <c r="BE10" s="360">
        <f t="shared" si="8"/>
        <v>33.123585690379819</v>
      </c>
      <c r="BF10" s="361">
        <f t="shared" si="9"/>
        <v>0.98266748054918296</v>
      </c>
      <c r="BG10" s="322">
        <f t="shared" si="10"/>
        <v>163.94190098793658</v>
      </c>
      <c r="BH10" s="362">
        <v>0</v>
      </c>
      <c r="BI10" s="363">
        <v>0</v>
      </c>
      <c r="BJ10" s="363">
        <v>0</v>
      </c>
      <c r="BK10" s="362">
        <v>69.076090204322526</v>
      </c>
      <c r="BL10" s="362">
        <f t="shared" si="11"/>
        <v>3965411.2841528859</v>
      </c>
      <c r="BM10" s="365" t="str">
        <f t="shared" si="35"/>
        <v/>
      </c>
      <c r="BN10" s="366">
        <f t="shared" si="36"/>
        <v>166.90003870976454</v>
      </c>
      <c r="BO10" s="367">
        <f t="shared" si="12"/>
        <v>19.615795137800674</v>
      </c>
      <c r="BP10" s="363">
        <f t="shared" si="37"/>
        <v>0.99195074534085514</v>
      </c>
      <c r="BQ10" s="362">
        <f t="shared" si="13"/>
        <v>64.360367555890818</v>
      </c>
      <c r="BR10" s="362">
        <f t="shared" si="14"/>
        <v>998.15216354714721</v>
      </c>
      <c r="BS10" s="322">
        <f t="shared" si="43"/>
        <v>148.72406508248272</v>
      </c>
      <c r="BT10" s="368">
        <f t="shared" si="45"/>
        <v>1841544.4647250962</v>
      </c>
      <c r="BU10" s="369">
        <f t="shared" si="15"/>
        <v>154.64653119206605</v>
      </c>
      <c r="BV10" s="322">
        <f t="shared" si="16"/>
        <v>1.4997283744272485</v>
      </c>
      <c r="BW10" s="357">
        <f>INDEX(LINEST($T10:$X10,$T$62:$X$63,TRUE,TRUE),3,1)</f>
        <v>0.99994270600572843</v>
      </c>
      <c r="BX10" s="324">
        <f>INDEX(LINEST($T10:$X10,$T$62:$X$63,TRUE,TRUE),1,1)</f>
        <v>-6.2540301214786723E-2</v>
      </c>
      <c r="BY10" s="324">
        <f>INDEX(LINEST($T10:$X10,$T$62:$X$63,TRUE,TRUE),1,2)</f>
        <v>84.736664524523178</v>
      </c>
      <c r="BZ10" s="324">
        <f>INDEX(LINEST($T10:$X10,$T$62:$X$63,TRUE,TRUE),1,3)</f>
        <v>131.35444280691922</v>
      </c>
      <c r="CA10" s="322">
        <f t="shared" si="38"/>
        <v>148.72406508248272</v>
      </c>
      <c r="CB10" s="368">
        <f t="shared" si="44"/>
        <v>13107.97613949902</v>
      </c>
      <c r="CC10" s="369">
        <f t="shared" si="17"/>
        <v>155.91376004656078</v>
      </c>
      <c r="CD10" s="41">
        <f t="shared" si="18"/>
        <v>9.3403385201266413E-13</v>
      </c>
      <c r="CE10" s="357">
        <f>INDEX(LINEST($T10:$V10,$T$62:$V$63,TRUE,TRUE),3,1)</f>
        <v>1</v>
      </c>
      <c r="CF10" s="324">
        <f>INDEX(LINEST($T10:$V10,$T$62:$V$63,TRUE,TRUE),1,1)</f>
        <v>-5.2199640371811483E-2</v>
      </c>
      <c r="CG10" s="324">
        <f>INDEX(LINEST($T10:$V10,$T$62:$V$63,TRUE,TRUE),1,2)</f>
        <v>80.558436031262858</v>
      </c>
      <c r="CH10" s="324">
        <f>INDEX(LINEST($T10:$V10,$T$62:$V$63,TRUE,TRUE),1,3)</f>
        <v>448.65764250857319</v>
      </c>
      <c r="CI10" s="324">
        <f t="shared" si="39"/>
        <v>148.72406508248272</v>
      </c>
      <c r="CJ10" s="368">
        <f t="shared" si="40"/>
        <v>13107.97613949902</v>
      </c>
      <c r="CK10" s="325"/>
      <c r="CL10" s="326"/>
      <c r="CM10" s="323">
        <v>169.95605809874513</v>
      </c>
      <c r="CN10" s="90">
        <f t="shared" si="19"/>
        <v>11739.899999999998</v>
      </c>
      <c r="CO10" s="327">
        <f t="shared" si="20"/>
        <v>3.3087224502121107E-24</v>
      </c>
      <c r="CP10" s="322">
        <v>89.40111241699519</v>
      </c>
      <c r="CQ10" s="90">
        <f t="shared" si="21"/>
        <v>6175.4793056831386</v>
      </c>
      <c r="CR10" s="322">
        <f t="shared" si="22"/>
        <v>0</v>
      </c>
      <c r="CS10" s="322">
        <v>163.94190098793658</v>
      </c>
      <c r="CT10" s="90">
        <f t="shared" si="23"/>
        <v>11324.46554091082</v>
      </c>
      <c r="CU10" s="322">
        <f t="shared" si="24"/>
        <v>0</v>
      </c>
      <c r="CV10" s="322">
        <v>294.15655131699094</v>
      </c>
      <c r="CW10" s="90">
        <f t="shared" si="25"/>
        <v>20319.184472964895</v>
      </c>
      <c r="CX10" s="322">
        <f t="shared" si="26"/>
        <v>0</v>
      </c>
      <c r="CY10" s="322">
        <v>1.3328509449852728</v>
      </c>
      <c r="CZ10" s="90">
        <f t="shared" si="27"/>
        <v>92.068132104719226</v>
      </c>
      <c r="DA10" s="322">
        <f t="shared" si="28"/>
        <v>2.0194839173657902E-28</v>
      </c>
      <c r="DB10" s="322">
        <v>89.081230070484381</v>
      </c>
      <c r="DC10" s="90">
        <f t="shared" si="29"/>
        <v>6153.3830838607873</v>
      </c>
      <c r="DD10" s="322">
        <f t="shared" si="30"/>
        <v>0</v>
      </c>
      <c r="DE10" s="328">
        <f t="shared" si="41"/>
        <v>1.0967146583518725</v>
      </c>
    </row>
    <row r="11" spans="1:109" s="25" customFormat="1" x14ac:dyDescent="0.2">
      <c r="A11" s="25" t="str">
        <f>'Raw Data'!$B311</f>
        <v>pIRIR01f_rdx1_d38</v>
      </c>
      <c r="B11" s="186">
        <f>'Raw Data'!B101</f>
        <v>38</v>
      </c>
      <c r="C11" s="371" t="s">
        <v>171</v>
      </c>
      <c r="D11" s="373" t="s">
        <v>107</v>
      </c>
      <c r="E11" s="321">
        <f>'Raw Data'!E102/'Raw Data'!E102</f>
        <v>1</v>
      </c>
      <c r="F11" s="321">
        <f>'Raw Data'!E104/'Raw Data'!E102</f>
        <v>0.8272992273719636</v>
      </c>
      <c r="G11" s="321">
        <f>'Raw Data'!E106/'Raw Data'!E102</f>
        <v>0.81658564471121819</v>
      </c>
      <c r="H11" s="321">
        <f>'Raw Data'!E108/'Raw Data'!E102</f>
        <v>0.83426366779774874</v>
      </c>
      <c r="I11" s="321">
        <f>'Raw Data'!E110/'Raw Data'!E102</f>
        <v>0.74292072749597116</v>
      </c>
      <c r="J11" s="321">
        <f>'Raw Data'!E112/'Raw Data'!E102</f>
        <v>0.76750758225368942</v>
      </c>
      <c r="K11" s="169">
        <f>'Raw Data'!E102/'Raw Data'!E102</f>
        <v>1</v>
      </c>
      <c r="L11" s="169">
        <f>SQRT(('Raw Data'!$F104/'Raw Data'!$E104)^2+('Raw Data'!$F102/'Raw Data'!$E102)^2)*F11</f>
        <v>1.9038333207059984E-3</v>
      </c>
      <c r="M11" s="169">
        <f>SQRT(('Raw Data'!$F106/'Raw Data'!$E106)^2+('Raw Data'!$F102/'Raw Data'!$E102)^2)*G11</f>
        <v>1.8900927207155754E-3</v>
      </c>
      <c r="N11" s="169">
        <f>SQRT(('Raw Data'!$F108/'Raw Data'!$E108)^2+('Raw Data'!$F102/'Raw Data'!$E102)^2)*H11</f>
        <v>1.9225917278181245E-3</v>
      </c>
      <c r="O11" s="169">
        <f>SQRT(('Raw Data'!$F110/'Raw Data'!$E110)^2+('Raw Data'!$F102/'Raw Data'!$E102)^2)*I11</f>
        <v>1.7531093487576669E-3</v>
      </c>
      <c r="P11" s="354">
        <f>SQRT(('Raw Data'!$F112/'Raw Data'!$E112)^2+('Raw Data'!$F102/'Raw Data'!$E102)^2)*J11</f>
        <v>1.8011097831758208E-3</v>
      </c>
      <c r="Q11" s="355">
        <f>'Raw Data'!E101</f>
        <v>246347.35</v>
      </c>
      <c r="R11" s="356">
        <f>'Raw Data'!F101</f>
        <v>159.46475591624764</v>
      </c>
      <c r="S11" s="357">
        <f>'Raw Data'!E102</f>
        <v>44956.95</v>
      </c>
      <c r="T11" s="357">
        <f>'Raw Data'!E103*$E11/F11</f>
        <v>97928.714689315297</v>
      </c>
      <c r="U11" s="357">
        <f>'Raw Data'!E105*$E11/G11</f>
        <v>160485.67697555514</v>
      </c>
      <c r="V11" s="357">
        <f>'Raw Data'!E107*$E11/H11</f>
        <v>202358.02722374717</v>
      </c>
      <c r="W11" s="357">
        <f>'Raw Data'!E109*$E11/I11</f>
        <v>2061.3908635471544</v>
      </c>
      <c r="X11" s="357">
        <f>'Raw Data'!E111*$E11/J11</f>
        <v>95118.278552549207</v>
      </c>
      <c r="Y11" s="169">
        <f>'Raw Data'!F101</f>
        <v>159.46475591624764</v>
      </c>
      <c r="Z11" s="169">
        <f>'Raw Data'!F102</f>
        <v>69.989687575775477</v>
      </c>
      <c r="AA11" s="169">
        <f>SQRT(('Raw Data'!F103/'Raw Data'!E103)^2+(L11/F11)^2)*T11</f>
        <v>251.20451064005456</v>
      </c>
      <c r="AB11" s="169">
        <f>SQRT(('Raw Data'!F105/'Raw Data'!E105)^2+(M11/E11)^2)*U11</f>
        <v>335.19296105306523</v>
      </c>
      <c r="AC11" s="169">
        <f>SQRT(('Raw Data'!F107/'Raw Data'!E107)^2+(N11/H11)^2)*V11</f>
        <v>492.47854750711821</v>
      </c>
      <c r="AD11" s="169">
        <f>SQRT(('Raw Data'!F109/'Raw Data'!E109)^2+(O11/I11)^2)*W11</f>
        <v>20.810671530618375</v>
      </c>
      <c r="AE11" s="169">
        <f>SQRT(('Raw Data'!F111/'Raw Data'!E111)^2+(P11/J11)^2)*X11</f>
        <v>250.38956401172879</v>
      </c>
      <c r="AF11" s="370">
        <f t="shared" si="0"/>
        <v>0.9713012047009667</v>
      </c>
      <c r="AG11" s="321">
        <f t="shared" si="1"/>
        <v>6.3040429564179901</v>
      </c>
      <c r="AH11" s="321">
        <f t="shared" si="31"/>
        <v>0.83678223595551338</v>
      </c>
      <c r="AI11" s="321">
        <f t="shared" si="32"/>
        <v>1.5886733949711227</v>
      </c>
      <c r="AJ11" s="68" t="e">
        <f>(AVERAGE('Raw Data'!G101:H101)-AVERAGE(INDEX('Raw Data'!G101:IV101,MATCH(ROUND($AR$41*10-1,0),'Raw Data'!$G$4:$IV$4,0)):INDEX('Raw Data'!G101:IV101,MATCH(ROUND($AR$41*10+1,0),'Raw Data'!$G$4:$IV$4,0))))/(AVERAGE(INDEX('Raw Data'!G101:IV101,MATCH(ROUND($AR$41*10-1,0),'Raw Data'!$G$4:$IV$4,0)):INDEX('Raw Data'!G101:IV101,MATCH(ROUND($AR$41*10+1,0),'Raw Data'!$G$4:$IV$4,0)))-AVERAGE(INDEX('Raw Data'!G101:IV101,MATCH(ROUND($AR$42*10,0),'Raw Data'!$G$4:$IV$4,0)):INDEX('Raw Data'!G101:IV101,MATCH(ROUND(IF($AR$43&gt;25,25,$AR$43)*10,0),'Raw Data'!$G$4:$IV$4,0))))</f>
        <v>#N/A</v>
      </c>
      <c r="AK11" s="68" t="s">
        <v>161</v>
      </c>
      <c r="AL11" s="321">
        <f t="shared" si="42"/>
        <v>1.0116430024952903</v>
      </c>
      <c r="AM11" s="324">
        <f>('Raw Data'!G108/'Raw Data'!H108)/('Raw Data'!G101/'Raw Data'!H101)</f>
        <v>0.96702121054830448</v>
      </c>
      <c r="AN11" s="321">
        <f t="shared" si="33"/>
        <v>1.1082292273634353</v>
      </c>
      <c r="AO11" s="357">
        <f>'Sig-Dose Plt'!Q35*'TD Plts'!Y37*'Signals Plt'!Y46</f>
        <v>0</v>
      </c>
      <c r="AP11" s="285">
        <v>0</v>
      </c>
      <c r="AQ11" s="358">
        <f>CHOOSE('Sig-Dose Plt'!R35,Regression!BN11,Regression!BU11,CC11,Regression!AS11,Regression!BD11)</f>
        <v>1336.0573245228161</v>
      </c>
      <c r="AR11" s="359">
        <f>CHOOSE('Sig-Dose Plt'!R35,Regression!BO11,Regression!BV11,CC11*0.1,Regression!AT11,Regression!BE11)</f>
        <v>14.80657776469179</v>
      </c>
      <c r="AS11" s="360">
        <f t="shared" si="2"/>
        <v>1336.0573245228161</v>
      </c>
      <c r="AT11" s="360">
        <f t="shared" si="3"/>
        <v>14.80657776469179</v>
      </c>
      <c r="AU11" s="361">
        <f t="shared" si="4"/>
        <v>0.99981783980619543</v>
      </c>
      <c r="AV11" s="322">
        <f t="shared" si="5"/>
        <v>563.01078838581066</v>
      </c>
      <c r="AW11" s="362">
        <v>288996.098221689</v>
      </c>
      <c r="AX11" s="363">
        <v>1.4268378748096204E-3</v>
      </c>
      <c r="AY11" s="363">
        <v>4.9606687272084882</v>
      </c>
      <c r="AZ11" s="362">
        <f t="shared" si="6"/>
        <v>4205001.6770665273</v>
      </c>
      <c r="BA11" s="364"/>
      <c r="BB11" s="364"/>
      <c r="BC11" s="365" t="str">
        <f t="shared" si="34"/>
        <v>&gt; Max. Dose</v>
      </c>
      <c r="BD11" s="323">
        <f t="shared" si="7"/>
        <v>970.28702443598172</v>
      </c>
      <c r="BE11" s="360">
        <f t="shared" si="8"/>
        <v>102.8482320203956</v>
      </c>
      <c r="BF11" s="361">
        <f t="shared" si="9"/>
        <v>0.96280500609105202</v>
      </c>
      <c r="BG11" s="322">
        <f t="shared" si="10"/>
        <v>602.12009128539796</v>
      </c>
      <c r="BH11" s="362">
        <v>20062.858562771882</v>
      </c>
      <c r="BI11" s="363">
        <v>22.83898377791483</v>
      </c>
      <c r="BJ11" s="363">
        <v>42841.029314519474</v>
      </c>
      <c r="BK11" s="362">
        <v>233.21397250340956</v>
      </c>
      <c r="BL11" s="362">
        <f t="shared" si="11"/>
        <v>858612458.07279885</v>
      </c>
      <c r="BM11" s="365" t="str">
        <f t="shared" si="35"/>
        <v>&gt; Max. Dose</v>
      </c>
      <c r="BN11" s="366">
        <f t="shared" si="36"/>
        <v>970.2868830866862</v>
      </c>
      <c r="BO11" s="367">
        <f t="shared" si="12"/>
        <v>238.27524379756426</v>
      </c>
      <c r="BP11" s="363">
        <f t="shared" si="37"/>
        <v>0.96280500609111064</v>
      </c>
      <c r="BQ11" s="362">
        <f t="shared" si="13"/>
        <v>233.21400648191184</v>
      </c>
      <c r="BR11" s="362">
        <f t="shared" si="14"/>
        <v>20062.858558507534</v>
      </c>
      <c r="BS11" s="322">
        <f t="shared" si="43"/>
        <v>563.01078838581066</v>
      </c>
      <c r="BT11" s="368">
        <f t="shared" si="45"/>
        <v>858612458.07143974</v>
      </c>
      <c r="BU11" s="369" t="e">
        <f t="shared" si="15"/>
        <v>#NUM!</v>
      </c>
      <c r="BV11" s="322">
        <f t="shared" si="16"/>
        <v>25.062132293644105</v>
      </c>
      <c r="BW11" s="357">
        <f>INDEX(LINEST($T11:$X11,$T$64:$X$65,TRUE,TRUE),3,1)</f>
        <v>0.9996312402370916</v>
      </c>
      <c r="BX11" s="324">
        <f>INDEX(LINEST($T11:$X11,$T$64:$X$65,TRUE,TRUE),1,1)</f>
        <v>-0.1698917944150406</v>
      </c>
      <c r="BY11" s="324">
        <f>INDEX(LINEST($T11:$X11,$T$64:$X$65,TRUE,TRUE),1,2)</f>
        <v>379.75470500889162</v>
      </c>
      <c r="BZ11" s="324">
        <f>INDEX(LINEST($T11:$X11,$T$64:$X$65,TRUE,TRUE),1,3)</f>
        <v>2603.9776568589077</v>
      </c>
      <c r="CA11" s="322">
        <f t="shared" si="38"/>
        <v>563.01078838581066</v>
      </c>
      <c r="CB11" s="368">
        <f t="shared" si="44"/>
        <v>8512482.2777026221</v>
      </c>
      <c r="CC11" s="369" t="e">
        <f t="shared" si="17"/>
        <v>#NUM!</v>
      </c>
      <c r="CD11" s="41">
        <f t="shared" si="18"/>
        <v>6.2717835741450897E-12</v>
      </c>
      <c r="CE11" s="357">
        <f>INDEX(LINEST($T11:$V11,$T$64:$V$65,TRUE,TRUE),3,1)</f>
        <v>1</v>
      </c>
      <c r="CF11" s="324">
        <f>INDEX(LINEST($T11:$V11,$T$64:$V$65,TRUE,TRUE),1,1)</f>
        <v>-0.13160698929635331</v>
      </c>
      <c r="CG11" s="324">
        <f>INDEX(LINEST($T11:$V11,$T$64:$V$65,TRUE,TRUE),1,2)</f>
        <v>333.83497437734633</v>
      </c>
      <c r="CH11" s="324">
        <f>INDEX(LINEST($T11:$V11,$T$64:$V$65,TRUE,TRUE),1,3)</f>
        <v>14687.140365027648</v>
      </c>
      <c r="CI11" s="324">
        <f t="shared" si="39"/>
        <v>563.01078838581066</v>
      </c>
      <c r="CJ11" s="368">
        <f t="shared" si="40"/>
        <v>8512482.2777026221</v>
      </c>
      <c r="CK11" s="325"/>
      <c r="CL11" s="326"/>
      <c r="CM11" s="323">
        <v>970.28702443598172</v>
      </c>
      <c r="CN11" s="90">
        <f t="shared" si="19"/>
        <v>246347.35</v>
      </c>
      <c r="CO11" s="327">
        <f t="shared" si="20"/>
        <v>0</v>
      </c>
      <c r="CP11" s="322">
        <v>333.88160791011364</v>
      </c>
      <c r="CQ11" s="90">
        <f t="shared" si="21"/>
        <v>97928.714689315297</v>
      </c>
      <c r="CR11" s="322">
        <f t="shared" si="22"/>
        <v>0</v>
      </c>
      <c r="CS11" s="322">
        <v>602.12009128539796</v>
      </c>
      <c r="CT11" s="90">
        <f t="shared" si="23"/>
        <v>160485.67697555514</v>
      </c>
      <c r="CU11" s="322">
        <f t="shared" si="24"/>
        <v>0</v>
      </c>
      <c r="CV11" s="322">
        <v>781.66486640636492</v>
      </c>
      <c r="CW11" s="90">
        <f t="shared" si="25"/>
        <v>202358.02722374717</v>
      </c>
      <c r="CX11" s="322">
        <f t="shared" si="26"/>
        <v>0</v>
      </c>
      <c r="CY11" s="322">
        <v>0</v>
      </c>
      <c r="CZ11" s="90">
        <f t="shared" si="27"/>
        <v>20062.858562771882</v>
      </c>
      <c r="DA11" s="322">
        <f t="shared" si="28"/>
        <v>324052839.32623112</v>
      </c>
      <c r="DB11" s="322">
        <v>321.83071701966747</v>
      </c>
      <c r="DC11" s="90">
        <f t="shared" si="29"/>
        <v>95118.278552549207</v>
      </c>
      <c r="DD11" s="322">
        <f t="shared" si="30"/>
        <v>0</v>
      </c>
      <c r="DE11" s="328">
        <f t="shared" si="41"/>
        <v>1.0641122284310967</v>
      </c>
    </row>
    <row r="12" spans="1:109" s="25" customFormat="1" x14ac:dyDescent="0.2">
      <c r="A12" s="25" t="str">
        <f>'Raw Data'!$B312</f>
        <v>pIRIR01f_rdx1_d39</v>
      </c>
      <c r="B12" s="186">
        <f>'Raw Data'!B113</f>
        <v>39</v>
      </c>
      <c r="C12" s="371" t="s">
        <v>171</v>
      </c>
      <c r="D12" s="373" t="s">
        <v>107</v>
      </c>
      <c r="E12" s="321">
        <f>'Raw Data'!E114/'Raw Data'!E114</f>
        <v>1</v>
      </c>
      <c r="F12" s="321">
        <f>'Raw Data'!E116/'Raw Data'!E114</f>
        <v>0.94092731555874509</v>
      </c>
      <c r="G12" s="321">
        <f>'Raw Data'!E118/'Raw Data'!E114</f>
        <v>0.96957050812025158</v>
      </c>
      <c r="H12" s="321">
        <f>'Raw Data'!E120/'Raw Data'!E114</f>
        <v>0.98354108488431957</v>
      </c>
      <c r="I12" s="321">
        <f>'Raw Data'!E122/'Raw Data'!E114</f>
        <v>0.91568511209223236</v>
      </c>
      <c r="J12" s="321">
        <f>'Raw Data'!E124/'Raw Data'!E114</f>
        <v>0.93127817906675614</v>
      </c>
      <c r="K12" s="169">
        <f>'Raw Data'!E114/'Raw Data'!E114</f>
        <v>1</v>
      </c>
      <c r="L12" s="169">
        <f>SQRT(('Raw Data'!$F116/'Raw Data'!$E116)^2+('Raw Data'!$F114/'Raw Data'!$E114)^2)*F12</f>
        <v>5.825085984941831E-3</v>
      </c>
      <c r="M12" s="169">
        <f>SQRT(('Raw Data'!$F118/'Raw Data'!$E118)^2+('Raw Data'!$F114/'Raw Data'!$E114)^2)*G12</f>
        <v>5.9651804818854756E-3</v>
      </c>
      <c r="N12" s="169">
        <f>SQRT(('Raw Data'!$F120/'Raw Data'!$E120)^2+('Raw Data'!$F114/'Raw Data'!$E114)^2)*H12</f>
        <v>6.0439055840596839E-3</v>
      </c>
      <c r="O12" s="169">
        <f>SQRT(('Raw Data'!$F122/'Raw Data'!$E122)^2+('Raw Data'!$F114/'Raw Data'!$E114)^2)*I12</f>
        <v>5.6427274472676155E-3</v>
      </c>
      <c r="P12" s="354">
        <f>SQRT(('Raw Data'!$F124/'Raw Data'!$E124)^2+('Raw Data'!$F114/'Raw Data'!$E114)^2)*J12</f>
        <v>5.7450387936067854E-3</v>
      </c>
      <c r="Q12" s="355">
        <f>'Raw Data'!E113</f>
        <v>31037.3</v>
      </c>
      <c r="R12" s="356">
        <f>'Raw Data'!F113</f>
        <v>57.711885069793659</v>
      </c>
      <c r="S12" s="357">
        <f>'Raw Data'!E114</f>
        <v>6409.9</v>
      </c>
      <c r="T12" s="357">
        <f>'Raw Data'!E115*$E12/F12</f>
        <v>13742.028513989637</v>
      </c>
      <c r="U12" s="357">
        <f>'Raw Data'!E117*$E12/G12</f>
        <v>22199.881101716048</v>
      </c>
      <c r="V12" s="357">
        <f>'Raw Data'!E119*$E12/H12</f>
        <v>29405.329827580736</v>
      </c>
      <c r="W12" s="357">
        <f>'Raw Data'!E121*$E12/I12</f>
        <v>116.5793771136989</v>
      </c>
      <c r="X12" s="357">
        <f>'Raw Data'!E123*$E12/J12</f>
        <v>13560.663487955238</v>
      </c>
      <c r="Y12" s="169">
        <f>'Raw Data'!F113</f>
        <v>57.711885069793659</v>
      </c>
      <c r="Z12" s="169">
        <f>'Raw Data'!F114</f>
        <v>27.975252786292245</v>
      </c>
      <c r="AA12" s="169">
        <f>SQRT(('Raw Data'!F115/'Raw Data'!E115)^2+(L12/F12)^2)*T12</f>
        <v>94.000088896479753</v>
      </c>
      <c r="AB12" s="169">
        <f>SQRT(('Raw Data'!F117/'Raw Data'!E117)^2+(M12/E12)^2)*U12</f>
        <v>141.38492164136201</v>
      </c>
      <c r="AC12" s="169">
        <f>SQRT(('Raw Data'!F119/'Raw Data'!E119)^2+(N12/H12)^2)*V12</f>
        <v>189.29693492436942</v>
      </c>
      <c r="AD12" s="169">
        <f>SQRT(('Raw Data'!F121/'Raw Data'!E121)^2+(O12/I12)^2)*W12</f>
        <v>7.5917294683789862</v>
      </c>
      <c r="AE12" s="169">
        <f>SQRT(('Raw Data'!F123/'Raw Data'!E123)^2+(P12/J12)^2)*X12</f>
        <v>92.557305769174576</v>
      </c>
      <c r="AF12" s="370">
        <f t="shared" si="0"/>
        <v>0.98680216491693595</v>
      </c>
      <c r="AG12" s="321">
        <f t="shared" si="1"/>
        <v>1.0903498154880857</v>
      </c>
      <c r="AH12" s="321">
        <f t="shared" si="31"/>
        <v>0.37561056249641206</v>
      </c>
      <c r="AI12" s="321">
        <f t="shared" si="32"/>
        <v>1.1260130110872653</v>
      </c>
      <c r="AJ12" s="68" t="e">
        <f>(AVERAGE('Raw Data'!G113:H113)-AVERAGE(INDEX('Raw Data'!G113:IV113,MATCH(ROUND($AR$41*10-1,0),'Raw Data'!$G$4:$IV$4,0)):INDEX('Raw Data'!G113:IV113,MATCH(ROUND($AR$41*10+1,0),'Raw Data'!$G$4:$IV$4,0))))/(AVERAGE(INDEX('Raw Data'!G113:IV113,MATCH(ROUND($AR$41*10-1,0),'Raw Data'!$G$4:$IV$4,0)):INDEX('Raw Data'!G113:IV113,MATCH(ROUND($AR$41*10+1,0),'Raw Data'!$G$4:$IV$4,0)))-AVERAGE(INDEX('Raw Data'!G113:IV113,MATCH(ROUND($AR$42*10,0),'Raw Data'!$G$4:$IV$4,0)):INDEX('Raw Data'!G113:IV113,MATCH(ROUND(IF($AR$43&gt;25,25,$AR$43)*10,0),'Raw Data'!$G$4:$IV$4,0))))</f>
        <v>#N/A</v>
      </c>
      <c r="AK12" s="68" t="s">
        <v>161</v>
      </c>
      <c r="AL12" s="321">
        <f t="shared" si="42"/>
        <v>1.0560008335460591</v>
      </c>
      <c r="AM12" s="324">
        <f>('Raw Data'!G120/'Raw Data'!H120)/('Raw Data'!G113/'Raw Data'!H113)</f>
        <v>1.0558714757555043</v>
      </c>
      <c r="AN12" s="321">
        <f t="shared" si="33"/>
        <v>4.0396774151119139</v>
      </c>
      <c r="AO12" s="357">
        <f>'Sig-Dose Plt'!Q37*'TD Plts'!Y39*'Signals Plt'!Y48</f>
        <v>1</v>
      </c>
      <c r="AP12" s="285">
        <v>1</v>
      </c>
      <c r="AQ12" s="358">
        <f>CHOOSE('Sig-Dose Plt'!R37,Regression!BN12,Regression!BU12,CC12,Regression!AS12,Regression!BD12)</f>
        <v>947.04817894944574</v>
      </c>
      <c r="AR12" s="359">
        <f>CHOOSE('Sig-Dose Plt'!R37,Regression!BO12,Regression!BV12,CC12*0.1,Regression!AT12,Regression!BE12)</f>
        <v>38.257691395249424</v>
      </c>
      <c r="AS12" s="360">
        <f t="shared" si="2"/>
        <v>947.04817894944574</v>
      </c>
      <c r="AT12" s="360">
        <f t="shared" si="3"/>
        <v>38.257691395249424</v>
      </c>
      <c r="AU12" s="361">
        <f t="shared" si="4"/>
        <v>0.99912505714112343</v>
      </c>
      <c r="AV12" s="322">
        <f t="shared" si="5"/>
        <v>541.85407279098342</v>
      </c>
      <c r="AW12" s="362">
        <v>43825.537106477568</v>
      </c>
      <c r="AX12" s="363">
        <v>1.2965504865485847E-3</v>
      </c>
      <c r="AY12" s="363">
        <v>2.9271030535683504</v>
      </c>
      <c r="AZ12" s="362">
        <f t="shared" si="6"/>
        <v>421095.04961568653</v>
      </c>
      <c r="BA12" s="364"/>
      <c r="BB12" s="364"/>
      <c r="BC12" s="365" t="str">
        <f t="shared" si="34"/>
        <v>&gt; Max. Dose</v>
      </c>
      <c r="BD12" s="323">
        <f t="shared" si="7"/>
        <v>816.1787218827028</v>
      </c>
      <c r="BE12" s="360">
        <f t="shared" si="8"/>
        <v>141.28217840334713</v>
      </c>
      <c r="BF12" s="361">
        <f t="shared" si="9"/>
        <v>0.94735112305093494</v>
      </c>
      <c r="BG12" s="322">
        <f t="shared" si="10"/>
        <v>583.78372421398035</v>
      </c>
      <c r="BH12" s="362">
        <v>0</v>
      </c>
      <c r="BI12" s="363">
        <v>0</v>
      </c>
      <c r="BJ12" s="363">
        <v>5.0900083099591538E-14</v>
      </c>
      <c r="BK12" s="362">
        <v>38.027577989788035</v>
      </c>
      <c r="BL12" s="362">
        <f t="shared" si="11"/>
        <v>25339004.971757773</v>
      </c>
      <c r="BM12" s="365" t="str">
        <f t="shared" si="35"/>
        <v/>
      </c>
      <c r="BN12" s="366">
        <f t="shared" si="36"/>
        <v>843.08383290985512</v>
      </c>
      <c r="BO12" s="367">
        <f t="shared" si="12"/>
        <v>175.67525743875652</v>
      </c>
      <c r="BP12" s="363">
        <f t="shared" si="37"/>
        <v>0.97052582991666669</v>
      </c>
      <c r="BQ12" s="362">
        <f t="shared" si="13"/>
        <v>33.805269820022751</v>
      </c>
      <c r="BR12" s="362">
        <f t="shared" si="14"/>
        <v>2536.6235475833691</v>
      </c>
      <c r="BS12" s="322">
        <f t="shared" si="43"/>
        <v>541.85407279098342</v>
      </c>
      <c r="BT12" s="368">
        <f t="shared" si="45"/>
        <v>14185414.496163957</v>
      </c>
      <c r="BU12" s="369">
        <f t="shared" si="15"/>
        <v>980.09681665273797</v>
      </c>
      <c r="BV12" s="322">
        <f t="shared" si="16"/>
        <v>49.882513127225053</v>
      </c>
      <c r="BW12" s="357">
        <f>INDEX(LINEST($T12:$X12,$T$66:$X$67,TRUE,TRUE),3,1)</f>
        <v>0.99818168957526709</v>
      </c>
      <c r="BX12" s="324">
        <f>INDEX(LINEST($T12:$X12,$T$66:$X$67,TRUE,TRUE),1,1)</f>
        <v>-2.1255647581840158E-2</v>
      </c>
      <c r="BY12" s="324">
        <f>INDEX(LINEST($T12:$X12,$T$66:$X$67,TRUE,TRUE),1,2)</f>
        <v>52.141046361462799</v>
      </c>
      <c r="BZ12" s="324">
        <f>INDEX(LINEST($T12:$X12,$T$66:$X$67,TRUE,TRUE),1,3)</f>
        <v>351.9840663011064</v>
      </c>
      <c r="CA12" s="322">
        <f t="shared" si="38"/>
        <v>541.85407279098342</v>
      </c>
      <c r="CB12" s="368">
        <f t="shared" si="44"/>
        <v>875121.741667578</v>
      </c>
      <c r="CC12" s="369">
        <f t="shared" si="17"/>
        <v>912.30551738289978</v>
      </c>
      <c r="CD12" s="41">
        <f t="shared" si="18"/>
        <v>3.9477461458884578E-12</v>
      </c>
      <c r="CE12" s="357">
        <f>INDEX(LINEST($T12:$V12,$T$66:$V$67,TRUE,TRUE),3,1)</f>
        <v>1</v>
      </c>
      <c r="CF12" s="324">
        <f>INDEX(LINEST($T12:$V12,$T$66:$V$67,TRUE,TRUE),1,1)</f>
        <v>-7.9532445879010715E-3</v>
      </c>
      <c r="CG12" s="324">
        <f>INDEX(LINEST($T12:$V12,$T$66:$V$67,TRUE,TRUE),1,2)</f>
        <v>36.85230604114129</v>
      </c>
      <c r="CH12" s="324">
        <f>INDEX(LINEST($T12:$V12,$T$66:$V$67,TRUE,TRUE),1,3)</f>
        <v>4036.2341338226333</v>
      </c>
      <c r="CI12" s="324">
        <f t="shared" si="39"/>
        <v>541.85407279098342</v>
      </c>
      <c r="CJ12" s="368">
        <f t="shared" si="40"/>
        <v>875121.741667578</v>
      </c>
      <c r="CK12" s="325"/>
      <c r="CL12" s="326"/>
      <c r="CM12" s="323">
        <v>816.1787218827028</v>
      </c>
      <c r="CN12" s="90">
        <f t="shared" si="19"/>
        <v>31037.3</v>
      </c>
      <c r="CO12" s="327">
        <f t="shared" si="20"/>
        <v>0</v>
      </c>
      <c r="CP12" s="322">
        <v>361.37006983931332</v>
      </c>
      <c r="CQ12" s="90">
        <f t="shared" si="21"/>
        <v>13742.028513989637</v>
      </c>
      <c r="CR12" s="322">
        <f t="shared" si="22"/>
        <v>0</v>
      </c>
      <c r="CS12" s="322">
        <v>583.78372421398035</v>
      </c>
      <c r="CT12" s="90">
        <f t="shared" si="23"/>
        <v>22199.881101716048</v>
      </c>
      <c r="CU12" s="322">
        <f t="shared" si="24"/>
        <v>0</v>
      </c>
      <c r="CV12" s="322">
        <v>773.2632837010359</v>
      </c>
      <c r="CW12" s="90">
        <f t="shared" si="25"/>
        <v>29405.329827580736</v>
      </c>
      <c r="CX12" s="322">
        <f t="shared" si="26"/>
        <v>0</v>
      </c>
      <c r="CY12" s="322">
        <v>3.0656534882396467</v>
      </c>
      <c r="CZ12" s="90">
        <f t="shared" si="27"/>
        <v>116.5793771136989</v>
      </c>
      <c r="DA12" s="322">
        <f t="shared" si="28"/>
        <v>0</v>
      </c>
      <c r="DB12" s="322">
        <v>356.60076725361876</v>
      </c>
      <c r="DC12" s="90">
        <f t="shared" si="29"/>
        <v>13560.663487955238</v>
      </c>
      <c r="DD12" s="322">
        <f t="shared" si="30"/>
        <v>0</v>
      </c>
      <c r="DE12" s="328">
        <f t="shared" si="41"/>
        <v>1.041107274829143</v>
      </c>
    </row>
    <row r="13" spans="1:109" s="25" customFormat="1" x14ac:dyDescent="0.2">
      <c r="A13" s="25" t="str">
        <f>'Raw Data'!$B313</f>
        <v>pIRIR01f_rdx1_d40</v>
      </c>
      <c r="B13" s="186">
        <f>'Raw Data'!B125</f>
        <v>40</v>
      </c>
      <c r="C13" s="371" t="s">
        <v>171</v>
      </c>
      <c r="D13" s="373" t="s">
        <v>107</v>
      </c>
      <c r="E13" s="321">
        <f>'Raw Data'!E126/'Raw Data'!E126</f>
        <v>1</v>
      </c>
      <c r="F13" s="321">
        <f>'Raw Data'!E128/'Raw Data'!E126</f>
        <v>0.68374032162001208</v>
      </c>
      <c r="G13" s="321">
        <f>'Raw Data'!E130/'Raw Data'!E126</f>
        <v>0.74657534246575363</v>
      </c>
      <c r="H13" s="321">
        <f>'Raw Data'!E132/'Raw Data'!E126</f>
        <v>0.5744490768314473</v>
      </c>
      <c r="I13" s="321">
        <f>'Raw Data'!E134/'Raw Data'!E126</f>
        <v>0.49017272185824912</v>
      </c>
      <c r="J13" s="321">
        <f>'Raw Data'!E136/'Raw Data'!E126</f>
        <v>0.47409172126265636</v>
      </c>
      <c r="K13" s="169">
        <f>'Raw Data'!E126/'Raw Data'!E126</f>
        <v>1</v>
      </c>
      <c r="L13" s="169">
        <f>SQRT(('Raw Data'!$F128/'Raw Data'!$E128)^2+('Raw Data'!$F126/'Raw Data'!$E126)^2)*F13</f>
        <v>5.6536926884516413E-2</v>
      </c>
      <c r="M13" s="169">
        <f>SQRT(('Raw Data'!$F130/'Raw Data'!$E130)^2+('Raw Data'!$F126/'Raw Data'!$E126)^2)*G13</f>
        <v>5.6074040240768376E-2</v>
      </c>
      <c r="N13" s="169">
        <f>SQRT(('Raw Data'!$F132/'Raw Data'!$E132)^2+('Raw Data'!$F126/'Raw Data'!$E126)^2)*H13</f>
        <v>4.7749021806845822E-2</v>
      </c>
      <c r="O13" s="169">
        <f>SQRT(('Raw Data'!$F134/'Raw Data'!$E134)^2+('Raw Data'!$F126/'Raw Data'!$E126)^2)*I13</f>
        <v>4.2480993106974153E-2</v>
      </c>
      <c r="P13" s="354">
        <f>SQRT(('Raw Data'!$F136/'Raw Data'!$E136)^2+('Raw Data'!$F126/'Raw Data'!$E126)^2)*J13</f>
        <v>4.1601809745221416E-2</v>
      </c>
      <c r="Q13" s="355">
        <f>'Raw Data'!E125</f>
        <v>399.95000000000005</v>
      </c>
      <c r="R13" s="356">
        <f>'Raw Data'!F125</f>
        <v>10.990320830813239</v>
      </c>
      <c r="S13" s="357">
        <f>'Raw Data'!E126</f>
        <v>167.89999999999998</v>
      </c>
      <c r="T13" s="357">
        <f>'Raw Data'!E127*$E13/F13</f>
        <v>401.10256968641107</v>
      </c>
      <c r="U13" s="357">
        <f>'Raw Data'!E129*$E13/G13</f>
        <v>269.16238532110083</v>
      </c>
      <c r="V13" s="357">
        <f>'Raw Data'!E131*$E13/H13</f>
        <v>403.60409538621047</v>
      </c>
      <c r="W13" s="357">
        <f>'Raw Data'!E133*$E13/I13</f>
        <v>146.07095990279458</v>
      </c>
      <c r="X13" s="357">
        <f>'Raw Data'!E135*$E13/J13</f>
        <v>296.98894472361809</v>
      </c>
      <c r="Y13" s="169">
        <f>'Raw Data'!F125</f>
        <v>10.990320830813239</v>
      </c>
      <c r="Z13" s="169">
        <f>'Raw Data'!F126</f>
        <v>8.8312393991236124</v>
      </c>
      <c r="AA13" s="169">
        <f>SQRT(('Raw Data'!F127/'Raw Data'!E127)^2+(L13/F13)^2)*T13</f>
        <v>35.591155452312968</v>
      </c>
      <c r="AB13" s="169">
        <f>SQRT(('Raw Data'!F129/'Raw Data'!E129)^2+(M13/E13)^2)*U13</f>
        <v>18.170654386747245</v>
      </c>
      <c r="AC13" s="169">
        <f>SQRT(('Raw Data'!F131/'Raw Data'!E131)^2+(N13/H13)^2)*V13</f>
        <v>35.997599075541586</v>
      </c>
      <c r="AD13" s="169">
        <f>SQRT(('Raw Data'!F133/'Raw Data'!E133)^2+(O13/I13)^2)*W13</f>
        <v>16.904576639496131</v>
      </c>
      <c r="AE13" s="169">
        <f>SQRT(('Raw Data'!F135/'Raw Data'!E135)^2+(P13/J13)^2)*X13</f>
        <v>29.18097556230822</v>
      </c>
      <c r="AF13" s="370">
        <f t="shared" si="0"/>
        <v>0.74043141871618823</v>
      </c>
      <c r="AG13" s="321">
        <f t="shared" si="1"/>
        <v>3.3907346758339574</v>
      </c>
      <c r="AH13" s="321">
        <f t="shared" si="31"/>
        <v>36.522305263856623</v>
      </c>
      <c r="AI13" s="321">
        <f t="shared" si="32"/>
        <v>0.98405522916801391</v>
      </c>
      <c r="AJ13" s="68" t="e">
        <f>(AVERAGE('Raw Data'!G125:H125)-AVERAGE(INDEX('Raw Data'!G125:IV125,MATCH(ROUND($AR$41*10-1,0),'Raw Data'!$G$4:$IV$4,0)):INDEX('Raw Data'!G125:IV125,MATCH(ROUND($AR$41*10+1,0),'Raw Data'!$G$4:$IV$4,0))))/(AVERAGE(INDEX('Raw Data'!G125:IV125,MATCH(ROUND($AR$41*10-1,0),'Raw Data'!$G$4:$IV$4,0)):INDEX('Raw Data'!G125:IV125,MATCH(ROUND($AR$41*10+1,0),'Raw Data'!$G$4:$IV$4,0)))-AVERAGE(INDEX('Raw Data'!G125:IV125,MATCH(ROUND($AR$42*10,0),'Raw Data'!$G$4:$IV$4,0)):INDEX('Raw Data'!G125:IV125,MATCH(ROUND(IF($AR$43&gt;25,25,$AR$43)*10,0),'Raw Data'!$G$4:$IV$4,0))))</f>
        <v>#N/A</v>
      </c>
      <c r="AK13" s="68" t="s">
        <v>161</v>
      </c>
      <c r="AL13" s="321">
        <f t="shared" si="42"/>
        <v>0.70108300514847244</v>
      </c>
      <c r="AM13" s="324">
        <f>('Raw Data'!G132/'Raw Data'!H132)/('Raw Data'!G125/'Raw Data'!H125)</f>
        <v>1.0709032068255369</v>
      </c>
      <c r="AN13" s="321">
        <f t="shared" si="33"/>
        <v>105.44865838351861</v>
      </c>
      <c r="AO13" s="357">
        <f>'Sig-Dose Plt'!Q39*'TD Plts'!Y41*'Signals Plt'!Y50</f>
        <v>0</v>
      </c>
      <c r="AP13" s="285">
        <v>0</v>
      </c>
      <c r="AQ13" s="358">
        <f>CHOOSE('Sig-Dose Plt'!R39,Regression!BN13,Regression!BU13,CC13,Regression!AS13,Regression!BD13)</f>
        <v>827.65270347042349</v>
      </c>
      <c r="AR13" s="359">
        <f>CHOOSE('Sig-Dose Plt'!R39,Regression!BO13,Regression!BV13,CC13*0.1,Regression!AT13,Regression!BE13)</f>
        <v>872.74867188448309</v>
      </c>
      <c r="AS13" s="360">
        <f t="shared" si="2"/>
        <v>1117.7083975993171</v>
      </c>
      <c r="AT13" s="360">
        <f t="shared" si="3"/>
        <v>1488.8860402303569</v>
      </c>
      <c r="AU13" s="361">
        <f t="shared" si="4"/>
        <v>0.59209826230486962</v>
      </c>
      <c r="AV13" s="322">
        <f t="shared" si="5"/>
        <v>167.88318950405579</v>
      </c>
      <c r="AW13" s="362">
        <v>404.60409538621002</v>
      </c>
      <c r="AX13" s="363">
        <v>3.5488569631663487E-3</v>
      </c>
      <c r="AY13" s="363">
        <v>140.48868751436544</v>
      </c>
      <c r="AZ13" s="362">
        <f t="shared" si="6"/>
        <v>18580.90091048953</v>
      </c>
      <c r="BA13" s="364" t="s">
        <v>172</v>
      </c>
      <c r="BB13" s="364"/>
      <c r="BC13" s="365" t="str">
        <f t="shared" si="34"/>
        <v>&gt; Max. Dose</v>
      </c>
      <c r="BD13" s="323">
        <f t="shared" si="7"/>
        <v>687.28446984409049</v>
      </c>
      <c r="BE13" s="360">
        <f t="shared" si="8"/>
        <v>649.90358175593508</v>
      </c>
      <c r="BF13" s="361">
        <f t="shared" si="9"/>
        <v>-1.3383523528425383</v>
      </c>
      <c r="BG13" s="322">
        <f t="shared" si="10"/>
        <v>462.5356351978586</v>
      </c>
      <c r="BH13" s="362">
        <v>0</v>
      </c>
      <c r="BI13" s="363">
        <v>0</v>
      </c>
      <c r="BJ13" s="363">
        <v>0</v>
      </c>
      <c r="BK13" s="362">
        <v>0.58192788801226392</v>
      </c>
      <c r="BL13" s="362">
        <f t="shared" si="11"/>
        <v>106517.54907318197</v>
      </c>
      <c r="BM13" s="365" t="str">
        <f t="shared" si="35"/>
        <v/>
      </c>
      <c r="BN13" s="366">
        <f t="shared" si="36"/>
        <v>827.65270347042349</v>
      </c>
      <c r="BO13" s="367">
        <f t="shared" si="12"/>
        <v>872.74867188448309</v>
      </c>
      <c r="BP13" s="363">
        <f t="shared" si="37"/>
        <v>0.44183393995345072</v>
      </c>
      <c r="BQ13" s="362">
        <f t="shared" si="13"/>
        <v>0.22190433052712275</v>
      </c>
      <c r="BR13" s="362">
        <f t="shared" si="14"/>
        <v>216.29028092743249</v>
      </c>
      <c r="BS13" s="322">
        <f t="shared" si="43"/>
        <v>167.88318950405579</v>
      </c>
      <c r="BT13" s="368">
        <f t="shared" si="45"/>
        <v>25425.800615428689</v>
      </c>
      <c r="BU13" s="369" t="e">
        <f t="shared" si="15"/>
        <v>#NUM!</v>
      </c>
      <c r="BV13" s="322" t="e">
        <f t="shared" si="16"/>
        <v>#NUM!</v>
      </c>
      <c r="BW13" s="357">
        <f>INDEX(LINEST($T13:$X13,$T$68:$X$69,TRUE,TRUE),3,1)</f>
        <v>0.53087375465669173</v>
      </c>
      <c r="BX13" s="324">
        <f>INDEX(LINEST($T13:$X13,$T$68:$X$69,TRUE,TRUE),1,1)</f>
        <v>-3.7104643794374739E-4</v>
      </c>
      <c r="BY13" s="324">
        <f>INDEX(LINEST($T13:$X13,$T$68:$X$69,TRUE,TRUE),1,2)</f>
        <v>0.5419804207256822</v>
      </c>
      <c r="BZ13" s="324">
        <f>INDEX(LINEST($T13:$X13,$T$68:$X$69,TRUE,TRUE),1,3)</f>
        <v>178.1544069391187</v>
      </c>
      <c r="CA13" s="322">
        <f t="shared" si="38"/>
        <v>167.88318950405579</v>
      </c>
      <c r="CB13" s="368">
        <f t="shared" si="44"/>
        <v>21369.823841616049</v>
      </c>
      <c r="CC13" s="369">
        <f t="shared" si="17"/>
        <v>837.20894052373137</v>
      </c>
      <c r="CD13" s="41">
        <f t="shared" si="18"/>
        <v>5414.3225603256742</v>
      </c>
      <c r="CE13" s="357">
        <f>INDEX(LINEST($T13:$V13,$T$68:$V$69,TRUE,TRUE),3,1)</f>
        <v>1</v>
      </c>
      <c r="CF13" s="324">
        <f>INDEX(LINEST($T13:$V13,$T$68:$V$69,TRUE,TRUE),1,1)</f>
        <v>1.6944245733044941E-3</v>
      </c>
      <c r="CG13" s="324">
        <f>INDEX(LINEST($T13:$V13,$T$68:$V$69,TRUE,TRUE),1,2)</f>
        <v>-1.8956547407877697</v>
      </c>
      <c r="CH13" s="324">
        <f>INDEX(LINEST($T13:$V13,$T$68:$V$69,TRUE,TRUE),1,3)</f>
        <v>799.35504142101445</v>
      </c>
      <c r="CI13" s="324">
        <f t="shared" si="39"/>
        <v>167.88318950405579</v>
      </c>
      <c r="CJ13" s="368">
        <f t="shared" si="40"/>
        <v>21369.823841616049</v>
      </c>
      <c r="CK13" s="325"/>
      <c r="CL13" s="326"/>
      <c r="CM13" s="323">
        <v>687.28446984409049</v>
      </c>
      <c r="CN13" s="90">
        <f t="shared" si="19"/>
        <v>399.95000000000005</v>
      </c>
      <c r="CO13" s="327">
        <f t="shared" si="20"/>
        <v>0</v>
      </c>
      <c r="CP13" s="322">
        <v>689.26507553451029</v>
      </c>
      <c r="CQ13" s="90">
        <f t="shared" si="21"/>
        <v>401.10256968641113</v>
      </c>
      <c r="CR13" s="322">
        <f t="shared" si="22"/>
        <v>3.2311742677852644E-27</v>
      </c>
      <c r="CS13" s="322">
        <v>462.5356351978586</v>
      </c>
      <c r="CT13" s="90">
        <f t="shared" si="23"/>
        <v>269.16238532110083</v>
      </c>
      <c r="CU13" s="322">
        <f t="shared" si="24"/>
        <v>0</v>
      </c>
      <c r="CV13" s="322">
        <v>693.56376228132353</v>
      </c>
      <c r="CW13" s="90">
        <f t="shared" si="25"/>
        <v>403.60409538621047</v>
      </c>
      <c r="CX13" s="322">
        <f t="shared" si="26"/>
        <v>0</v>
      </c>
      <c r="CY13" s="322">
        <v>251.0121321075373</v>
      </c>
      <c r="CZ13" s="90">
        <f t="shared" si="27"/>
        <v>146.07095990279456</v>
      </c>
      <c r="DA13" s="322">
        <f t="shared" si="28"/>
        <v>8.0779356694631609E-28</v>
      </c>
      <c r="DB13" s="322">
        <v>510.35351774953801</v>
      </c>
      <c r="DC13" s="90">
        <f t="shared" si="29"/>
        <v>296.98894472361809</v>
      </c>
      <c r="DD13" s="322">
        <f t="shared" si="30"/>
        <v>0</v>
      </c>
      <c r="DE13" s="328">
        <f t="shared" si="41"/>
        <v>0.82487605374846318</v>
      </c>
    </row>
    <row r="14" spans="1:109" s="25" customFormat="1" x14ac:dyDescent="0.2">
      <c r="A14" s="25" t="str">
        <f>'Raw Data'!$B314</f>
        <v>pIRIR01f_rdx1_d41</v>
      </c>
      <c r="B14" s="186">
        <f>'Raw Data'!B137</f>
        <v>41</v>
      </c>
      <c r="C14" s="371" t="s">
        <v>171</v>
      </c>
      <c r="D14" s="373" t="s">
        <v>107</v>
      </c>
      <c r="E14" s="321">
        <f>'Raw Data'!E138/'Raw Data'!E138</f>
        <v>1</v>
      </c>
      <c r="F14" s="321">
        <f>'Raw Data'!E140/'Raw Data'!E138</f>
        <v>1.0216471092536035</v>
      </c>
      <c r="G14" s="321">
        <f>'Raw Data'!E142/'Raw Data'!E138</f>
        <v>0.99335583775384462</v>
      </c>
      <c r="H14" s="321">
        <f>'Raw Data'!E144/'Raw Data'!E138</f>
        <v>1.0485988319134116</v>
      </c>
      <c r="I14" s="321">
        <f>'Raw Data'!E146/'Raw Data'!E138</f>
        <v>1.009216096018861</v>
      </c>
      <c r="J14" s="321">
        <f>'Raw Data'!E148/'Raw Data'!E138</f>
        <v>1.0136633981674972</v>
      </c>
      <c r="K14" s="169">
        <f>'Raw Data'!E138/'Raw Data'!E138</f>
        <v>1</v>
      </c>
      <c r="L14" s="169">
        <f>SQRT(('Raw Data'!$F140/'Raw Data'!$E140)^2+('Raw Data'!$F138/'Raw Data'!$E138)^2)*F14</f>
        <v>1.6711314192003113E-2</v>
      </c>
      <c r="M14" s="169">
        <f>SQRT(('Raw Data'!$F142/'Raw Data'!$E142)^2+('Raw Data'!$F138/'Raw Data'!$E138)^2)*G14</f>
        <v>1.6425371950937771E-2</v>
      </c>
      <c r="N14" s="169">
        <f>SQRT(('Raw Data'!$F144/'Raw Data'!$E144)^2+('Raw Data'!$F138/'Raw Data'!$E138)^2)*H14</f>
        <v>1.7240327056605876E-2</v>
      </c>
      <c r="O14" s="169">
        <f>SQRT(('Raw Data'!$F146/'Raw Data'!$E146)^2+('Raw Data'!$F138/'Raw Data'!$E138)^2)*I14</f>
        <v>1.6483754819102327E-2</v>
      </c>
      <c r="P14" s="354">
        <f>SQRT(('Raw Data'!$F148/'Raw Data'!$E148)^2+('Raw Data'!$F138/'Raw Data'!$E138)^2)*J14</f>
        <v>1.6570979554558239E-2</v>
      </c>
      <c r="Q14" s="355">
        <f>'Raw Data'!E137</f>
        <v>1653.9</v>
      </c>
      <c r="R14" s="356">
        <f>'Raw Data'!F137</f>
        <v>14.038051111879403</v>
      </c>
      <c r="S14" s="357">
        <f>'Raw Data'!E138</f>
        <v>933.15</v>
      </c>
      <c r="T14" s="357">
        <f>'Raw Data'!E139*$E14/F14</f>
        <v>620.81123144700257</v>
      </c>
      <c r="U14" s="357">
        <f>'Raw Data'!E141*$E14/G14</f>
        <v>1188.0435541291331</v>
      </c>
      <c r="V14" s="357">
        <f>'Raw Data'!E143*$E14/H14</f>
        <v>2183.3421231476746</v>
      </c>
      <c r="W14" s="357">
        <f>'Raw Data'!E145*$E14/I14</f>
        <v>9.3141598088664761</v>
      </c>
      <c r="X14" s="357">
        <f>'Raw Data'!E147*$E14/J14</f>
        <v>658.35463843958144</v>
      </c>
      <c r="Y14" s="169">
        <f>'Raw Data'!F137</f>
        <v>14.038051111879403</v>
      </c>
      <c r="Z14" s="169">
        <f>'Raw Data'!F138</f>
        <v>11.013449469429045</v>
      </c>
      <c r="AA14" s="169">
        <f>SQRT(('Raw Data'!F139/'Raw Data'!E139)^2+(L14/F14)^2)*T14</f>
        <v>13.442738646700587</v>
      </c>
      <c r="AB14" s="169">
        <f>SQRT(('Raw Data'!F141/'Raw Data'!E141)^2+(M14/E14)^2)*U14</f>
        <v>22.847569323003494</v>
      </c>
      <c r="AC14" s="169">
        <f>SQRT(('Raw Data'!F143/'Raw Data'!E143)^2+(N14/H14)^2)*V14</f>
        <v>39.07501259407119</v>
      </c>
      <c r="AD14" s="169">
        <f>SQRT(('Raw Data'!F145/'Raw Data'!E145)^2+(O14/I14)^2)*W14</f>
        <v>3.1144452539314602</v>
      </c>
      <c r="AE14" s="169">
        <f>SQRT(('Raw Data'!F147/'Raw Data'!E147)^2+(P14/J14)^2)*X14</f>
        <v>13.956440257275871</v>
      </c>
      <c r="AF14" s="370">
        <f t="shared" si="0"/>
        <v>1.0604747547899089</v>
      </c>
      <c r="AG14" s="321">
        <f t="shared" si="1"/>
        <v>1.0809868652912826</v>
      </c>
      <c r="AH14" s="321">
        <f t="shared" si="31"/>
        <v>0.56316342033172961</v>
      </c>
      <c r="AI14" s="321">
        <f t="shared" si="32"/>
        <v>0.70912082671878041</v>
      </c>
      <c r="AJ14" s="68" t="e">
        <f>(AVERAGE('Raw Data'!G137:H137)-AVERAGE(INDEX('Raw Data'!G137:IV137,MATCH(ROUND($AR$41*10-1,0),'Raw Data'!$G$4:$IV$4,0)):INDEX('Raw Data'!G137:IV137,MATCH(ROUND($AR$41*10+1,0),'Raw Data'!$G$4:$IV$4,0))))/(AVERAGE(INDEX('Raw Data'!G137:IV137,MATCH(ROUND($AR$41*10-1,0),'Raw Data'!$G$4:$IV$4,0)):INDEX('Raw Data'!G137:IV137,MATCH(ROUND($AR$41*10+1,0),'Raw Data'!$G$4:$IV$4,0)))-AVERAGE(INDEX('Raw Data'!G137:IV137,MATCH(ROUND($AR$42*10,0),'Raw Data'!$G$4:$IV$4,0)):INDEX('Raw Data'!G137:IV137,MATCH(ROUND(IF($AR$43&gt;25,25,$AR$43)*10,0),'Raw Data'!$G$4:$IV$4,0))))</f>
        <v>#N/A</v>
      </c>
      <c r="AK14" s="68" t="s">
        <v>161</v>
      </c>
      <c r="AL14" s="321">
        <f t="shared" si="42"/>
        <v>1.0106801849486386</v>
      </c>
      <c r="AM14" s="324">
        <f>('Raw Data'!G144/'Raw Data'!H144)/('Raw Data'!G137/'Raw Data'!H137)</f>
        <v>0.85896183894230771</v>
      </c>
      <c r="AN14" s="321">
        <f t="shared" si="33"/>
        <v>1.9437267257008484</v>
      </c>
      <c r="AO14" s="357">
        <f>'Sig-Dose Plt'!Q41*'TD Plts'!Y43*'Signals Plt'!Y52</f>
        <v>1</v>
      </c>
      <c r="AP14" s="285">
        <v>1</v>
      </c>
      <c r="AQ14" s="358">
        <f>CHOOSE('Sig-Dose Plt'!R41,Regression!BN14,Regression!BU14,CC14,Regression!AS14,Regression!BD14)</f>
        <v>218.56154203215542</v>
      </c>
      <c r="AR14" s="359">
        <f>CHOOSE('Sig-Dose Plt'!R41,Regression!BO14,Regression!BV14,CC14*0.1,Regression!AT14,Regression!BE14)</f>
        <v>4.2482391045828978</v>
      </c>
      <c r="AS14" s="360">
        <f t="shared" si="2"/>
        <v>218.56154203215542</v>
      </c>
      <c r="AT14" s="360">
        <f t="shared" si="3"/>
        <v>4.2482391045828978</v>
      </c>
      <c r="AU14" s="361">
        <f t="shared" si="4"/>
        <v>0.99971226873227792</v>
      </c>
      <c r="AV14" s="322">
        <f t="shared" si="5"/>
        <v>148.63227045766087</v>
      </c>
      <c r="AW14" s="362">
        <v>5677.5331199617494</v>
      </c>
      <c r="AX14" s="363">
        <v>1.5666366131569991E-3</v>
      </c>
      <c r="AY14" s="363">
        <v>1.2287845607161676</v>
      </c>
      <c r="AZ14" s="362">
        <f t="shared" si="6"/>
        <v>763.77827677787161</v>
      </c>
      <c r="BA14" s="364"/>
      <c r="BB14" s="364"/>
      <c r="BC14" s="365" t="str">
        <f t="shared" si="34"/>
        <v/>
      </c>
      <c r="BD14" s="323">
        <f t="shared" si="7"/>
        <v>224.64215883552563</v>
      </c>
      <c r="BE14" s="360">
        <f t="shared" si="8"/>
        <v>26.398616830296202</v>
      </c>
      <c r="BF14" s="361">
        <f t="shared" si="9"/>
        <v>0.9879968342144444</v>
      </c>
      <c r="BG14" s="322">
        <f t="shared" si="10"/>
        <v>161.36687150988521</v>
      </c>
      <c r="BH14" s="362">
        <v>0</v>
      </c>
      <c r="BI14" s="363">
        <v>0</v>
      </c>
      <c r="BJ14" s="363">
        <v>0</v>
      </c>
      <c r="BK14" s="362">
        <v>7.3623758272859279</v>
      </c>
      <c r="BL14" s="362">
        <f t="shared" si="11"/>
        <v>31862.221134848856</v>
      </c>
      <c r="BM14" s="365" t="str">
        <f t="shared" si="35"/>
        <v/>
      </c>
      <c r="BN14" s="366">
        <f t="shared" si="36"/>
        <v>225.42983530402853</v>
      </c>
      <c r="BO14" s="367">
        <f t="shared" si="12"/>
        <v>21.145037565046138</v>
      </c>
      <c r="BP14" s="363">
        <f t="shared" si="37"/>
        <v>0.99438274868257337</v>
      </c>
      <c r="BQ14" s="362">
        <f t="shared" si="13"/>
        <v>6.941080844149857</v>
      </c>
      <c r="BR14" s="362">
        <f t="shared" si="14"/>
        <v>89.173288471350588</v>
      </c>
      <c r="BS14" s="322">
        <f t="shared" si="43"/>
        <v>148.63227045766087</v>
      </c>
      <c r="BT14" s="368">
        <f t="shared" si="45"/>
        <v>14910.908242327205</v>
      </c>
      <c r="BU14" s="369">
        <f t="shared" si="15"/>
        <v>217.78479101776429</v>
      </c>
      <c r="BV14" s="322">
        <f t="shared" si="16"/>
        <v>4.3976592967571388</v>
      </c>
      <c r="BW14" s="357">
        <f>INDEX(LINEST($T14:$X14,$T$70:$X$71,TRUE,TRUE),3,1)</f>
        <v>0.99968975408770555</v>
      </c>
      <c r="BX14" s="324">
        <f>INDEX(LINEST($T14:$X14,$T$70:$X$71,TRUE,TRUE),1,1)</f>
        <v>-5.4895268709873046E-3</v>
      </c>
      <c r="BY14" s="324">
        <f>INDEX(LINEST($T14:$X14,$T$70:$X$71,TRUE,TRUE),1,2)</f>
        <v>8.7296272305250771</v>
      </c>
      <c r="BZ14" s="324">
        <f>INDEX(LINEST($T14:$X14,$T$70:$X$71,TRUE,TRUE),1,3)</f>
        <v>13.089398766818363</v>
      </c>
      <c r="CA14" s="322">
        <f t="shared" si="38"/>
        <v>148.63227045766087</v>
      </c>
      <c r="CB14" s="368">
        <f t="shared" si="44"/>
        <v>823.54305858272301</v>
      </c>
      <c r="CC14" s="369">
        <f t="shared" si="17"/>
        <v>218.22356364672552</v>
      </c>
      <c r="CD14" s="41">
        <f t="shared" si="18"/>
        <v>9.3292398104178121E-13</v>
      </c>
      <c r="CE14" s="357">
        <f>INDEX(LINEST($T14:$V14,$T$70:$V$71,TRUE,TRUE),3,1)</f>
        <v>1</v>
      </c>
      <c r="CF14" s="324">
        <f>INDEX(LINEST($T14:$V14,$T$70:$V$71,TRUE,TRUE),1,1)</f>
        <v>-5.6316592750186309E-3</v>
      </c>
      <c r="CG14" s="324">
        <f>INDEX(LINEST($T14:$V14,$T$70:$V$71,TRUE,TRUE),1,2)</f>
        <v>8.847983931545274</v>
      </c>
      <c r="CH14" s="324">
        <f>INDEX(LINEST($T14:$V14,$T$70:$V$71,TRUE,TRUE),1,3)</f>
        <v>-8.7503888223909598</v>
      </c>
      <c r="CI14" s="324">
        <f t="shared" si="39"/>
        <v>148.63227045766087</v>
      </c>
      <c r="CJ14" s="368">
        <f t="shared" si="40"/>
        <v>823.54305858272301</v>
      </c>
      <c r="CK14" s="325"/>
      <c r="CL14" s="326"/>
      <c r="CM14" s="323">
        <v>224.64215883552563</v>
      </c>
      <c r="CN14" s="90">
        <f t="shared" si="19"/>
        <v>1653.8999999999999</v>
      </c>
      <c r="CO14" s="327">
        <f t="shared" si="20"/>
        <v>5.169878828456423E-26</v>
      </c>
      <c r="CP14" s="322">
        <v>84.322132693388852</v>
      </c>
      <c r="CQ14" s="90">
        <f t="shared" si="21"/>
        <v>620.81123144700257</v>
      </c>
      <c r="CR14" s="322">
        <f t="shared" si="22"/>
        <v>0</v>
      </c>
      <c r="CS14" s="322">
        <v>161.36687150988521</v>
      </c>
      <c r="CT14" s="90">
        <f t="shared" si="23"/>
        <v>1188.0435541291331</v>
      </c>
      <c r="CU14" s="322">
        <f t="shared" si="24"/>
        <v>0</v>
      </c>
      <c r="CV14" s="322">
        <v>296.55401657925734</v>
      </c>
      <c r="CW14" s="90">
        <f t="shared" si="25"/>
        <v>2183.3421231476746</v>
      </c>
      <c r="CX14" s="322">
        <f t="shared" si="26"/>
        <v>0</v>
      </c>
      <c r="CY14" s="322">
        <v>1.265102465205183</v>
      </c>
      <c r="CZ14" s="90">
        <f t="shared" si="27"/>
        <v>9.3141598088664761</v>
      </c>
      <c r="DA14" s="322">
        <f t="shared" si="28"/>
        <v>0</v>
      </c>
      <c r="DB14" s="322">
        <v>89.421492991383715</v>
      </c>
      <c r="DC14" s="90">
        <f t="shared" si="29"/>
        <v>658.35463843958144</v>
      </c>
      <c r="DD14" s="322">
        <f t="shared" si="30"/>
        <v>0</v>
      </c>
      <c r="DE14" s="328">
        <f t="shared" si="41"/>
        <v>1.0794886010886051</v>
      </c>
    </row>
    <row r="15" spans="1:109" s="25" customFormat="1" x14ac:dyDescent="0.2">
      <c r="A15" s="25" t="str">
        <f>'Raw Data'!$B315</f>
        <v>pIRIR01f_rdx1_d42</v>
      </c>
      <c r="B15" s="186">
        <f>'Raw Data'!B149</f>
        <v>42</v>
      </c>
      <c r="C15" s="371" t="s">
        <v>171</v>
      </c>
      <c r="D15" s="373" t="s">
        <v>107</v>
      </c>
      <c r="E15" s="321">
        <f>'Raw Data'!E150/'Raw Data'!E150</f>
        <v>1</v>
      </c>
      <c r="F15" s="321">
        <f>'Raw Data'!E152/'Raw Data'!E150</f>
        <v>0.94592914853946553</v>
      </c>
      <c r="G15" s="321">
        <f>'Raw Data'!E154/'Raw Data'!E150</f>
        <v>0.86140459912989442</v>
      </c>
      <c r="H15" s="321">
        <f>'Raw Data'!E156/'Raw Data'!E150</f>
        <v>0.65257924176507154</v>
      </c>
      <c r="I15" s="321">
        <f>'Raw Data'!E158/'Raw Data'!E150</f>
        <v>0.65071472964574273</v>
      </c>
      <c r="J15" s="321">
        <f>'Raw Data'!E160/'Raw Data'!E150</f>
        <v>0.81044126786824133</v>
      </c>
      <c r="K15" s="169">
        <f>'Raw Data'!E150/'Raw Data'!E150</f>
        <v>1</v>
      </c>
      <c r="L15" s="169">
        <f>SQRT(('Raw Data'!$F152/'Raw Data'!$E152)^2+('Raw Data'!$F150/'Raw Data'!$E150)^2)*F15</f>
        <v>8.4893954468637151E-2</v>
      </c>
      <c r="M15" s="169">
        <f>SQRT(('Raw Data'!$F154/'Raw Data'!$E154)^2+('Raw Data'!$F150/'Raw Data'!$E150)^2)*G15</f>
        <v>7.8177306907993363E-2</v>
      </c>
      <c r="N15" s="169">
        <f>SQRT(('Raw Data'!$F156/'Raw Data'!$E156)^2+('Raw Data'!$F150/'Raw Data'!$E150)^2)*H15</f>
        <v>6.4809066647629379E-2</v>
      </c>
      <c r="O15" s="169">
        <f>SQRT(('Raw Data'!$F158/'Raw Data'!$E158)^2+('Raw Data'!$F150/'Raw Data'!$E150)^2)*I15</f>
        <v>6.3480631646687449E-2</v>
      </c>
      <c r="P15" s="354">
        <f>SQRT(('Raw Data'!$F160/'Raw Data'!$E160)^2+('Raw Data'!$F150/'Raw Data'!$E150)^2)*J15</f>
        <v>7.217018809922876E-2</v>
      </c>
      <c r="Q15" s="355">
        <f>'Raw Data'!E149</f>
        <v>164.5</v>
      </c>
      <c r="R15" s="356">
        <f>'Raw Data'!F149</f>
        <v>6.4128065130649583</v>
      </c>
      <c r="S15" s="357">
        <f>'Raw Data'!E150</f>
        <v>80.449999999999989</v>
      </c>
      <c r="T15" s="357">
        <f>'Raw Data'!E151*$E15/F15</f>
        <v>88.96015111695138</v>
      </c>
      <c r="U15" s="357">
        <f>'Raw Data'!E153*$E15/G15</f>
        <v>76.561002886002882</v>
      </c>
      <c r="V15" s="357">
        <f>'Raw Data'!E155*$E15/H15</f>
        <v>121.21133333333331</v>
      </c>
      <c r="W15" s="357">
        <f>'Raw Data'!E157*$E15/I15</f>
        <v>41.646513849092635</v>
      </c>
      <c r="X15" s="357">
        <f>'Raw Data'!E159*$E15/J15</f>
        <v>73.355099693251518</v>
      </c>
      <c r="Y15" s="169">
        <f>'Raw Data'!F149</f>
        <v>6.4128065130649583</v>
      </c>
      <c r="Z15" s="169">
        <f>'Raw Data'!F150</f>
        <v>5.29153314235786</v>
      </c>
      <c r="AA15" s="169">
        <f>SQRT(('Raw Data'!F151/'Raw Data'!E151)^2+(L15/F15)^2)*T15</f>
        <v>9.5235107734476863</v>
      </c>
      <c r="AB15" s="169">
        <f>SQRT(('Raw Data'!F153/'Raw Data'!E153)^2+(M15/E15)^2)*U15</f>
        <v>7.825333883032795</v>
      </c>
      <c r="AC15" s="169">
        <f>SQRT(('Raw Data'!F155/'Raw Data'!E155)^2+(N15/H15)^2)*V15</f>
        <v>13.756969120430266</v>
      </c>
      <c r="AD15" s="169">
        <f>SQRT(('Raw Data'!F157/'Raw Data'!E157)^2+(O15/I15)^2)*W15</f>
        <v>6.619512095311137</v>
      </c>
      <c r="AE15" s="169">
        <f>SQRT(('Raw Data'!F159/'Raw Data'!E159)^2+(P15/J15)^2)*X15</f>
        <v>8.0588580003575725</v>
      </c>
      <c r="AF15" s="370">
        <f t="shared" si="0"/>
        <v>0.82458380266030917</v>
      </c>
      <c r="AG15" s="321">
        <f t="shared" si="1"/>
        <v>1.1122513470657864</v>
      </c>
      <c r="AH15" s="321">
        <f t="shared" si="31"/>
        <v>25.317029695497041</v>
      </c>
      <c r="AI15" s="321">
        <f t="shared" si="32"/>
        <v>1.6250744774774837</v>
      </c>
      <c r="AJ15" s="68" t="e">
        <f>(AVERAGE('Raw Data'!G149:H149)-AVERAGE(INDEX('Raw Data'!G149:IV149,MATCH(ROUND($AR$41*10-1,0),'Raw Data'!$G$4:$IV$4,0)):INDEX('Raw Data'!G149:IV149,MATCH(ROUND($AR$41*10+1,0),'Raw Data'!$G$4:$IV$4,0))))/(AVERAGE(INDEX('Raw Data'!G149:IV149,MATCH(ROUND($AR$41*10-1,0),'Raw Data'!$G$4:$IV$4,0)):INDEX('Raw Data'!G149:IV149,MATCH(ROUND($AR$41*10+1,0),'Raw Data'!$G$4:$IV$4,0)))-AVERAGE(INDEX('Raw Data'!G149:IV149,MATCH(ROUND($AR$42*10,0),'Raw Data'!$G$4:$IV$4,0)):INDEX('Raw Data'!G149:IV149,MATCH(ROUND(IF($AR$43&gt;25,25,$AR$43)*10,0),'Raw Data'!$G$4:$IV$4,0))))</f>
        <v>#N/A</v>
      </c>
      <c r="AK15" s="68" t="s">
        <v>161</v>
      </c>
      <c r="AL15" s="321">
        <f t="shared" si="42"/>
        <v>0.98302025780894797</v>
      </c>
      <c r="AM15" s="324">
        <f>('Raw Data'!G156/'Raw Data'!H156)/('Raw Data'!G149/'Raw Data'!H149)</f>
        <v>1.7832167832167831</v>
      </c>
      <c r="AN15" s="321">
        <f t="shared" si="33"/>
        <v>64.999909219211574</v>
      </c>
      <c r="AO15" s="357">
        <f>'Sig-Dose Plt'!Q50*'TD Plts'!Y54*'Signals Plt'!Y64</f>
        <v>0</v>
      </c>
      <c r="AP15" s="285">
        <v>0</v>
      </c>
      <c r="AQ15" s="358">
        <f>CHOOSE('Sig-Dose Plt'!R50,Regression!BN15,Regression!BU15,CC15,Regression!AS15,Regression!BD15)</f>
        <v>500.99222363507209</v>
      </c>
      <c r="AR15" s="359">
        <f>CHOOSE('Sig-Dose Plt'!R50,Regression!BO15,Regression!BV15,CC15*0.1,Regression!AT15,Regression!BE15)</f>
        <v>325.64449055810627</v>
      </c>
      <c r="AS15" s="360">
        <f>-LN(1-Q15/$AW15)/$AX15-$AY15</f>
        <v>1580.9764296967269</v>
      </c>
      <c r="AT15" s="360">
        <f t="shared" si="3"/>
        <v>267.51732420692264</v>
      </c>
      <c r="AU15" s="361">
        <f t="shared" si="4"/>
        <v>0.83559413682116279</v>
      </c>
      <c r="AV15" s="322">
        <f t="shared" si="5"/>
        <v>91.755082322578275</v>
      </c>
      <c r="AW15" s="362">
        <v>165.5</v>
      </c>
      <c r="AX15" s="363">
        <v>3.0136223315281284E-3</v>
      </c>
      <c r="AY15" s="363">
        <v>114.31602329837067</v>
      </c>
      <c r="AZ15" s="362">
        <f t="shared" si="6"/>
        <v>543.36601127997756</v>
      </c>
      <c r="BA15" s="364" t="s">
        <v>172</v>
      </c>
      <c r="BB15" s="364" t="s">
        <v>174</v>
      </c>
      <c r="BC15" s="365" t="str">
        <f t="shared" si="34"/>
        <v>&gt; Max. Dose</v>
      </c>
      <c r="BD15" s="323">
        <f t="shared" si="7"/>
        <v>347.01115547789988</v>
      </c>
      <c r="BE15" s="360">
        <f t="shared" si="8"/>
        <v>182.97239136985132</v>
      </c>
      <c r="BF15" s="361">
        <f t="shared" si="9"/>
        <v>-1.0257798122934063</v>
      </c>
      <c r="BG15" s="322">
        <f t="shared" si="10"/>
        <v>161.50469347123814</v>
      </c>
      <c r="BH15" s="362">
        <v>0</v>
      </c>
      <c r="BI15" s="363">
        <v>0</v>
      </c>
      <c r="BJ15" s="363">
        <v>1.8962966078693189</v>
      </c>
      <c r="BK15" s="362">
        <v>0.47404816070956701</v>
      </c>
      <c r="BL15" s="362">
        <f t="shared" si="11"/>
        <v>6695.2593724714598</v>
      </c>
      <c r="BM15" s="365" t="str">
        <f t="shared" si="35"/>
        <v>&gt; Max. Dose</v>
      </c>
      <c r="BN15" s="366">
        <f t="shared" si="36"/>
        <v>500.99222363507209</v>
      </c>
      <c r="BO15" s="367">
        <f t="shared" si="12"/>
        <v>325.64449055810627</v>
      </c>
      <c r="BP15" s="363">
        <f t="shared" si="37"/>
        <v>0.81529371226138958</v>
      </c>
      <c r="BQ15" s="362">
        <f t="shared" si="13"/>
        <v>0.2217151197778168</v>
      </c>
      <c r="BR15" s="362">
        <f t="shared" si="14"/>
        <v>53.422449128995211</v>
      </c>
      <c r="BS15" s="322">
        <f t="shared" si="43"/>
        <v>91.755082322578275</v>
      </c>
      <c r="BT15" s="368">
        <f t="shared" si="45"/>
        <v>610.45948657979147</v>
      </c>
      <c r="BU15" s="369" t="e">
        <f t="shared" si="15"/>
        <v>#NUM!</v>
      </c>
      <c r="BV15" s="322">
        <f t="shared" si="16"/>
        <v>271.00093523000407</v>
      </c>
      <c r="BW15" s="357">
        <f>INDEX(LINEST($T15:$X15,$T$72:$X$73,TRUE,TRUE),3,1)</f>
        <v>0.83031546951101753</v>
      </c>
      <c r="BX15" s="324">
        <f>INDEX(LINEST($T15:$X15,$T$72:$X$73,TRUE,TRUE),1,1)</f>
        <v>-3.2576133639665791E-4</v>
      </c>
      <c r="BY15" s="324">
        <f>INDEX(LINEST($T15:$X15,$T$72:$X$73,TRUE,TRUE),1,2)</f>
        <v>0.3278792211417661</v>
      </c>
      <c r="BZ15" s="324">
        <f>INDEX(LINEST($T15:$X15,$T$72:$X$73,TRUE,TRUE),1,3)</f>
        <v>48.905504621983816</v>
      </c>
      <c r="CA15" s="322">
        <f t="shared" si="38"/>
        <v>91.755082322578275</v>
      </c>
      <c r="CB15" s="368">
        <f t="shared" si="44"/>
        <v>560.81215550944296</v>
      </c>
      <c r="CC15" s="369">
        <f t="shared" si="17"/>
        <v>369.87493991498172</v>
      </c>
      <c r="CD15" s="41">
        <f t="shared" si="18"/>
        <v>4955.5123899325226</v>
      </c>
      <c r="CE15" s="357">
        <f>INDEX(LINEST($T15:$V15,$T$72:$V$73,TRUE,TRUE),3,1)</f>
        <v>1</v>
      </c>
      <c r="CF15" s="324">
        <f>INDEX(LINEST($T15:$V15,$T$72:$V$73,TRUE,TRUE),1,1)</f>
        <v>1.9135594262106529E-3</v>
      </c>
      <c r="CG15" s="324">
        <f>INDEX(LINEST($T15:$V15,$T$72:$V$73,TRUE,TRUE),1,2)</f>
        <v>-0.5948105850868286</v>
      </c>
      <c r="CH15" s="324">
        <f>INDEX(LINEST($T15:$V15,$T$72:$V$73,TRUE,TRUE),1,3)</f>
        <v>122.71630337278225</v>
      </c>
      <c r="CI15" s="324">
        <f t="shared" si="39"/>
        <v>91.755082322578275</v>
      </c>
      <c r="CJ15" s="368">
        <f t="shared" si="40"/>
        <v>560.81215550944296</v>
      </c>
      <c r="CK15" s="325"/>
      <c r="CL15" s="326"/>
      <c r="CM15" s="323">
        <v>347.01115547789988</v>
      </c>
      <c r="CN15" s="90">
        <f t="shared" si="19"/>
        <v>164.50000000000003</v>
      </c>
      <c r="CO15" s="327">
        <f t="shared" si="20"/>
        <v>8.0779356694631609E-28</v>
      </c>
      <c r="CP15" s="322">
        <v>187.66057647770134</v>
      </c>
      <c r="CQ15" s="90">
        <f t="shared" si="21"/>
        <v>88.960151116951351</v>
      </c>
      <c r="CR15" s="322">
        <f t="shared" si="22"/>
        <v>8.0779356694631609E-28</v>
      </c>
      <c r="CS15" s="322">
        <v>161.50469347123814</v>
      </c>
      <c r="CT15" s="90">
        <f t="shared" si="23"/>
        <v>76.561002886002854</v>
      </c>
      <c r="CU15" s="322">
        <f t="shared" si="24"/>
        <v>8.0779356694631609E-28</v>
      </c>
      <c r="CV15" s="322">
        <v>255.69413274782289</v>
      </c>
      <c r="CW15" s="90">
        <f t="shared" si="25"/>
        <v>121.21133333333331</v>
      </c>
      <c r="CX15" s="322">
        <f t="shared" si="26"/>
        <v>0</v>
      </c>
      <c r="CY15" s="322">
        <v>87.852917279027295</v>
      </c>
      <c r="CZ15" s="90">
        <f t="shared" si="27"/>
        <v>41.646513849092628</v>
      </c>
      <c r="DA15" s="322">
        <f t="shared" si="28"/>
        <v>5.0487097934144756E-29</v>
      </c>
      <c r="DB15" s="322">
        <v>154.74187176140876</v>
      </c>
      <c r="DC15" s="90">
        <f t="shared" si="29"/>
        <v>73.355099693251503</v>
      </c>
      <c r="DD15" s="322">
        <f t="shared" si="30"/>
        <v>2.0194839173657902E-28</v>
      </c>
      <c r="DE15" s="328">
        <f t="shared" si="41"/>
        <v>1.0804105823779995</v>
      </c>
    </row>
    <row r="16" spans="1:109" s="25" customFormat="1" x14ac:dyDescent="0.2">
      <c r="A16" s="25" t="str">
        <f>'Raw Data'!$B316</f>
        <v>pIRIR01f_rdx1_d43</v>
      </c>
      <c r="B16" s="186">
        <f>'Raw Data'!B161</f>
        <v>43</v>
      </c>
      <c r="C16" s="371" t="s">
        <v>171</v>
      </c>
      <c r="D16" s="373" t="s">
        <v>107</v>
      </c>
      <c r="E16" s="321">
        <f>'Raw Data'!E162/'Raw Data'!E162</f>
        <v>1</v>
      </c>
      <c r="F16" s="321">
        <f>'Raw Data'!E164/'Raw Data'!E162</f>
        <v>0.73467361628195582</v>
      </c>
      <c r="G16" s="321">
        <f>'Raw Data'!E166/'Raw Data'!E162</f>
        <v>0.52494415487714075</v>
      </c>
      <c r="H16" s="321">
        <f>'Raw Data'!E168/'Raw Data'!E162</f>
        <v>0.57979647555224634</v>
      </c>
      <c r="I16" s="321">
        <f>'Raw Data'!E170/'Raw Data'!E162</f>
        <v>0.49317448498386696</v>
      </c>
      <c r="J16" s="321">
        <f>'Raw Data'!E172/'Raw Data'!E162</f>
        <v>0.51303052866716303</v>
      </c>
      <c r="K16" s="169">
        <f>'Raw Data'!E162/'Raw Data'!E162</f>
        <v>1</v>
      </c>
      <c r="L16" s="169">
        <f>SQRT(('Raw Data'!$F164/'Raw Data'!$E164)^2+('Raw Data'!$F162/'Raw Data'!$E162)^2)*F16</f>
        <v>4.2947148055210056E-2</v>
      </c>
      <c r="M16" s="169">
        <f>SQRT(('Raw Data'!$F166/'Raw Data'!$E166)^2+('Raw Data'!$F162/'Raw Data'!$E162)^2)*G16</f>
        <v>3.5251461016194939E-2</v>
      </c>
      <c r="N16" s="169">
        <f>SQRT(('Raw Data'!$F168/'Raw Data'!$E168)^2+('Raw Data'!$F162/'Raw Data'!$E162)^2)*H16</f>
        <v>3.6070136640435402E-2</v>
      </c>
      <c r="O16" s="169">
        <f>SQRT(('Raw Data'!$F170/'Raw Data'!$E170)^2+('Raw Data'!$F162/'Raw Data'!$E162)^2)*I16</f>
        <v>3.2819135714161542E-2</v>
      </c>
      <c r="P16" s="354">
        <f>SQRT(('Raw Data'!$F172/'Raw Data'!$E172)^2+('Raw Data'!$F162/'Raw Data'!$E162)^2)*J16</f>
        <v>3.3077722241040844E-2</v>
      </c>
      <c r="Q16" s="355">
        <f>'Raw Data'!E161</f>
        <v>388.55</v>
      </c>
      <c r="R16" s="356">
        <f>'Raw Data'!F161</f>
        <v>9.3923638683547672</v>
      </c>
      <c r="S16" s="357">
        <f>'Raw Data'!E162</f>
        <v>201.45</v>
      </c>
      <c r="T16" s="357">
        <f>'Raw Data'!E163*$E16/F16</f>
        <v>324.63395270270269</v>
      </c>
      <c r="U16" s="357">
        <f>'Raw Data'!E165*$E16/G16</f>
        <v>282.98248226950358</v>
      </c>
      <c r="V16" s="357">
        <f>'Raw Data'!E167*$E16/H16</f>
        <v>267.07647688356155</v>
      </c>
      <c r="W16" s="357">
        <f>'Raw Data'!E169*$E16/I16</f>
        <v>173.97493709109213</v>
      </c>
      <c r="X16" s="357">
        <f>'Raw Data'!E171*$E16/J16</f>
        <v>176.89005805515239</v>
      </c>
      <c r="Y16" s="169">
        <f>'Raw Data'!F161</f>
        <v>9.3923638683547672</v>
      </c>
      <c r="Z16" s="169">
        <f>'Raw Data'!F162</f>
        <v>7.646111368857186</v>
      </c>
      <c r="AA16" s="169">
        <f>SQRT(('Raw Data'!F163/'Raw Data'!E163)^2+(L16/F16)^2)*T16</f>
        <v>21.565423425012856</v>
      </c>
      <c r="AB16" s="169">
        <f>SQRT(('Raw Data'!F165/'Raw Data'!E165)^2+(M16/E16)^2)*U16</f>
        <v>15.601226577701894</v>
      </c>
      <c r="AC16" s="169">
        <f>SQRT(('Raw Data'!F167/'Raw Data'!E167)^2+(N16/H16)^2)*V16</f>
        <v>19.793491320991855</v>
      </c>
      <c r="AD16" s="169">
        <f>SQRT(('Raw Data'!F169/'Raw Data'!E169)^2+(O16/I16)^2)*W16</f>
        <v>15.683534854698056</v>
      </c>
      <c r="AE16" s="169">
        <f>SQRT(('Raw Data'!F171/'Raw Data'!E171)^2+(P16/J16)^2)*X16</f>
        <v>15.345600126594007</v>
      </c>
      <c r="AF16" s="370">
        <f t="shared" si="0"/>
        <v>0.54489081188974398</v>
      </c>
      <c r="AG16" s="321">
        <f t="shared" si="1"/>
        <v>4.8698818031886839</v>
      </c>
      <c r="AH16" s="321">
        <f t="shared" si="31"/>
        <v>44.775430984710368</v>
      </c>
      <c r="AI16" s="321">
        <f t="shared" si="32"/>
        <v>2.314831028174654</v>
      </c>
      <c r="AJ16" s="68" t="e">
        <f>(AVERAGE('Raw Data'!G161:H161)-AVERAGE(INDEX('Raw Data'!G161:IV161,MATCH(ROUND($AR$41*10-1,0),'Raw Data'!$G$4:$IV$4,0)):INDEX('Raw Data'!G161:IV161,MATCH(ROUND($AR$41*10+1,0),'Raw Data'!$G$4:$IV$4,0))))/(AVERAGE(INDEX('Raw Data'!G161:IV161,MATCH(ROUND($AR$41*10-1,0),'Raw Data'!$G$4:$IV$4,0)):INDEX('Raw Data'!G161:IV161,MATCH(ROUND($AR$41*10+1,0),'Raw Data'!$G$4:$IV$4,0)))-AVERAGE(INDEX('Raw Data'!G161:IV161,MATCH(ROUND($AR$42*10,0),'Raw Data'!$G$4:$IV$4,0)):INDEX('Raw Data'!G161:IV161,MATCH(ROUND(IF($AR$43&gt;25,25,$AR$43)*10,0),'Raw Data'!$G$4:$IV$4,0))))</f>
        <v>#N/A</v>
      </c>
      <c r="AK16" s="68" t="s">
        <v>161</v>
      </c>
      <c r="AL16" s="321">
        <f t="shared" si="42"/>
        <v>0.81720140293629828</v>
      </c>
      <c r="AM16" s="324">
        <f>('Raw Data'!G168/'Raw Data'!H168)/('Raw Data'!G161/'Raw Data'!H161)</f>
        <v>0.85503303536727548</v>
      </c>
      <c r="AN16" s="321">
        <f t="shared" si="33"/>
        <v>155.56738446274278</v>
      </c>
      <c r="AO16" s="357">
        <f>'Sig-Dose Plt'!Q52*'TD Plts'!Y56*'Signals Plt'!Y66</f>
        <v>0</v>
      </c>
      <c r="AP16" s="285">
        <v>0</v>
      </c>
      <c r="AQ16" s="358">
        <f>CHOOSE('Sig-Dose Plt'!R52,Regression!BN16,Regression!BU16,CC16,Regression!AS16,Regression!BD16)</f>
        <v>713.63642726383819</v>
      </c>
      <c r="AR16" s="359">
        <f>CHOOSE('Sig-Dose Plt'!R52,Regression!BO16,Regression!BV16,CC16*0.1,Regression!AT16,Regression!BE16)</f>
        <v>1110.185524467717</v>
      </c>
      <c r="AS16" s="360">
        <f t="shared" si="2"/>
        <v>2278.4659677016634</v>
      </c>
      <c r="AT16" s="360">
        <f t="shared" si="3"/>
        <v>975.03446083360393</v>
      </c>
      <c r="AU16" s="361">
        <f t="shared" si="4"/>
        <v>0.21910465562530179</v>
      </c>
      <c r="AV16" s="322">
        <f t="shared" si="5"/>
        <v>240.53412074465678</v>
      </c>
      <c r="AW16" s="362">
        <v>389.55</v>
      </c>
      <c r="AX16" s="363">
        <v>2.2909395917962466E-3</v>
      </c>
      <c r="AY16" s="363">
        <v>325.26581472386329</v>
      </c>
      <c r="AZ16" s="362">
        <f t="shared" si="6"/>
        <v>14021.028786497958</v>
      </c>
      <c r="BA16" s="364" t="s">
        <v>173</v>
      </c>
      <c r="BB16" s="364" t="s">
        <v>174</v>
      </c>
      <c r="BC16" s="365" t="str">
        <f t="shared" si="34"/>
        <v>&gt; Max. Dose</v>
      </c>
      <c r="BD16" s="323">
        <f t="shared" si="7"/>
        <v>713.63665642064916</v>
      </c>
      <c r="BE16" s="360">
        <f t="shared" si="8"/>
        <v>465.1587509587776</v>
      </c>
      <c r="BF16" s="361">
        <f t="shared" si="9"/>
        <v>0.179104412397183</v>
      </c>
      <c r="BG16" s="322">
        <f t="shared" si="10"/>
        <v>277.79061841085763</v>
      </c>
      <c r="BH16" s="362">
        <v>215.69802060876691</v>
      </c>
      <c r="BI16" s="363">
        <v>2296.3945964451409</v>
      </c>
      <c r="BJ16" s="363">
        <v>530.76675536704568</v>
      </c>
      <c r="BK16" s="362">
        <v>0.24221286537913839</v>
      </c>
      <c r="BL16" s="362">
        <f t="shared" si="11"/>
        <v>14739.235862271305</v>
      </c>
      <c r="BM16" s="365" t="str">
        <f t="shared" si="35"/>
        <v>&gt; Max. Dose</v>
      </c>
      <c r="BN16" s="366">
        <f t="shared" si="36"/>
        <v>713.63642726383819</v>
      </c>
      <c r="BO16" s="367">
        <f t="shared" si="12"/>
        <v>1110.185524467717</v>
      </c>
      <c r="BP16" s="363">
        <f t="shared" si="37"/>
        <v>0.17910441239722627</v>
      </c>
      <c r="BQ16" s="362">
        <f t="shared" si="13"/>
        <v>0.24221294315535774</v>
      </c>
      <c r="BR16" s="362">
        <f t="shared" si="14"/>
        <v>215.69802060955138</v>
      </c>
      <c r="BS16" s="322">
        <f t="shared" si="43"/>
        <v>240.53412074465678</v>
      </c>
      <c r="BT16" s="368">
        <f t="shared" si="45"/>
        <v>14739.235862270525</v>
      </c>
      <c r="BU16" s="369" t="e">
        <f t="shared" si="15"/>
        <v>#NUM!</v>
      </c>
      <c r="BV16" s="322" t="e">
        <f t="shared" si="16"/>
        <v>#NUM!</v>
      </c>
      <c r="BW16" s="357">
        <f>INDEX(LINEST($T16:$X16,$T$74:$X$75,TRUE,TRUE),3,1)</f>
        <v>0.38967539952030023</v>
      </c>
      <c r="BX16" s="324">
        <f>INDEX(LINEST($T16:$X16,$T$74:$X$75,TRUE,TRUE),1,1)</f>
        <v>-2.8427873536122175E-3</v>
      </c>
      <c r="BY16" s="324">
        <f>INDEX(LINEST($T16:$X16,$T$74:$X$75,TRUE,TRUE),1,2)</f>
        <v>1.1686640932622456</v>
      </c>
      <c r="BZ16" s="324">
        <f>INDEX(LINEST($T16:$X16,$T$74:$X$75,TRUE,TRUE),1,3)</f>
        <v>176.28047381429613</v>
      </c>
      <c r="CA16" s="322">
        <f t="shared" si="38"/>
        <v>240.53412074465678</v>
      </c>
      <c r="CB16" s="368">
        <f t="shared" si="44"/>
        <v>10958.419529682375</v>
      </c>
      <c r="CC16" s="369">
        <f t="shared" si="17"/>
        <v>509.45398596832734</v>
      </c>
      <c r="CD16" s="41">
        <f t="shared" si="18"/>
        <v>13833.846204171339</v>
      </c>
      <c r="CE16" s="357">
        <f>INDEX(LINEST($T16:$V16,$T$74:$V$75,TRUE,TRUE),3,1)</f>
        <v>1</v>
      </c>
      <c r="CF16" s="324">
        <f>INDEX(LINEST($T16:$V16,$T$74:$V$75,TRUE,TRUE),1,1)</f>
        <v>1.9557512276976753E-3</v>
      </c>
      <c r="CG16" s="324">
        <f>INDEX(LINEST($T16:$V16,$T$74:$V$75,TRUE,TRUE),1,2)</f>
        <v>-0.99545185137080028</v>
      </c>
      <c r="CH16" s="324">
        <f>INDEX(LINEST($T16:$V16,$T$74:$V$75,TRUE,TRUE),1,3)</f>
        <v>388.08466109057889</v>
      </c>
      <c r="CI16" s="324">
        <f t="shared" si="39"/>
        <v>240.53412074465678</v>
      </c>
      <c r="CJ16" s="368">
        <f t="shared" si="40"/>
        <v>10958.419529682375</v>
      </c>
      <c r="CK16" s="325"/>
      <c r="CL16" s="326"/>
      <c r="CM16" s="323">
        <v>713.63665642064916</v>
      </c>
      <c r="CN16" s="90">
        <f t="shared" si="19"/>
        <v>388.55000000000007</v>
      </c>
      <c r="CO16" s="327">
        <f t="shared" si="20"/>
        <v>3.2311742677852644E-27</v>
      </c>
      <c r="CP16" s="322">
        <v>449.75287304998108</v>
      </c>
      <c r="CQ16" s="90">
        <f t="shared" si="21"/>
        <v>324.63395270270269</v>
      </c>
      <c r="CR16" s="322">
        <f t="shared" si="22"/>
        <v>0</v>
      </c>
      <c r="CS16" s="322">
        <v>277.79061841085763</v>
      </c>
      <c r="CT16" s="90">
        <f t="shared" si="23"/>
        <v>282.98248226950358</v>
      </c>
      <c r="CU16" s="322">
        <f t="shared" si="24"/>
        <v>0</v>
      </c>
      <c r="CV16" s="322">
        <v>212.12108693884366</v>
      </c>
      <c r="CW16" s="90">
        <f t="shared" si="25"/>
        <v>267.07647688356155</v>
      </c>
      <c r="CX16" s="322">
        <f t="shared" si="26"/>
        <v>0</v>
      </c>
      <c r="CY16" s="322">
        <v>0</v>
      </c>
      <c r="CZ16" s="90">
        <f t="shared" si="27"/>
        <v>215.69802060876691</v>
      </c>
      <c r="DA16" s="322">
        <f t="shared" si="28"/>
        <v>1740.815698222865</v>
      </c>
      <c r="DB16" s="322">
        <v>0</v>
      </c>
      <c r="DC16" s="90">
        <f t="shared" si="29"/>
        <v>215.69802060876691</v>
      </c>
      <c r="DD16" s="322">
        <f t="shared" si="30"/>
        <v>1506.0579575627464</v>
      </c>
      <c r="DE16" s="328">
        <f t="shared" si="41"/>
        <v>1.1233693931157429</v>
      </c>
    </row>
    <row r="17" spans="1:109" s="25" customFormat="1" x14ac:dyDescent="0.2">
      <c r="A17" s="25" t="str">
        <f>'Raw Data'!$B317</f>
        <v>pIRIR01f_rdx1_d44</v>
      </c>
      <c r="B17" s="186">
        <f>'Raw Data'!B173</f>
        <v>44</v>
      </c>
      <c r="C17" s="371" t="s">
        <v>171</v>
      </c>
      <c r="D17" s="373" t="s">
        <v>107</v>
      </c>
      <c r="E17" s="321">
        <f>'Raw Data'!E174/'Raw Data'!E174</f>
        <v>1</v>
      </c>
      <c r="F17" s="321">
        <f>'Raw Data'!E176/'Raw Data'!E174</f>
        <v>1.1018080465980522</v>
      </c>
      <c r="G17" s="321">
        <f>'Raw Data'!E178/'Raw Data'!E174</f>
        <v>1.2928850994293846</v>
      </c>
      <c r="H17" s="321">
        <f>'Raw Data'!E180/'Raw Data'!E174</f>
        <v>1.484489279548779</v>
      </c>
      <c r="I17" s="321">
        <f>'Raw Data'!E182/'Raw Data'!E174</f>
        <v>1.4225320559282053</v>
      </c>
      <c r="J17" s="321">
        <f>'Raw Data'!E184/'Raw Data'!E174</f>
        <v>1.4631010898356682</v>
      </c>
      <c r="K17" s="169">
        <f>'Raw Data'!E174/'Raw Data'!E174</f>
        <v>1</v>
      </c>
      <c r="L17" s="169">
        <f>SQRT(('Raw Data'!$F176/'Raw Data'!$E176)^2+('Raw Data'!$F174/'Raw Data'!$E174)^2)*F17</f>
        <v>5.7185772025922172E-3</v>
      </c>
      <c r="M17" s="169">
        <f>SQRT(('Raw Data'!$F178/'Raw Data'!$E178)^2+('Raw Data'!$F174/'Raw Data'!$E174)^2)*G17</f>
        <v>6.4823245239280054E-3</v>
      </c>
      <c r="N17" s="169">
        <f>SQRT(('Raw Data'!$F180/'Raw Data'!$E180)^2+('Raw Data'!$F174/'Raw Data'!$E174)^2)*H17</f>
        <v>7.2559305763413677E-3</v>
      </c>
      <c r="O17" s="169">
        <f>SQRT(('Raw Data'!$F182/'Raw Data'!$E182)^2+('Raw Data'!$F174/'Raw Data'!$E174)^2)*I17</f>
        <v>6.9750757946490348E-3</v>
      </c>
      <c r="P17" s="354">
        <f>SQRT(('Raw Data'!$F184/'Raw Data'!$E184)^2+('Raw Data'!$F174/'Raw Data'!$E174)^2)*J17</f>
        <v>7.1409393436695596E-3</v>
      </c>
      <c r="Q17" s="355">
        <f>'Raw Data'!E173</f>
        <v>6810.9</v>
      </c>
      <c r="R17" s="356">
        <f>'Raw Data'!F173</f>
        <v>26.972641377258526</v>
      </c>
      <c r="S17" s="357">
        <f>'Raw Data'!E174</f>
        <v>7588.3</v>
      </c>
      <c r="T17" s="357">
        <f>'Raw Data'!E175*$E17/F17</f>
        <v>4635.6078227692169</v>
      </c>
      <c r="U17" s="357">
        <f>'Raw Data'!E177*$E17/G17</f>
        <v>9185.8897633220531</v>
      </c>
      <c r="V17" s="357">
        <f>'Raw Data'!E179*$E17/H17</f>
        <v>17301.876378525933</v>
      </c>
      <c r="W17" s="357">
        <f>'Raw Data'!E181*$E17/I17</f>
        <v>47.661491857039636</v>
      </c>
      <c r="X17" s="357">
        <f>'Raw Data'!E183*$E17/J17</f>
        <v>5017.2883138406387</v>
      </c>
      <c r="Y17" s="169">
        <f>'Raw Data'!F173</f>
        <v>26.972641377258526</v>
      </c>
      <c r="Z17" s="169">
        <f>'Raw Data'!F174</f>
        <v>28.528506004645951</v>
      </c>
      <c r="AA17" s="169">
        <f>SQRT(('Raw Data'!F175/'Raw Data'!E175)^2+(L17/F17)^2)*T17</f>
        <v>32.095598484945967</v>
      </c>
      <c r="AB17" s="169">
        <f>SQRT(('Raw Data'!F177/'Raw Data'!E177)^2+(M17/E17)^2)*U17</f>
        <v>65.552884453254407</v>
      </c>
      <c r="AC17" s="169">
        <f>SQRT(('Raw Data'!F179/'Raw Data'!E179)^2+(N17/H17)^2)*V17</f>
        <v>91.554313343287731</v>
      </c>
      <c r="AD17" s="169">
        <f>SQRT(('Raw Data'!F181/'Raw Data'!E181)^2+(O17/I17)^2)*W17</f>
        <v>4.0014796565645057</v>
      </c>
      <c r="AE17" s="169">
        <f>SQRT(('Raw Data'!F183/'Raw Data'!E183)^2+(P17/J17)^2)*X17</f>
        <v>31.120934558659446</v>
      </c>
      <c r="AF17" s="370">
        <f t="shared" si="0"/>
        <v>1.0823366655817346</v>
      </c>
      <c r="AG17" s="321">
        <f t="shared" si="1"/>
        <v>4.0415907152377395</v>
      </c>
      <c r="AH17" s="321">
        <f t="shared" si="31"/>
        <v>0.69978258170050422</v>
      </c>
      <c r="AI17" s="321">
        <f t="shared" si="32"/>
        <v>0.34994091381708459</v>
      </c>
      <c r="AJ17" s="68" t="e">
        <f>(AVERAGE('Raw Data'!G173:H173)-AVERAGE(INDEX('Raw Data'!G173:IV173,MATCH(ROUND($AR$41*10-1,0),'Raw Data'!$G$4:$IV$4,0)):INDEX('Raw Data'!G173:IV173,MATCH(ROUND($AR$41*10+1,0),'Raw Data'!$G$4:$IV$4,0))))/(AVERAGE(INDEX('Raw Data'!G173:IV173,MATCH(ROUND($AR$41*10-1,0),'Raw Data'!$G$4:$IV$4,0)):INDEX('Raw Data'!G173:IV173,MATCH(ROUND($AR$41*10+1,0),'Raw Data'!$G$4:$IV$4,0)))-AVERAGE(INDEX('Raw Data'!G173:IV173,MATCH(ROUND($AR$42*10,0),'Raw Data'!$G$4:$IV$4,0)):INDEX('Raw Data'!G173:IV173,MATCH(ROUND(IF($AR$43&gt;25,25,$AR$43)*10,0),'Raw Data'!$G$4:$IV$4,0))))</f>
        <v>#N/A</v>
      </c>
      <c r="AK17" s="68" t="s">
        <v>161</v>
      </c>
      <c r="AL17" s="321">
        <f t="shared" si="42"/>
        <v>1.0754760371024719</v>
      </c>
      <c r="AM17" s="324">
        <f>('Raw Data'!G180/'Raw Data'!H180)/('Raw Data'!G173/'Raw Data'!H173)</f>
        <v>1.0267457752797651</v>
      </c>
      <c r="AN17" s="321">
        <f t="shared" si="33"/>
        <v>3.5086506305184417</v>
      </c>
      <c r="AO17" s="357">
        <f>'Sig-Dose Plt'!Q54*'TD Plts'!Y58*'Signals Plt'!Y68</f>
        <v>1</v>
      </c>
      <c r="AP17" s="285">
        <v>1</v>
      </c>
      <c r="AQ17" s="358">
        <f>CHOOSE('Sig-Dose Plt'!R54,Regression!BN17,Regression!BU17,CC17,Regression!AS17,Regression!BD17)</f>
        <v>107.88285643759947</v>
      </c>
      <c r="AR17" s="359">
        <f>CHOOSE('Sig-Dose Plt'!R54,Regression!BO17,Regression!BV17,CC17*0.1,Regression!AT17,Regression!BE17)</f>
        <v>3.7852325226191392</v>
      </c>
      <c r="AS17" s="360">
        <f t="shared" si="2"/>
        <v>107.88285643759947</v>
      </c>
      <c r="AT17" s="360">
        <f t="shared" si="3"/>
        <v>3.7852325226191392</v>
      </c>
      <c r="AU17" s="361">
        <f t="shared" si="4"/>
        <v>0.99956644595447053</v>
      </c>
      <c r="AV17" s="322">
        <f t="shared" si="5"/>
        <v>149.27790321330713</v>
      </c>
      <c r="AW17" s="362">
        <v>56406.587392705478</v>
      </c>
      <c r="AX17" s="363">
        <v>1.185445614236976E-3</v>
      </c>
      <c r="AY17" s="363">
        <v>0.66878495214360512</v>
      </c>
      <c r="AZ17" s="362">
        <f t="shared" si="6"/>
        <v>73045.556292180583</v>
      </c>
      <c r="BA17" s="364"/>
      <c r="BB17" s="364"/>
      <c r="BC17" s="365" t="str">
        <f t="shared" si="34"/>
        <v/>
      </c>
      <c r="BD17" s="323">
        <f t="shared" si="7"/>
        <v>117.86590465898379</v>
      </c>
      <c r="BE17" s="360">
        <f t="shared" si="8"/>
        <v>22.424357956810802</v>
      </c>
      <c r="BF17" s="361">
        <f t="shared" si="9"/>
        <v>0.99312994865241411</v>
      </c>
      <c r="BG17" s="322">
        <f t="shared" si="10"/>
        <v>158.96624631864398</v>
      </c>
      <c r="BH17" s="362">
        <v>0</v>
      </c>
      <c r="BI17" s="363">
        <v>0</v>
      </c>
      <c r="BJ17" s="363">
        <v>5.3925052849336366</v>
      </c>
      <c r="BK17" s="362">
        <v>57.785158648768494</v>
      </c>
      <c r="BL17" s="362">
        <f t="shared" si="11"/>
        <v>1157472.1251357677</v>
      </c>
      <c r="BM17" s="365" t="str">
        <f t="shared" si="35"/>
        <v/>
      </c>
      <c r="BN17" s="366">
        <f t="shared" si="36"/>
        <v>113.72559271031464</v>
      </c>
      <c r="BO17" s="367">
        <f t="shared" si="12"/>
        <v>11.859674576620975</v>
      </c>
      <c r="BP17" s="363">
        <f t="shared" si="37"/>
        <v>0.9965113477113966</v>
      </c>
      <c r="BQ17" s="362">
        <f t="shared" si="13"/>
        <v>55.343558967982176</v>
      </c>
      <c r="BR17" s="362">
        <f t="shared" si="14"/>
        <v>516.9209536679773</v>
      </c>
      <c r="BS17" s="322">
        <f t="shared" si="43"/>
        <v>149.27790321330713</v>
      </c>
      <c r="BT17" s="368">
        <f t="shared" si="45"/>
        <v>587771.12048349949</v>
      </c>
      <c r="BU17" s="369">
        <f t="shared" si="15"/>
        <v>107.93902286543036</v>
      </c>
      <c r="BV17" s="322">
        <f t="shared" si="16"/>
        <v>3.7983610504687255</v>
      </c>
      <c r="BW17" s="357">
        <f>INDEX(LINEST($T17:$X17,$T$76:$X$77,TRUE,TRUE),3,1)</f>
        <v>0.99956312021072657</v>
      </c>
      <c r="BX17" s="324">
        <f>INDEX(LINEST($T17:$X17,$T$76:$X$77,TRUE,TRUE),1,1)</f>
        <v>-3.3151481484684102E-2</v>
      </c>
      <c r="BY17" s="324">
        <f>INDEX(LINEST($T17:$X17,$T$76:$X$77,TRUE,TRUE),1,2)</f>
        <v>66.147472285735873</v>
      </c>
      <c r="BZ17" s="324">
        <f>INDEX(LINEST($T17:$X17,$T$76:$X$77,TRUE,TRUE),1,3)</f>
        <v>57.248839573990495</v>
      </c>
      <c r="CA17" s="322">
        <f t="shared" si="38"/>
        <v>149.27790321330713</v>
      </c>
      <c r="CB17" s="368">
        <f t="shared" si="44"/>
        <v>73605.880441750385</v>
      </c>
      <c r="CC17" s="369">
        <f t="shared" si="17"/>
        <v>109.50037160528086</v>
      </c>
      <c r="CD17" s="41">
        <f t="shared" si="18"/>
        <v>9.2975614538170571E-13</v>
      </c>
      <c r="CE17" s="357">
        <f>INDEX(LINEST($T17:$V17,$T$76:$V$77,TRUE,TRUE),3,1)</f>
        <v>1</v>
      </c>
      <c r="CF17" s="324">
        <f>INDEX(LINEST($T17:$V17,$T$76:$V$77,TRUE,TRUE),1,1)</f>
        <v>-4.1709498018980176E-2</v>
      </c>
      <c r="CG17" s="324">
        <f>INDEX(LINEST($T17:$V17,$T$76:$V$77,TRUE,TRUE),1,2)</f>
        <v>70.200364534407512</v>
      </c>
      <c r="CH17" s="324">
        <f>INDEX(LINEST($T17:$V17,$T$76:$V$77,TRUE,TRUE),1,3)</f>
        <v>-375.95530033209639</v>
      </c>
      <c r="CI17" s="324">
        <f t="shared" si="39"/>
        <v>149.27790321330713</v>
      </c>
      <c r="CJ17" s="368">
        <f t="shared" si="40"/>
        <v>73605.880441750385</v>
      </c>
      <c r="CK17" s="325"/>
      <c r="CL17" s="326"/>
      <c r="CM17" s="323">
        <v>117.86590465898379</v>
      </c>
      <c r="CN17" s="90">
        <f t="shared" si="19"/>
        <v>6810.9000000000005</v>
      </c>
      <c r="CO17" s="327">
        <f t="shared" si="20"/>
        <v>8.2718061255302767E-25</v>
      </c>
      <c r="CP17" s="322">
        <v>80.221425901856733</v>
      </c>
      <c r="CQ17" s="90">
        <f t="shared" si="21"/>
        <v>4635.6078227692178</v>
      </c>
      <c r="CR17" s="322">
        <f t="shared" si="22"/>
        <v>8.2718061255302767E-25</v>
      </c>
      <c r="CS17" s="322">
        <v>158.96624631864398</v>
      </c>
      <c r="CT17" s="90">
        <f t="shared" si="23"/>
        <v>9185.8897633220531</v>
      </c>
      <c r="CU17" s="322">
        <f t="shared" si="24"/>
        <v>0</v>
      </c>
      <c r="CV17" s="322">
        <v>299.41730338910588</v>
      </c>
      <c r="CW17" s="90">
        <f t="shared" si="25"/>
        <v>17301.876378525933</v>
      </c>
      <c r="CX17" s="322">
        <f t="shared" si="26"/>
        <v>0</v>
      </c>
      <c r="CY17" s="322">
        <v>0.82480507056729158</v>
      </c>
      <c r="CZ17" s="90">
        <f t="shared" si="27"/>
        <v>47.661491857039636</v>
      </c>
      <c r="DA17" s="322">
        <f t="shared" si="28"/>
        <v>0</v>
      </c>
      <c r="DB17" s="322">
        <v>86.826590618827794</v>
      </c>
      <c r="DC17" s="90">
        <f t="shared" si="29"/>
        <v>5017.2883138406387</v>
      </c>
      <c r="DD17" s="322">
        <f t="shared" si="30"/>
        <v>0</v>
      </c>
      <c r="DE17" s="328">
        <f t="shared" si="41"/>
        <v>1.06342924822898</v>
      </c>
    </row>
    <row r="18" spans="1:109" s="25" customFormat="1" x14ac:dyDescent="0.2">
      <c r="A18" s="25" t="str">
        <f>'Raw Data'!$B318</f>
        <v>pIRIR01f_rdx1_d45</v>
      </c>
      <c r="B18" s="186">
        <f>'Raw Data'!B185</f>
        <v>45</v>
      </c>
      <c r="C18" s="371" t="s">
        <v>171</v>
      </c>
      <c r="D18" s="373" t="s">
        <v>107</v>
      </c>
      <c r="E18" s="321">
        <f>'Raw Data'!E186/'Raw Data'!E186</f>
        <v>1</v>
      </c>
      <c r="F18" s="321">
        <f>'Raw Data'!E188/'Raw Data'!E186</f>
        <v>0.91735499682309152</v>
      </c>
      <c r="G18" s="321">
        <f>'Raw Data'!E190/'Raw Data'!E186</f>
        <v>0.94476717799763987</v>
      </c>
      <c r="H18" s="321">
        <f>'Raw Data'!E192/'Raw Data'!E186</f>
        <v>1.0139330126168649</v>
      </c>
      <c r="I18" s="321">
        <f>'Raw Data'!E194/'Raw Data'!E186</f>
        <v>0.92184805300898609</v>
      </c>
      <c r="J18" s="321">
        <f>'Raw Data'!E196/'Raw Data'!E186</f>
        <v>0.97238358899882005</v>
      </c>
      <c r="K18" s="169">
        <f>'Raw Data'!E186/'Raw Data'!E186</f>
        <v>1</v>
      </c>
      <c r="L18" s="169">
        <f>SQRT(('Raw Data'!$F188/'Raw Data'!$E188)^2+('Raw Data'!$F186/'Raw Data'!$E186)^2)*F18</f>
        <v>9.92370555916962E-3</v>
      </c>
      <c r="M18" s="169">
        <f>SQRT(('Raw Data'!$F190/'Raw Data'!$E190)^2+('Raw Data'!$F186/'Raw Data'!$E186)^2)*G18</f>
        <v>1.0100843394637028E-2</v>
      </c>
      <c r="N18" s="169">
        <f>SQRT(('Raw Data'!$F192/'Raw Data'!$E192)^2+('Raw Data'!$F186/'Raw Data'!$E186)^2)*H18</f>
        <v>1.0634825886614888E-2</v>
      </c>
      <c r="O18" s="169">
        <f>SQRT(('Raw Data'!$F194/'Raw Data'!$E194)^2+('Raw Data'!$F186/'Raw Data'!$E186)^2)*I18</f>
        <v>9.8417207709553967E-3</v>
      </c>
      <c r="P18" s="354">
        <f>SQRT(('Raw Data'!$F196/'Raw Data'!$E196)^2+('Raw Data'!$F186/'Raw Data'!$E186)^2)*J18</f>
        <v>1.024809156023735E-2</v>
      </c>
      <c r="Q18" s="355">
        <f>'Raw Data'!E185</f>
        <v>3942.05</v>
      </c>
      <c r="R18" s="356">
        <f>'Raw Data'!F185</f>
        <v>21.614683454767654</v>
      </c>
      <c r="S18" s="357">
        <f>'Raw Data'!E186</f>
        <v>2203.4</v>
      </c>
      <c r="T18" s="357">
        <f>'Raw Data'!E187*$E18/F18</f>
        <v>1624.3984119131255</v>
      </c>
      <c r="U18" s="357">
        <f>'Raw Data'!E189*$E18/G18</f>
        <v>2610.4844213863676</v>
      </c>
      <c r="V18" s="357">
        <f>'Raw Data'!E191*$E18/H18</f>
        <v>3955.438821001746</v>
      </c>
      <c r="W18" s="357">
        <f>'Raw Data'!E193*$E18/I18</f>
        <v>51.906602008664827</v>
      </c>
      <c r="X18" s="357">
        <f>'Raw Data'!E195*$E18/J18</f>
        <v>1595.9236843947631</v>
      </c>
      <c r="Y18" s="169">
        <f>'Raw Data'!F185</f>
        <v>21.614683454767654</v>
      </c>
      <c r="Z18" s="169">
        <f>'Raw Data'!F186</f>
        <v>16.662475251292371</v>
      </c>
      <c r="AA18" s="169">
        <f>SQRT(('Raw Data'!F187/'Raw Data'!E187)^2+(L18/F18)^2)*T18</f>
        <v>23.073649594906879</v>
      </c>
      <c r="AB18" s="169">
        <f>SQRT(('Raw Data'!F189/'Raw Data'!E189)^2+(M18/E18)^2)*U18</f>
        <v>31.865830582244971</v>
      </c>
      <c r="AC18" s="169">
        <f>SQRT(('Raw Data'!F191/'Raw Data'!E191)^2+(N18/H18)^2)*V18</f>
        <v>46.460166144797512</v>
      </c>
      <c r="AD18" s="169">
        <f>SQRT(('Raw Data'!F193/'Raw Data'!E193)^2+(O18/I18)^2)*W18</f>
        <v>5.1116226945707002</v>
      </c>
      <c r="AE18" s="169">
        <f>SQRT(('Raw Data'!F195/'Raw Data'!E195)^2+(P18/J18)^2)*X18</f>
        <v>21.782473294936889</v>
      </c>
      <c r="AF18" s="370">
        <f t="shared" si="0"/>
        <v>0.98247060123333507</v>
      </c>
      <c r="AG18" s="321">
        <f t="shared" si="1"/>
        <v>0.49735868119459026</v>
      </c>
      <c r="AH18" s="321">
        <f t="shared" si="31"/>
        <v>1.3167413403854549</v>
      </c>
      <c r="AI18" s="321">
        <f t="shared" si="32"/>
        <v>0.99737798463898031</v>
      </c>
      <c r="AJ18" s="68" t="e">
        <f>(AVERAGE('Raw Data'!G185:H185)-AVERAGE(INDEX('Raw Data'!G185:IV185,MATCH(ROUND($AR$41*10-1,0),'Raw Data'!$G$4:$IV$4,0)):INDEX('Raw Data'!G185:IV185,MATCH(ROUND($AR$41*10+1,0),'Raw Data'!$G$4:$IV$4,0))))/(AVERAGE(INDEX('Raw Data'!G185:IV185,MATCH(ROUND($AR$41*10-1,0),'Raw Data'!$G$4:$IV$4,0)):INDEX('Raw Data'!G185:IV185,MATCH(ROUND($AR$41*10+1,0),'Raw Data'!$G$4:$IV$4,0)))-AVERAGE(INDEX('Raw Data'!G185:IV185,MATCH(ROUND($AR$42*10,0),'Raw Data'!$G$4:$IV$4,0)):INDEX('Raw Data'!G185:IV185,MATCH(ROUND(IF($AR$43&gt;25,25,$AR$43)*10,0),'Raw Data'!$G$4:$IV$4,0))))</f>
        <v>#N/A</v>
      </c>
      <c r="AK18" s="68" t="s">
        <v>161</v>
      </c>
      <c r="AL18" s="321">
        <f t="shared" si="42"/>
        <v>1.0168423994679623</v>
      </c>
      <c r="AM18" s="324">
        <f>('Raw Data'!G192/'Raw Data'!H192)/('Raw Data'!G185/'Raw Data'!H185)</f>
        <v>1.090642594173284</v>
      </c>
      <c r="AN18" s="321">
        <f t="shared" si="33"/>
        <v>2.1682046272482425</v>
      </c>
      <c r="AO18" s="357">
        <f>'Sig-Dose Plt'!Q56*'TD Plts'!Y60*'Signals Plt'!Y70</f>
        <v>1</v>
      </c>
      <c r="AP18" s="285">
        <v>1</v>
      </c>
      <c r="AQ18" s="358">
        <f>CHOOSE('Sig-Dose Plt'!R56,Regression!BN18,Regression!BU18,CC18,Regression!AS18,Regression!BD18)</f>
        <v>307.48043936089255</v>
      </c>
      <c r="AR18" s="359">
        <f>CHOOSE('Sig-Dose Plt'!R56,Regression!BO18,Regression!BV18,CC18*0.1,Regression!AT18,Regression!BE18)</f>
        <v>6.666805114106098</v>
      </c>
      <c r="AS18" s="360">
        <f t="shared" si="2"/>
        <v>307.48043936089255</v>
      </c>
      <c r="AT18" s="360">
        <f t="shared" si="3"/>
        <v>6.666805114106098</v>
      </c>
      <c r="AU18" s="361">
        <f t="shared" si="4"/>
        <v>0.99963814123573369</v>
      </c>
      <c r="AV18" s="322">
        <f t="shared" si="5"/>
        <v>146.22340986966955</v>
      </c>
      <c r="AW18" s="362">
        <v>5053.9135818905806</v>
      </c>
      <c r="AX18" s="363">
        <v>4.8826704711748756E-3</v>
      </c>
      <c r="AY18" s="363">
        <v>2.6214625918385499</v>
      </c>
      <c r="AZ18" s="362">
        <f t="shared" si="6"/>
        <v>3000.0318297852523</v>
      </c>
      <c r="BA18" s="364"/>
      <c r="BB18" s="364"/>
      <c r="BC18" s="365" t="str">
        <f t="shared" si="34"/>
        <v/>
      </c>
      <c r="BD18" s="323">
        <f t="shared" si="7"/>
        <v>273.88533711033369</v>
      </c>
      <c r="BE18" s="360">
        <f t="shared" si="8"/>
        <v>74.438668194790196</v>
      </c>
      <c r="BF18" s="361">
        <f t="shared" si="9"/>
        <v>0.87719519870510465</v>
      </c>
      <c r="BG18" s="322">
        <f t="shared" si="10"/>
        <v>181.37096327359615</v>
      </c>
      <c r="BH18" s="362">
        <v>0</v>
      </c>
      <c r="BI18" s="363">
        <v>0</v>
      </c>
      <c r="BJ18" s="363">
        <v>0.67421473757836736</v>
      </c>
      <c r="BK18" s="362">
        <v>14.393066973176296</v>
      </c>
      <c r="BL18" s="362">
        <f t="shared" si="11"/>
        <v>1018127.372103584</v>
      </c>
      <c r="BM18" s="365" t="str">
        <f t="shared" si="35"/>
        <v/>
      </c>
      <c r="BN18" s="366">
        <f t="shared" si="36"/>
        <v>286.54222034324386</v>
      </c>
      <c r="BO18" s="367">
        <f t="shared" si="12"/>
        <v>87.844160988333385</v>
      </c>
      <c r="BP18" s="363">
        <f t="shared" si="37"/>
        <v>0.94551415821993923</v>
      </c>
      <c r="BQ18" s="362">
        <f t="shared" si="13"/>
        <v>11.958537842099005</v>
      </c>
      <c r="BR18" s="362">
        <f t="shared" si="14"/>
        <v>515.42401466624665</v>
      </c>
      <c r="BS18" s="322">
        <f t="shared" si="43"/>
        <v>146.22340986966955</v>
      </c>
      <c r="BT18" s="368">
        <f t="shared" si="45"/>
        <v>451721.15685586288</v>
      </c>
      <c r="BU18" s="369">
        <f>(-$BY18+SQRT($BY18^2-4*$BX18*($BZ18-$Q18)))/(2*$BX18)</f>
        <v>307.74484628637532</v>
      </c>
      <c r="BV18" s="322">
        <f t="shared" si="16"/>
        <v>13.266150199286919</v>
      </c>
      <c r="BW18" s="357">
        <f>INDEX(LINEST($T18:$X18,$T$78:$X$79,TRUE,TRUE),3,1)</f>
        <v>0.99842876731988872</v>
      </c>
      <c r="BX18" s="324">
        <f>INDEX(LINEST($T18:$X18,$T$78:$X$79,TRUE,TRUE),1,1)</f>
        <v>-3.0621944431656171E-2</v>
      </c>
      <c r="BY18" s="324">
        <f>INDEX(LINEST($T18:$X18,$T$78:$X$79,TRUE,TRUE),1,2)</f>
        <v>21.938086822844529</v>
      </c>
      <c r="BZ18" s="324">
        <f>INDEX(LINEST($T18:$X18,$T$78:$X$79,TRUE,TRUE),1,3)</f>
        <v>90.82597849489116</v>
      </c>
      <c r="CA18" s="322">
        <f t="shared" si="38"/>
        <v>146.22340986966955</v>
      </c>
      <c r="CB18" s="368">
        <f t="shared" si="44"/>
        <v>13026.485794505717</v>
      </c>
      <c r="CC18" s="369">
        <f t="shared" si="17"/>
        <v>305.76876773103265</v>
      </c>
      <c r="CD18" s="41">
        <f t="shared" si="18"/>
        <v>4.1392386677263926E-13</v>
      </c>
      <c r="CE18" s="357">
        <f>INDEX(LINEST($T18:$V18,$T$78:$V$79,TRUE,TRUE),3,1)</f>
        <v>1</v>
      </c>
      <c r="CF18" s="324">
        <f>INDEX(LINEST($T18:$V18,$T$78:$V$79,TRUE,TRUE),1,1)</f>
        <v>-2.0195621141789275E-2</v>
      </c>
      <c r="CG18" s="324">
        <f>INDEX(LINEST($T18:$V18,$T$78:$V$79,TRUE,TRUE),1,2)</f>
        <v>17.714277632703812</v>
      </c>
      <c r="CH18" s="324">
        <f>INDEX(LINEST($T18:$V18,$T$78:$V$79,TRUE,TRUE),1,3)</f>
        <v>413.75745193063779</v>
      </c>
      <c r="CI18" s="324">
        <f t="shared" si="39"/>
        <v>146.22340986966955</v>
      </c>
      <c r="CJ18" s="368">
        <f t="shared" si="40"/>
        <v>13026.485794505717</v>
      </c>
      <c r="CK18" s="325"/>
      <c r="CL18" s="326"/>
      <c r="CM18" s="323">
        <v>273.88533711033369</v>
      </c>
      <c r="CN18" s="90">
        <f t="shared" si="19"/>
        <v>3942.05</v>
      </c>
      <c r="CO18" s="327">
        <f t="shared" si="20"/>
        <v>0</v>
      </c>
      <c r="CP18" s="322">
        <v>112.85978276488555</v>
      </c>
      <c r="CQ18" s="90">
        <f t="shared" si="21"/>
        <v>1624.3984119131255</v>
      </c>
      <c r="CR18" s="322">
        <f t="shared" si="22"/>
        <v>0</v>
      </c>
      <c r="CS18" s="322">
        <v>181.37096327359615</v>
      </c>
      <c r="CT18" s="90">
        <f t="shared" si="23"/>
        <v>2610.4844213863676</v>
      </c>
      <c r="CU18" s="322">
        <f t="shared" si="24"/>
        <v>0</v>
      </c>
      <c r="CV18" s="322">
        <v>274.81556421388973</v>
      </c>
      <c r="CW18" s="90">
        <f t="shared" si="25"/>
        <v>3955.438821001746</v>
      </c>
      <c r="CX18" s="322">
        <f t="shared" si="26"/>
        <v>0</v>
      </c>
      <c r="CY18" s="322">
        <v>3.6063614589858299</v>
      </c>
      <c r="CZ18" s="90">
        <f t="shared" si="27"/>
        <v>51.906602008664834</v>
      </c>
      <c r="DA18" s="322">
        <f t="shared" si="28"/>
        <v>5.0487097934144756E-29</v>
      </c>
      <c r="DB18" s="322">
        <v>110.8814186280807</v>
      </c>
      <c r="DC18" s="90">
        <f t="shared" si="29"/>
        <v>1595.9236843947631</v>
      </c>
      <c r="DD18" s="322">
        <f t="shared" si="30"/>
        <v>0</v>
      </c>
      <c r="DE18" s="328">
        <f t="shared" si="41"/>
        <v>1.2133090614594537</v>
      </c>
    </row>
    <row r="19" spans="1:109" s="25" customFormat="1" x14ac:dyDescent="0.2">
      <c r="A19" s="25" t="str">
        <f>'Raw Data'!$B319</f>
        <v>pIRIR01f_rdx1_d46</v>
      </c>
      <c r="B19" s="186">
        <f>'Raw Data'!B197</f>
        <v>46</v>
      </c>
      <c r="C19" s="371" t="s">
        <v>171</v>
      </c>
      <c r="D19" s="373" t="s">
        <v>107</v>
      </c>
      <c r="E19" s="321">
        <f>'Raw Data'!E198/'Raw Data'!E198</f>
        <v>1</v>
      </c>
      <c r="F19" s="321">
        <f>'Raw Data'!E200/'Raw Data'!E198</f>
        <v>0.94389680138685872</v>
      </c>
      <c r="G19" s="321">
        <f>'Raw Data'!E202/'Raw Data'!E198</f>
        <v>0.95872565348924155</v>
      </c>
      <c r="H19" s="321">
        <f>'Raw Data'!E204/'Raw Data'!E198</f>
        <v>0.96167017913593245</v>
      </c>
      <c r="I19" s="321">
        <f>'Raw Data'!E206/'Raw Data'!E198</f>
        <v>0.88730072402189053</v>
      </c>
      <c r="J19" s="321">
        <f>'Raw Data'!E208/'Raw Data'!E198</f>
        <v>0.91088667187871786</v>
      </c>
      <c r="K19" s="169">
        <f>'Raw Data'!E198/'Raw Data'!E198</f>
        <v>1</v>
      </c>
      <c r="L19" s="169">
        <f>SQRT(('Raw Data'!$F200/'Raw Data'!$E200)^2+('Raw Data'!$F198/'Raw Data'!$E198)^2)*F19</f>
        <v>4.1033588476216331E-3</v>
      </c>
      <c r="M19" s="169">
        <f>SQRT(('Raw Data'!$F202/'Raw Data'!$E202)^2+('Raw Data'!$F198/'Raw Data'!$E198)^2)*G19</f>
        <v>4.1614969119902808E-3</v>
      </c>
      <c r="N19" s="169">
        <f>SQRT(('Raw Data'!$F204/'Raw Data'!$E204)^2+('Raw Data'!$F198/'Raw Data'!$E198)^2)*H19</f>
        <v>4.1786752979014151E-3</v>
      </c>
      <c r="O19" s="169">
        <f>SQRT(('Raw Data'!$F206/'Raw Data'!$E206)^2+('Raw Data'!$F198/'Raw Data'!$E198)^2)*I19</f>
        <v>3.9030950188746433E-3</v>
      </c>
      <c r="P19" s="354">
        <f>SQRT(('Raw Data'!$F208/'Raw Data'!$E208)^2+('Raw Data'!$F198/'Raw Data'!$E198)^2)*J19</f>
        <v>3.9942154746368001E-3</v>
      </c>
      <c r="Q19" s="355">
        <f>'Raw Data'!E197</f>
        <v>59520.05</v>
      </c>
      <c r="R19" s="356">
        <f>'Raw Data'!F197</f>
        <v>78.440371665257075</v>
      </c>
      <c r="S19" s="357">
        <f>'Raw Data'!E198</f>
        <v>11767.6</v>
      </c>
      <c r="T19" s="357">
        <f>'Raw Data'!E199*$E19/F19</f>
        <v>24392.814941390425</v>
      </c>
      <c r="U19" s="357">
        <f>'Raw Data'!E201*$E19/G19</f>
        <v>40630.497221212747</v>
      </c>
      <c r="V19" s="357">
        <f>'Raw Data'!E203*$E19/H19</f>
        <v>51023.990412272295</v>
      </c>
      <c r="W19" s="357">
        <f>'Raw Data'!E205*$E19/I19</f>
        <v>169.95365372459634</v>
      </c>
      <c r="X19" s="357">
        <f>'Raw Data'!E207*$E19/J19</f>
        <v>24035.262207585631</v>
      </c>
      <c r="Y19" s="169">
        <f>'Raw Data'!F197</f>
        <v>78.440371665257075</v>
      </c>
      <c r="Z19" s="169">
        <f>'Raw Data'!F198</f>
        <v>35.791698658457946</v>
      </c>
      <c r="AA19" s="169">
        <f>SQRT(('Raw Data'!F2178/'Raw Data'!E199)^2+(L19/F19)^2)*T19</f>
        <v>106.04175462941143</v>
      </c>
      <c r="AB19" s="169">
        <f>SQRT(('Raw Data'!F201/'Raw Data'!E201)^2+(M19/E19)^2)*U19</f>
        <v>181.64111727351775</v>
      </c>
      <c r="AC19" s="169">
        <f>SQRT(('Raw Data'!F203/'Raw Data'!E203)^2+(N19/H19)^2)*V19</f>
        <v>233.80411174199764</v>
      </c>
      <c r="AD19" s="169">
        <f>SQRT(('Raw Data'!F205/'Raw Data'!E205)^2+(O19/I19)^2)*W19</f>
        <v>6.7299393052497303</v>
      </c>
      <c r="AE19" s="169">
        <f>SQRT(('Raw Data'!F207/'Raw Data'!E207)^2+(P19/J19)^2)*X19</f>
        <v>117.72680278794721</v>
      </c>
      <c r="AF19" s="370">
        <f t="shared" si="0"/>
        <v>0.98534188306417692</v>
      </c>
      <c r="AG19" s="321">
        <f t="shared" si="1"/>
        <v>1.612816514750437</v>
      </c>
      <c r="AH19" s="321">
        <f t="shared" si="31"/>
        <v>0.2855401729746469</v>
      </c>
      <c r="AI19" s="321">
        <f>AQ19/V39</f>
        <v>1.4067687447533737</v>
      </c>
      <c r="AJ19" s="68" t="e">
        <f>(AVERAGE('Raw Data'!G197:H197)-AVERAGE(INDEX('Raw Data'!G197:IV197,MATCH(ROUND($AR$41*10-1,0),'Raw Data'!$G$4:$IV$4,0)):INDEX('Raw Data'!G197:IV197,MATCH(ROUND($AR$41*10+1,0),'Raw Data'!$G$4:$IV$4,0))))/(AVERAGE(INDEX('Raw Data'!G197:IV197,MATCH(ROUND($AR$41*10-1,0),'Raw Data'!$G$4:$IV$4,0)):INDEX('Raw Data'!G197:IV197,MATCH(ROUND($AR$41*10+1,0),'Raw Data'!$G$4:$IV$4,0)))-AVERAGE(INDEX('Raw Data'!G197:IV197,MATCH(ROUND($AR$42*10,0),'Raw Data'!$G$4:$IV$4,0)):INDEX('Raw Data'!G197:IV197,MATCH(ROUND(IF($AR$43&gt;25,25,$AR$43)*10,0),'Raw Data'!$G$4:$IV$4,0))))</f>
        <v>#N/A</v>
      </c>
      <c r="AK19" s="68" t="s">
        <v>161</v>
      </c>
      <c r="AL19" s="321">
        <f>S19/($AW19*(1-EXP(-$AX19*($S39+$AY19))))</f>
        <v>1.0717369176971345</v>
      </c>
      <c r="AM19" s="324">
        <f>('Raw Data'!G204/'Raw Data'!H204)/('Raw Data'!G197/'Raw Data'!H197)</f>
        <v>1.0162870960346266</v>
      </c>
      <c r="AN19" s="321">
        <f t="shared" si="33"/>
        <v>1.1061537572104156</v>
      </c>
      <c r="AO19" s="357">
        <f>'Sig-Dose Plt'!Q66*'TD Plts'!Y71*'Signals Plt'!Y86</f>
        <v>0</v>
      </c>
      <c r="AP19" s="285">
        <v>0</v>
      </c>
      <c r="AQ19" s="358">
        <f>CHOOSE('Sig-Dose Plt'!R66,Regression!BN19,Regression!BU19,CC19,Regression!AS19,Regression!BD19)</f>
        <v>1183.2855653745794</v>
      </c>
      <c r="AR19" s="359">
        <f>CHOOSE('Sig-Dose Plt'!R66,Regression!BO19,Regression!BV19,CC19*0.1,Regression!AT19,Regression!BE19)</f>
        <v>13.088957739919421</v>
      </c>
      <c r="AS19" s="360">
        <f t="shared" si="2"/>
        <v>1183.2855653745794</v>
      </c>
      <c r="AT19" s="360">
        <f t="shared" si="3"/>
        <v>13.088957739919421</v>
      </c>
      <c r="AU19" s="361">
        <f t="shared" si="4"/>
        <v>0.99990186913276913</v>
      </c>
      <c r="AV19" s="322">
        <f t="shared" si="5"/>
        <v>565.8949586808825</v>
      </c>
      <c r="AW19" s="362">
        <v>72641.181495711018</v>
      </c>
      <c r="AX19" s="363">
        <v>1.4445404564522168E-3</v>
      </c>
      <c r="AY19" s="363">
        <v>1.3873662506084188</v>
      </c>
      <c r="AZ19" s="362">
        <f t="shared" si="6"/>
        <v>146495.9654671532</v>
      </c>
      <c r="BA19" s="364"/>
      <c r="BB19" s="364"/>
      <c r="BC19" s="365" t="str">
        <f>IF(AS19&gt;MAX(Q39:X39),"&gt; Max. Dose","")</f>
        <v>&gt; Max. Dose</v>
      </c>
      <c r="BD19" s="323">
        <f t="shared" si="7"/>
        <v>885.26670270436227</v>
      </c>
      <c r="BE19" s="360">
        <f t="shared" si="8"/>
        <v>153.30979906096567</v>
      </c>
      <c r="BF19" s="361">
        <f t="shared" si="9"/>
        <v>0.93516318491671324</v>
      </c>
      <c r="BG19" s="322">
        <f t="shared" si="10"/>
        <v>604.31445041228562</v>
      </c>
      <c r="BH19" s="362">
        <v>0</v>
      </c>
      <c r="BI19" s="363">
        <v>0</v>
      </c>
      <c r="BJ19" s="363">
        <v>0</v>
      </c>
      <c r="BK19" s="362">
        <v>67.234032205407502</v>
      </c>
      <c r="BL19" s="362">
        <f t="shared" si="11"/>
        <v>96792498.542773306</v>
      </c>
      <c r="BM19" s="365" t="str">
        <f>IF(BD19&gt;MAX(Q39:X39),"&gt; Max. Dose","")</f>
        <v>&gt; Max. Dose</v>
      </c>
      <c r="BN19" s="366">
        <f t="shared" si="36"/>
        <v>923.51417844406069</v>
      </c>
      <c r="BO19" s="367">
        <f t="shared" si="12"/>
        <v>226.11081331698693</v>
      </c>
      <c r="BP19" s="363">
        <f>RSQ($T19:$X19,$T39:$X39)</f>
        <v>0.96177705402216629</v>
      </c>
      <c r="BQ19" s="362">
        <f t="shared" si="13"/>
        <v>59.265426416098805</v>
      </c>
      <c r="BR19" s="362">
        <f t="shared" si="14"/>
        <v>4787.5884131995808</v>
      </c>
      <c r="BS19" s="322">
        <f t="shared" si="43"/>
        <v>565.8949586808825</v>
      </c>
      <c r="BT19" s="368">
        <f>SUM((BR19+BQ19*T39-T19)^2,(BR19+BQ19*U39-U19)^2,(BR19+BQ19*V39-V19)^2,(BR19+BQ19*W39-W19)^2,(BR19+BQ19*X39-X19)^2)</f>
        <v>57061631.391170062</v>
      </c>
      <c r="BU19" s="369" t="e">
        <f t="shared" si="15"/>
        <v>#NUM!</v>
      </c>
      <c r="BV19" s="322">
        <f t="shared" si="16"/>
        <v>16.309337887462899</v>
      </c>
      <c r="BW19" s="357">
        <f>INDEX(LINEST($T19:$X19,$T$80:$X$81,TRUE,TRUE),3,1)</f>
        <v>0.99984472712159111</v>
      </c>
      <c r="BX19" s="324">
        <f>INDEX(LINEST($T19:$X19,$T$80:$X$81,TRUE,TRUE),1,1)</f>
        <v>-4.391098590985873E-2</v>
      </c>
      <c r="BY19" s="324">
        <f>INDEX(LINEST($T19:$X19,$T$80:$X$81,TRUE,TRUE),1,2)</f>
        <v>97.147778210503489</v>
      </c>
      <c r="BZ19" s="324">
        <f>INDEX(LINEST($T19:$X19,$T$80:$X$81,TRUE,TRUE),1,3)</f>
        <v>273.45891655173182</v>
      </c>
      <c r="CA19" s="322">
        <f t="shared" si="38"/>
        <v>565.8949586808825</v>
      </c>
      <c r="CB19" s="368">
        <f>SUM((BX19*T39^2+BY19*T39+BZ19-T19)^2+(BX19*U39^2+BY19*U39+BZ19-U19)^2+(BX19*V39^2+BY19*V39+BZ19-V19)^2+(BX19*W39^2+BY19*W39+BZ19-W19)^2+(BX19*X39^2+BY19*X39+BZ19-X19)^2)</f>
        <v>231801.17403691274</v>
      </c>
      <c r="CC19" s="369" t="e">
        <f t="shared" si="17"/>
        <v>#NUM!</v>
      </c>
      <c r="CD19" s="41">
        <f t="shared" si="18"/>
        <v>7.1694474340309306E-12</v>
      </c>
      <c r="CE19" s="357">
        <f>INDEX(LINEST($T19:$V19,$T$80:$V$81,TRUE,TRUE),3,1)</f>
        <v>1</v>
      </c>
      <c r="CF19" s="324">
        <f>INDEX(LINEST($T19:$V19,$T$80:$V$81,TRUE,TRUE),1,1)</f>
        <v>-3.716436225301796E-2</v>
      </c>
      <c r="CG19" s="324">
        <f>INDEX(LINEST($T19:$V19,$T$80:$V$81,TRUE,TRUE),1,2)</f>
        <v>89.165804414717996</v>
      </c>
      <c r="CH19" s="324">
        <f>INDEX(LINEST($T19:$V19,$T$80:$V$81,TRUE,TRUE),1,3)</f>
        <v>2317.5389816987827</v>
      </c>
      <c r="CI19" s="324">
        <f t="shared" si="39"/>
        <v>565.8949586808825</v>
      </c>
      <c r="CJ19" s="368">
        <f t="shared" si="40"/>
        <v>231801.17403691274</v>
      </c>
      <c r="CK19" s="325"/>
      <c r="CL19" s="326"/>
      <c r="CM19" s="323">
        <v>885.26670270436227</v>
      </c>
      <c r="CN19" s="90">
        <f t="shared" si="19"/>
        <v>59520.05</v>
      </c>
      <c r="CO19" s="327">
        <f t="shared" si="20"/>
        <v>0</v>
      </c>
      <c r="CP19" s="322">
        <v>362.80458186514301</v>
      </c>
      <c r="CQ19" s="90">
        <f t="shared" si="21"/>
        <v>24392.814941390428</v>
      </c>
      <c r="CR19" s="322">
        <f t="shared" si="22"/>
        <v>1.3234889800848443E-23</v>
      </c>
      <c r="CS19" s="322">
        <v>604.31445041228562</v>
      </c>
      <c r="CT19" s="90">
        <f t="shared" si="23"/>
        <v>40630.497221212747</v>
      </c>
      <c r="CU19" s="322">
        <f t="shared" si="24"/>
        <v>0</v>
      </c>
      <c r="CV19" s="322">
        <v>758.90124002065329</v>
      </c>
      <c r="CW19" s="90">
        <f t="shared" si="25"/>
        <v>51023.990412272295</v>
      </c>
      <c r="CX19" s="322">
        <f t="shared" si="26"/>
        <v>0</v>
      </c>
      <c r="CY19" s="322">
        <v>2.5277920741889894</v>
      </c>
      <c r="CZ19" s="90">
        <f t="shared" si="27"/>
        <v>169.95365372459634</v>
      </c>
      <c r="DA19" s="322">
        <f t="shared" si="28"/>
        <v>0</v>
      </c>
      <c r="DB19" s="322">
        <v>357.48654987931127</v>
      </c>
      <c r="DC19" s="90">
        <f t="shared" si="29"/>
        <v>24035.262207585631</v>
      </c>
      <c r="DD19" s="322">
        <f t="shared" si="30"/>
        <v>0</v>
      </c>
      <c r="DE19" s="328">
        <f t="shared" si="41"/>
        <v>1.0777213281437679</v>
      </c>
    </row>
    <row r="20" spans="1:109" s="25" customFormat="1" x14ac:dyDescent="0.2">
      <c r="A20" s="25" t="str">
        <f>'Raw Data'!$B320</f>
        <v>pIRIR01f_rdx1_d47</v>
      </c>
      <c r="B20" s="186">
        <f>'Raw Data'!B209</f>
        <v>47</v>
      </c>
      <c r="C20" s="371" t="s">
        <v>171</v>
      </c>
      <c r="D20" s="373" t="s">
        <v>107</v>
      </c>
      <c r="E20" s="321">
        <f>'Raw Data'!E210/'Raw Data'!E210</f>
        <v>1</v>
      </c>
      <c r="F20" s="321">
        <f>'Raw Data'!E212/'Raw Data'!E210</f>
        <v>0.923506270180662</v>
      </c>
      <c r="G20" s="321">
        <f>'Raw Data'!E214/'Raw Data'!E210</f>
        <v>0.92825890629574792</v>
      </c>
      <c r="H20" s="321">
        <f>'Raw Data'!E216/'Raw Data'!E210</f>
        <v>0.95449015864113773</v>
      </c>
      <c r="I20" s="321">
        <f>'Raw Data'!E218/'Raw Data'!E210</f>
        <v>0.85577141160509207</v>
      </c>
      <c r="J20" s="321">
        <f>'Raw Data'!E220/'Raw Data'!E210</f>
        <v>0.87332420607265238</v>
      </c>
      <c r="K20" s="169">
        <f>'Raw Data'!E210/'Raw Data'!E210</f>
        <v>1</v>
      </c>
      <c r="L20" s="169">
        <f>SQRT(('Raw Data'!$F212/'Raw Data'!$E212)^2+('Raw Data'!$F210/'Raw Data'!$E210)^2)*F20</f>
        <v>2.8208866016699906E-3</v>
      </c>
      <c r="M20" s="169">
        <f>SQRT(('Raw Data'!$F214/'Raw Data'!$E214)^2+('Raw Data'!$F210/'Raw Data'!$E210)^2)*G20</f>
        <v>2.841303065975426E-3</v>
      </c>
      <c r="N20" s="169">
        <f>SQRT(('Raw Data'!$F216/'Raw Data'!$E216)^2+('Raw Data'!$F210/'Raw Data'!$E210)^2)*H20</f>
        <v>2.9071450380966216E-3</v>
      </c>
      <c r="O20" s="169">
        <f>SQRT(('Raw Data'!$F218/'Raw Data'!$E218)^2+('Raw Data'!$F210/'Raw Data'!$E210)^2)*I20</f>
        <v>2.6523989238260103E-3</v>
      </c>
      <c r="P20" s="354">
        <f>SQRT(('Raw Data'!$F220/'Raw Data'!$E220)^2+('Raw Data'!$F210/'Raw Data'!$E210)^2)*J20</f>
        <v>2.7047520953293229E-3</v>
      </c>
      <c r="Q20" s="355">
        <f>'Raw Data'!E209</f>
        <v>127424.95</v>
      </c>
      <c r="R20" s="356">
        <f>'Raw Data'!F209</f>
        <v>114.74489213646423</v>
      </c>
      <c r="S20" s="357">
        <f>'Raw Data'!E210</f>
        <v>24249.7</v>
      </c>
      <c r="T20" s="357">
        <f>'Raw Data'!E211*$E20/F20</f>
        <v>53243.764106096292</v>
      </c>
      <c r="U20" s="357">
        <f>'Raw Data'!E213*$E20/G20</f>
        <v>92661.701834073756</v>
      </c>
      <c r="V20" s="357">
        <f>'Raw Data'!E215*$E20/H20</f>
        <v>121565.10881703615</v>
      </c>
      <c r="W20" s="357">
        <f>'Raw Data'!E217*$E20/I20</f>
        <v>410.21468494906566</v>
      </c>
      <c r="X20" s="357">
        <f>'Raw Data'!E219*$E20/J20</f>
        <v>53067.463008284605</v>
      </c>
      <c r="Y20" s="169">
        <f>'Raw Data'!F209</f>
        <v>114.74489213646423</v>
      </c>
      <c r="Z20" s="169">
        <f>'Raw Data'!F210</f>
        <v>51.523673807390992</v>
      </c>
      <c r="AA20" s="169">
        <f>SQRT(('Raw Data'!F211/'Raw Data'!E211)^2+(L20/F20)^2)*T20</f>
        <v>180.21464346580743</v>
      </c>
      <c r="AB20" s="169">
        <f>SQRT(('Raw Data'!F213/'Raw Data'!E213)^2+(M20/E20)^2)*U20</f>
        <v>282.30837386433905</v>
      </c>
      <c r="AC20" s="169">
        <f>SQRT(('Raw Data'!F215/'Raw Data'!E215)^2+(N20/H20)^2)*V20</f>
        <v>387.69721804289048</v>
      </c>
      <c r="AD20" s="169">
        <f>SQRT(('Raw Data'!F217/'Raw Data'!E217)^2+(O20/I20)^2)*W20</f>
        <v>10.846011664500553</v>
      </c>
      <c r="AE20" s="169">
        <f>SQRT(('Raw Data'!F219/'Raw Data'!E219)^2+(P20/J20)^2)*X20</f>
        <v>182.62364759131628</v>
      </c>
      <c r="AF20" s="370">
        <f t="shared" si="0"/>
        <v>0.99668879349964101</v>
      </c>
      <c r="AG20" s="321">
        <f t="shared" si="1"/>
        <v>0.53981536097899629</v>
      </c>
      <c r="AH20" s="321">
        <f t="shared" si="31"/>
        <v>0.32192650257980532</v>
      </c>
      <c r="AI20" s="321">
        <f>AQ20/V40</f>
        <v>1.0795791158709114</v>
      </c>
      <c r="AJ20" s="68" t="e">
        <f>(AVERAGE('Raw Data'!G209:H209)-AVERAGE(INDEX('Raw Data'!G209:IV209,MATCH(ROUND($AR$41*10-1,0),'Raw Data'!$G$4:$IV$4,0)):INDEX('Raw Data'!G209:IV209,MATCH(ROUND($AR$41*10+1,0),'Raw Data'!$G$4:$IV$4,0))))/(AVERAGE(INDEX('Raw Data'!G209:IV209,MATCH(ROUND($AR$41*10-1,0),'Raw Data'!$G$4:$IV$4,0)):INDEX('Raw Data'!G209:IV209,MATCH(ROUND($AR$41*10+1,0),'Raw Data'!$G$4:$IV$4,0)))-AVERAGE(INDEX('Raw Data'!G209:IV209,MATCH(ROUND($AR$42*10,0),'Raw Data'!$G$4:$IV$4,0)):INDEX('Raw Data'!G209:IV209,MATCH(ROUND(IF($AR$43&gt;25,25,$AR$43)*10,0),'Raw Data'!$G$4:$IV$4,0))))</f>
        <v>#N/A</v>
      </c>
      <c r="AK20" s="68" t="s">
        <v>161</v>
      </c>
      <c r="AL20" s="321">
        <f>S20/($AW20*(1-EXP(-$AX20*($S40+$AY20))))</f>
        <v>1.0362553053594912</v>
      </c>
      <c r="AM20" s="324">
        <f>('Raw Data'!G216/'Raw Data'!H216)/('Raw Data'!G209/'Raw Data'!H209)</f>
        <v>1.043309001827903</v>
      </c>
      <c r="AN20" s="321">
        <f t="shared" si="33"/>
        <v>0.36496508524829674</v>
      </c>
      <c r="AO20" s="357">
        <f>'Sig-Dose Plt'!Q68*'TD Plts'!Y73*'Signals Plt'!Y88</f>
        <v>1</v>
      </c>
      <c r="AP20" s="285">
        <v>1</v>
      </c>
      <c r="AQ20" s="358">
        <f>CHOOSE('Sig-Dose Plt'!R68,Regression!BN20,Regression!BU20,CC20,Regression!AS20,Regression!BD20)</f>
        <v>908.0741872139439</v>
      </c>
      <c r="AR20" s="359">
        <f>CHOOSE('Sig-Dose Plt'!R68,Regression!BO20,Regression!BV20,CC20*0.1,Regression!AT20,Regression!BE20)</f>
        <v>3.3141537314831484</v>
      </c>
      <c r="AS20" s="360">
        <f t="shared" si="2"/>
        <v>908.0741872139439</v>
      </c>
      <c r="AT20" s="360">
        <f t="shared" si="3"/>
        <v>3.3141537314831484</v>
      </c>
      <c r="AU20" s="361">
        <f t="shared" si="4"/>
        <v>0.99999180220898287</v>
      </c>
      <c r="AV20" s="322">
        <f t="shared" si="5"/>
        <v>562.40342985447217</v>
      </c>
      <c r="AW20" s="362">
        <v>206194.8309461624</v>
      </c>
      <c r="AX20" s="363">
        <v>1.0575496211201862E-3</v>
      </c>
      <c r="AY20" s="363">
        <v>1.8507766755454891</v>
      </c>
      <c r="AZ20" s="362">
        <f t="shared" si="6"/>
        <v>68975.6630602816</v>
      </c>
      <c r="BA20" s="364"/>
      <c r="BB20" s="364"/>
      <c r="BC20" s="365" t="str">
        <f>IF(AS20&gt;MAX(Q40:X40),"&gt; Max. Dose","")</f>
        <v>&gt; Max. Dose</v>
      </c>
      <c r="BD20" s="323">
        <f t="shared" si="7"/>
        <v>816.52279125172754</v>
      </c>
      <c r="BE20" s="360">
        <f t="shared" si="8"/>
        <v>117.62626639572518</v>
      </c>
      <c r="BF20" s="361">
        <f t="shared" si="9"/>
        <v>0.96464794527772302</v>
      </c>
      <c r="BG20" s="322">
        <f t="shared" si="10"/>
        <v>593.76434068597416</v>
      </c>
      <c r="BH20" s="362">
        <v>0</v>
      </c>
      <c r="BI20" s="363">
        <v>0</v>
      </c>
      <c r="BJ20" s="363">
        <v>1.4887013957047336E-7</v>
      </c>
      <c r="BK20" s="362">
        <v>156.05804438680499</v>
      </c>
      <c r="BL20" s="362">
        <f t="shared" si="11"/>
        <v>297449814.21382719</v>
      </c>
      <c r="BM20" s="365" t="str">
        <f>IF(BD20&gt;MAX(Q40:X40),"&gt; Max. Dose","")</f>
        <v/>
      </c>
      <c r="BN20" s="366">
        <f t="shared" si="36"/>
        <v>837.90660054573175</v>
      </c>
      <c r="BO20" s="367">
        <f t="shared" si="12"/>
        <v>145.54923482344492</v>
      </c>
      <c r="BP20" s="363">
        <f>RSQ($T20:$X20,$T40:$X40)</f>
        <v>0.97937791522580642</v>
      </c>
      <c r="BQ20" s="362">
        <f t="shared" si="13"/>
        <v>141.98343603152759</v>
      </c>
      <c r="BR20" s="362">
        <f t="shared" si="14"/>
        <v>8456.0917810203537</v>
      </c>
      <c r="BS20" s="322">
        <f t="shared" si="43"/>
        <v>562.40342985447217</v>
      </c>
      <c r="BT20" s="368">
        <f>SUM((BR20+BQ20*T40-T20)^2,(BR20+BQ20*U40-U20)^2,(BR20+BQ20*V40-V20)^2,(BR20+BQ20*W40-W20)^2,(BR20+BQ20*X40-X20)^2)</f>
        <v>173512836.32519463</v>
      </c>
      <c r="BU20" s="369">
        <f t="shared" si="15"/>
        <v>923.89667073828593</v>
      </c>
      <c r="BV20" s="322">
        <f t="shared" si="16"/>
        <v>8.2387483176841485</v>
      </c>
      <c r="BW20" s="357">
        <f>INDEX(LINEST($T20:$X20,$T$82:$X$83,TRUE,TRUE),3,1)</f>
        <v>0.99994570369850067</v>
      </c>
      <c r="BX20" s="324">
        <f>INDEX(LINEST($T20:$X20,$T$82:$X$83,TRUE,TRUE),1,1)</f>
        <v>-7.6622872448258661E-2</v>
      </c>
      <c r="BY20" s="324">
        <f>INDEX(LINEST($T20:$X20,$T$82:$X$83,TRUE,TRUE),1,2)</f>
        <v>208.08622005793302</v>
      </c>
      <c r="BZ20" s="324">
        <f>INDEX(LINEST($T20:$X20,$T$82:$X$83,TRUE,TRUE),1,3)</f>
        <v>578.92310025815459</v>
      </c>
      <c r="CA20" s="322">
        <f t="shared" si="38"/>
        <v>562.40342985447217</v>
      </c>
      <c r="CB20" s="368">
        <f>SUM((BX20*T40^2+BY20*T40+BZ20-T20)^2+(BX20*U40^2+BY20*U40+BZ20-U20)^2+(BX20*V40^2+BY20*V40+BZ20-V20)^2+(BX20*W40^2+BY20*W40+BZ20-W20)^2+(BX20*X40^2+BY20*X40+BZ20-X20)^2)</f>
        <v>456845.4343133588</v>
      </c>
      <c r="CC20" s="369">
        <f t="shared" si="17"/>
        <v>914.97079242798839</v>
      </c>
      <c r="CD20" s="41">
        <f t="shared" si="18"/>
        <v>2.6890540137138658E-12</v>
      </c>
      <c r="CE20" s="357">
        <f>INDEX(LINEST($T20:$V20,$T$82:$V$83,TRUE,TRUE),3,1)</f>
        <v>1</v>
      </c>
      <c r="CF20" s="324">
        <f>INDEX(LINEST($T20:$V20,$T$82:$V$83,TRUE,TRUE),1,1)</f>
        <v>-6.6938962508172481E-2</v>
      </c>
      <c r="CG20" s="324">
        <f>INDEX(LINEST($T20:$V20,$T$82:$V$83,TRUE,TRUE),1,2)</f>
        <v>196.91759774798967</v>
      </c>
      <c r="CH20" s="324">
        <f>INDEX(LINEST($T20:$V20,$T$82:$V$83,TRUE,TRUE),1,3)</f>
        <v>3290.4946105560412</v>
      </c>
      <c r="CI20" s="324">
        <f t="shared" si="39"/>
        <v>562.40342985447217</v>
      </c>
      <c r="CJ20" s="368">
        <f t="shared" si="40"/>
        <v>456845.4343133588</v>
      </c>
      <c r="CK20" s="325"/>
      <c r="CL20" s="326"/>
      <c r="CM20" s="323">
        <v>816.52279125172754</v>
      </c>
      <c r="CN20" s="90">
        <f t="shared" si="19"/>
        <v>127424.95000000001</v>
      </c>
      <c r="CO20" s="327">
        <f t="shared" si="20"/>
        <v>2.1175823681357508E-22</v>
      </c>
      <c r="CP20" s="322">
        <v>341.1792344015696</v>
      </c>
      <c r="CQ20" s="90">
        <f t="shared" si="21"/>
        <v>53243.764106096292</v>
      </c>
      <c r="CR20" s="322">
        <f t="shared" si="22"/>
        <v>0</v>
      </c>
      <c r="CS20" s="322">
        <v>593.76434068597416</v>
      </c>
      <c r="CT20" s="90">
        <f t="shared" si="23"/>
        <v>92661.701834073756</v>
      </c>
      <c r="CU20" s="322">
        <f t="shared" si="24"/>
        <v>0</v>
      </c>
      <c r="CV20" s="322">
        <v>778.97367799717676</v>
      </c>
      <c r="CW20" s="90">
        <f t="shared" si="25"/>
        <v>121565.10881703615</v>
      </c>
      <c r="CX20" s="322">
        <f t="shared" si="26"/>
        <v>0</v>
      </c>
      <c r="CY20" s="322">
        <v>2.628603264643691</v>
      </c>
      <c r="CZ20" s="90">
        <f t="shared" si="27"/>
        <v>410.21468494906566</v>
      </c>
      <c r="DA20" s="322">
        <f t="shared" si="28"/>
        <v>0</v>
      </c>
      <c r="DB20" s="322">
        <v>340.04951950283157</v>
      </c>
      <c r="DC20" s="90">
        <f t="shared" si="29"/>
        <v>53067.463008284598</v>
      </c>
      <c r="DD20" s="322">
        <f t="shared" si="30"/>
        <v>5.2939559203393771E-23</v>
      </c>
      <c r="DE20" s="328">
        <f t="shared" si="41"/>
        <v>1.0589064905065977</v>
      </c>
    </row>
    <row r="21" spans="1:109" s="25" customFormat="1" x14ac:dyDescent="0.2">
      <c r="A21" s="25" t="str">
        <f>'Raw Data'!$B321</f>
        <v>pIRIR01f_rdx1_d48</v>
      </c>
      <c r="B21" s="186">
        <f>'Raw Data'!B221</f>
        <v>48</v>
      </c>
      <c r="C21" s="371" t="s">
        <v>171</v>
      </c>
      <c r="D21" s="373" t="s">
        <v>107</v>
      </c>
      <c r="E21" s="321">
        <f>'Raw Data'!E222/'Raw Data'!E222</f>
        <v>1</v>
      </c>
      <c r="F21" s="321">
        <f>'Raw Data'!E224/'Raw Data'!E222</f>
        <v>1.0011289807221218</v>
      </c>
      <c r="G21" s="321">
        <f>'Raw Data'!E226/'Raw Data'!E222</f>
        <v>1.1418042390030887</v>
      </c>
      <c r="H21" s="321">
        <f>'Raw Data'!E228/'Raw Data'!E222</f>
        <v>1.3321759505804665</v>
      </c>
      <c r="I21" s="321">
        <f>'Raw Data'!E230/'Raw Data'!E222</f>
        <v>1.2941953349664501</v>
      </c>
      <c r="J21" s="321">
        <f>'Raw Data'!E232/'Raw Data'!E222</f>
        <v>1.3309617637661093</v>
      </c>
      <c r="K21" s="169">
        <f>'Raw Data'!E222/'Raw Data'!E222</f>
        <v>1</v>
      </c>
      <c r="L21" s="169">
        <f>SQRT(('Raw Data'!$F224/'Raw Data'!$E224)^2+('Raw Data'!$F222/'Raw Data'!$E222)^2)*F21</f>
        <v>9.8154649606665909E-3</v>
      </c>
      <c r="M21" s="169">
        <f>SQRT(('Raw Data'!$F226/'Raw Data'!$E226)^2+('Raw Data'!$F222/'Raw Data'!$E222)^2)*G21</f>
        <v>1.0835774606857713E-2</v>
      </c>
      <c r="N21" s="169">
        <f>SQRT(('Raw Data'!$F228/'Raw Data'!$E228)^2+('Raw Data'!$F222/'Raw Data'!$E222)^2)*H21</f>
        <v>1.2235002534387692E-2</v>
      </c>
      <c r="O21" s="169">
        <f>SQRT(('Raw Data'!$F230/'Raw Data'!$E230)^2+('Raw Data'!$F222/'Raw Data'!$E222)^2)*I21</f>
        <v>1.1895891837269326E-2</v>
      </c>
      <c r="P21" s="354">
        <f>SQRT(('Raw Data'!$F232/'Raw Data'!$E232)^2+('Raw Data'!$F222/'Raw Data'!$E222)^2)*J21</f>
        <v>1.2163218325138605E-2</v>
      </c>
      <c r="Q21" s="355">
        <f>'Raw Data'!E221</f>
        <v>2246.5</v>
      </c>
      <c r="R21" s="356">
        <f>'Raw Data'!F221</f>
        <v>16.263345470335079</v>
      </c>
      <c r="S21" s="357">
        <f>'Raw Data'!E222</f>
        <v>2347.25</v>
      </c>
      <c r="T21" s="357">
        <f>'Raw Data'!E223*$E21/F21</f>
        <v>1525.6275958551425</v>
      </c>
      <c r="U21" s="357">
        <f>'Raw Data'!E225*$E21/G21</f>
        <v>2848.386692660722</v>
      </c>
      <c r="V21" s="357">
        <f>'Raw Data'!E227*$E21/H21</f>
        <v>5578.279653496219</v>
      </c>
      <c r="W21" s="357">
        <f>'Raw Data'!E229*$E21/I21</f>
        <v>36.779610244255707</v>
      </c>
      <c r="X21" s="357">
        <f>'Raw Data'!E231*$E21/J21</f>
        <v>1539.4506857975095</v>
      </c>
      <c r="Y21" s="169">
        <f>'Raw Data'!F221</f>
        <v>16.263345470335079</v>
      </c>
      <c r="Z21" s="169">
        <f>'Raw Data'!F222</f>
        <v>16.370474784242479</v>
      </c>
      <c r="AA21" s="169">
        <f>SQRT(('Raw Data'!F223/'Raw Data'!E223)^2+(L21/F21)^2)*T21</f>
        <v>20.049944639653873</v>
      </c>
      <c r="AB21" s="169">
        <f>SQRT(('Raw Data'!F225/'Raw Data'!E225)^2+(M21/E21)^2)*U21</f>
        <v>34.973350278541233</v>
      </c>
      <c r="AC21" s="169">
        <f>SQRT(('Raw Data'!F227/'Raw Data'!E227)^2+(N21/H21)^2)*V21</f>
        <v>55.388173024961645</v>
      </c>
      <c r="AD21" s="169">
        <f>SQRT(('Raw Data'!F229/'Raw Data'!E229)^2+(O21/I21)^2)*W21</f>
        <v>3.4925574833648483</v>
      </c>
      <c r="AE21" s="169">
        <f>SQRT(('Raw Data'!F231/'Raw Data'!E231)^2+(P21/J21)^2)*X21</f>
        <v>18.043208282723938</v>
      </c>
      <c r="AF21" s="370">
        <f t="shared" si="0"/>
        <v>1.0090605924931628</v>
      </c>
      <c r="AG21" s="321">
        <f t="shared" si="1"/>
        <v>0.2508089160794319</v>
      </c>
      <c r="AH21" s="321">
        <f t="shared" si="31"/>
        <v>1.637196093668182</v>
      </c>
      <c r="AI21" s="321">
        <f>AQ21/V41</f>
        <v>0.37079949781025728</v>
      </c>
      <c r="AJ21" s="68" t="e">
        <f>(AVERAGE('Raw Data'!G221:H221)-AVERAGE(INDEX('Raw Data'!G221:IV221,MATCH(ROUND($AR$41*10-1,0),'Raw Data'!$G$4:$IV$4,0)):INDEX('Raw Data'!G221:IV221,MATCH(ROUND($AR$41*10+1,0),'Raw Data'!$G$4:$IV$4,0))))/(AVERAGE(INDEX('Raw Data'!G221:IV221,MATCH(ROUND($AR$41*10-1,0),'Raw Data'!$G$4:$IV$4,0)):INDEX('Raw Data'!G221:IV221,MATCH(ROUND($AR$41*10+1,0),'Raw Data'!$G$4:$IV$4,0)))-AVERAGE(INDEX('Raw Data'!G221:IV221,MATCH(ROUND($AR$42*10,0),'Raw Data'!$G$4:$IV$4,0)):INDEX('Raw Data'!G221:IV221,MATCH(ROUND(IF($AR$43&gt;25,25,$AR$43)*10,0),'Raw Data'!$G$4:$IV$4,0))))</f>
        <v>#N/A</v>
      </c>
      <c r="AK21" s="68" t="s">
        <v>161</v>
      </c>
      <c r="AL21" s="321">
        <f>S21/($AW21*(1-EXP(-$AX21*($S41+$AY21))))</f>
        <v>1.0604678459814836</v>
      </c>
      <c r="AM21" s="324">
        <f>('Raw Data'!G228/'Raw Data'!H228)/('Raw Data'!G221/'Raw Data'!H221)</f>
        <v>1.1718172268907563</v>
      </c>
      <c r="AN21" s="321">
        <f t="shared" si="33"/>
        <v>2.2925942425632546</v>
      </c>
      <c r="AO21" s="357">
        <f>'Sig-Dose Plt'!Q70*'TD Plts'!Y75*'Signals Plt'!Y90</f>
        <v>1</v>
      </c>
      <c r="AP21" s="285">
        <v>1</v>
      </c>
      <c r="AQ21" s="358">
        <f>CHOOSE('Sig-Dose Plt'!R70,Regression!BN21,Regression!BU21,CC21,Regression!AS21,Regression!BD21)</f>
        <v>114.31332379244924</v>
      </c>
      <c r="AR21" s="359">
        <f>CHOOSE('Sig-Dose Plt'!R70,Regression!BO21,Regression!BV21,CC21*0.1,Regression!AT21,Regression!BE21)</f>
        <v>2.6207406797483821</v>
      </c>
      <c r="AS21" s="360">
        <f t="shared" si="2"/>
        <v>113.84954572087892</v>
      </c>
      <c r="AT21" s="360">
        <f t="shared" si="3"/>
        <v>2.7115308384126742</v>
      </c>
      <c r="AU21" s="361">
        <f t="shared" si="4"/>
        <v>0.99980964705255249</v>
      </c>
      <c r="AV21" s="322">
        <f t="shared" si="5"/>
        <v>146.90390819788237</v>
      </c>
      <c r="AW21" s="362">
        <v>24831.315612987943</v>
      </c>
      <c r="AX21" s="363">
        <v>8.1718747339346303E-4</v>
      </c>
      <c r="AY21" s="363">
        <v>2.192098434159377</v>
      </c>
      <c r="AZ21" s="362">
        <f t="shared" si="6"/>
        <v>3302.2309661669219</v>
      </c>
      <c r="BA21" s="364"/>
      <c r="BB21" s="364"/>
      <c r="BC21" s="365" t="str">
        <f>IF(AS21&gt;MAX(Q41:X41),"&gt; Max. Dose","")</f>
        <v/>
      </c>
      <c r="BD21" s="323">
        <f t="shared" si="7"/>
        <v>121.62036493021702</v>
      </c>
      <c r="BE21" s="360">
        <f t="shared" si="8"/>
        <v>17.075029884957551</v>
      </c>
      <c r="BF21" s="361">
        <f t="shared" si="9"/>
        <v>0.99601363266689247</v>
      </c>
      <c r="BG21" s="322">
        <f t="shared" si="10"/>
        <v>154.2051319936661</v>
      </c>
      <c r="BH21" s="362">
        <v>0</v>
      </c>
      <c r="BI21" s="363">
        <v>0</v>
      </c>
      <c r="BJ21" s="363">
        <v>0</v>
      </c>
      <c r="BK21" s="362">
        <v>18.471413083565324</v>
      </c>
      <c r="BL21" s="362">
        <f t="shared" si="11"/>
        <v>69155.249899837901</v>
      </c>
      <c r="BM21" s="365" t="str">
        <f>IF(BD21&gt;MAX(Q41:X41),"&gt; Max. Dose","")</f>
        <v/>
      </c>
      <c r="BN21" s="366">
        <f t="shared" si="36"/>
        <v>118.10656009832034</v>
      </c>
      <c r="BO21" s="367">
        <f t="shared" si="12"/>
        <v>7.3205937051662548</v>
      </c>
      <c r="BP21" s="363">
        <f>RSQ($T21:$X21,$T41:$X41)</f>
        <v>0.99866203868993852</v>
      </c>
      <c r="BQ21" s="362">
        <f t="shared" si="13"/>
        <v>17.778039684808256</v>
      </c>
      <c r="BR21" s="362">
        <f t="shared" si="14"/>
        <v>146.7968875358697</v>
      </c>
      <c r="BS21" s="322">
        <f t="shared" si="43"/>
        <v>146.90390819788237</v>
      </c>
      <c r="BT21" s="368">
        <f>SUM((BR21+BQ21*T41-T21)^2,(BR21+BQ21*U41-U21)^2,(BR21+BQ21*V41-V21)^2,(BR21+BQ21*W41-W21)^2,(BR21+BQ21*X41-X21)^2)</f>
        <v>23210.868698717244</v>
      </c>
      <c r="BU21" s="369">
        <f t="shared" si="15"/>
        <v>114.31332379244924</v>
      </c>
      <c r="BV21" s="322">
        <f>TINV($AS$36/2,COUNT($T21:$X21)-2)*SQRT(((($T41-(-$BY21+SQRT($BY21^2-4*$BX21*($BZ21-$T21)))/(2*$BX21))^2+($U41-(-$BY21+SQRT($BY21^2-4*$BX21*($BZ21-$U21)))/(2*$BX21))^2+($V41-(-$BY21+SQRT($BY21^2-4*$BX21*($BZ21-$V21)))/(2*$BX21))^2+($W41-(-$BY21+SQRT($BY21^2-4*$BX21*($BZ21-$W21)))/(2*$BX21))^2+($X41-(-$BY21+SQRT($BY21^2-4*$BX21*($BZ21-$X21)))/(2*$BX21))^2)/(COUNT($T21:$X21)-2))*(1/COUNT($T21:$X21)+(($Q21-AVERAGE($T21:$X21))^2/(($T21-AVERAGE($T21:$X21))^2+($U21-AVERAGE($T21:$X21))^2+($V21-AVERAGE($T21:$X21))^2+($W21-AVERAGE($T21:$X21))^2+($X21-AVERAGE($T21:$X21))^2))))</f>
        <v>2.6207406797483821</v>
      </c>
      <c r="BW21" s="357">
        <f>INDEX(LINEST($T21:$X21,$T$84:$X$85,TRUE,TRUE),3,1)</f>
        <v>0.99981338749302806</v>
      </c>
      <c r="BX21" s="324">
        <f>INDEX(LINEST($T21:$X21,$T$84:$X$85,TRUE,TRUE),1,1)</f>
        <v>-6.5339974608340182E-3</v>
      </c>
      <c r="BY21" s="324">
        <f>INDEX(LINEST($T21:$X21,$T$84:$X$85,TRUE,TRUE),1,2)</f>
        <v>19.907439006461107</v>
      </c>
      <c r="BZ21" s="324">
        <f>INDEX(LINEST($T21:$X21,$T$84:$X$85,TRUE,TRUE),1,3)</f>
        <v>56.197725996319519</v>
      </c>
      <c r="CA21" s="322">
        <f t="shared" si="38"/>
        <v>146.90390819788237</v>
      </c>
      <c r="CB21" s="368">
        <f>SUM((BX21*T41^2+BY21*T41+BZ21-T21)^2+(BX21*U41^2+BY21*U41+BZ21-U21)^2+(BX21*V41^2+BY21*V41+BZ21-V21)^2+(BX21*W41^2+BY21*W41+BZ21-W21)^2+(BX21*X41^2+BY21*X41+BZ21-X21)^2)</f>
        <v>3237.3420399298689</v>
      </c>
      <c r="CC21" s="369">
        <f t="shared" si="17"/>
        <v>115.29077237704159</v>
      </c>
      <c r="CD21" s="41">
        <f t="shared" si="18"/>
        <v>3.1774075694681603E-12</v>
      </c>
      <c r="CE21" s="357">
        <f>INDEX(LINEST($T21:$V21,$T$84:$V$85,TRUE,TRUE),3,1)</f>
        <v>1</v>
      </c>
      <c r="CF21" s="324">
        <f>INDEX(LINEST($T21:$V21,$T$84:$V$85,TRUE,TRUE),1,1)</f>
        <v>-2.1343349802486213E-3</v>
      </c>
      <c r="CG21" s="324">
        <f>INDEX(LINEST($T21:$V21,$T$84:$V$85,TRUE,TRUE),1,2)</f>
        <v>18.167346119106657</v>
      </c>
      <c r="CH21" s="324">
        <f>INDEX(LINEST($T21:$V21,$T$84:$V$85,TRUE,TRUE),1,3)</f>
        <v>180.3421337566995</v>
      </c>
      <c r="CI21" s="324">
        <f t="shared" si="39"/>
        <v>146.90390819788237</v>
      </c>
      <c r="CJ21" s="368">
        <f t="shared" si="40"/>
        <v>3237.3420399298689</v>
      </c>
      <c r="CK21" s="325"/>
      <c r="CL21" s="326"/>
      <c r="CM21" s="323">
        <v>121.62036493021702</v>
      </c>
      <c r="CN21" s="90">
        <f t="shared" si="19"/>
        <v>2246.5</v>
      </c>
      <c r="CO21" s="327">
        <f t="shared" si="20"/>
        <v>0</v>
      </c>
      <c r="CP21" s="322">
        <v>82.593983955269124</v>
      </c>
      <c r="CQ21" s="90">
        <f t="shared" si="21"/>
        <v>1525.6275958551425</v>
      </c>
      <c r="CR21" s="322">
        <f t="shared" si="22"/>
        <v>0</v>
      </c>
      <c r="CS21" s="322">
        <v>154.2051319936661</v>
      </c>
      <c r="CT21" s="90">
        <f t="shared" si="23"/>
        <v>2848.3866926607216</v>
      </c>
      <c r="CU21" s="322">
        <f t="shared" si="24"/>
        <v>2.0679515313825692E-25</v>
      </c>
      <c r="CV21" s="322">
        <v>301.99528472780537</v>
      </c>
      <c r="CW21" s="90">
        <f t="shared" si="25"/>
        <v>5578.279653496219</v>
      </c>
      <c r="CX21" s="322">
        <f t="shared" si="26"/>
        <v>0</v>
      </c>
      <c r="CY21" s="322">
        <v>1.9911638637425004</v>
      </c>
      <c r="CZ21" s="90">
        <f t="shared" si="27"/>
        <v>36.779610244255707</v>
      </c>
      <c r="DA21" s="322">
        <f t="shared" si="28"/>
        <v>0</v>
      </c>
      <c r="DB21" s="322">
        <v>83.342334386274644</v>
      </c>
      <c r="DC21" s="90">
        <f t="shared" si="29"/>
        <v>1539.4506857975095</v>
      </c>
      <c r="DD21" s="322">
        <f t="shared" si="30"/>
        <v>0</v>
      </c>
      <c r="DE21" s="328">
        <f t="shared" si="41"/>
        <v>1.0315790388631843</v>
      </c>
    </row>
    <row r="22" spans="1:109" s="25" customFormat="1" ht="12.75" thickBot="1" x14ac:dyDescent="0.25">
      <c r="A22" s="25" t="str">
        <f>'Raw Data'!$B322</f>
        <v>pIRIR01f_rdx1_d49</v>
      </c>
      <c r="B22" s="396">
        <f>'Raw Data'!B233</f>
        <v>49</v>
      </c>
      <c r="C22" s="424" t="s">
        <v>171</v>
      </c>
      <c r="D22" s="425" t="s">
        <v>107</v>
      </c>
      <c r="E22" s="397">
        <f>'Raw Data'!E234/'Raw Data'!E234</f>
        <v>1</v>
      </c>
      <c r="F22" s="397">
        <f>'Raw Data'!E236/'Raw Data'!E234</f>
        <v>0.60992659909122682</v>
      </c>
      <c r="G22" s="397">
        <f>'Raw Data'!E238/'Raw Data'!E234</f>
        <v>0.70814400559245017</v>
      </c>
      <c r="H22" s="397">
        <f>'Raw Data'!E240/'Raw Data'!E234</f>
        <v>0.63858790632645923</v>
      </c>
      <c r="I22" s="397">
        <f>'Raw Data'!E242/'Raw Data'!E234</f>
        <v>0.57532331352673893</v>
      </c>
      <c r="J22" s="397">
        <f>'Raw Data'!E244/'Raw Data'!E234</f>
        <v>0.61027612722824176</v>
      </c>
      <c r="K22" s="398">
        <f>'Raw Data'!E234/'Raw Data'!E234</f>
        <v>1</v>
      </c>
      <c r="L22" s="398">
        <f>SQRT(('Raw Data'!$F236/'Raw Data'!$E236)^2+('Raw Data'!$F234/'Raw Data'!$E234)^2)*F22</f>
        <v>4.7655211754540974E-2</v>
      </c>
      <c r="M22" s="398">
        <f>SQRT(('Raw Data'!$F238/'Raw Data'!$E238)^2+('Raw Data'!$F234/'Raw Data'!$E234)^2)*G22</f>
        <v>4.9360689352675895E-2</v>
      </c>
      <c r="N22" s="398">
        <f>SQRT(('Raw Data'!$F240/'Raw Data'!$E240)^2+('Raw Data'!$F234/'Raw Data'!$E234)^2)*H22</f>
        <v>4.5947335909972797E-2</v>
      </c>
      <c r="O22" s="398">
        <f>SQRT(('Raw Data'!$F242/'Raw Data'!$E242)^2+('Raw Data'!$F234/'Raw Data'!$E234)^2)*I22</f>
        <v>4.2461083777706375E-2</v>
      </c>
      <c r="P22" s="399">
        <f>SQRT(('Raw Data'!$F244/'Raw Data'!$E244)^2+('Raw Data'!$F234/'Raw Data'!$E234)^2)*J22</f>
        <v>4.3151363292029052E-2</v>
      </c>
      <c r="Q22" s="400">
        <f>'Raw Data'!E233</f>
        <v>243.5</v>
      </c>
      <c r="R22" s="401">
        <f>'Raw Data'!F233</f>
        <v>7.9509069615561678</v>
      </c>
      <c r="S22" s="402">
        <f>'Raw Data'!E234</f>
        <v>143.05000000000001</v>
      </c>
      <c r="T22" s="402">
        <f>'Raw Data'!E235*$E22/F22</f>
        <v>274.86914040114613</v>
      </c>
      <c r="U22" s="402">
        <f>'Raw Data'!E237*$E22/G22</f>
        <v>152.44074531095754</v>
      </c>
      <c r="V22" s="402">
        <f>'Raw Data'!E239*$E22/H22</f>
        <v>210.1511767925561</v>
      </c>
      <c r="W22" s="402">
        <f>'Raw Data'!E241*$E22/I22</f>
        <v>74.132229647630624</v>
      </c>
      <c r="X22" s="402">
        <f>'Raw Data'!E243*$E22/J22</f>
        <v>130.51469072164952</v>
      </c>
      <c r="Y22" s="398">
        <f>'Raw Data'!F233</f>
        <v>7.9509069615561678</v>
      </c>
      <c r="Z22" s="398">
        <f>'Raw Data'!F234</f>
        <v>6.662193697088477</v>
      </c>
      <c r="AA22" s="398">
        <f>SQRT(('Raw Data'!F235/'Raw Data'!E235)^2+(L22/F22)^2)*T22</f>
        <v>23.930784343001719</v>
      </c>
      <c r="AB22" s="398">
        <f>SQRT(('Raw Data'!F237/'Raw Data'!E237)^2+(M22/E22)^2)*U22</f>
        <v>10.715508503472826</v>
      </c>
      <c r="AC22" s="398">
        <f>SQRT(('Raw Data'!F239/'Raw Data'!E239)^2+(N22/H22)^2)*V22</f>
        <v>17.445863406128773</v>
      </c>
      <c r="AD22" s="398">
        <f>SQRT(('Raw Data'!F241/'Raw Data'!E241)^2+(O22/I22)^2)*W22</f>
        <v>9.0441637037847631</v>
      </c>
      <c r="AE22" s="398">
        <f>SQRT(('Raw Data'!F243/'Raw Data'!E243)^2+(P22/J22)^2)*X22</f>
        <v>11.886215149512225</v>
      </c>
      <c r="AF22" s="403">
        <f t="shared" si="0"/>
        <v>0.47482482220876226</v>
      </c>
      <c r="AG22" s="397">
        <f t="shared" si="1"/>
        <v>4.9404177251545942</v>
      </c>
      <c r="AH22" s="397">
        <f t="shared" si="31"/>
        <v>30.444447493893477</v>
      </c>
      <c r="AI22" s="397">
        <f>AQ22/V42</f>
        <v>1.2498327357029309</v>
      </c>
      <c r="AJ22" s="404" t="e">
        <f>(AVERAGE('Raw Data'!G233:H233)-AVERAGE(INDEX('Raw Data'!G233:IV233,MATCH(ROUND($AR$41*10-1,0),'Raw Data'!$G$4:$IV$4,0)):INDEX('Raw Data'!G233:IV233,MATCH(ROUND($AR$41*10+1,0),'Raw Data'!$G$4:$IV$4,0))))/(AVERAGE(INDEX('Raw Data'!G233:IV233,MATCH(ROUND($AR$41*10-1,0),'Raw Data'!$G$4:$IV$4,0)):INDEX('Raw Data'!G233:IV233,MATCH(ROUND($AR$41*10+1,0),'Raw Data'!$G$4:$IV$4,0)))-AVERAGE(INDEX('Raw Data'!G233:IV233,MATCH(ROUND($AR$42*10,0),'Raw Data'!$G$4:$IV$4,0)):INDEX('Raw Data'!G233:IV233,MATCH(ROUND(IF($AR$43&gt;25,25,$AR$43)*10,0),'Raw Data'!$G$4:$IV$4,0))))</f>
        <v>#N/A</v>
      </c>
      <c r="AK22" s="404" t="s">
        <v>161</v>
      </c>
      <c r="AL22" s="397">
        <f>S22/($AW22*(1-EXP(-$AX22*($S42+$AY22))))</f>
        <v>0.74438774643183336</v>
      </c>
      <c r="AM22" s="405">
        <f>('Raw Data'!G240/'Raw Data'!H240)/('Raw Data'!G233/'Raw Data'!H233)</f>
        <v>0.81159420289855067</v>
      </c>
      <c r="AN22" s="397">
        <f t="shared" si="33"/>
        <v>159.82724953488739</v>
      </c>
      <c r="AO22" s="402">
        <f>'Sig-Dose Plt'!Q72*'TD Plts'!Y77*'Signals Plt'!Y92</f>
        <v>0</v>
      </c>
      <c r="AP22" s="423">
        <v>0</v>
      </c>
      <c r="AQ22" s="406">
        <f>CHOOSE('Sig-Dose Plt'!R72,Regression!BN22,Regression!BU22,CC22,Regression!AS22,Regression!BD22)</f>
        <v>385.30940588253281</v>
      </c>
      <c r="AR22" s="407">
        <f>CHOOSE('Sig-Dose Plt'!R72,Regression!BO22,Regression!BV22,CC22*0.1,Regression!AT22,Regression!BE22)</f>
        <v>615.82942562126777</v>
      </c>
      <c r="AS22" s="408">
        <f t="shared" si="2"/>
        <v>526.04767175250345</v>
      </c>
      <c r="AT22" s="408" t="e">
        <f t="shared" si="3"/>
        <v>#NUM!</v>
      </c>
      <c r="AU22" s="409">
        <f t="shared" si="4"/>
        <v>0.29508840946722414</v>
      </c>
      <c r="AV22" s="329">
        <f t="shared" si="5"/>
        <v>52.966234971635323</v>
      </c>
      <c r="AW22" s="410">
        <v>244.5</v>
      </c>
      <c r="AX22" s="411">
        <v>9.5595220839853161E-3</v>
      </c>
      <c r="AY22" s="411">
        <v>49.212813091978354</v>
      </c>
      <c r="AZ22" s="410">
        <f t="shared" si="6"/>
        <v>16674.855169043673</v>
      </c>
      <c r="BA22" s="412" t="s">
        <v>172</v>
      </c>
      <c r="BB22" s="412"/>
      <c r="BC22" s="413" t="str">
        <f>IF(AS22&gt;MAX(Q42:X42),"&gt; Max. Dose","")</f>
        <v>&gt; Max. Dose</v>
      </c>
      <c r="BD22" s="330">
        <f t="shared" si="7"/>
        <v>265.58635665010002</v>
      </c>
      <c r="BE22" s="408">
        <f t="shared" si="8"/>
        <v>297.85675112063393</v>
      </c>
      <c r="BF22" s="409">
        <f t="shared" si="9"/>
        <v>-1.4276461189983358</v>
      </c>
      <c r="BG22" s="329">
        <f t="shared" si="10"/>
        <v>166.26768850990973</v>
      </c>
      <c r="BH22" s="410">
        <v>0</v>
      </c>
      <c r="BI22" s="411">
        <v>0</v>
      </c>
      <c r="BJ22" s="411">
        <v>20.794979511333405</v>
      </c>
      <c r="BK22" s="410">
        <v>0.9168392649054713</v>
      </c>
      <c r="BL22" s="410">
        <f t="shared" si="11"/>
        <v>57426.559556770408</v>
      </c>
      <c r="BM22" s="413" t="str">
        <f>IF(BD22&gt;MAX(Q42:X42),"&gt; Max. Dose","")</f>
        <v/>
      </c>
      <c r="BN22" s="414">
        <f t="shared" si="36"/>
        <v>385.30940588253281</v>
      </c>
      <c r="BO22" s="415">
        <f t="shared" si="12"/>
        <v>615.82942562126777</v>
      </c>
      <c r="BP22" s="411">
        <f>RSQ($T22:$X22,$T42:$X42)</f>
        <v>0.18759126476191137</v>
      </c>
      <c r="BQ22" s="410">
        <f t="shared" si="13"/>
        <v>0.28452517282164702</v>
      </c>
      <c r="BR22" s="410">
        <f t="shared" si="14"/>
        <v>133.86977470146621</v>
      </c>
      <c r="BS22" s="329">
        <f t="shared" si="43"/>
        <v>52.966234971635323</v>
      </c>
      <c r="BT22" s="416">
        <f>SUM((BR22+BQ22*T42-T22)^2,(BR22+BQ22*U42-U22)^2,(BR22+BQ22*V42-V22)^2,(BR22+BQ22*W42-W22)^2,(BR22+BQ22*X42-X22)^2)</f>
        <v>19217.726279578314</v>
      </c>
      <c r="BU22" s="417" t="e">
        <f t="shared" si="15"/>
        <v>#NUM!</v>
      </c>
      <c r="BV22" s="329" t="e">
        <f t="shared" si="16"/>
        <v>#NUM!</v>
      </c>
      <c r="BW22" s="418">
        <f>INDEX(LINEST($T22:$X22,$T$86:$X$87,TRUE,TRUE),3,1)</f>
        <v>0.29519596361361611</v>
      </c>
      <c r="BX22" s="419">
        <f>INDEX(LINEST($T22:$X22,$T$86:$X$87,TRUE,TRUE),1,1)</f>
        <v>-2.332549733150828E-3</v>
      </c>
      <c r="BY22" s="419">
        <f>INDEX(LINEST($T22:$X22,$T$86:$X$87,TRUE,TRUE),1,2)</f>
        <v>1.0446922603152684</v>
      </c>
      <c r="BZ22" s="419">
        <f>INDEX(LINEST($T22:$X22,$T$86:$X$87,TRUE,TRUE),1,3)</f>
        <v>101.52708535401854</v>
      </c>
      <c r="CA22" s="329">
        <f t="shared" si="38"/>
        <v>52.966234971635323</v>
      </c>
      <c r="CB22" s="416">
        <f>SUM((BX22*T42^2+BY22*T42+BZ22-T22)^2+(BX22*U42^2+BY22*U42+BZ22-U22)^2+(BX22*V42^2+BY22*V42+BZ22-V22)^2+(BX22*W42^2+BY22*W42+BZ22-W22)^2+(BX22*X42^2+BY22*X42+BZ22-X22)^2)</f>
        <v>16672.310949544382</v>
      </c>
      <c r="CC22" s="417">
        <f t="shared" si="17"/>
        <v>326.06716802869948</v>
      </c>
      <c r="CD22" s="420">
        <f t="shared" si="18"/>
        <v>2754.5136587980564</v>
      </c>
      <c r="CE22" s="418">
        <f>INDEX(LINEST($T22:$V22,$T$86:$V$87,TRUE,TRUE),3,1)</f>
        <v>1</v>
      </c>
      <c r="CF22" s="419">
        <f>INDEX(LINEST($T22:$V22,$T$86:$V$87,TRUE,TRUE),1,1)</f>
        <v>8.5648322837415056E-3</v>
      </c>
      <c r="CG22" s="419">
        <f>INDEX(LINEST($T22:$V22,$T$86:$V$87,TRUE,TRUE),1,2)</f>
        <v>-3.5573456523522022</v>
      </c>
      <c r="CH22" s="419">
        <f>INDEX(LINEST($T22:$V22,$T$86:$V$87,TRUE,TRUE),1,3)</f>
        <v>492.82238368294082</v>
      </c>
      <c r="CI22" s="419">
        <f t="shared" si="39"/>
        <v>52.966234971635323</v>
      </c>
      <c r="CJ22" s="416">
        <f t="shared" si="40"/>
        <v>16672.310949544382</v>
      </c>
      <c r="CK22" s="325"/>
      <c r="CL22" s="326"/>
      <c r="CM22" s="330">
        <v>265.58635665010002</v>
      </c>
      <c r="CN22" s="331">
        <f t="shared" si="19"/>
        <v>243.50000000000003</v>
      </c>
      <c r="CO22" s="327">
        <f t="shared" si="20"/>
        <v>8.0779356694631609E-28</v>
      </c>
      <c r="CP22" s="322">
        <v>299.80079488577098</v>
      </c>
      <c r="CQ22" s="331">
        <f t="shared" si="21"/>
        <v>274.86914040114624</v>
      </c>
      <c r="CR22" s="329">
        <f t="shared" si="22"/>
        <v>1.2924697071141057E-26</v>
      </c>
      <c r="CS22" s="329">
        <v>166.26768850990973</v>
      </c>
      <c r="CT22" s="331">
        <f t="shared" si="23"/>
        <v>152.44074531095751</v>
      </c>
      <c r="CU22" s="329">
        <f t="shared" si="24"/>
        <v>8.0779356694631609E-28</v>
      </c>
      <c r="CV22" s="329">
        <v>229.21267100643132</v>
      </c>
      <c r="CW22" s="331">
        <f t="shared" si="25"/>
        <v>210.15117679255613</v>
      </c>
      <c r="CX22" s="329">
        <f t="shared" si="26"/>
        <v>8.0779356694631609E-28</v>
      </c>
      <c r="CY22" s="329">
        <v>80.856298901284362</v>
      </c>
      <c r="CZ22" s="331">
        <f t="shared" si="27"/>
        <v>74.132229647630624</v>
      </c>
      <c r="DA22" s="329">
        <f t="shared" si="28"/>
        <v>0</v>
      </c>
      <c r="DB22" s="329">
        <v>142.35285912968172</v>
      </c>
      <c r="DC22" s="331">
        <f t="shared" si="29"/>
        <v>130.51469072164949</v>
      </c>
      <c r="DD22" s="329">
        <f t="shared" si="30"/>
        <v>8.0779356694631609E-28</v>
      </c>
      <c r="DE22" s="328">
        <f t="shared" si="41"/>
        <v>1.1122733730684204</v>
      </c>
    </row>
    <row r="23" spans="1:109" ht="12.75" thickBot="1" x14ac:dyDescent="0.25">
      <c r="A23" t="str">
        <f>'Raw Data'!$A303&amp;" Dose (Gy)"</f>
        <v>Disk 30 Dose (Gy)</v>
      </c>
      <c r="E23" s="99">
        <f>'Raw Data'!$D6*'Raw Data'!$T$3*$G$45</f>
        <v>112.05794087448335</v>
      </c>
      <c r="F23" s="135">
        <f>'Raw Data'!$D6*'Raw Data'!$T$3*$G$45</f>
        <v>112.05794087448335</v>
      </c>
      <c r="G23" s="135">
        <f>'Raw Data'!$D6*'Raw Data'!$T$3*$G$45</f>
        <v>112.05794087448335</v>
      </c>
      <c r="H23" s="135">
        <f>'Raw Data'!$D6*'Raw Data'!$T$3*$G$45</f>
        <v>112.05794087448335</v>
      </c>
      <c r="I23" s="135">
        <f>'Raw Data'!$D6*'Raw Data'!$T$3*$G$45</f>
        <v>112.05794087448335</v>
      </c>
      <c r="J23" s="289">
        <f>'Raw Data'!$D6*'Raw Data'!$T$3*$G$45</f>
        <v>112.05794087448335</v>
      </c>
      <c r="K23" s="102"/>
      <c r="L23" s="102"/>
      <c r="M23" s="102"/>
      <c r="N23" s="102"/>
      <c r="O23" s="102"/>
      <c r="P23" s="102"/>
      <c r="Q23" s="286">
        <v>0</v>
      </c>
      <c r="R23" s="287">
        <v>0</v>
      </c>
      <c r="S23" s="287">
        <f>'Raw Data'!$D6*'Raw Data'!$T$3*$G$45</f>
        <v>112.05794087448335</v>
      </c>
      <c r="T23" s="287">
        <f>'Raw Data'!$D$7*$G$45*'Raw Data'!$T$3</f>
        <v>280.32976628006065</v>
      </c>
      <c r="U23" s="287">
        <f>'Raw Data'!$D$9*$G$45*'Raw Data'!$T$3</f>
        <v>560.65953256012131</v>
      </c>
      <c r="V23" s="287">
        <f>'Raw Data'!$D$11*$G$45*'Raw Data'!$T$3</f>
        <v>840.91533320264114</v>
      </c>
      <c r="W23" s="287">
        <f>'Raw Data'!$D$13*$G$45*'Raw Data'!$T$3</f>
        <v>0</v>
      </c>
      <c r="X23" s="288">
        <f>'Raw Data'!$D$15*$G$45*'Raw Data'!$T$3</f>
        <v>280.32976628006065</v>
      </c>
      <c r="Y23" s="102"/>
      <c r="Z23" s="102"/>
      <c r="AA23" s="102"/>
      <c r="AB23" s="102"/>
      <c r="AC23" s="102"/>
      <c r="AD23" s="102"/>
      <c r="AE23" s="102"/>
      <c r="AF23" s="3"/>
      <c r="AG23" s="3"/>
      <c r="AH23" s="3"/>
      <c r="AI23" s="1"/>
      <c r="AK23" s="192" t="s">
        <v>91</v>
      </c>
      <c r="AL23" s="193">
        <v>1</v>
      </c>
      <c r="AM23" s="201" t="s">
        <v>74</v>
      </c>
      <c r="AN23" s="202"/>
      <c r="AO23" s="200">
        <v>1</v>
      </c>
      <c r="AP23" s="35"/>
      <c r="AQ23" s="4"/>
      <c r="AR23" s="4"/>
      <c r="AS23" s="4"/>
      <c r="AT23" s="11"/>
      <c r="AU23" s="15"/>
      <c r="AV23" s="23" t="s">
        <v>22</v>
      </c>
      <c r="AW23" s="11">
        <f>AVERAGE(AV3:AV22)</f>
        <v>290.46933248033412</v>
      </c>
      <c r="AX23" s="11">
        <f>U23</f>
        <v>560.65953256012131</v>
      </c>
      <c r="AY23" s="23" t="s">
        <v>67</v>
      </c>
      <c r="AZ23" s="16" t="s">
        <v>47</v>
      </c>
      <c r="BA23" s="10">
        <f>SUM(AZ3:AZ22)</f>
        <v>7426320.6133412849</v>
      </c>
      <c r="BB23" s="31"/>
      <c r="BC23" s="19"/>
      <c r="BD23" s="16"/>
      <c r="BE23" s="11"/>
      <c r="BF23" s="15"/>
      <c r="BG23" s="23" t="s">
        <v>22</v>
      </c>
      <c r="BH23" s="11">
        <f>AVERAGE(BG3:BG22)</f>
        <v>337.45750162931631</v>
      </c>
      <c r="BI23" s="11">
        <f>U23</f>
        <v>560.65953256012131</v>
      </c>
      <c r="BJ23" s="23" t="s">
        <v>67</v>
      </c>
      <c r="BL23" s="16" t="s">
        <v>47</v>
      </c>
      <c r="BM23" s="10">
        <f>SUM(BL3:BL22)</f>
        <v>1695369266.5949326</v>
      </c>
      <c r="BN23" s="16"/>
      <c r="BO23" s="27"/>
      <c r="BP23" s="27"/>
      <c r="BQ23" s="16"/>
      <c r="BR23" s="10"/>
      <c r="BS23" s="23"/>
      <c r="BT23" s="11"/>
      <c r="BU23" s="11"/>
      <c r="BV23" s="23"/>
      <c r="BW23" s="17"/>
      <c r="BX23" s="16"/>
      <c r="BY23" s="28"/>
      <c r="BZ23" s="28"/>
      <c r="CA23" s="23"/>
      <c r="CB23" s="11"/>
      <c r="CC23" s="11"/>
      <c r="CD23" s="23"/>
      <c r="CF23" s="4"/>
      <c r="CM23" s="75"/>
      <c r="CN23" s="138"/>
      <c r="CO23" s="191" t="s">
        <v>73</v>
      </c>
      <c r="CP23" s="284">
        <f>SUM(CO3:CO22)</f>
        <v>2.1926041761819726E-22</v>
      </c>
      <c r="CQ23" s="52"/>
      <c r="CR23" s="282" t="s">
        <v>73</v>
      </c>
      <c r="CS23" s="283">
        <f>SUM(CR3:CR22)</f>
        <v>1.7387756528519454E-23</v>
      </c>
      <c r="CT23" s="52"/>
      <c r="CU23" s="282" t="s">
        <v>73</v>
      </c>
      <c r="CV23" s="283">
        <f>SUM(CU3:CU22)</f>
        <v>3.5179409840512066E-24</v>
      </c>
      <c r="CW23" s="52"/>
      <c r="CX23" s="282" t="s">
        <v>73</v>
      </c>
      <c r="CY23" s="283">
        <f>SUM(CX3:CX22)</f>
        <v>7.9410954392224549E-23</v>
      </c>
      <c r="CZ23" s="52"/>
      <c r="DA23" s="282" t="s">
        <v>73</v>
      </c>
      <c r="DB23" s="283">
        <f>SUM(DA3:DA22)</f>
        <v>324054580.14192986</v>
      </c>
      <c r="DC23" s="52"/>
      <c r="DD23" s="282" t="s">
        <v>73</v>
      </c>
      <c r="DE23" s="283">
        <f>SUM(DD3:DD22)</f>
        <v>1506.0579575627464</v>
      </c>
    </row>
    <row r="24" spans="1:109" ht="12.75" thickBot="1" x14ac:dyDescent="0.25">
      <c r="A24" t="str">
        <f>'Raw Data'!$A304&amp;" Dose (Gy)"</f>
        <v>Disk 31 Dose (Gy)</v>
      </c>
      <c r="E24" s="99">
        <f>'Raw Data'!$D18*'Raw Data'!$T$3*$G$45</f>
        <v>112.05794087448335</v>
      </c>
      <c r="F24" s="135">
        <f>'Raw Data'!$D18*'Raw Data'!$T$3*$G$45</f>
        <v>112.05794087448335</v>
      </c>
      <c r="G24" s="135">
        <f>'Raw Data'!$D18*'Raw Data'!$T$3*$G$45</f>
        <v>112.05794087448335</v>
      </c>
      <c r="H24" s="135">
        <f>'Raw Data'!$D18*'Raw Data'!$T$3*$G$45</f>
        <v>112.05794087448335</v>
      </c>
      <c r="I24" s="135">
        <f>'Raw Data'!$D18*'Raw Data'!$T$3*$G$45</f>
        <v>112.05794087448335</v>
      </c>
      <c r="J24" s="289">
        <f>'Raw Data'!$D18*'Raw Data'!$T$3*$G$45</f>
        <v>112.05794087448335</v>
      </c>
      <c r="K24" s="102"/>
      <c r="L24" s="102"/>
      <c r="M24" s="102"/>
      <c r="N24" s="102"/>
      <c r="O24" s="102"/>
      <c r="P24" s="102"/>
      <c r="Q24" s="99">
        <v>0</v>
      </c>
      <c r="R24" s="135"/>
      <c r="S24" s="135">
        <f>'Raw Data'!$D18*'Raw Data'!$T$3*$G$45</f>
        <v>112.05794087448335</v>
      </c>
      <c r="T24" s="135">
        <f>'Raw Data'!$D$19*$G$45*'Raw Data'!$T$3</f>
        <v>280.32976628006065</v>
      </c>
      <c r="U24" s="135">
        <f>'Raw Data'!$D$21*$G$45*'Raw Data'!$T$3</f>
        <v>560.65953256012131</v>
      </c>
      <c r="V24" s="135">
        <f>'Raw Data'!$D$23*$G$45*'Raw Data'!$T$3</f>
        <v>840.91533320264114</v>
      </c>
      <c r="W24" s="135">
        <f>'Raw Data'!$D$25*$G$45*'Raw Data'!$T$3</f>
        <v>0</v>
      </c>
      <c r="X24" s="289">
        <f>'Raw Data'!$D$27*$G$45*'Raw Data'!$T$3</f>
        <v>280.32976628006065</v>
      </c>
      <c r="Y24" s="102"/>
      <c r="Z24" s="102"/>
      <c r="AA24" s="102"/>
      <c r="AB24" s="102"/>
      <c r="AC24" s="102"/>
      <c r="AD24" s="102"/>
      <c r="AE24" s="102"/>
      <c r="AF24" s="3"/>
      <c r="AG24" s="3"/>
      <c r="AH24" s="3"/>
      <c r="AI24" s="1"/>
      <c r="AK24" s="194" t="s">
        <v>137</v>
      </c>
      <c r="AL24" s="195">
        <v>20</v>
      </c>
      <c r="AM24" s="5"/>
      <c r="AN24" s="47"/>
      <c r="AO24" s="35"/>
      <c r="AP24" s="35"/>
      <c r="AQ24" s="4"/>
      <c r="AR24" s="4"/>
      <c r="AS24" s="4"/>
      <c r="AT24" s="11"/>
      <c r="AU24" s="15"/>
      <c r="AV24" s="23"/>
      <c r="AW24" s="11"/>
      <c r="AX24" s="11"/>
      <c r="AY24" s="23"/>
      <c r="AZ24" s="16"/>
      <c r="BA24" s="10"/>
      <c r="BB24" s="31"/>
      <c r="BC24" s="19"/>
      <c r="BD24" s="16"/>
      <c r="BE24" s="11"/>
      <c r="BF24" s="15"/>
      <c r="BG24" s="23"/>
      <c r="BH24" s="11"/>
      <c r="BI24" s="11"/>
      <c r="BJ24" s="23"/>
      <c r="BL24" s="16"/>
      <c r="BM24" s="10"/>
      <c r="BN24" s="16"/>
      <c r="BO24" s="37" t="s">
        <v>85</v>
      </c>
      <c r="BP24" s="3"/>
      <c r="BQ24" s="3"/>
      <c r="BR24" s="3"/>
      <c r="BS24" s="2"/>
      <c r="BT24" s="11"/>
      <c r="BU24" s="11"/>
      <c r="BV24" s="23"/>
      <c r="BW24" s="17"/>
      <c r="BX24" s="16"/>
      <c r="BY24" s="28"/>
      <c r="BZ24" s="28"/>
      <c r="CA24" s="23"/>
      <c r="CB24" s="11"/>
      <c r="CC24" s="11"/>
      <c r="CD24" s="23"/>
      <c r="CF24" s="4"/>
      <c r="CN24" s="1"/>
      <c r="CQ24" s="11"/>
      <c r="CR24" s="17"/>
      <c r="CS24" s="17"/>
      <c r="CT24" s="11"/>
      <c r="CU24" s="17"/>
      <c r="CV24" s="17"/>
      <c r="CW24" s="11"/>
      <c r="CX24" s="17"/>
      <c r="CY24" s="17"/>
      <c r="CZ24" s="11"/>
      <c r="DA24" s="17"/>
      <c r="DB24" s="17"/>
      <c r="DC24" s="11"/>
      <c r="DD24" s="17"/>
      <c r="DE24" s="17"/>
    </row>
    <row r="25" spans="1:109" ht="12.75" thickBot="1" x14ac:dyDescent="0.25">
      <c r="A25" t="str">
        <f>'Raw Data'!$A305&amp;" Dose (Gy)"</f>
        <v>Disk 32 Dose (Gy)</v>
      </c>
      <c r="E25" s="99">
        <f>'Raw Data'!$D30*'Raw Data'!$T$3*$G$45</f>
        <v>112.05794087448335</v>
      </c>
      <c r="F25" s="135">
        <f>'Raw Data'!$D30*'Raw Data'!$T$3*$G$45</f>
        <v>112.05794087448335</v>
      </c>
      <c r="G25" s="135">
        <f>'Raw Data'!$D30*'Raw Data'!$T$3*$G$45</f>
        <v>112.05794087448335</v>
      </c>
      <c r="H25" s="135">
        <f>'Raw Data'!$D30*'Raw Data'!$T$3*$G$45</f>
        <v>112.05794087448335</v>
      </c>
      <c r="I25" s="135">
        <f>'Raw Data'!$D30*'Raw Data'!$T$3*$G$45</f>
        <v>112.05794087448335</v>
      </c>
      <c r="J25" s="289">
        <f>'Raw Data'!$D30*'Raw Data'!$T$3*$G$45</f>
        <v>112.05794087448335</v>
      </c>
      <c r="K25" s="102"/>
      <c r="L25" s="102"/>
      <c r="M25" s="102"/>
      <c r="N25" s="102"/>
      <c r="O25" s="102"/>
      <c r="P25" s="102"/>
      <c r="Q25" s="99">
        <v>0</v>
      </c>
      <c r="R25" s="135"/>
      <c r="S25" s="135">
        <f>'Raw Data'!$D30*'Raw Data'!$T$3*$G$45</f>
        <v>112.05794087448335</v>
      </c>
      <c r="T25" s="135">
        <f>'Raw Data'!$D$31*$G$45*'Raw Data'!$T$3</f>
        <v>74.705293916322233</v>
      </c>
      <c r="U25" s="135">
        <f>'Raw Data'!$D$33*$G$45*'Raw Data'!$T$3</f>
        <v>149.41058783264447</v>
      </c>
      <c r="V25" s="135">
        <f>'Raw Data'!$D$35*$G$45*'Raw Data'!$T$3</f>
        <v>308.21481163298489</v>
      </c>
      <c r="W25" s="135">
        <f>'Raw Data'!$D$37*$G$45*'Raw Data'!$T$3</f>
        <v>0</v>
      </c>
      <c r="X25" s="289">
        <f>'Raw Data'!$D$39*$G$45*'Raw Data'!$T$3</f>
        <v>74.705293916322233</v>
      </c>
      <c r="Y25" s="102"/>
      <c r="Z25" s="102"/>
      <c r="AA25" s="102"/>
      <c r="AB25" s="102"/>
      <c r="AC25" s="102"/>
      <c r="AD25" s="102"/>
      <c r="AE25" s="102"/>
      <c r="AF25" s="3"/>
      <c r="AG25" s="3"/>
      <c r="AH25" s="3"/>
      <c r="AI25" s="3"/>
      <c r="AJ25" s="1"/>
      <c r="AL25" s="54"/>
      <c r="AM25" s="77"/>
      <c r="AN25" s="5"/>
      <c r="AO25" s="47"/>
      <c r="AP25" s="35"/>
      <c r="AQ25" s="35"/>
      <c r="AR25" s="4"/>
      <c r="AS25" s="4"/>
      <c r="AT25" s="4"/>
      <c r="AU25" s="11"/>
      <c r="AV25" s="15"/>
      <c r="AW25" s="23"/>
      <c r="AX25" s="11"/>
      <c r="AY25" s="11"/>
      <c r="AZ25" s="23"/>
      <c r="BA25" s="16"/>
      <c r="BB25" s="10"/>
      <c r="BC25" s="31"/>
      <c r="BD25" s="19"/>
      <c r="BE25" s="11"/>
      <c r="BF25" s="15"/>
      <c r="BG25" s="23"/>
      <c r="BH25" s="11"/>
      <c r="BI25" s="11"/>
      <c r="BJ25" s="23"/>
      <c r="BL25" s="16"/>
      <c r="BM25" s="10"/>
      <c r="BN25" s="16"/>
      <c r="BQ25" s="2"/>
      <c r="BR25" s="203" t="b">
        <v>1</v>
      </c>
      <c r="BS25" s="2"/>
      <c r="BT25" s="11"/>
      <c r="BU25" s="11"/>
      <c r="BV25" s="23"/>
      <c r="BW25" s="17"/>
      <c r="BX25" s="16"/>
      <c r="BY25" s="28"/>
      <c r="BZ25" s="28"/>
      <c r="CA25" s="23"/>
      <c r="CB25" s="11"/>
      <c r="CC25" s="11"/>
      <c r="CD25" s="23"/>
      <c r="CF25" s="4"/>
      <c r="CN25" s="1"/>
      <c r="CQ25" s="11"/>
      <c r="CR25" s="17"/>
      <c r="CS25" s="17"/>
      <c r="CT25" s="11"/>
      <c r="CU25" s="17"/>
      <c r="CV25" s="17"/>
      <c r="CW25" s="11"/>
      <c r="CX25" s="17"/>
      <c r="CY25" s="17"/>
      <c r="CZ25" s="11"/>
      <c r="DA25" s="17"/>
      <c r="DB25" s="17"/>
      <c r="DC25" s="11"/>
      <c r="DD25" s="17"/>
      <c r="DE25" s="17"/>
    </row>
    <row r="26" spans="1:109" x14ac:dyDescent="0.2">
      <c r="A26" t="str">
        <f>'Raw Data'!$A306&amp;" Dose (Gy)"</f>
        <v>Disk 33 Dose (Gy)</v>
      </c>
      <c r="E26" s="99">
        <f>'Raw Data'!$D42*'Raw Data'!$T$3*$G$45</f>
        <v>112.05794087448335</v>
      </c>
      <c r="F26" s="135">
        <f>'Raw Data'!$D42*'Raw Data'!$T$3*$G$45</f>
        <v>112.05794087448335</v>
      </c>
      <c r="G26" s="135">
        <f>'Raw Data'!$D42*'Raw Data'!$T$3*$G$45</f>
        <v>112.05794087448335</v>
      </c>
      <c r="H26" s="135">
        <f>'Raw Data'!$D42*'Raw Data'!$T$3*$G$45</f>
        <v>112.05794087448335</v>
      </c>
      <c r="I26" s="135">
        <f>'Raw Data'!$D42*'Raw Data'!$T$3*$G$45</f>
        <v>112.05794087448335</v>
      </c>
      <c r="J26" s="289">
        <f>'Raw Data'!$D42*'Raw Data'!$T$3*$G$45</f>
        <v>112.05794087448335</v>
      </c>
      <c r="K26" s="102"/>
      <c r="L26" s="102"/>
      <c r="M26" s="102"/>
      <c r="N26" s="102"/>
      <c r="O26" s="102"/>
      <c r="P26" s="102"/>
      <c r="Q26" s="99">
        <v>0</v>
      </c>
      <c r="R26" s="135"/>
      <c r="S26" s="135">
        <f>'Raw Data'!$D42*'Raw Data'!$T$3*$G$45</f>
        <v>112.05794087448335</v>
      </c>
      <c r="T26" s="135">
        <f>'Raw Data'!$D$43*$G$45*'Raw Data'!$T$3</f>
        <v>280.32976628006065</v>
      </c>
      <c r="U26" s="135">
        <f>'Raw Data'!$D$45*$G$45*'Raw Data'!$T$3</f>
        <v>560.65953256012131</v>
      </c>
      <c r="V26" s="135">
        <f>'Raw Data'!$D$47*$G$45*'Raw Data'!$T$3</f>
        <v>840.98929884018207</v>
      </c>
      <c r="W26" s="135">
        <f>'Raw Data'!$D$49*$G$45*'Raw Data'!$T$3</f>
        <v>0</v>
      </c>
      <c r="X26" s="289">
        <f>'Raw Data'!$D$51*$G$45*'Raw Data'!$T$3</f>
        <v>280.32976628006065</v>
      </c>
      <c r="Y26" s="102"/>
      <c r="Z26" s="102"/>
      <c r="AA26" s="102"/>
      <c r="AB26" s="102"/>
      <c r="AC26" s="102"/>
      <c r="AD26" s="102"/>
      <c r="AE26" s="102"/>
      <c r="AF26" s="3"/>
      <c r="AH26" s="39"/>
      <c r="AI26" s="39"/>
      <c r="AK26" s="5" t="s">
        <v>139</v>
      </c>
      <c r="AM26" s="199">
        <f>AVERAGE(AM3:AM22)</f>
        <v>1.0545065191016068</v>
      </c>
      <c r="AO26" s="48"/>
      <c r="AP26"/>
      <c r="AQ26"/>
      <c r="AR26" s="5"/>
      <c r="AS26"/>
      <c r="AU26" s="5"/>
      <c r="AV26" s="11"/>
      <c r="AW26" s="11"/>
      <c r="AX26" s="11"/>
      <c r="AZ26" s="260" t="s">
        <v>51</v>
      </c>
      <c r="BA26" s="261">
        <v>3</v>
      </c>
      <c r="BD26" s="2"/>
      <c r="BE26" s="11"/>
      <c r="BF26" s="15"/>
      <c r="BG26" s="23"/>
      <c r="BH26" s="11"/>
      <c r="BI26" s="11"/>
      <c r="BJ26" s="23"/>
      <c r="BL26" s="16"/>
      <c r="BM26" s="10"/>
      <c r="BN26" s="16"/>
      <c r="BO26" s="27"/>
      <c r="BP26" s="27"/>
      <c r="BQ26" s="16"/>
      <c r="BR26" s="10"/>
      <c r="BS26" s="23"/>
      <c r="BT26" s="11"/>
      <c r="BU26" s="11"/>
      <c r="BV26" s="23"/>
      <c r="BW26" s="17"/>
      <c r="BX26" s="16"/>
      <c r="BY26" s="28"/>
      <c r="BZ26" s="28"/>
      <c r="CA26" s="23"/>
      <c r="CB26" s="11"/>
      <c r="CC26" s="11"/>
      <c r="CD26" s="23"/>
      <c r="CF26" s="4"/>
      <c r="CN26" s="1"/>
      <c r="CQ26" s="11"/>
      <c r="CR26" s="17"/>
      <c r="CS26" s="17"/>
      <c r="CT26" s="11"/>
      <c r="CU26" s="17"/>
      <c r="CV26" s="17"/>
      <c r="CW26" s="11"/>
      <c r="CX26" s="17"/>
      <c r="CY26" s="17"/>
      <c r="CZ26" s="11"/>
      <c r="DA26" s="17"/>
      <c r="DB26" s="17"/>
      <c r="DC26" s="11"/>
      <c r="DD26" s="17"/>
      <c r="DE26" s="17"/>
    </row>
    <row r="27" spans="1:109" x14ac:dyDescent="0.2">
      <c r="A27" t="str">
        <f>'Raw Data'!$A307&amp;" Dose (Gy)"</f>
        <v>Disk 34 Dose (Gy)</v>
      </c>
      <c r="E27" s="99">
        <f>'Raw Data'!$D54*'Raw Data'!$T$3*$G$45</f>
        <v>112.05794087448335</v>
      </c>
      <c r="F27" s="135">
        <f>'Raw Data'!$D54*'Raw Data'!$T$3*$G$45</f>
        <v>112.05794087448335</v>
      </c>
      <c r="G27" s="135">
        <f>'Raw Data'!$D54*'Raw Data'!$T$3*$G$45</f>
        <v>112.05794087448335</v>
      </c>
      <c r="H27" s="135">
        <f>'Raw Data'!$D54*'Raw Data'!$T$3*$G$45</f>
        <v>112.05794087448335</v>
      </c>
      <c r="I27" s="135">
        <f>'Raw Data'!$D54*'Raw Data'!$T$3*$G$45</f>
        <v>112.05794087448335</v>
      </c>
      <c r="J27" s="289">
        <f>'Raw Data'!$D54*'Raw Data'!$T$3*$G$45</f>
        <v>112.05794087448335</v>
      </c>
      <c r="K27" s="102"/>
      <c r="L27" s="102"/>
      <c r="M27" s="102"/>
      <c r="N27" s="102"/>
      <c r="O27" s="102"/>
      <c r="P27" s="102"/>
      <c r="Q27" s="99">
        <v>0</v>
      </c>
      <c r="R27" s="135"/>
      <c r="S27" s="135">
        <f>'Raw Data'!$D54*'Raw Data'!$T$3*$G$45</f>
        <v>112.05794087448335</v>
      </c>
      <c r="T27" s="135">
        <f>'Raw Data'!$D$55*$G$45*'Raw Data'!$T$3</f>
        <v>74.705293916322233</v>
      </c>
      <c r="U27" s="135">
        <f>'Raw Data'!$D$57*$G$45*'Raw Data'!$T$3</f>
        <v>149.41058783264447</v>
      </c>
      <c r="V27" s="135">
        <f>'Raw Data'!$D$59*$G$45*'Raw Data'!$T$3</f>
        <v>308.21481163298489</v>
      </c>
      <c r="W27" s="135">
        <f>'Raw Data'!$D$61*$G$45*'Raw Data'!$T$3</f>
        <v>0</v>
      </c>
      <c r="X27" s="289">
        <f>'Raw Data'!$D$63*$G$45*'Raw Data'!$T$3</f>
        <v>74.705293916322233</v>
      </c>
      <c r="Y27" s="102"/>
      <c r="Z27" s="102"/>
      <c r="AA27" s="102"/>
      <c r="AB27" s="102"/>
      <c r="AC27" s="102"/>
      <c r="AD27" s="102"/>
      <c r="AE27" s="102"/>
      <c r="AF27" s="3"/>
      <c r="AG27" s="25"/>
      <c r="AH27" s="92"/>
      <c r="AI27" s="92"/>
      <c r="AJ27" s="88"/>
      <c r="AM27" s="88"/>
      <c r="AN27" s="51"/>
      <c r="AO27" s="93"/>
      <c r="AP27"/>
      <c r="AQ27"/>
      <c r="AR27" s="11"/>
      <c r="AS27"/>
      <c r="AU27" s="11"/>
      <c r="AV27" s="11"/>
      <c r="AW27" s="11"/>
      <c r="AX27" s="11"/>
      <c r="AZ27" s="262" t="s">
        <v>50</v>
      </c>
      <c r="BA27" s="263">
        <v>22</v>
      </c>
      <c r="BD27" s="2"/>
      <c r="BE27" s="11"/>
      <c r="BF27" s="15"/>
      <c r="BG27" s="23"/>
      <c r="BH27" s="11"/>
      <c r="BI27" s="11"/>
      <c r="BJ27" s="23"/>
      <c r="BL27" s="16"/>
      <c r="BM27" s="10"/>
      <c r="BN27" s="16"/>
      <c r="BO27" s="27"/>
      <c r="BP27" s="27"/>
      <c r="BQ27" s="16"/>
      <c r="BR27" s="10"/>
      <c r="BS27" s="23"/>
      <c r="BT27" s="11"/>
      <c r="BU27" s="11"/>
      <c r="BV27" s="23"/>
      <c r="BW27" s="17"/>
      <c r="BX27" s="16"/>
      <c r="BY27" s="28"/>
      <c r="BZ27" s="28"/>
      <c r="CA27" s="23"/>
      <c r="CB27" s="11"/>
      <c r="CC27" s="11"/>
      <c r="CD27" s="23"/>
      <c r="CF27" s="4"/>
      <c r="CN27" s="1"/>
      <c r="CQ27" s="11"/>
      <c r="CR27" s="17"/>
      <c r="CS27" s="17"/>
      <c r="CT27" s="11"/>
      <c r="CU27" s="17"/>
      <c r="CV27" s="17"/>
      <c r="CW27" s="11"/>
      <c r="CX27" s="17"/>
      <c r="CY27" s="17"/>
      <c r="CZ27" s="11"/>
      <c r="DA27" s="17"/>
      <c r="DB27" s="17"/>
      <c r="DC27" s="11"/>
      <c r="DD27" s="17"/>
      <c r="DE27" s="17"/>
    </row>
    <row r="28" spans="1:109" x14ac:dyDescent="0.2">
      <c r="A28" t="str">
        <f>'Raw Data'!$A308&amp;" Dose (Gy)"</f>
        <v>Disk 35 Dose (Gy)</v>
      </c>
      <c r="E28" s="99">
        <f>'Raw Data'!$D66*'Raw Data'!$T$3*$G$45</f>
        <v>112.05794087448335</v>
      </c>
      <c r="F28" s="135">
        <f>'Raw Data'!$D66*'Raw Data'!$T$3*$G$45</f>
        <v>112.05794087448335</v>
      </c>
      <c r="G28" s="135">
        <f>'Raw Data'!$D66*'Raw Data'!$T$3*$G$45</f>
        <v>112.05794087448335</v>
      </c>
      <c r="H28" s="135">
        <f>'Raw Data'!$D66*'Raw Data'!$T$3*$G$45</f>
        <v>112.05794087448335</v>
      </c>
      <c r="I28" s="135">
        <f>'Raw Data'!$D66*'Raw Data'!$T$3*$G$45</f>
        <v>112.05794087448335</v>
      </c>
      <c r="J28" s="289">
        <f>'Raw Data'!$D66*'Raw Data'!$T$3*$G$45</f>
        <v>112.05794087448335</v>
      </c>
      <c r="K28" s="102"/>
      <c r="L28" s="102"/>
      <c r="M28" s="102"/>
      <c r="N28" s="102"/>
      <c r="O28" s="102"/>
      <c r="P28" s="102"/>
      <c r="Q28" s="99">
        <v>0</v>
      </c>
      <c r="R28" s="135"/>
      <c r="S28" s="135">
        <f>'Raw Data'!$D66*'Raw Data'!$T$3*$G$45</f>
        <v>112.05794087448335</v>
      </c>
      <c r="T28" s="135">
        <f>'Raw Data'!$D$67*$G$45*'Raw Data'!$T$3</f>
        <v>74.705293916322233</v>
      </c>
      <c r="U28" s="135">
        <f>'Raw Data'!$D$69*$G$45*'Raw Data'!$T$3</f>
        <v>149.41058783264447</v>
      </c>
      <c r="V28" s="135">
        <f>'Raw Data'!$D$71*$G$45*'Raw Data'!$T$3</f>
        <v>308.21481163298489</v>
      </c>
      <c r="W28" s="135">
        <f>'Raw Data'!$D$73*$G$45*'Raw Data'!$T$3</f>
        <v>0</v>
      </c>
      <c r="X28" s="289">
        <f>'Raw Data'!$D$75*$G$45*'Raw Data'!$T$3</f>
        <v>74.705293916322233</v>
      </c>
      <c r="Y28" s="102"/>
      <c r="Z28" s="102"/>
      <c r="AA28" s="102"/>
      <c r="AB28" s="102"/>
      <c r="AC28" s="102"/>
      <c r="AD28" s="102"/>
      <c r="AE28" s="102"/>
      <c r="AF28" s="3"/>
      <c r="AG28" s="25"/>
      <c r="AH28" s="91"/>
      <c r="AI28" s="94"/>
      <c r="AJ28" s="91"/>
      <c r="AK28" s="94"/>
      <c r="AL28" s="94"/>
      <c r="AM28" s="95"/>
      <c r="AN28" s="89"/>
      <c r="AO28" s="89"/>
      <c r="AP28"/>
      <c r="AQ28"/>
      <c r="AR28" s="11"/>
      <c r="AS28"/>
      <c r="AT28" s="17"/>
      <c r="AU28" s="11"/>
      <c r="AV28" s="11"/>
      <c r="AW28" s="11"/>
      <c r="AX28" s="11"/>
      <c r="AY28"/>
      <c r="AZ28" s="264" t="s">
        <v>53</v>
      </c>
      <c r="BA28" s="265"/>
      <c r="BB28" s="17"/>
      <c r="BC28"/>
      <c r="BD28" s="17"/>
      <c r="BE28" s="11"/>
      <c r="BF28" s="15"/>
      <c r="BG28" s="23"/>
      <c r="BH28" s="11"/>
      <c r="BI28" s="11"/>
      <c r="BJ28" s="23"/>
      <c r="BL28" s="16"/>
      <c r="BM28" s="10"/>
      <c r="BN28" s="16"/>
      <c r="BO28" s="27"/>
      <c r="BP28" s="27"/>
      <c r="BQ28" s="16"/>
      <c r="BR28" s="10"/>
      <c r="BS28" s="23"/>
      <c r="BT28" s="11"/>
      <c r="BU28" s="11"/>
      <c r="BV28" s="23"/>
      <c r="BW28" s="17"/>
      <c r="BX28" s="16"/>
      <c r="BY28" s="28"/>
      <c r="BZ28" s="28"/>
      <c r="CA28" s="23"/>
      <c r="CB28" s="11"/>
      <c r="CC28" s="11"/>
      <c r="CD28" s="23"/>
      <c r="CF28" s="4"/>
      <c r="CN28" s="1"/>
      <c r="CQ28" s="11"/>
      <c r="CR28" s="17"/>
      <c r="CS28" s="17"/>
      <c r="CT28" s="11"/>
      <c r="CU28" s="17"/>
      <c r="CV28" s="17"/>
      <c r="CW28" s="11"/>
      <c r="CX28" s="17"/>
      <c r="CY28" s="17"/>
      <c r="CZ28" s="11"/>
      <c r="DA28" s="17"/>
      <c r="DB28" s="17"/>
      <c r="DC28" s="11"/>
      <c r="DD28" s="17"/>
      <c r="DE28" s="17"/>
    </row>
    <row r="29" spans="1:109" ht="12.75" thickBot="1" x14ac:dyDescent="0.25">
      <c r="A29" t="str">
        <f>'Raw Data'!$A309&amp;" Dose (Gy)"</f>
        <v>Disk 36 Dose (Gy)</v>
      </c>
      <c r="E29" s="99">
        <f>'Raw Data'!$D78*'Raw Data'!$T$3*$G$45</f>
        <v>112.05794087448335</v>
      </c>
      <c r="F29" s="135">
        <f>'Raw Data'!$D78*'Raw Data'!$T$3*$G$45</f>
        <v>112.05794087448335</v>
      </c>
      <c r="G29" s="135">
        <f>'Raw Data'!$D78*'Raw Data'!$T$3*$G$45</f>
        <v>112.05794087448335</v>
      </c>
      <c r="H29" s="135">
        <f>'Raw Data'!$D78*'Raw Data'!$T$3*$G$45</f>
        <v>112.05794087448335</v>
      </c>
      <c r="I29" s="135">
        <f>'Raw Data'!$D78*'Raw Data'!$T$3*$G$45</f>
        <v>112.05794087448335</v>
      </c>
      <c r="J29" s="289">
        <f>'Raw Data'!$D78*'Raw Data'!$T$3*$G$45</f>
        <v>112.05794087448335</v>
      </c>
      <c r="K29" s="102"/>
      <c r="L29" s="102"/>
      <c r="M29" s="102"/>
      <c r="N29" s="102"/>
      <c r="O29" s="102"/>
      <c r="P29" s="102"/>
      <c r="Q29" s="99">
        <v>0</v>
      </c>
      <c r="R29" s="135"/>
      <c r="S29" s="135">
        <f>'Raw Data'!$D78*'Raw Data'!$T$3*$G$45</f>
        <v>112.05794087448335</v>
      </c>
      <c r="T29" s="135">
        <f>'Raw Data'!$D$79*$G$45*'Raw Data'!$T$3</f>
        <v>74.705293916322233</v>
      </c>
      <c r="U29" s="135">
        <f>'Raw Data'!$D$81*$G$45*'Raw Data'!$T$3</f>
        <v>149.48455347018538</v>
      </c>
      <c r="V29" s="135">
        <f>'Raw Data'!$D$83*$G$45*'Raw Data'!$T$3</f>
        <v>308.21481163298489</v>
      </c>
      <c r="W29" s="135">
        <f>'Raw Data'!$D$85*$G$45*'Raw Data'!$T$3</f>
        <v>0</v>
      </c>
      <c r="X29" s="289">
        <f>'Raw Data'!$D$87*$G$45*'Raw Data'!$T$3</f>
        <v>74.705293916322233</v>
      </c>
      <c r="Y29" s="102"/>
      <c r="Z29" s="102"/>
      <c r="AA29" s="102"/>
      <c r="AB29" s="102"/>
      <c r="AC29" s="102"/>
      <c r="AD29" s="102"/>
      <c r="AE29" s="102"/>
      <c r="AF29" s="3"/>
      <c r="AG29" s="25"/>
      <c r="AH29" s="91"/>
      <c r="AI29" s="91"/>
      <c r="AJ29" s="91"/>
      <c r="AK29" s="94"/>
      <c r="AL29" s="94"/>
      <c r="AM29" s="95"/>
      <c r="AN29" s="89"/>
      <c r="AO29" s="89"/>
      <c r="AP29"/>
      <c r="AQ29"/>
      <c r="AR29" s="11"/>
      <c r="AS29"/>
      <c r="AT29" s="17"/>
      <c r="AU29" s="11"/>
      <c r="AV29" s="11"/>
      <c r="AW29" s="11"/>
      <c r="AX29" s="11"/>
      <c r="AY29" s="10"/>
      <c r="AZ29" s="266" t="s">
        <v>54</v>
      </c>
      <c r="BA29" s="267"/>
      <c r="BB29" s="17"/>
      <c r="BC29"/>
      <c r="BD29" s="17"/>
      <c r="BE29" s="11"/>
      <c r="BF29" s="15"/>
      <c r="BG29" s="23"/>
      <c r="BH29" s="11"/>
      <c r="BI29" s="11"/>
      <c r="BJ29" s="23"/>
      <c r="BL29" s="16"/>
      <c r="BM29" s="10"/>
      <c r="BN29" s="16"/>
      <c r="BO29" s="27"/>
      <c r="BP29" s="27"/>
      <c r="BQ29" s="16"/>
      <c r="BR29" s="10"/>
      <c r="BS29" s="23"/>
      <c r="BT29" s="11"/>
      <c r="BU29" s="11"/>
      <c r="BV29" s="23"/>
      <c r="BW29" s="17"/>
      <c r="BX29" s="16"/>
      <c r="BY29" s="28"/>
      <c r="BZ29" s="28"/>
      <c r="CA29" s="23"/>
      <c r="CB29" s="11"/>
      <c r="CC29" s="11"/>
      <c r="CD29" s="23"/>
      <c r="CF29" s="4"/>
      <c r="CN29" s="1"/>
      <c r="CQ29" s="11"/>
      <c r="CR29" s="17"/>
      <c r="CS29" s="17"/>
      <c r="CT29" s="11"/>
      <c r="CU29" s="17"/>
      <c r="CV29" s="17"/>
      <c r="CW29" s="11"/>
      <c r="CX29" s="17"/>
      <c r="CY29" s="17"/>
      <c r="CZ29" s="11"/>
      <c r="DA29" s="17"/>
      <c r="DB29" s="17"/>
      <c r="DC29" s="11"/>
      <c r="DD29" s="17"/>
      <c r="DE29" s="17"/>
    </row>
    <row r="30" spans="1:109" x14ac:dyDescent="0.2">
      <c r="A30" t="str">
        <f>'Raw Data'!$A310&amp;" Dose (Gy)"</f>
        <v>Disk 37 Dose (Gy)</v>
      </c>
      <c r="E30" s="99">
        <f>'Raw Data'!$D90*'Raw Data'!$T$3*$G$45</f>
        <v>112.05794087448335</v>
      </c>
      <c r="F30" s="135">
        <f>'Raw Data'!$D90*'Raw Data'!$T$3*$G$45</f>
        <v>112.05794087448335</v>
      </c>
      <c r="G30" s="135">
        <f>'Raw Data'!$D90*'Raw Data'!$T$3*$G$45</f>
        <v>112.05794087448335</v>
      </c>
      <c r="H30" s="135">
        <f>'Raw Data'!$D90*'Raw Data'!$T$3*$G$45</f>
        <v>112.05794087448335</v>
      </c>
      <c r="I30" s="135">
        <f>'Raw Data'!$D90*'Raw Data'!$T$3*$G$45</f>
        <v>112.05794087448335</v>
      </c>
      <c r="J30" s="289">
        <f>'Raw Data'!$D90*'Raw Data'!$T$3*$G$45</f>
        <v>112.05794087448335</v>
      </c>
      <c r="K30" s="102"/>
      <c r="L30" s="102"/>
      <c r="M30" s="102"/>
      <c r="N30" s="102"/>
      <c r="O30" s="102"/>
      <c r="P30" s="102"/>
      <c r="Q30" s="99">
        <v>0</v>
      </c>
      <c r="R30" s="135"/>
      <c r="S30" s="135">
        <f>'Raw Data'!$D90*'Raw Data'!$T$3*$G$45</f>
        <v>112.05794087448335</v>
      </c>
      <c r="T30" s="135">
        <f>'Raw Data'!$D$91*$G$45*'Raw Data'!$T$3</f>
        <v>74.705293916322233</v>
      </c>
      <c r="U30" s="135">
        <f>'Raw Data'!$D$93*$G$45*'Raw Data'!$T$3</f>
        <v>149.48455347018538</v>
      </c>
      <c r="V30" s="135">
        <f>'Raw Data'!$D$95*$G$45*'Raw Data'!$T$3</f>
        <v>308.21481163298489</v>
      </c>
      <c r="W30" s="135">
        <f>'Raw Data'!$D$97*$G$45*'Raw Data'!$T$3</f>
        <v>0</v>
      </c>
      <c r="X30" s="289">
        <f>'Raw Data'!$D$99*$G$45*'Raw Data'!$T$3</f>
        <v>74.705293916322233</v>
      </c>
      <c r="Y30" s="102"/>
      <c r="Z30" s="102"/>
      <c r="AA30" s="102"/>
      <c r="AB30" s="102"/>
      <c r="AC30" s="102"/>
      <c r="AD30" s="102"/>
      <c r="AE30" s="102"/>
      <c r="AF30" s="3"/>
      <c r="AG30" s="25"/>
      <c r="AH30" s="91"/>
      <c r="AI30" s="91"/>
      <c r="AJ30" s="91"/>
      <c r="AK30" s="96"/>
      <c r="AL30" s="96"/>
      <c r="AM30" s="95"/>
      <c r="AN30" s="89"/>
      <c r="AO30" s="89"/>
      <c r="AP30" s="8"/>
      <c r="AQ30"/>
      <c r="AR30" s="11"/>
      <c r="AS30"/>
      <c r="AT30" s="17"/>
      <c r="AU30" s="11"/>
      <c r="AV30" s="11"/>
      <c r="AW30" s="11"/>
      <c r="AZ30" s="11" t="s">
        <v>52</v>
      </c>
      <c r="BC30" s="8"/>
      <c r="BD30" s="17"/>
      <c r="BE30" s="11"/>
      <c r="BF30" s="15"/>
      <c r="BG30" s="23"/>
      <c r="BH30" s="11"/>
      <c r="BI30" s="11"/>
      <c r="BJ30" s="23"/>
      <c r="BL30" s="16"/>
      <c r="BM30" s="10"/>
      <c r="BN30" s="16"/>
      <c r="BO30" s="27"/>
      <c r="BP30" s="27"/>
      <c r="BQ30" s="16"/>
      <c r="BR30" s="10"/>
      <c r="BS30" s="23"/>
      <c r="BT30" s="11"/>
      <c r="BU30" s="11"/>
      <c r="BV30" s="23"/>
      <c r="BW30" s="17"/>
      <c r="BX30" s="16"/>
      <c r="BY30" s="28"/>
      <c r="BZ30" s="28"/>
      <c r="CA30" s="23"/>
      <c r="CB30" s="11"/>
      <c r="CC30" s="11"/>
      <c r="CD30" s="23"/>
      <c r="CF30" s="4"/>
      <c r="CN30" s="1"/>
      <c r="CQ30" s="11"/>
      <c r="CR30" s="17"/>
      <c r="CS30" s="17"/>
      <c r="CT30" s="11"/>
      <c r="CU30" s="17"/>
      <c r="CV30" s="17"/>
      <c r="CW30" s="11"/>
      <c r="CX30" s="17"/>
      <c r="CY30" s="17"/>
      <c r="CZ30" s="11"/>
      <c r="DA30" s="17"/>
      <c r="DB30" s="17"/>
      <c r="DC30" s="11"/>
      <c r="DD30" s="17"/>
      <c r="DE30" s="17"/>
    </row>
    <row r="31" spans="1:109" x14ac:dyDescent="0.2">
      <c r="A31" t="str">
        <f>'Raw Data'!$A311&amp;" Dose (Gy)"</f>
        <v>Disk 38 Dose (Gy)</v>
      </c>
      <c r="E31" s="99">
        <f>'Raw Data'!$D102*'Raw Data'!$T$3*$G$45</f>
        <v>112.05794087448335</v>
      </c>
      <c r="F31" s="135">
        <f>'Raw Data'!$D102*'Raw Data'!$T$3*$G$45</f>
        <v>112.05794087448335</v>
      </c>
      <c r="G31" s="135">
        <f>'Raw Data'!$D102*'Raw Data'!$T$3*$G$45</f>
        <v>112.05794087448335</v>
      </c>
      <c r="H31" s="135">
        <f>'Raw Data'!$D102*'Raw Data'!$T$3*$G$45</f>
        <v>112.05794087448335</v>
      </c>
      <c r="I31" s="135">
        <f>'Raw Data'!$D102*'Raw Data'!$T$3*$G$45</f>
        <v>112.05794087448335</v>
      </c>
      <c r="J31" s="289">
        <f>'Raw Data'!$D102*'Raw Data'!$T$3*$G$45</f>
        <v>112.05794087448335</v>
      </c>
      <c r="K31" s="102"/>
      <c r="L31" s="102"/>
      <c r="M31" s="102"/>
      <c r="N31" s="102"/>
      <c r="O31" s="102"/>
      <c r="P31" s="102"/>
      <c r="Q31" s="99">
        <v>0</v>
      </c>
      <c r="R31" s="135"/>
      <c r="S31" s="135">
        <f>'Raw Data'!$D102*'Raw Data'!$T$3*$G$45</f>
        <v>112.05794087448335</v>
      </c>
      <c r="T31" s="135">
        <f>'Raw Data'!$D$103*$G$45*'Raw Data'!$T$3</f>
        <v>280.32976628006065</v>
      </c>
      <c r="U31" s="135">
        <f>'Raw Data'!$D$105*$G$45*'Raw Data'!$T$3</f>
        <v>560.65953256012131</v>
      </c>
      <c r="V31" s="135">
        <f>'Raw Data'!$D$107*$G$45*'Raw Data'!$T$3</f>
        <v>840.98929884018207</v>
      </c>
      <c r="W31" s="135">
        <f>'Raw Data'!$D$109*$G$45*'Raw Data'!$T$3</f>
        <v>0</v>
      </c>
      <c r="X31" s="289">
        <f>'Raw Data'!$D$111*$G$45*'Raw Data'!$T$3</f>
        <v>280.32976628006065</v>
      </c>
      <c r="Y31" s="102"/>
      <c r="Z31" s="102"/>
      <c r="AA31" s="102"/>
      <c r="AB31" s="102"/>
      <c r="AC31" s="102"/>
      <c r="AD31" s="102"/>
      <c r="AE31" s="102"/>
      <c r="AF31" s="3"/>
      <c r="AG31" s="25"/>
      <c r="AH31" s="91"/>
      <c r="AI31" s="91"/>
      <c r="AJ31" s="91"/>
      <c r="AK31" s="94"/>
      <c r="AL31" s="94"/>
      <c r="AM31" s="95"/>
      <c r="AN31" s="89"/>
      <c r="AO31" s="89"/>
      <c r="AP31" s="8"/>
      <c r="AQ31"/>
      <c r="AR31" s="38"/>
      <c r="AS31"/>
      <c r="AX31" s="11"/>
      <c r="AY31" s="17"/>
      <c r="AZ31" s="17"/>
      <c r="BA31" s="17"/>
      <c r="BB31" s="17"/>
      <c r="BC31" s="8"/>
      <c r="BD31" s="2"/>
      <c r="BE31" s="11"/>
      <c r="BF31" s="15"/>
      <c r="BG31" s="23"/>
      <c r="BH31" s="11"/>
      <c r="BI31" s="11"/>
      <c r="BJ31" s="23"/>
      <c r="BL31" s="16"/>
      <c r="BM31" s="10"/>
      <c r="BN31" s="16"/>
      <c r="BO31" s="27"/>
      <c r="BP31" s="27"/>
      <c r="BQ31" s="16"/>
      <c r="BR31" s="10"/>
      <c r="BS31" s="23"/>
      <c r="BT31" s="11"/>
      <c r="BU31" s="11"/>
      <c r="BV31" s="23"/>
      <c r="BW31" s="17"/>
      <c r="BX31" s="16"/>
      <c r="BY31" s="28"/>
      <c r="BZ31" s="28"/>
      <c r="CA31" s="23"/>
      <c r="CB31" s="11"/>
      <c r="CC31" s="11"/>
      <c r="CD31" s="23"/>
      <c r="CF31" s="4"/>
      <c r="CN31" s="1"/>
      <c r="CQ31" s="11"/>
      <c r="CR31" s="17"/>
      <c r="CS31" s="17"/>
      <c r="CT31" s="11"/>
      <c r="CU31" s="17"/>
      <c r="CV31" s="17"/>
      <c r="CW31" s="11"/>
      <c r="CX31" s="17"/>
      <c r="CY31" s="17"/>
      <c r="CZ31" s="11"/>
      <c r="DA31" s="17"/>
      <c r="DB31" s="17"/>
      <c r="DC31" s="11"/>
      <c r="DD31" s="17"/>
      <c r="DE31" s="17"/>
    </row>
    <row r="32" spans="1:109" x14ac:dyDescent="0.2">
      <c r="A32" t="str">
        <f>'Raw Data'!$A312&amp;" Dose (Gy)"</f>
        <v>Disk 39 Dose (Gy)</v>
      </c>
      <c r="E32" s="99">
        <f>'Raw Data'!$D114*'Raw Data'!$T$3*$G$45</f>
        <v>112.05794087448335</v>
      </c>
      <c r="F32" s="135">
        <f>'Raw Data'!$D114*'Raw Data'!$T$3*$G$45</f>
        <v>112.05794087448335</v>
      </c>
      <c r="G32" s="135">
        <f>'Raw Data'!$D114*'Raw Data'!$T$3*$G$45</f>
        <v>112.05794087448335</v>
      </c>
      <c r="H32" s="135">
        <f>'Raw Data'!$D114*'Raw Data'!$T$3*$G$45</f>
        <v>112.05794087448335</v>
      </c>
      <c r="I32" s="135">
        <f>'Raw Data'!$D114*'Raw Data'!$T$3*$G$45</f>
        <v>112.05794087448335</v>
      </c>
      <c r="J32" s="289">
        <f>'Raw Data'!$D114*'Raw Data'!$T$3*$G$45</f>
        <v>112.05794087448335</v>
      </c>
      <c r="K32" s="102"/>
      <c r="L32" s="102"/>
      <c r="M32" s="102"/>
      <c r="N32" s="102"/>
      <c r="O32" s="102"/>
      <c r="P32" s="102"/>
      <c r="Q32" s="99">
        <v>0</v>
      </c>
      <c r="R32" s="135"/>
      <c r="S32" s="135">
        <f>'Raw Data'!$D114*'Raw Data'!$T$3*$G$45</f>
        <v>112.05794087448335</v>
      </c>
      <c r="T32" s="135">
        <f>'Raw Data'!$D$115*$G$45*'Raw Data'!$T$3</f>
        <v>280.32976628006065</v>
      </c>
      <c r="U32" s="135">
        <f>'Raw Data'!$D$117*$G$45*'Raw Data'!$T$3</f>
        <v>560.73349819766224</v>
      </c>
      <c r="V32" s="135">
        <f>'Raw Data'!$D$119*$G$45*'Raw Data'!$T$3</f>
        <v>841.0632644777229</v>
      </c>
      <c r="W32" s="135">
        <f>'Raw Data'!$D$121*$G$45*'Raw Data'!$T$3</f>
        <v>0</v>
      </c>
      <c r="X32" s="289">
        <f>'Raw Data'!$D$123*$G$45*'Raw Data'!$T$3</f>
        <v>280.32976628006065</v>
      </c>
      <c r="Y32" s="102"/>
      <c r="Z32" s="102"/>
      <c r="AA32" s="102"/>
      <c r="AB32" s="102"/>
      <c r="AC32" s="102"/>
      <c r="AD32" s="102"/>
      <c r="AE32" s="102"/>
      <c r="AF32" s="3"/>
      <c r="AG32" s="25"/>
      <c r="AH32" s="91"/>
      <c r="AI32" s="91"/>
      <c r="AJ32" s="91"/>
      <c r="AK32" s="94"/>
      <c r="AL32" s="94"/>
      <c r="AM32" s="95"/>
      <c r="AN32" s="89"/>
      <c r="AO32" s="89"/>
      <c r="AP32"/>
      <c r="AQ32"/>
      <c r="AR32"/>
      <c r="AS32"/>
      <c r="BC32"/>
      <c r="BD32" s="2"/>
      <c r="BE32" s="11"/>
      <c r="BF32" s="15"/>
      <c r="BG32" s="23"/>
      <c r="BH32" s="11"/>
      <c r="BI32" s="11"/>
      <c r="BJ32" s="23"/>
      <c r="BL32" s="16"/>
      <c r="BM32" s="10"/>
      <c r="BN32" s="16"/>
      <c r="BO32" s="27"/>
      <c r="BP32" s="27"/>
      <c r="BQ32" s="16"/>
      <c r="BR32" s="10"/>
      <c r="BS32" s="23"/>
      <c r="BT32" s="11"/>
      <c r="BU32" s="11"/>
      <c r="BV32" s="23"/>
      <c r="BW32" s="17"/>
      <c r="BX32" s="16"/>
      <c r="BY32" s="28"/>
      <c r="BZ32" s="28"/>
      <c r="CA32" s="23"/>
      <c r="CB32" s="11"/>
      <c r="CC32" s="11"/>
      <c r="CD32" s="23"/>
      <c r="CF32" s="4"/>
      <c r="CN32" s="1"/>
      <c r="CQ32" s="11"/>
      <c r="CR32" s="17"/>
      <c r="CS32" s="17"/>
      <c r="CT32" s="11"/>
      <c r="CU32" s="17"/>
      <c r="CV32" s="17"/>
      <c r="CW32" s="11"/>
      <c r="CX32" s="17"/>
      <c r="CY32" s="17"/>
      <c r="CZ32" s="11"/>
      <c r="DA32" s="17"/>
      <c r="DB32" s="17"/>
      <c r="DC32" s="11"/>
      <c r="DD32" s="17"/>
      <c r="DE32" s="17"/>
    </row>
    <row r="33" spans="1:109" x14ac:dyDescent="0.2">
      <c r="A33" t="str">
        <f>'Raw Data'!$A313&amp;" Dose (Gy)"</f>
        <v>Disk 40 Dose (Gy)</v>
      </c>
      <c r="E33" s="99">
        <f>'Raw Data'!$D126*'Raw Data'!$T$3*$G$45</f>
        <v>112.05794087448335</v>
      </c>
      <c r="F33" s="135">
        <f>'Raw Data'!$D126*'Raw Data'!$T$3*$G$45</f>
        <v>112.05794087448335</v>
      </c>
      <c r="G33" s="135">
        <f>'Raw Data'!$D126*'Raw Data'!$T$3*$G$45</f>
        <v>112.05794087448335</v>
      </c>
      <c r="H33" s="135">
        <f>'Raw Data'!$D126*'Raw Data'!$T$3*$G$45</f>
        <v>112.05794087448335</v>
      </c>
      <c r="I33" s="135">
        <f>'Raw Data'!$D126*'Raw Data'!$T$3*$G$45</f>
        <v>112.05794087448335</v>
      </c>
      <c r="J33" s="289">
        <f>'Raw Data'!$D126*'Raw Data'!$T$3*$G$45</f>
        <v>112.05794087448335</v>
      </c>
      <c r="K33" s="102"/>
      <c r="L33" s="102"/>
      <c r="M33" s="102"/>
      <c r="N33" s="102"/>
      <c r="O33" s="102"/>
      <c r="P33" s="102"/>
      <c r="Q33" s="99">
        <v>0</v>
      </c>
      <c r="R33" s="135"/>
      <c r="S33" s="135">
        <f>'Raw Data'!$D126*'Raw Data'!$T$3*$G$45</f>
        <v>112.05794087448335</v>
      </c>
      <c r="T33" s="135">
        <f>'Raw Data'!$D$127*$G$45*'Raw Data'!$T$3</f>
        <v>280.32976628006065</v>
      </c>
      <c r="U33" s="135">
        <f>'Raw Data'!$D$129*$G$45*'Raw Data'!$T$3</f>
        <v>560.73349819766224</v>
      </c>
      <c r="V33" s="135">
        <f>'Raw Data'!$D$131*$G$45*'Raw Data'!$T$3</f>
        <v>841.0632644777229</v>
      </c>
      <c r="W33" s="135">
        <f>'Raw Data'!$D$133*$G$45*'Raw Data'!$T$3</f>
        <v>0</v>
      </c>
      <c r="X33" s="289">
        <f>'Raw Data'!$D$135*$G$45*'Raw Data'!$T$3</f>
        <v>280.32976628006065</v>
      </c>
      <c r="Y33" s="102"/>
      <c r="Z33" s="102"/>
      <c r="AA33" s="102"/>
      <c r="AB33" s="102"/>
      <c r="AC33" s="102"/>
      <c r="AD33" s="102"/>
      <c r="AE33" s="102"/>
      <c r="AF33" s="3"/>
      <c r="AG33" s="25"/>
      <c r="AH33" s="91"/>
      <c r="AI33" s="91"/>
      <c r="AJ33" s="91"/>
      <c r="AK33" s="94"/>
      <c r="AL33" s="94"/>
      <c r="AM33" s="95"/>
      <c r="AN33" s="89"/>
      <c r="AO33" s="89"/>
      <c r="AP33"/>
      <c r="AQ33"/>
      <c r="AR33" t="s">
        <v>13</v>
      </c>
      <c r="AS33"/>
      <c r="BD33" s="2"/>
      <c r="BE33" s="11"/>
      <c r="BF33" s="15"/>
      <c r="BG33" s="23"/>
      <c r="BH33" s="11"/>
      <c r="BI33" s="11"/>
      <c r="BJ33" s="23"/>
      <c r="BL33" s="16"/>
      <c r="BM33" s="10"/>
      <c r="BN33" s="16"/>
      <c r="BO33" s="27"/>
      <c r="BP33" s="27"/>
      <c r="BQ33" s="16"/>
      <c r="BR33" s="10"/>
      <c r="BS33" s="23"/>
      <c r="BT33" s="11"/>
      <c r="BU33" s="11"/>
      <c r="BV33" s="23"/>
      <c r="BW33" s="17"/>
      <c r="BX33" s="16"/>
      <c r="BY33" s="28"/>
      <c r="BZ33" s="28"/>
      <c r="CA33" s="23"/>
      <c r="CB33" s="11"/>
      <c r="CC33" s="11"/>
      <c r="CD33" s="23"/>
      <c r="CF33" s="4"/>
      <c r="CN33" s="1"/>
      <c r="CQ33" s="11"/>
      <c r="CR33" s="17"/>
      <c r="CS33" s="17"/>
      <c r="CT33" s="11"/>
      <c r="CU33" s="17"/>
      <c r="CV33" s="17"/>
      <c r="CW33" s="11"/>
      <c r="CX33" s="17"/>
      <c r="CY33" s="17"/>
      <c r="CZ33" s="11"/>
      <c r="DA33" s="17"/>
      <c r="DB33" s="17"/>
      <c r="DC33" s="11"/>
      <c r="DD33" s="17"/>
      <c r="DE33" s="17"/>
    </row>
    <row r="34" spans="1:109" x14ac:dyDescent="0.2">
      <c r="A34" t="str">
        <f>'Raw Data'!$A314&amp;" Dose (Gy)"</f>
        <v>Disk 41 Dose (Gy)</v>
      </c>
      <c r="E34" s="99">
        <f>'Raw Data'!$D138*'Raw Data'!$T$3*$G$45</f>
        <v>112.05794087448335</v>
      </c>
      <c r="F34" s="135">
        <f>'Raw Data'!$D138*'Raw Data'!$T$3*$G$45</f>
        <v>112.05794087448335</v>
      </c>
      <c r="G34" s="135">
        <f>'Raw Data'!$D138*'Raw Data'!$T$3*$G$45</f>
        <v>112.05794087448335</v>
      </c>
      <c r="H34" s="135">
        <f>'Raw Data'!$D138*'Raw Data'!$T$3*$G$45</f>
        <v>112.05794087448335</v>
      </c>
      <c r="I34" s="135">
        <f>'Raw Data'!$D138*'Raw Data'!$T$3*$G$45</f>
        <v>112.05794087448335</v>
      </c>
      <c r="J34" s="289">
        <f>'Raw Data'!$D138*'Raw Data'!$T$3*$G$45</f>
        <v>112.05794087448335</v>
      </c>
      <c r="K34" s="102"/>
      <c r="L34" s="102"/>
      <c r="M34" s="102"/>
      <c r="N34" s="102"/>
      <c r="O34" s="102"/>
      <c r="P34" s="102"/>
      <c r="Q34" s="99">
        <v>0</v>
      </c>
      <c r="R34" s="135"/>
      <c r="S34" s="135">
        <f>'Raw Data'!$D138*'Raw Data'!$T$3*$G$45</f>
        <v>112.05794087448335</v>
      </c>
      <c r="T34" s="135">
        <f>'Raw Data'!$D$139*$G$45*'Raw Data'!$T$3</f>
        <v>74.705293916322233</v>
      </c>
      <c r="U34" s="135">
        <f>'Raw Data'!$D$141*$G$45*'Raw Data'!$T$3</f>
        <v>149.48455347018538</v>
      </c>
      <c r="V34" s="135">
        <f>'Raw Data'!$D$143*$G$45*'Raw Data'!$T$3</f>
        <v>308.21481163298489</v>
      </c>
      <c r="W34" s="135">
        <f>'Raw Data'!$D$145*$G$45*'Raw Data'!$T$3</f>
        <v>0</v>
      </c>
      <c r="X34" s="289">
        <f>'Raw Data'!$D$147*$G$45*'Raw Data'!$T$3</f>
        <v>74.705293916322233</v>
      </c>
      <c r="Y34" s="102"/>
      <c r="Z34" s="102"/>
      <c r="AA34" s="102"/>
      <c r="AB34" s="102"/>
      <c r="AC34" s="102"/>
      <c r="AD34" s="102"/>
      <c r="AE34" s="102"/>
      <c r="AF34" s="3"/>
      <c r="AG34" s="25"/>
      <c r="AH34" s="91"/>
      <c r="AI34" s="91"/>
      <c r="AJ34" s="91"/>
      <c r="AK34" s="94"/>
      <c r="AL34" s="94"/>
      <c r="AM34" s="95"/>
      <c r="AN34" s="89"/>
      <c r="AO34" s="89"/>
      <c r="AP34"/>
      <c r="AQ34" s="58" t="s">
        <v>94</v>
      </c>
      <c r="AR34" s="59" t="s">
        <v>36</v>
      </c>
      <c r="AS34" s="60">
        <v>2</v>
      </c>
      <c r="BD34" s="2"/>
      <c r="BE34" s="11"/>
      <c r="BF34" s="15"/>
      <c r="BG34" s="23"/>
      <c r="BH34" s="11"/>
      <c r="BI34" s="11"/>
      <c r="BJ34" s="23"/>
      <c r="BL34" s="16"/>
      <c r="BM34" s="10"/>
      <c r="BN34" s="16"/>
      <c r="BO34" s="27"/>
      <c r="BP34" s="27"/>
      <c r="BQ34" s="16"/>
      <c r="BR34" s="10"/>
      <c r="BS34" s="23"/>
      <c r="BT34" s="11"/>
      <c r="BU34" s="11"/>
      <c r="BV34" s="23"/>
      <c r="BW34" s="17"/>
      <c r="BX34" s="16"/>
      <c r="BY34" s="28"/>
      <c r="BZ34" s="28"/>
      <c r="CA34" s="23"/>
      <c r="CB34" s="11"/>
      <c r="CC34" s="11"/>
      <c r="CD34" s="23"/>
      <c r="CF34" s="4"/>
      <c r="CN34" s="1"/>
      <c r="CQ34" s="11"/>
      <c r="CR34" s="17"/>
      <c r="CS34" s="17"/>
      <c r="CT34" s="11"/>
      <c r="CU34" s="17"/>
      <c r="CV34" s="17"/>
      <c r="CW34" s="11"/>
      <c r="CX34" s="17"/>
      <c r="CY34" s="17"/>
      <c r="CZ34" s="11"/>
      <c r="DA34" s="17"/>
      <c r="DB34" s="17"/>
      <c r="DC34" s="11"/>
      <c r="DD34" s="17"/>
      <c r="DE34" s="17"/>
    </row>
    <row r="35" spans="1:109" x14ac:dyDescent="0.2">
      <c r="A35" t="str">
        <f>'Raw Data'!$A315&amp;" Dose (Gy)"</f>
        <v>Disk 42 Dose (Gy)</v>
      </c>
      <c r="E35" s="99">
        <f>'Raw Data'!$D150*'Raw Data'!$T$3*$G$45</f>
        <v>112.05794087448335</v>
      </c>
      <c r="F35" s="135">
        <f>'Raw Data'!$D150*'Raw Data'!$T$3*$G$45</f>
        <v>112.05794087448335</v>
      </c>
      <c r="G35" s="135">
        <f>'Raw Data'!$D150*'Raw Data'!$T$3*$G$45</f>
        <v>112.05794087448335</v>
      </c>
      <c r="H35" s="135">
        <f>'Raw Data'!$D150*'Raw Data'!$T$3*$G$45</f>
        <v>112.05794087448335</v>
      </c>
      <c r="I35" s="135">
        <f>'Raw Data'!$D150*'Raw Data'!$T$3*$G$45</f>
        <v>112.05794087448335</v>
      </c>
      <c r="J35" s="289">
        <f>'Raw Data'!$D150*'Raw Data'!$T$3*$G$45</f>
        <v>112.05794087448335</v>
      </c>
      <c r="K35" s="102"/>
      <c r="L35" s="102"/>
      <c r="M35" s="102"/>
      <c r="N35" s="102"/>
      <c r="O35" s="102"/>
      <c r="P35" s="102"/>
      <c r="Q35" s="99">
        <v>0</v>
      </c>
      <c r="R35" s="135"/>
      <c r="S35" s="135">
        <f>'Raw Data'!$D150*'Raw Data'!$T$3*$G$45</f>
        <v>112.05794087448335</v>
      </c>
      <c r="T35" s="135">
        <f>'Raw Data'!$D$151*$G$45*'Raw Data'!$T$3</f>
        <v>74.705293916322233</v>
      </c>
      <c r="U35" s="135">
        <f>'Raw Data'!$D$153*$G$45*'Raw Data'!$T$3</f>
        <v>149.48455347018538</v>
      </c>
      <c r="V35" s="135">
        <f>'Raw Data'!$D$155*$G$45*'Raw Data'!$T$3</f>
        <v>308.28877727052583</v>
      </c>
      <c r="W35" s="135">
        <f>'Raw Data'!$D$157*$G$45*'Raw Data'!$T$3</f>
        <v>0</v>
      </c>
      <c r="X35" s="289">
        <f>'Raw Data'!$D$159*$G$45*'Raw Data'!$T$3</f>
        <v>74.705293916322233</v>
      </c>
      <c r="Y35" s="102"/>
      <c r="Z35" s="102"/>
      <c r="AA35" s="102"/>
      <c r="AB35" s="102"/>
      <c r="AC35" s="102"/>
      <c r="AD35" s="102"/>
      <c r="AE35" s="102"/>
      <c r="AF35" s="3"/>
      <c r="AG35" s="25"/>
      <c r="AH35" s="91"/>
      <c r="AI35" s="91"/>
      <c r="AJ35" s="91"/>
      <c r="AM35" s="95"/>
      <c r="AN35" s="89"/>
      <c r="AO35" s="89"/>
      <c r="AP35"/>
      <c r="AQ35"/>
      <c r="AR35" t="s">
        <v>37</v>
      </c>
      <c r="AS35" s="17">
        <f>1-2*(1-NORMSDIST($AS$34))</f>
        <v>0.95449973610364158</v>
      </c>
      <c r="AU35"/>
      <c r="AV35"/>
      <c r="AW35"/>
      <c r="BD35" s="2"/>
      <c r="BE35" s="11"/>
      <c r="BF35" s="15"/>
      <c r="BG35" s="23"/>
      <c r="BH35" s="11"/>
      <c r="BI35" s="11"/>
      <c r="BJ35" s="23"/>
      <c r="BL35" s="16"/>
      <c r="BM35" s="10"/>
      <c r="BN35" s="16"/>
      <c r="BO35" s="27"/>
      <c r="BP35" s="27"/>
      <c r="BQ35" s="16"/>
      <c r="BR35" s="10"/>
      <c r="BS35" s="23"/>
      <c r="BT35" s="11"/>
      <c r="BU35" s="11"/>
      <c r="BV35" s="23"/>
      <c r="BW35" s="17"/>
      <c r="BX35" s="16"/>
      <c r="BY35" s="28"/>
      <c r="BZ35" s="28"/>
      <c r="CA35" s="23"/>
      <c r="CB35" s="11"/>
      <c r="CC35" s="11"/>
      <c r="CD35" s="23"/>
      <c r="CF35" s="4"/>
      <c r="CN35" s="1"/>
      <c r="CQ35" s="11"/>
      <c r="CR35" s="17"/>
      <c r="CS35" s="17"/>
      <c r="CT35" s="11"/>
      <c r="CU35" s="17"/>
      <c r="CV35" s="17"/>
      <c r="CW35" s="11"/>
      <c r="CX35" s="17"/>
      <c r="CY35" s="17"/>
      <c r="CZ35" s="11"/>
      <c r="DA35" s="17"/>
      <c r="DB35" s="17"/>
      <c r="DC35" s="11"/>
      <c r="DD35" s="17"/>
      <c r="DE35" s="17"/>
    </row>
    <row r="36" spans="1:109" x14ac:dyDescent="0.2">
      <c r="A36" t="str">
        <f>'Raw Data'!$A316&amp;" Dose (Gy)"</f>
        <v>Disk 43 Dose (Gy)</v>
      </c>
      <c r="E36" s="99">
        <f>'Raw Data'!$D162*'Raw Data'!$T$3*$G$45</f>
        <v>112.05794087448335</v>
      </c>
      <c r="F36" s="135">
        <f>'Raw Data'!$D162*'Raw Data'!$T$3*$G$45</f>
        <v>112.05794087448335</v>
      </c>
      <c r="G36" s="135">
        <f>'Raw Data'!$D162*'Raw Data'!$T$3*$G$45</f>
        <v>112.05794087448335</v>
      </c>
      <c r="H36" s="135">
        <f>'Raw Data'!$D162*'Raw Data'!$T$3*$G$45</f>
        <v>112.05794087448335</v>
      </c>
      <c r="I36" s="135">
        <f>'Raw Data'!$D162*'Raw Data'!$T$3*$G$45</f>
        <v>112.05794087448335</v>
      </c>
      <c r="J36" s="289">
        <f>'Raw Data'!$D162*'Raw Data'!$T$3*$G$45</f>
        <v>112.05794087448335</v>
      </c>
      <c r="K36" s="102"/>
      <c r="L36" s="102"/>
      <c r="M36" s="102"/>
      <c r="N36" s="102"/>
      <c r="O36" s="102"/>
      <c r="P36" s="102"/>
      <c r="Q36" s="99">
        <v>0</v>
      </c>
      <c r="R36" s="135"/>
      <c r="S36" s="135">
        <f>'Raw Data'!$D162*'Raw Data'!$T$3*$G$45</f>
        <v>112.05794087448335</v>
      </c>
      <c r="T36" s="135">
        <f>'Raw Data'!$D$163*$G$45*'Raw Data'!$T$3</f>
        <v>74.705293916322233</v>
      </c>
      <c r="U36" s="135">
        <f>'Raw Data'!$D$165*$G$45*'Raw Data'!$T$3</f>
        <v>149.48455347018538</v>
      </c>
      <c r="V36" s="135">
        <f>'Raw Data'!$D$167*$G$45*'Raw Data'!$T$3</f>
        <v>308.28877727052583</v>
      </c>
      <c r="W36" s="135">
        <f>'Raw Data'!$D$169*$G$45*'Raw Data'!$T$3</f>
        <v>0</v>
      </c>
      <c r="X36" s="289">
        <f>'Raw Data'!$D$171*$G$45*'Raw Data'!$T$3</f>
        <v>74.705293916322233</v>
      </c>
      <c r="Y36" s="102"/>
      <c r="Z36" s="102"/>
      <c r="AA36" s="102"/>
      <c r="AB36" s="102"/>
      <c r="AC36" s="102"/>
      <c r="AD36" s="102"/>
      <c r="AE36" s="102"/>
      <c r="AF36" s="3"/>
      <c r="AG36" s="24"/>
      <c r="AH36" s="91"/>
      <c r="AI36" s="91"/>
      <c r="AJ36" s="91"/>
      <c r="AK36" s="94"/>
      <c r="AL36" s="94"/>
      <c r="AM36" s="95"/>
      <c r="AN36" s="89"/>
      <c r="AO36" s="89"/>
      <c r="AP36"/>
      <c r="AQ36"/>
      <c r="AR36" s="26" t="s">
        <v>38</v>
      </c>
      <c r="AS36" s="2">
        <f>2*(1-$AS35)</f>
        <v>9.1000527792716834E-2</v>
      </c>
      <c r="AT36" t="s">
        <v>39</v>
      </c>
      <c r="AU36"/>
      <c r="AV36"/>
      <c r="AW36"/>
      <c r="AX36"/>
      <c r="AY36"/>
      <c r="BD36" s="2"/>
      <c r="BE36" s="11"/>
      <c r="BF36" s="15"/>
      <c r="BG36" s="23"/>
      <c r="BH36" s="11"/>
      <c r="BI36" s="11"/>
      <c r="BJ36" s="23"/>
      <c r="BL36" s="16"/>
      <c r="BM36" s="10"/>
      <c r="BN36" s="16"/>
      <c r="BO36" s="27"/>
      <c r="BP36" s="27"/>
      <c r="BQ36" s="16"/>
      <c r="BR36" s="10"/>
      <c r="BS36" s="23"/>
      <c r="BT36" s="11"/>
      <c r="BU36" s="11"/>
      <c r="BV36" s="23"/>
      <c r="BW36" s="17"/>
      <c r="BX36" s="16"/>
      <c r="BY36" s="28"/>
      <c r="BZ36" s="28"/>
      <c r="CA36" s="23"/>
      <c r="CB36" s="11"/>
      <c r="CC36" s="11"/>
      <c r="CD36" s="23"/>
      <c r="CF36" s="4"/>
      <c r="CN36" s="1"/>
      <c r="CQ36" s="11"/>
      <c r="CR36" s="17"/>
      <c r="CS36" s="17"/>
      <c r="CT36" s="11"/>
      <c r="CU36" s="17"/>
      <c r="CV36" s="17"/>
      <c r="CW36" s="11"/>
      <c r="CX36" s="17"/>
      <c r="CY36" s="17"/>
      <c r="CZ36" s="11"/>
      <c r="DA36" s="17"/>
      <c r="DB36" s="17"/>
      <c r="DC36" s="11"/>
      <c r="DD36" s="17"/>
      <c r="DE36" s="17"/>
    </row>
    <row r="37" spans="1:109" ht="12.75" thickBot="1" x14ac:dyDescent="0.25">
      <c r="A37" t="str">
        <f>'Raw Data'!$A317&amp;" Dose (Gy)"</f>
        <v>Disk 44 Dose (Gy)</v>
      </c>
      <c r="E37" s="99">
        <f>'Raw Data'!$D174*'Raw Data'!$T$3*$G$45</f>
        <v>112.05794087448335</v>
      </c>
      <c r="F37" s="135">
        <f>'Raw Data'!$D174*'Raw Data'!$T$3*$G$45</f>
        <v>112.05794087448335</v>
      </c>
      <c r="G37" s="135">
        <f>'Raw Data'!$D174*'Raw Data'!$T$3*$G$45</f>
        <v>112.05794087448335</v>
      </c>
      <c r="H37" s="135">
        <f>'Raw Data'!$D174*'Raw Data'!$T$3*$G$45</f>
        <v>112.05794087448335</v>
      </c>
      <c r="I37" s="135">
        <f>'Raw Data'!$D174*'Raw Data'!$T$3*$G$45</f>
        <v>112.05794087448335</v>
      </c>
      <c r="J37" s="289">
        <f>'Raw Data'!$D174*'Raw Data'!$T$3*$G$45</f>
        <v>112.05794087448335</v>
      </c>
      <c r="K37" s="102"/>
      <c r="L37" s="102"/>
      <c r="M37" s="102"/>
      <c r="N37" s="102"/>
      <c r="O37" s="102"/>
      <c r="P37" s="102"/>
      <c r="Q37" s="99">
        <v>0</v>
      </c>
      <c r="R37" s="135"/>
      <c r="S37" s="135">
        <f>'Raw Data'!$D174*'Raw Data'!$T$3*$G$45</f>
        <v>112.05794087448335</v>
      </c>
      <c r="T37" s="135">
        <f>'Raw Data'!$D$175*$G$45*'Raw Data'!$T$3</f>
        <v>74.705293916322233</v>
      </c>
      <c r="U37" s="135">
        <f>'Raw Data'!$D$177*$G$45*'Raw Data'!$T$3</f>
        <v>149.48455347018538</v>
      </c>
      <c r="V37" s="135">
        <f>'Raw Data'!$D$179*$G$45*'Raw Data'!$T$3</f>
        <v>308.28877727052583</v>
      </c>
      <c r="W37" s="135">
        <f>'Raw Data'!$D$181*$G$45*'Raw Data'!$T$3</f>
        <v>0</v>
      </c>
      <c r="X37" s="289">
        <f>'Raw Data'!$D$183*$G$45*'Raw Data'!$T$3</f>
        <v>74.705293916322233</v>
      </c>
      <c r="Y37" s="102"/>
      <c r="Z37" s="102"/>
      <c r="AA37" s="102"/>
      <c r="AB37" s="102"/>
      <c r="AC37" s="102"/>
      <c r="AD37" s="102"/>
      <c r="AE37" s="102"/>
      <c r="AF37" s="3"/>
      <c r="AG37" s="25"/>
      <c r="AH37" s="91"/>
      <c r="AI37" s="91"/>
      <c r="AJ37" s="91"/>
      <c r="AK37" s="94"/>
      <c r="AL37" s="94"/>
      <c r="AM37" s="95"/>
      <c r="AN37" s="89"/>
      <c r="AO37" s="89"/>
      <c r="AP37"/>
      <c r="AQ37"/>
      <c r="AR37"/>
      <c r="AS37"/>
      <c r="AX37"/>
      <c r="BD37" s="2"/>
      <c r="BE37" s="11"/>
      <c r="BF37" s="15"/>
      <c r="BG37" s="23"/>
      <c r="BH37" s="11"/>
      <c r="BI37" s="11"/>
      <c r="BJ37" s="23"/>
      <c r="BL37" s="16"/>
      <c r="BM37" s="10"/>
      <c r="BN37" s="16"/>
      <c r="BO37" s="27"/>
      <c r="BP37" s="27"/>
      <c r="BQ37" s="16"/>
      <c r="BR37" s="10"/>
      <c r="BS37" s="23"/>
      <c r="BT37" s="11"/>
      <c r="BU37" s="11"/>
      <c r="BV37" s="23"/>
      <c r="BW37" s="17"/>
      <c r="BX37" s="16"/>
      <c r="BY37" s="28"/>
      <c r="BZ37" s="28"/>
      <c r="CA37" s="23"/>
      <c r="CB37" s="11"/>
      <c r="CC37" s="11"/>
      <c r="CD37" s="23"/>
      <c r="CF37" s="4"/>
      <c r="CN37" s="1"/>
      <c r="CQ37" s="11"/>
      <c r="CR37" s="17"/>
      <c r="CS37" s="17"/>
      <c r="CT37" s="11"/>
      <c r="CU37" s="17"/>
      <c r="CV37" s="17"/>
      <c r="CW37" s="11"/>
      <c r="CX37" s="17"/>
      <c r="CY37" s="17"/>
      <c r="CZ37" s="11"/>
      <c r="DA37" s="17"/>
      <c r="DB37" s="17"/>
      <c r="DC37" s="11"/>
      <c r="DD37" s="17"/>
      <c r="DE37" s="17"/>
    </row>
    <row r="38" spans="1:109" x14ac:dyDescent="0.2">
      <c r="A38" t="str">
        <f>'Raw Data'!$A318&amp;" Dose (Gy)"</f>
        <v>Disk 45 Dose (Gy)</v>
      </c>
      <c r="E38" s="99">
        <f>'Raw Data'!$D186*'Raw Data'!$T$3*$G$45</f>
        <v>112.05794087448335</v>
      </c>
      <c r="F38" s="135">
        <f>'Raw Data'!$D186*'Raw Data'!$T$3*$G$45</f>
        <v>112.05794087448335</v>
      </c>
      <c r="G38" s="135">
        <f>'Raw Data'!$D186*'Raw Data'!$T$3*$G$45</f>
        <v>112.05794087448335</v>
      </c>
      <c r="H38" s="135">
        <f>'Raw Data'!$D186*'Raw Data'!$T$3*$G$45</f>
        <v>112.05794087448335</v>
      </c>
      <c r="I38" s="135">
        <f>'Raw Data'!$D186*'Raw Data'!$T$3*$G$45</f>
        <v>112.05794087448335</v>
      </c>
      <c r="J38" s="289">
        <f>'Raw Data'!$D186*'Raw Data'!$T$3*$G$45</f>
        <v>112.05794087448335</v>
      </c>
      <c r="K38" s="102"/>
      <c r="L38" s="102"/>
      <c r="M38" s="102"/>
      <c r="N38" s="102"/>
      <c r="O38" s="102"/>
      <c r="P38" s="102"/>
      <c r="Q38" s="99">
        <v>0</v>
      </c>
      <c r="R38" s="135"/>
      <c r="S38" s="135">
        <f>'Raw Data'!$D186*'Raw Data'!$T$3*$G$45</f>
        <v>112.05794087448335</v>
      </c>
      <c r="T38" s="135">
        <f>'Raw Data'!$D$187*$G$45*'Raw Data'!$T$3</f>
        <v>74.705293916322233</v>
      </c>
      <c r="U38" s="135">
        <f>'Raw Data'!$D$189*$G$45*'Raw Data'!$T$3</f>
        <v>149.48455347018538</v>
      </c>
      <c r="V38" s="135">
        <f>'Raw Data'!$D$191*$G$45*'Raw Data'!$T$3</f>
        <v>308.28877727052583</v>
      </c>
      <c r="W38" s="135">
        <f>'Raw Data'!$D$193*$G$45*'Raw Data'!$T$3</f>
        <v>0</v>
      </c>
      <c r="X38" s="289">
        <f>'Raw Data'!$D$195*$G$45*'Raw Data'!$T$3</f>
        <v>74.705293916322233</v>
      </c>
      <c r="Y38" s="102"/>
      <c r="Z38" s="102"/>
      <c r="AA38" s="102"/>
      <c r="AB38" s="102"/>
      <c r="AC38" s="102"/>
      <c r="AD38" s="102"/>
      <c r="AE38" s="102"/>
      <c r="AF38" s="3"/>
      <c r="AG38" s="25"/>
      <c r="AH38" s="91"/>
      <c r="AI38" s="91"/>
      <c r="AJ38" s="91"/>
      <c r="AK38" s="94"/>
      <c r="AL38" s="94"/>
      <c r="AM38" s="95"/>
      <c r="AN38" s="89"/>
      <c r="AO38" s="116"/>
      <c r="AP38" s="117"/>
      <c r="AQ38" s="118" t="s">
        <v>133</v>
      </c>
      <c r="AR38" s="119"/>
      <c r="AS38" s="120"/>
      <c r="BE38" s="11"/>
      <c r="BF38" s="15"/>
      <c r="BG38" s="23"/>
      <c r="BH38" s="11"/>
      <c r="BI38" s="11"/>
      <c r="BJ38" s="23"/>
      <c r="BL38" s="16"/>
      <c r="BM38" s="10"/>
      <c r="BN38" s="16"/>
      <c r="BO38" s="27"/>
      <c r="BP38" s="27"/>
      <c r="BQ38" s="16"/>
      <c r="BR38" s="10"/>
      <c r="BS38" s="23"/>
      <c r="BT38" s="11"/>
      <c r="BU38" s="11"/>
      <c r="BV38" s="23"/>
      <c r="BW38" s="17"/>
      <c r="BX38" s="16"/>
      <c r="BY38" s="28"/>
      <c r="BZ38" s="28"/>
      <c r="CA38" s="23"/>
      <c r="CB38" s="11"/>
      <c r="CC38" s="11"/>
      <c r="CD38" s="23"/>
      <c r="CF38" s="4"/>
      <c r="CN38" s="1"/>
      <c r="CQ38" s="11"/>
      <c r="CR38" s="17"/>
      <c r="CS38" s="17"/>
      <c r="CT38" s="11"/>
      <c r="CU38" s="17"/>
      <c r="CV38" s="17"/>
      <c r="CW38" s="11"/>
      <c r="CX38" s="17"/>
      <c r="CY38" s="17"/>
      <c r="CZ38" s="11"/>
      <c r="DA38" s="17"/>
      <c r="DB38" s="17"/>
      <c r="DC38" s="11"/>
      <c r="DD38" s="17"/>
      <c r="DE38" s="17"/>
    </row>
    <row r="39" spans="1:109" x14ac:dyDescent="0.2">
      <c r="A39" t="str">
        <f>'Raw Data'!$A319&amp;" Dose (Gy)"</f>
        <v>Disk 46 Dose (Gy)</v>
      </c>
      <c r="E39" s="99">
        <f>'Raw Data'!$D198*'Raw Data'!$T$3*$G$45</f>
        <v>112.05794087448335</v>
      </c>
      <c r="F39" s="135">
        <f>'Raw Data'!$D198*'Raw Data'!$T$3*$G$45</f>
        <v>112.05794087448335</v>
      </c>
      <c r="G39" s="135">
        <f>'Raw Data'!$D198*'Raw Data'!$T$3*$G$45</f>
        <v>112.05794087448335</v>
      </c>
      <c r="H39" s="135">
        <f>'Raw Data'!$D198*'Raw Data'!$T$3*$G$45</f>
        <v>112.05794087448335</v>
      </c>
      <c r="I39" s="135">
        <f>'Raw Data'!$D198*'Raw Data'!$T$3*$G$45</f>
        <v>112.05794087448335</v>
      </c>
      <c r="J39" s="289">
        <f>'Raw Data'!$D198*'Raw Data'!$T$3*$G$45</f>
        <v>112.05794087448335</v>
      </c>
      <c r="K39" s="102"/>
      <c r="L39" s="102"/>
      <c r="M39" s="102"/>
      <c r="N39" s="102"/>
      <c r="O39" s="102"/>
      <c r="P39" s="102"/>
      <c r="Q39" s="99">
        <v>0</v>
      </c>
      <c r="R39" s="135"/>
      <c r="S39" s="135">
        <f>'Raw Data'!$D198*'Raw Data'!$T$3*$G$45</f>
        <v>112.05794087448335</v>
      </c>
      <c r="T39" s="135">
        <f>'Raw Data'!$D$199*$G$45*'Raw Data'!$T$3</f>
        <v>280.32976628006065</v>
      </c>
      <c r="U39" s="135">
        <f>'Raw Data'!$D$201*$G$45*'Raw Data'!$T$3</f>
        <v>560.73349819766224</v>
      </c>
      <c r="V39" s="135">
        <f>'Raw Data'!$D$203*$G$45*'Raw Data'!$T$3</f>
        <v>841.13723011526383</v>
      </c>
      <c r="W39" s="135">
        <f>'Raw Data'!$D$205*$G$45*'Raw Data'!$T$3</f>
        <v>0</v>
      </c>
      <c r="X39" s="289">
        <f>'Raw Data'!$D$207*$G$45*'Raw Data'!$T$3</f>
        <v>280.40373191760159</v>
      </c>
      <c r="Y39" s="102"/>
      <c r="Z39" s="102"/>
      <c r="AA39" s="102"/>
      <c r="AB39" s="102"/>
      <c r="AC39" s="102"/>
      <c r="AD39" s="102"/>
      <c r="AE39" s="102"/>
      <c r="AF39" s="3"/>
      <c r="AG39" s="25"/>
      <c r="AH39" s="91"/>
      <c r="AI39" s="91"/>
      <c r="AJ39" s="91"/>
      <c r="AK39" s="94"/>
      <c r="AL39" s="94"/>
      <c r="AM39" s="95"/>
      <c r="AN39" s="89"/>
      <c r="AO39" s="121"/>
      <c r="AP39" s="122" t="s">
        <v>128</v>
      </c>
      <c r="AQ39" s="122"/>
      <c r="AR39" s="123">
        <f>'Raw Data'!D1</f>
        <v>1</v>
      </c>
      <c r="AS39" s="124"/>
      <c r="BE39" s="11"/>
      <c r="BF39" s="15"/>
      <c r="BG39" s="23"/>
      <c r="BH39" s="11"/>
      <c r="BI39" s="11"/>
      <c r="BJ39" s="23"/>
      <c r="BL39" s="16"/>
      <c r="BM39" s="10"/>
      <c r="BN39" s="16"/>
      <c r="BO39" s="27"/>
      <c r="BP39" s="27"/>
      <c r="BQ39" s="16"/>
      <c r="BR39" s="10"/>
      <c r="BS39" s="23"/>
      <c r="BT39" s="11"/>
      <c r="BU39" s="11"/>
      <c r="BV39" s="23"/>
      <c r="BW39" s="17"/>
      <c r="BX39" s="16"/>
      <c r="BY39" s="28"/>
      <c r="BZ39" s="28"/>
      <c r="CA39" s="23"/>
      <c r="CB39" s="11"/>
      <c r="CC39" s="11"/>
      <c r="CD39" s="23"/>
      <c r="CF39" s="4"/>
      <c r="CN39" s="1"/>
      <c r="CQ39" s="11"/>
      <c r="CR39" s="17"/>
      <c r="CS39" s="17"/>
      <c r="CT39" s="11"/>
      <c r="CU39" s="17"/>
      <c r="CV39" s="17"/>
      <c r="CW39" s="11"/>
      <c r="CX39" s="17"/>
      <c r="CY39" s="17"/>
      <c r="CZ39" s="11"/>
      <c r="DA39" s="17"/>
      <c r="DB39" s="17"/>
      <c r="DC39" s="11"/>
      <c r="DD39" s="17"/>
      <c r="DE39" s="17"/>
    </row>
    <row r="40" spans="1:109" ht="13.5" x14ac:dyDescent="0.25">
      <c r="A40" t="str">
        <f>'Raw Data'!$A320&amp;" Dose (Gy)"</f>
        <v>Disk 47 Dose (Gy)</v>
      </c>
      <c r="E40" s="99">
        <f>'Raw Data'!$D210*'Raw Data'!$T$3*$G$45</f>
        <v>112.05794087448335</v>
      </c>
      <c r="F40" s="135">
        <f>'Raw Data'!$D210*'Raw Data'!$T$3*$G$45</f>
        <v>112.05794087448335</v>
      </c>
      <c r="G40" s="135">
        <f>'Raw Data'!$D210*'Raw Data'!$T$3*$G$45</f>
        <v>112.05794087448335</v>
      </c>
      <c r="H40" s="135">
        <f>'Raw Data'!$D210*'Raw Data'!$T$3*$G$45</f>
        <v>112.05794087448335</v>
      </c>
      <c r="I40" s="135">
        <f>'Raw Data'!$D210*'Raw Data'!$T$3*$G$45</f>
        <v>112.05794087448335</v>
      </c>
      <c r="J40" s="289">
        <f>'Raw Data'!$D210*'Raw Data'!$T$3*$G$45</f>
        <v>112.05794087448335</v>
      </c>
      <c r="K40" s="102"/>
      <c r="L40" s="102"/>
      <c r="M40" s="102"/>
      <c r="N40" s="102"/>
      <c r="O40" s="102"/>
      <c r="P40" s="102"/>
      <c r="Q40" s="99">
        <v>0</v>
      </c>
      <c r="R40" s="135"/>
      <c r="S40" s="135">
        <f>'Raw Data'!$D210*'Raw Data'!$T$3*$G$45</f>
        <v>112.05794087448335</v>
      </c>
      <c r="T40" s="135">
        <f>'Raw Data'!$D$211*$G$45*'Raw Data'!$T$3</f>
        <v>280.40373191760159</v>
      </c>
      <c r="U40" s="135">
        <f>'Raw Data'!$D$213*$G$45*'Raw Data'!$T$3</f>
        <v>560.73349819766224</v>
      </c>
      <c r="V40" s="135">
        <f>'Raw Data'!$D$215*$G$45*'Raw Data'!$T$3</f>
        <v>841.13723011526383</v>
      </c>
      <c r="W40" s="135">
        <f>'Raw Data'!$D$217*$G$45*'Raw Data'!$T$3</f>
        <v>0</v>
      </c>
      <c r="X40" s="289">
        <f>'Raw Data'!$D$219*$G$45*'Raw Data'!$T$3</f>
        <v>280.40373191760159</v>
      </c>
      <c r="Y40" s="102"/>
      <c r="Z40" s="102"/>
      <c r="AA40" s="102"/>
      <c r="AB40" s="102"/>
      <c r="AC40" s="102"/>
      <c r="AD40" s="102"/>
      <c r="AE40" s="102"/>
      <c r="AF40" s="3"/>
      <c r="AG40" s="25"/>
      <c r="AH40" s="91"/>
      <c r="AI40" s="91"/>
      <c r="AJ40" s="91"/>
      <c r="AK40" s="94"/>
      <c r="AL40" s="94"/>
      <c r="AM40" s="95"/>
      <c r="AN40" s="89"/>
      <c r="AO40" s="121"/>
      <c r="AP40" s="125" t="s">
        <v>129</v>
      </c>
      <c r="AQ40" s="125"/>
      <c r="AR40" s="126">
        <v>0</v>
      </c>
      <c r="AS40" s="124"/>
      <c r="BD40" s="3"/>
      <c r="BE40" s="11"/>
      <c r="BF40" s="15"/>
      <c r="BG40" s="23"/>
      <c r="BH40" s="11"/>
      <c r="BI40" s="11"/>
      <c r="BJ40" s="23"/>
      <c r="BL40" s="16"/>
      <c r="BM40" s="10"/>
      <c r="BN40" s="16"/>
      <c r="BO40" s="27"/>
      <c r="BP40" s="27"/>
      <c r="BQ40" s="16"/>
      <c r="BR40" s="10"/>
      <c r="BS40" s="23"/>
      <c r="BT40" s="11"/>
      <c r="BU40" s="11"/>
      <c r="BV40" s="23"/>
      <c r="BW40" s="17"/>
      <c r="BX40" s="16"/>
      <c r="BY40" s="28"/>
      <c r="BZ40" s="28"/>
      <c r="CA40" s="23"/>
      <c r="CB40" s="11"/>
      <c r="CC40" s="11"/>
      <c r="CD40" s="23"/>
      <c r="CF40" s="4"/>
      <c r="CN40" s="1"/>
      <c r="CQ40" s="11"/>
      <c r="CR40" s="17"/>
      <c r="CS40" s="17"/>
      <c r="CT40" s="11"/>
      <c r="CU40" s="17"/>
      <c r="CV40" s="17"/>
      <c r="CW40" s="11"/>
      <c r="CX40" s="17"/>
      <c r="CY40" s="17"/>
      <c r="CZ40" s="11"/>
      <c r="DA40" s="17"/>
      <c r="DB40" s="17"/>
      <c r="DC40" s="11"/>
      <c r="DD40" s="17"/>
      <c r="DE40" s="17"/>
    </row>
    <row r="41" spans="1:109" ht="13.5" x14ac:dyDescent="0.25">
      <c r="A41" t="str">
        <f>'Raw Data'!$A321&amp;" Dose (Gy)"</f>
        <v>Disk 48 Dose (Gy)</v>
      </c>
      <c r="E41" s="99">
        <f>'Raw Data'!$D222*'Raw Data'!$T$3*$G$45</f>
        <v>112.05794087448335</v>
      </c>
      <c r="F41" s="135">
        <f>'Raw Data'!$D222*'Raw Data'!$T$3*$G$45</f>
        <v>112.05794087448335</v>
      </c>
      <c r="G41" s="135">
        <f>'Raw Data'!$D222*'Raw Data'!$T$3*$G$45</f>
        <v>112.05794087448335</v>
      </c>
      <c r="H41" s="135">
        <f>'Raw Data'!$D222*'Raw Data'!$T$3*$G$45</f>
        <v>112.05794087448335</v>
      </c>
      <c r="I41" s="135">
        <f>'Raw Data'!$D222*'Raw Data'!$T$3*$G$45</f>
        <v>112.05794087448335</v>
      </c>
      <c r="J41" s="289">
        <f>'Raw Data'!$D222*'Raw Data'!$T$3*$G$45</f>
        <v>112.05794087448335</v>
      </c>
      <c r="K41" s="102"/>
      <c r="L41" s="102"/>
      <c r="M41" s="102"/>
      <c r="N41" s="102"/>
      <c r="O41" s="102"/>
      <c r="P41" s="102"/>
      <c r="Q41" s="99">
        <v>0</v>
      </c>
      <c r="R41" s="135"/>
      <c r="S41" s="135">
        <f>'Raw Data'!$D222*'Raw Data'!$T$3*$G$45</f>
        <v>112.05794087448335</v>
      </c>
      <c r="T41" s="135">
        <f>'Raw Data'!$D$223*$G$45*'Raw Data'!$T$3</f>
        <v>74.705293916322233</v>
      </c>
      <c r="U41" s="135">
        <f>'Raw Data'!$D$225*$G$45*'Raw Data'!$T$3</f>
        <v>149.48455347018538</v>
      </c>
      <c r="V41" s="135">
        <f>'Raw Data'!$D$227*$G$45*'Raw Data'!$T$3</f>
        <v>308.28877727052583</v>
      </c>
      <c r="W41" s="135">
        <f>'Raw Data'!$D$229*$G$45*'Raw Data'!$T$3</f>
        <v>0</v>
      </c>
      <c r="X41" s="289">
        <f>'Raw Data'!$D$231*$G$45*'Raw Data'!$T$3</f>
        <v>74.705293916322233</v>
      </c>
      <c r="Y41" s="102"/>
      <c r="Z41" s="102"/>
      <c r="AA41" s="102"/>
      <c r="AB41" s="102"/>
      <c r="AC41" s="102"/>
      <c r="AD41" s="102"/>
      <c r="AE41" s="102"/>
      <c r="AF41" s="3"/>
      <c r="AG41" s="25"/>
      <c r="AH41" s="91"/>
      <c r="AI41" s="91"/>
      <c r="AJ41" s="91"/>
      <c r="AK41" s="94"/>
      <c r="AL41" s="94"/>
      <c r="AM41" s="95"/>
      <c r="AN41" s="89"/>
      <c r="AO41" s="121"/>
      <c r="AP41" s="125" t="s">
        <v>130</v>
      </c>
      <c r="AQ41" s="122"/>
      <c r="AR41" s="127">
        <f>0.00000000000000195/(AR39*30)/0.0000000000000000254</f>
        <v>2.5590551181102366</v>
      </c>
      <c r="AS41" s="133"/>
      <c r="BC41" s="4"/>
      <c r="BD41" s="20"/>
      <c r="BE41" s="11"/>
      <c r="BF41" s="15"/>
      <c r="BG41" s="23"/>
      <c r="BH41" s="11"/>
      <c r="BI41" s="11"/>
      <c r="BJ41" s="23"/>
      <c r="BL41" s="16"/>
      <c r="BM41" s="10"/>
      <c r="BN41" s="16"/>
      <c r="BO41" s="27"/>
      <c r="BP41" s="27"/>
      <c r="BQ41" s="16"/>
      <c r="BR41" s="10"/>
      <c r="BS41" s="23"/>
      <c r="BT41" s="11"/>
      <c r="BU41" s="11"/>
      <c r="BV41" s="23"/>
      <c r="BW41" s="17"/>
      <c r="BX41" s="16"/>
      <c r="BY41" s="28"/>
      <c r="BZ41" s="28"/>
      <c r="CA41" s="23"/>
      <c r="CB41" s="11"/>
      <c r="CC41" s="11"/>
      <c r="CD41" s="23"/>
      <c r="CF41" s="4"/>
      <c r="CN41" s="1"/>
      <c r="CQ41" s="11"/>
      <c r="CR41" s="17"/>
      <c r="CS41" s="17"/>
      <c r="CT41" s="11"/>
      <c r="CU41" s="17"/>
      <c r="CV41" s="17"/>
      <c r="CW41" s="11"/>
      <c r="CX41" s="17"/>
      <c r="CY41" s="17"/>
      <c r="CZ41" s="11"/>
      <c r="DA41" s="17"/>
      <c r="DB41" s="17"/>
      <c r="DC41" s="11"/>
      <c r="DD41" s="17"/>
      <c r="DE41" s="17"/>
    </row>
    <row r="42" spans="1:109" ht="13.5" x14ac:dyDescent="0.25">
      <c r="A42" t="str">
        <f>'Raw Data'!$A322&amp;" Dose (Gy)"</f>
        <v>Disk 49 Dose (Gy)</v>
      </c>
      <c r="E42" s="290">
        <f>'Raw Data'!$D234*'Raw Data'!$T$3*$G$45</f>
        <v>112.05794087448335</v>
      </c>
      <c r="F42" s="291">
        <f>'Raw Data'!$D234*'Raw Data'!$T$3*$G$45</f>
        <v>112.05794087448335</v>
      </c>
      <c r="G42" s="291">
        <f>'Raw Data'!$D234*'Raw Data'!$T$3*$G$45</f>
        <v>112.05794087448335</v>
      </c>
      <c r="H42" s="291">
        <f>'Raw Data'!$D234*'Raw Data'!$T$3*$G$45</f>
        <v>112.05794087448335</v>
      </c>
      <c r="I42" s="291">
        <f>'Raw Data'!$D234*'Raw Data'!$T$3*$G$45</f>
        <v>112.05794087448335</v>
      </c>
      <c r="J42" s="292">
        <f>'Raw Data'!$D234*'Raw Data'!$T$3*$G$45</f>
        <v>112.05794087448335</v>
      </c>
      <c r="K42" s="102"/>
      <c r="L42" s="102"/>
      <c r="M42" s="102"/>
      <c r="N42" s="102"/>
      <c r="O42" s="102"/>
      <c r="P42" s="102"/>
      <c r="Q42" s="290">
        <v>0</v>
      </c>
      <c r="R42" s="291"/>
      <c r="S42" s="291">
        <f>'Raw Data'!$D234*'Raw Data'!$T$3*$G$45</f>
        <v>112.05794087448335</v>
      </c>
      <c r="T42" s="291">
        <f>'Raw Data'!$D$235*$G$45*'Raw Data'!$T$3</f>
        <v>74.705293916322233</v>
      </c>
      <c r="U42" s="291">
        <f>'Raw Data'!$D$237*$G$45*'Raw Data'!$T$3</f>
        <v>149.48455347018538</v>
      </c>
      <c r="V42" s="291">
        <f>'Raw Data'!$D$239*$G$45*'Raw Data'!$T$3</f>
        <v>308.28877727052583</v>
      </c>
      <c r="W42" s="291">
        <f>'Raw Data'!$D$241*$G$45*'Raw Data'!$T$3</f>
        <v>0</v>
      </c>
      <c r="X42" s="292">
        <f>'Raw Data'!$D$243*$G$45*'Raw Data'!$T$3</f>
        <v>74.705293916322233</v>
      </c>
      <c r="Y42" s="102"/>
      <c r="Z42" s="102"/>
      <c r="AA42" s="102"/>
      <c r="AB42" s="102"/>
      <c r="AC42" s="102"/>
      <c r="AD42" s="102"/>
      <c r="AE42" s="102"/>
      <c r="AF42" s="3"/>
      <c r="AG42" s="25"/>
      <c r="AH42" s="91"/>
      <c r="AI42" s="91"/>
      <c r="AJ42" s="91"/>
      <c r="AK42" s="94"/>
      <c r="AL42" s="94"/>
      <c r="AM42" s="95"/>
      <c r="AN42" s="89"/>
      <c r="AO42" s="121"/>
      <c r="AP42" s="125" t="s">
        <v>131</v>
      </c>
      <c r="AQ42" s="122"/>
      <c r="AR42" s="127">
        <f>0.00000000000000195/(AR39*30*4.28E-18)</f>
        <v>15.186915887850468</v>
      </c>
      <c r="AS42" s="124"/>
      <c r="BA42" s="4"/>
      <c r="BB42" s="4"/>
      <c r="BC42" s="4"/>
      <c r="BD42" s="20"/>
      <c r="BE42" s="11"/>
      <c r="BF42" s="15"/>
      <c r="BG42" s="23"/>
      <c r="BH42" s="11"/>
      <c r="BI42" s="11"/>
      <c r="BJ42" s="23"/>
      <c r="BL42" s="16"/>
      <c r="BM42" s="10"/>
      <c r="BN42" s="16"/>
      <c r="BO42" s="27"/>
      <c r="BP42" s="27"/>
      <c r="BQ42" s="16"/>
      <c r="BR42" s="10"/>
      <c r="BS42" s="23"/>
      <c r="BT42" s="11"/>
      <c r="BU42" s="11"/>
      <c r="BV42" s="23"/>
      <c r="BW42" s="17"/>
      <c r="BX42" s="16"/>
      <c r="BY42" s="28"/>
      <c r="BZ42" s="28"/>
      <c r="CA42" s="23"/>
      <c r="CB42" s="11"/>
      <c r="CC42" s="11"/>
      <c r="CD42" s="23"/>
      <c r="CF42" s="4"/>
      <c r="CN42" s="1"/>
      <c r="CQ42" s="11"/>
      <c r="CR42" s="17"/>
      <c r="CS42" s="17"/>
      <c r="CT42" s="11"/>
      <c r="CU42" s="17"/>
      <c r="CV42" s="17"/>
      <c r="CW42" s="11"/>
      <c r="CX42" s="17"/>
      <c r="CY42" s="17"/>
      <c r="CZ42" s="11"/>
      <c r="DA42" s="17"/>
      <c r="DB42" s="17"/>
      <c r="DC42" s="11"/>
      <c r="DD42" s="17"/>
      <c r="DE42" s="17"/>
    </row>
    <row r="43" spans="1:109" ht="14.25" thickBot="1" x14ac:dyDescent="0.3">
      <c r="K43" s="102"/>
      <c r="L43" s="102"/>
      <c r="M43" s="102"/>
      <c r="N43" s="102"/>
      <c r="O43" s="102"/>
      <c r="P43" s="102"/>
      <c r="Q43" s="135"/>
      <c r="R43" s="84"/>
      <c r="S43" s="84"/>
      <c r="T43" s="84"/>
      <c r="U43" s="84"/>
      <c r="V43" s="84"/>
      <c r="W43" s="84"/>
      <c r="X43" s="84"/>
      <c r="Y43" s="102"/>
      <c r="Z43" s="102"/>
      <c r="AA43" s="102"/>
      <c r="AB43" s="102"/>
      <c r="AC43" s="102"/>
      <c r="AD43" s="102"/>
      <c r="AE43" s="102"/>
      <c r="AG43" s="25"/>
      <c r="AH43" s="91"/>
      <c r="AI43" s="91"/>
      <c r="AJ43" s="91"/>
      <c r="AK43" s="94"/>
      <c r="AL43" s="94"/>
      <c r="AM43" s="115"/>
      <c r="AN43" s="89"/>
      <c r="AO43" s="128"/>
      <c r="AP43" s="129" t="s">
        <v>132</v>
      </c>
      <c r="AQ43" s="130"/>
      <c r="AR43" s="131">
        <f>0.00000000000000292/(AR39*30*4.28E-18)</f>
        <v>22.741433021806856</v>
      </c>
      <c r="AS43" s="132"/>
      <c r="AT43"/>
      <c r="BA43" s="4"/>
      <c r="BB43" s="4"/>
      <c r="BC43" s="4"/>
      <c r="BD43" s="20"/>
      <c r="BE43" s="11"/>
      <c r="BF43" s="15"/>
      <c r="BG43" s="23"/>
      <c r="BH43" s="11"/>
      <c r="BI43" s="11"/>
      <c r="BJ43" s="23"/>
      <c r="BL43" s="16"/>
      <c r="BM43" s="10"/>
      <c r="BN43" s="16"/>
      <c r="BO43" s="27"/>
      <c r="BP43" s="27"/>
      <c r="BQ43" s="16"/>
      <c r="BR43" s="10"/>
      <c r="BS43" s="23"/>
      <c r="BT43" s="11"/>
      <c r="BU43" s="11"/>
      <c r="BV43" s="23"/>
      <c r="BW43" s="17"/>
      <c r="BX43" s="16"/>
      <c r="BY43" s="28"/>
      <c r="BZ43" s="28"/>
      <c r="CA43" s="23"/>
      <c r="CB43" s="11"/>
      <c r="CC43" s="11"/>
      <c r="CD43" s="23"/>
      <c r="CF43" s="4"/>
      <c r="CN43" s="1"/>
      <c r="CQ43" s="11"/>
      <c r="CR43" s="17"/>
      <c r="CS43" s="17"/>
      <c r="CT43" s="11"/>
      <c r="CU43" s="17"/>
      <c r="CV43" s="17"/>
      <c r="CW43" s="11"/>
      <c r="CX43" s="17"/>
      <c r="CY43" s="17"/>
      <c r="CZ43" s="11"/>
      <c r="DA43" s="17"/>
      <c r="DB43" s="17"/>
      <c r="DC43" s="11"/>
      <c r="DD43" s="17"/>
      <c r="DE43" s="17"/>
    </row>
    <row r="44" spans="1:109" ht="12.75" thickBot="1" x14ac:dyDescent="0.25">
      <c r="K44" s="5"/>
      <c r="L44" s="201" t="s">
        <v>9</v>
      </c>
      <c r="M44" s="294"/>
      <c r="N44" s="294"/>
      <c r="O44" s="294"/>
      <c r="P44" s="294"/>
      <c r="Q44" s="295"/>
      <c r="R44" s="44" t="s">
        <v>17</v>
      </c>
      <c r="S44" s="296"/>
      <c r="T44" s="188">
        <v>1</v>
      </c>
      <c r="U44" s="189">
        <v>1</v>
      </c>
      <c r="V44" s="189">
        <v>1</v>
      </c>
      <c r="W44" s="189">
        <v>1</v>
      </c>
      <c r="X44" s="190">
        <v>1</v>
      </c>
      <c r="Z44" s="103"/>
      <c r="AA44" s="105"/>
      <c r="AE44" s="105"/>
      <c r="AG44" s="25"/>
      <c r="AH44" s="91"/>
      <c r="AI44" s="91"/>
      <c r="AJ44" s="91"/>
      <c r="AK44" s="94"/>
      <c r="AL44" s="94"/>
      <c r="AM44" s="95"/>
      <c r="AN44" s="89"/>
      <c r="AO44" s="89"/>
      <c r="AP44"/>
      <c r="AQ44"/>
      <c r="AR44" s="3"/>
      <c r="AS44" s="3"/>
      <c r="AT44" s="3"/>
      <c r="BA44" s="4"/>
      <c r="BB44" s="4"/>
      <c r="BC44" s="20"/>
      <c r="BD44" s="2"/>
      <c r="BE44" s="5"/>
      <c r="BF44" s="11"/>
      <c r="BG44" s="11"/>
      <c r="BL44" s="2"/>
      <c r="BM44" s="2"/>
      <c r="BN44" s="2"/>
      <c r="BO44" s="5"/>
      <c r="BP44" s="11"/>
      <c r="BQ44" s="11"/>
      <c r="BR44" s="3"/>
      <c r="BS44" s="2"/>
      <c r="BT44" s="2"/>
      <c r="BU44" s="2"/>
      <c r="BV44" s="5"/>
      <c r="BW44" s="11"/>
      <c r="BX44" s="11"/>
      <c r="BY44" s="11"/>
      <c r="BZ44" s="11"/>
      <c r="CA44" s="11"/>
      <c r="CD44" s="3"/>
      <c r="CE44" s="6"/>
    </row>
    <row r="45" spans="1:109" ht="12.75" thickBot="1" x14ac:dyDescent="0.25">
      <c r="D45" s="297" t="s">
        <v>138</v>
      </c>
      <c r="E45" s="298"/>
      <c r="F45" s="298"/>
      <c r="G45" s="196">
        <v>1</v>
      </c>
      <c r="M45" s="108"/>
      <c r="Q45" s="4"/>
      <c r="R45" s="4" t="s">
        <v>18</v>
      </c>
      <c r="S45" s="4"/>
      <c r="Y45" s="150"/>
      <c r="Z45" s="103"/>
      <c r="AG45" s="25"/>
      <c r="AH45" s="91"/>
      <c r="AI45" s="91"/>
      <c r="AJ45" s="91"/>
      <c r="AK45" s="94"/>
      <c r="AL45" s="94"/>
      <c r="AM45" s="95"/>
      <c r="AN45" s="89"/>
      <c r="AO45" s="89"/>
      <c r="AP45" s="1"/>
      <c r="AZ45" s="4"/>
      <c r="BA45" s="4"/>
      <c r="BB45" s="4"/>
      <c r="BC45" s="20"/>
      <c r="BD45" s="2"/>
      <c r="BE45" s="11"/>
      <c r="BF45" s="11"/>
      <c r="BG45" s="11"/>
      <c r="BH45" s="2"/>
      <c r="BL45" s="2"/>
      <c r="BM45" s="2"/>
      <c r="BN45" s="2"/>
      <c r="BO45" s="11"/>
      <c r="BP45" s="11"/>
      <c r="BQ45" s="11"/>
      <c r="BR45" s="3"/>
      <c r="BS45" s="2"/>
      <c r="BT45" s="2"/>
      <c r="BU45" s="2"/>
      <c r="BV45" s="11"/>
      <c r="BW45" s="11"/>
      <c r="BX45" s="11"/>
      <c r="BY45" s="11"/>
      <c r="BZ45" s="11"/>
      <c r="CA45" s="11"/>
      <c r="CD45" s="3"/>
      <c r="CE45" s="3"/>
      <c r="CF45" s="6"/>
    </row>
    <row r="46" spans="1:109" x14ac:dyDescent="0.2">
      <c r="G46" s="4"/>
      <c r="H46" s="4"/>
      <c r="M46" s="103"/>
      <c r="N46" s="103"/>
      <c r="Q46" s="4"/>
      <c r="R46" s="4" t="s">
        <v>19</v>
      </c>
      <c r="S46" s="4"/>
      <c r="Y46" s="150"/>
      <c r="Z46" s="150"/>
      <c r="AA46" s="143"/>
      <c r="AG46" s="25"/>
      <c r="AH46" s="91"/>
      <c r="AI46" s="94"/>
      <c r="AJ46" s="91"/>
      <c r="AK46" s="94"/>
      <c r="AL46" s="94"/>
      <c r="AM46" s="95"/>
      <c r="AN46" s="89"/>
      <c r="AO46" s="89"/>
      <c r="AP46"/>
      <c r="AZ46" s="4"/>
      <c r="BA46" s="4"/>
      <c r="BB46" s="4"/>
      <c r="BC46" s="3"/>
      <c r="BD46" s="2"/>
      <c r="BE46" s="11"/>
      <c r="BF46" s="11"/>
      <c r="BG46" s="11"/>
      <c r="BH46" s="17"/>
      <c r="BM46" s="17"/>
      <c r="BN46" s="17"/>
      <c r="BO46" s="11"/>
      <c r="BP46" s="11"/>
      <c r="BQ46" s="11"/>
      <c r="BR46" s="3"/>
      <c r="BT46" s="17"/>
      <c r="BU46" s="17"/>
      <c r="BV46" s="11"/>
      <c r="BW46" s="11"/>
      <c r="BX46" s="11"/>
      <c r="BY46" s="11"/>
      <c r="BZ46" s="11"/>
      <c r="CA46" s="11"/>
      <c r="CD46" s="3"/>
      <c r="CE46" s="3"/>
      <c r="CF46" s="6"/>
    </row>
    <row r="47" spans="1:109" x14ac:dyDescent="0.2">
      <c r="H47" s="3"/>
      <c r="N47" s="110"/>
      <c r="R47" t="s">
        <v>20</v>
      </c>
      <c r="V47" s="7"/>
      <c r="W47" s="7"/>
      <c r="Y47" s="143"/>
      <c r="Z47" s="143"/>
      <c r="AA47" s="143"/>
      <c r="AC47" s="106"/>
      <c r="AD47" s="106"/>
      <c r="AG47" s="25"/>
      <c r="AH47" s="91"/>
      <c r="AI47" s="94"/>
      <c r="AJ47" s="91"/>
      <c r="AK47" s="94"/>
      <c r="AL47" s="94"/>
      <c r="AM47" s="95"/>
      <c r="AN47" s="89"/>
      <c r="AO47" s="89"/>
      <c r="AP47" s="1"/>
      <c r="AQ47" s="1"/>
      <c r="AR47" s="3"/>
      <c r="AS47" s="3"/>
      <c r="AT47" s="3"/>
      <c r="BD47" s="20"/>
      <c r="BE47" s="11"/>
      <c r="BF47" s="11"/>
      <c r="BG47" s="11"/>
      <c r="BH47" s="17"/>
      <c r="BM47" s="17"/>
      <c r="BN47" s="17"/>
      <c r="BO47" s="11"/>
      <c r="BP47" s="11"/>
      <c r="BQ47" s="11"/>
      <c r="BT47" s="17"/>
      <c r="BU47" s="17"/>
      <c r="BV47" s="11"/>
      <c r="BW47" s="11"/>
      <c r="BX47" s="11"/>
      <c r="BY47" s="11"/>
      <c r="BZ47" s="11"/>
      <c r="CA47" s="11"/>
    </row>
    <row r="48" spans="1:109" x14ac:dyDescent="0.2">
      <c r="H48" s="23"/>
      <c r="I48" s="139" t="str">
        <f>$A$23</f>
        <v>Disk 30 Dose (Gy)</v>
      </c>
      <c r="J48" s="140" t="s">
        <v>52</v>
      </c>
      <c r="K48" s="141" t="s">
        <v>52</v>
      </c>
      <c r="L48" s="141"/>
      <c r="M48" s="141"/>
      <c r="N48" s="141"/>
      <c r="O48" s="141"/>
      <c r="P48" s="141"/>
      <c r="Q48" s="306"/>
      <c r="R48" s="306"/>
      <c r="S48" s="306"/>
      <c r="T48" s="306">
        <f>'Raw Data'!$D$7*$G$45*'Raw Data'!$T$3</f>
        <v>280.32976628006065</v>
      </c>
      <c r="U48" s="306">
        <f>'Raw Data'!$D$9*$G$45*'Raw Data'!$T$3</f>
        <v>560.65953256012131</v>
      </c>
      <c r="V48" s="306">
        <f>'Raw Data'!$D$11*$G$45*'Raw Data'!$T$3</f>
        <v>840.91533320264114</v>
      </c>
      <c r="W48" s="312">
        <f>'Raw Data'!$D$13*$G$45*'Raw Data'!$T$3</f>
        <v>0</v>
      </c>
      <c r="X48" s="313">
        <f>'Raw Data'!$D$15*$G$45*'Raw Data'!$T$3</f>
        <v>280.32976628006065</v>
      </c>
      <c r="Y48" s="143"/>
      <c r="Z48" s="151"/>
      <c r="AA48" s="151"/>
      <c r="AB48" s="104"/>
      <c r="AC48" s="104"/>
      <c r="AD48" s="104"/>
      <c r="AE48" s="104"/>
      <c r="AK48" s="1"/>
      <c r="AL48" s="1"/>
      <c r="AM48" s="1"/>
      <c r="AN48" s="1"/>
      <c r="AO48" s="1"/>
      <c r="AP48" s="1"/>
      <c r="AQ48" s="1"/>
      <c r="AR48" s="1"/>
      <c r="AS48" s="3"/>
      <c r="AT48" s="3"/>
      <c r="AU48" s="3"/>
      <c r="BD48" s="2"/>
      <c r="BE48" s="11"/>
      <c r="BF48" s="11"/>
      <c r="BG48" s="11"/>
      <c r="BH48" s="2"/>
      <c r="BM48" s="17"/>
      <c r="BN48" s="17"/>
      <c r="BO48" s="11"/>
      <c r="BP48" s="11"/>
      <c r="BQ48" s="11"/>
      <c r="BS48" s="8"/>
      <c r="BT48" s="17"/>
      <c r="BU48" s="17"/>
      <c r="BV48" s="11"/>
      <c r="BW48" s="11"/>
      <c r="BX48" s="11"/>
      <c r="BY48" s="11"/>
      <c r="BZ48" s="11"/>
      <c r="CA48" s="11"/>
    </row>
    <row r="49" spans="8:79" ht="12.75" thickBot="1" x14ac:dyDescent="0.25">
      <c r="H49" s="23"/>
      <c r="I49" s="142" t="str">
        <f>$A$23</f>
        <v>Disk 30 Dose (Gy)</v>
      </c>
      <c r="J49" s="75" t="s">
        <v>46</v>
      </c>
      <c r="K49" s="143"/>
      <c r="L49" s="143"/>
      <c r="M49" s="143"/>
      <c r="N49" s="153"/>
      <c r="O49" s="143"/>
      <c r="P49" s="143"/>
      <c r="Q49" s="307">
        <f>Q23^2</f>
        <v>0</v>
      </c>
      <c r="R49" s="307">
        <v>0</v>
      </c>
      <c r="S49" s="307">
        <f t="shared" ref="S49:X49" si="46">S23^2</f>
        <v>12556.982113029206</v>
      </c>
      <c r="T49" s="307">
        <f t="shared" si="46"/>
        <v>78584.777862633433</v>
      </c>
      <c r="U49" s="307">
        <f t="shared" si="46"/>
        <v>314339.11145053373</v>
      </c>
      <c r="V49" s="307">
        <f t="shared" si="46"/>
        <v>707138.59761530894</v>
      </c>
      <c r="W49" s="307">
        <f t="shared" si="46"/>
        <v>0</v>
      </c>
      <c r="X49" s="308">
        <f t="shared" si="46"/>
        <v>78584.777862633433</v>
      </c>
      <c r="Y49" s="143"/>
      <c r="Z49" s="151"/>
      <c r="AA49" s="151"/>
      <c r="AB49" s="104"/>
      <c r="AC49" s="104"/>
      <c r="AD49" s="104"/>
      <c r="AE49" s="104"/>
      <c r="AK49" s="1"/>
      <c r="AL49" s="1"/>
      <c r="AM49" s="1"/>
      <c r="AN49" s="1"/>
      <c r="AO49" s="1"/>
      <c r="AP49" s="1"/>
      <c r="AQ49" s="1"/>
      <c r="AR49" s="1"/>
      <c r="AS49" s="3"/>
      <c r="AT49" s="3"/>
      <c r="AU49" s="3"/>
      <c r="BD49" s="2"/>
      <c r="BE49" s="11"/>
      <c r="BF49" s="11"/>
      <c r="BG49" s="11"/>
      <c r="BH49" s="2"/>
      <c r="BM49" s="17"/>
      <c r="BN49" s="17"/>
      <c r="BO49" s="11"/>
      <c r="BP49" s="11"/>
      <c r="BQ49" s="11"/>
      <c r="BS49" s="8"/>
      <c r="BT49" s="17"/>
      <c r="BU49" s="17"/>
      <c r="BV49" s="11"/>
      <c r="BW49" s="11"/>
      <c r="BX49" s="11"/>
      <c r="BY49" s="11"/>
      <c r="BZ49" s="11"/>
      <c r="CA49" s="11"/>
    </row>
    <row r="50" spans="8:79" ht="12.75" thickBot="1" x14ac:dyDescent="0.25">
      <c r="I50" s="142" t="str">
        <f>$A$24</f>
        <v>Disk 31 Dose (Gy)</v>
      </c>
      <c r="J50" s="75" t="s">
        <v>52</v>
      </c>
      <c r="K50" s="143" t="s">
        <v>52</v>
      </c>
      <c r="L50" s="143"/>
      <c r="M50" s="143"/>
      <c r="N50" s="153"/>
      <c r="O50" s="143"/>
      <c r="P50" s="143"/>
      <c r="Q50" s="307"/>
      <c r="R50" s="307"/>
      <c r="S50" s="307"/>
      <c r="T50" s="307">
        <f>'Raw Data'!$D$19*$G$45*'Raw Data'!$T$3</f>
        <v>280.32976628006065</v>
      </c>
      <c r="U50" s="307">
        <f>'Raw Data'!$D$21*$G$45*'Raw Data'!$T$3</f>
        <v>560.65953256012131</v>
      </c>
      <c r="V50" s="307">
        <f>'Raw Data'!$D$23*$G$45*'Raw Data'!$T$3</f>
        <v>840.91533320264114</v>
      </c>
      <c r="W50" s="168">
        <f>'Raw Data'!$D$25*$G$45*'Raw Data'!$T$3</f>
        <v>0</v>
      </c>
      <c r="X50" s="309">
        <f>'Raw Data'!$D$27*$G$45*'Raw Data'!$T$3</f>
        <v>280.32976628006065</v>
      </c>
      <c r="Y50" s="143"/>
      <c r="Z50" s="151"/>
      <c r="AA50" s="151"/>
      <c r="AB50" s="104"/>
      <c r="AC50" s="104"/>
      <c r="AD50" s="104"/>
      <c r="AE50" s="104"/>
      <c r="AH50" s="42" t="s">
        <v>88</v>
      </c>
      <c r="AI50" s="43" t="s">
        <v>89</v>
      </c>
      <c r="AJ50" s="44"/>
      <c r="AK50" s="44"/>
      <c r="AL50" s="44"/>
      <c r="AM50" s="44"/>
      <c r="AN50" s="44"/>
      <c r="AO50" s="44"/>
      <c r="AP50" s="45"/>
      <c r="AQ50" s="46"/>
      <c r="AR50" s="1"/>
      <c r="AS50" s="3"/>
      <c r="AT50" s="3"/>
      <c r="AU50" s="3"/>
      <c r="BD50" s="2"/>
      <c r="BE50" s="2"/>
      <c r="BF50" s="2"/>
      <c r="BG50" s="2"/>
      <c r="BL50" s="8"/>
    </row>
    <row r="51" spans="8:79" x14ac:dyDescent="0.2">
      <c r="I51" s="142" t="str">
        <f>$A$24</f>
        <v>Disk 31 Dose (Gy)</v>
      </c>
      <c r="J51" s="75" t="s">
        <v>46</v>
      </c>
      <c r="K51" s="143"/>
      <c r="L51" s="143"/>
      <c r="M51" s="143"/>
      <c r="N51" s="143"/>
      <c r="O51" s="144"/>
      <c r="P51" s="143"/>
      <c r="Q51" s="307">
        <f>Q24^2</f>
        <v>0</v>
      </c>
      <c r="R51" s="307">
        <v>1</v>
      </c>
      <c r="S51" s="307">
        <f t="shared" ref="S51:X51" si="47">S24^2</f>
        <v>12556.982113029206</v>
      </c>
      <c r="T51" s="307">
        <f t="shared" si="47"/>
        <v>78584.777862633433</v>
      </c>
      <c r="U51" s="307">
        <f t="shared" si="47"/>
        <v>314339.11145053373</v>
      </c>
      <c r="V51" s="307">
        <f t="shared" si="47"/>
        <v>707138.59761530894</v>
      </c>
      <c r="W51" s="307">
        <f t="shared" si="47"/>
        <v>0</v>
      </c>
      <c r="X51" s="308">
        <f t="shared" si="47"/>
        <v>78584.777862633433</v>
      </c>
      <c r="Y51" s="143"/>
      <c r="Z51" s="151"/>
      <c r="AA51" s="151"/>
      <c r="AB51" s="104"/>
      <c r="AC51" s="104"/>
      <c r="AD51" s="104"/>
      <c r="AE51" s="104"/>
      <c r="AH51" s="136"/>
      <c r="AI51" s="137"/>
      <c r="AJ51" s="75"/>
      <c r="AK51" s="75"/>
      <c r="AL51" s="75"/>
      <c r="AM51" s="75"/>
      <c r="AN51" s="75"/>
      <c r="AO51" s="75"/>
      <c r="AP51" s="138"/>
      <c r="AQ51" s="138"/>
      <c r="AR51" s="1"/>
      <c r="AS51" s="3"/>
      <c r="AT51" s="3"/>
      <c r="AU51" s="3"/>
      <c r="BD51" s="2"/>
      <c r="BE51" s="2"/>
      <c r="BF51" s="2"/>
      <c r="BG51" s="2"/>
      <c r="BL51" s="8"/>
    </row>
    <row r="52" spans="8:79" x14ac:dyDescent="0.2">
      <c r="I52" s="142" t="str">
        <f>$A$25</f>
        <v>Disk 32 Dose (Gy)</v>
      </c>
      <c r="J52" s="24" t="s">
        <v>52</v>
      </c>
      <c r="K52" s="143" t="s">
        <v>52</v>
      </c>
      <c r="L52" s="143"/>
      <c r="M52" s="143"/>
      <c r="N52" s="143"/>
      <c r="O52" s="144"/>
      <c r="P52" s="143"/>
      <c r="Q52" s="307"/>
      <c r="R52" s="307"/>
      <c r="S52" s="307"/>
      <c r="T52" s="307">
        <f>'Raw Data'!$D$31*$G$45*'Raw Data'!$T$3</f>
        <v>74.705293916322233</v>
      </c>
      <c r="U52" s="307">
        <f>'Raw Data'!$D$33*$G$45*'Raw Data'!$T$3</f>
        <v>149.41058783264447</v>
      </c>
      <c r="V52" s="307">
        <f>'Raw Data'!$D$35*$G$45*'Raw Data'!$T$3</f>
        <v>308.21481163298489</v>
      </c>
      <c r="W52" s="168">
        <f>'Raw Data'!$D$37*$G$45*'Raw Data'!$T$3</f>
        <v>0</v>
      </c>
      <c r="X52" s="309">
        <f>'Raw Data'!$D$39*$G$45*'Raw Data'!$T$3</f>
        <v>74.705293916322233</v>
      </c>
      <c r="Y52" s="143"/>
      <c r="Z52" s="151"/>
      <c r="AA52" s="151"/>
      <c r="AB52" s="104"/>
      <c r="AC52" s="104"/>
      <c r="AD52" s="104"/>
      <c r="AE52" s="104"/>
      <c r="AH52" s="136"/>
      <c r="AI52" s="137"/>
      <c r="AJ52" s="75"/>
      <c r="AK52" s="75"/>
      <c r="AL52" s="75"/>
      <c r="AM52" s="75"/>
      <c r="AN52" s="75"/>
      <c r="AO52" s="75"/>
      <c r="AP52" s="138"/>
      <c r="AQ52" s="138"/>
      <c r="AR52" s="1"/>
      <c r="AS52" s="3"/>
      <c r="AT52" s="3"/>
      <c r="AU52" s="3"/>
      <c r="BD52" s="2"/>
      <c r="BE52" s="2"/>
      <c r="BF52" s="2"/>
      <c r="BG52" s="2"/>
      <c r="BL52" s="8"/>
    </row>
    <row r="53" spans="8:79" x14ac:dyDescent="0.2">
      <c r="I53" s="142" t="str">
        <f>$A$25</f>
        <v>Disk 32 Dose (Gy)</v>
      </c>
      <c r="J53" s="75" t="s">
        <v>46</v>
      </c>
      <c r="K53" s="143"/>
      <c r="L53" s="143"/>
      <c r="M53" s="143"/>
      <c r="N53" s="143"/>
      <c r="O53" s="144"/>
      <c r="P53" s="143"/>
      <c r="Q53" s="307">
        <f>Q25^2</f>
        <v>0</v>
      </c>
      <c r="R53" s="307">
        <v>2</v>
      </c>
      <c r="S53" s="307">
        <f t="shared" ref="S53:X53" si="48">S25^2</f>
        <v>12556.982113029206</v>
      </c>
      <c r="T53" s="307">
        <f t="shared" si="48"/>
        <v>5580.880939124092</v>
      </c>
      <c r="U53" s="307">
        <f t="shared" si="48"/>
        <v>22323.523756496368</v>
      </c>
      <c r="V53" s="307">
        <f t="shared" si="48"/>
        <v>94996.370109956362</v>
      </c>
      <c r="W53" s="307">
        <f t="shared" si="48"/>
        <v>0</v>
      </c>
      <c r="X53" s="308">
        <f t="shared" si="48"/>
        <v>5580.880939124092</v>
      </c>
      <c r="Y53" s="143"/>
      <c r="Z53" s="151"/>
      <c r="AA53" s="151"/>
      <c r="AB53" s="104"/>
      <c r="AC53" s="104"/>
      <c r="AD53" s="104"/>
      <c r="AE53" s="104"/>
      <c r="AH53" s="136"/>
      <c r="AI53" s="137"/>
      <c r="AJ53" s="75"/>
      <c r="AK53" s="75"/>
      <c r="AL53" s="75"/>
      <c r="AM53" s="75"/>
      <c r="AN53" s="75"/>
      <c r="AO53" s="75"/>
      <c r="AP53" s="138"/>
      <c r="AQ53" s="138"/>
      <c r="AR53" s="1"/>
      <c r="AS53" s="3"/>
      <c r="AT53" s="3"/>
      <c r="AU53" s="3"/>
      <c r="BD53" s="2"/>
      <c r="BE53" s="2"/>
      <c r="BF53" s="2"/>
      <c r="BG53" s="2"/>
      <c r="BL53" s="8"/>
    </row>
    <row r="54" spans="8:79" x14ac:dyDescent="0.2">
      <c r="I54" s="142" t="str">
        <f>$A$26</f>
        <v>Disk 33 Dose (Gy)</v>
      </c>
      <c r="J54" s="24" t="s">
        <v>52</v>
      </c>
      <c r="K54" s="143" t="s">
        <v>52</v>
      </c>
      <c r="L54" s="143"/>
      <c r="M54" s="143"/>
      <c r="N54" s="143"/>
      <c r="O54" s="144"/>
      <c r="P54" s="143"/>
      <c r="Q54" s="307"/>
      <c r="R54" s="307"/>
      <c r="S54" s="307"/>
      <c r="T54" s="307">
        <f>'Raw Data'!$D$43*$G$45*'Raw Data'!$T$3</f>
        <v>280.32976628006065</v>
      </c>
      <c r="U54" s="307">
        <f>'Raw Data'!$D$45*$G$45*'Raw Data'!$T$3</f>
        <v>560.65953256012131</v>
      </c>
      <c r="V54" s="307">
        <f>'Raw Data'!$D$47*$G$45*'Raw Data'!$T$3</f>
        <v>840.98929884018207</v>
      </c>
      <c r="W54" s="168">
        <f>'Raw Data'!$D$49*$G$45*'Raw Data'!$T$3</f>
        <v>0</v>
      </c>
      <c r="X54" s="309">
        <f>'Raw Data'!$D$51*$G$45*'Raw Data'!$T$3</f>
        <v>280.32976628006065</v>
      </c>
      <c r="Y54" s="143"/>
      <c r="Z54" s="151"/>
      <c r="AA54" s="151"/>
      <c r="AB54" s="104"/>
      <c r="AC54" s="104"/>
      <c r="AD54" s="104"/>
      <c r="AE54" s="104"/>
      <c r="AH54" s="136"/>
      <c r="AI54" s="137"/>
      <c r="AJ54" s="75"/>
      <c r="AK54" s="75"/>
      <c r="AL54" s="75"/>
      <c r="AM54" s="75"/>
      <c r="AN54" s="75"/>
      <c r="AO54" s="75"/>
      <c r="AP54" s="138"/>
      <c r="AQ54" s="138"/>
      <c r="AR54" s="1"/>
      <c r="AS54" s="3"/>
      <c r="AT54" s="3"/>
      <c r="AU54" s="3"/>
      <c r="BD54" s="2"/>
      <c r="BE54" s="2"/>
      <c r="BF54" s="2"/>
      <c r="BG54" s="2"/>
      <c r="BL54" s="8"/>
    </row>
    <row r="55" spans="8:79" x14ac:dyDescent="0.2">
      <c r="I55" s="142" t="str">
        <f>$A$26</f>
        <v>Disk 33 Dose (Gy)</v>
      </c>
      <c r="J55" s="75" t="s">
        <v>46</v>
      </c>
      <c r="K55" s="143"/>
      <c r="L55" s="143"/>
      <c r="M55" s="143"/>
      <c r="N55" s="143"/>
      <c r="O55" s="144"/>
      <c r="P55" s="143"/>
      <c r="Q55" s="307">
        <f>Q26^2</f>
        <v>0</v>
      </c>
      <c r="R55" s="307">
        <v>3</v>
      </c>
      <c r="S55" s="307">
        <f t="shared" ref="S55:X55" si="49">S26^2</f>
        <v>12556.982113029206</v>
      </c>
      <c r="T55" s="307">
        <f t="shared" si="49"/>
        <v>78584.777862633433</v>
      </c>
      <c r="U55" s="307">
        <f t="shared" si="49"/>
        <v>314339.11145053373</v>
      </c>
      <c r="V55" s="307">
        <f t="shared" si="49"/>
        <v>707263.00076370104</v>
      </c>
      <c r="W55" s="307">
        <f t="shared" si="49"/>
        <v>0</v>
      </c>
      <c r="X55" s="308">
        <f t="shared" si="49"/>
        <v>78584.777862633433</v>
      </c>
      <c r="Y55" s="143"/>
      <c r="Z55" s="151"/>
      <c r="AA55" s="151"/>
      <c r="AB55" s="104"/>
      <c r="AC55" s="104"/>
      <c r="AD55" s="104"/>
      <c r="AE55" s="104"/>
      <c r="AH55" s="136"/>
      <c r="AI55" s="137"/>
      <c r="AJ55" s="75"/>
      <c r="AK55" s="75"/>
      <c r="AL55" s="75"/>
      <c r="AM55" s="75"/>
      <c r="AN55" s="75"/>
      <c r="AO55" s="75"/>
      <c r="AP55" s="138"/>
      <c r="AQ55" s="138"/>
      <c r="AR55" s="1"/>
      <c r="AS55" s="3"/>
      <c r="AT55" s="3"/>
      <c r="AU55" s="3"/>
      <c r="BD55" s="2"/>
      <c r="BE55" s="2"/>
      <c r="BF55" s="2"/>
      <c r="BG55" s="2"/>
      <c r="BL55" s="8"/>
    </row>
    <row r="56" spans="8:79" x14ac:dyDescent="0.2">
      <c r="I56" s="142" t="str">
        <f>$A$27</f>
        <v>Disk 34 Dose (Gy)</v>
      </c>
      <c r="J56" s="24" t="s">
        <v>52</v>
      </c>
      <c r="K56" s="143" t="s">
        <v>52</v>
      </c>
      <c r="L56" s="143"/>
      <c r="M56" s="143"/>
      <c r="N56" s="143"/>
      <c r="O56" s="144"/>
      <c r="P56" s="143"/>
      <c r="Q56" s="307"/>
      <c r="R56" s="307"/>
      <c r="S56" s="307"/>
      <c r="T56" s="307">
        <f>'Raw Data'!$D$55*$G$45*'Raw Data'!$T$3</f>
        <v>74.705293916322233</v>
      </c>
      <c r="U56" s="307">
        <f>'Raw Data'!$D$57*$G$45*'Raw Data'!$T$3</f>
        <v>149.41058783264447</v>
      </c>
      <c r="V56" s="307">
        <f>'Raw Data'!$D$59*$G$45*'Raw Data'!$T$3</f>
        <v>308.21481163298489</v>
      </c>
      <c r="W56" s="168">
        <f>'Raw Data'!$D$61*$G$45*'Raw Data'!$T$3</f>
        <v>0</v>
      </c>
      <c r="X56" s="309">
        <f>'Raw Data'!$D$63*$G$45*'Raw Data'!$T$3</f>
        <v>74.705293916322233</v>
      </c>
      <c r="Y56" s="143"/>
      <c r="Z56" s="151"/>
      <c r="AA56" s="151"/>
      <c r="AB56" s="104"/>
      <c r="AC56" s="104"/>
      <c r="AD56" s="104"/>
      <c r="AE56" s="104"/>
      <c r="AH56" s="136"/>
      <c r="AI56" s="137"/>
      <c r="AJ56" s="75"/>
      <c r="AK56" s="75"/>
      <c r="AL56" s="75"/>
      <c r="AM56" s="75"/>
      <c r="AN56" s="75"/>
      <c r="AO56" s="75"/>
      <c r="AP56" s="138"/>
      <c r="AQ56" s="138"/>
      <c r="AR56" s="1"/>
      <c r="AS56" s="3"/>
      <c r="AT56" s="3"/>
      <c r="AU56" s="3"/>
      <c r="BD56" s="2"/>
      <c r="BE56" s="2"/>
      <c r="BF56" s="2"/>
      <c r="BG56" s="2"/>
      <c r="BL56" s="8"/>
    </row>
    <row r="57" spans="8:79" x14ac:dyDescent="0.2">
      <c r="I57" s="142" t="str">
        <f>$A$27</f>
        <v>Disk 34 Dose (Gy)</v>
      </c>
      <c r="J57" s="75" t="s">
        <v>46</v>
      </c>
      <c r="K57" s="143"/>
      <c r="L57" s="143"/>
      <c r="M57" s="143"/>
      <c r="N57" s="143"/>
      <c r="O57" s="144"/>
      <c r="P57" s="143"/>
      <c r="Q57" s="307">
        <f>Q27^2</f>
        <v>0</v>
      </c>
      <c r="R57" s="307">
        <v>4</v>
      </c>
      <c r="S57" s="307">
        <f t="shared" ref="S57:X57" si="50">S27^2</f>
        <v>12556.982113029206</v>
      </c>
      <c r="T57" s="307">
        <f t="shared" si="50"/>
        <v>5580.880939124092</v>
      </c>
      <c r="U57" s="307">
        <f t="shared" si="50"/>
        <v>22323.523756496368</v>
      </c>
      <c r="V57" s="307">
        <f t="shared" si="50"/>
        <v>94996.370109956362</v>
      </c>
      <c r="W57" s="307">
        <f t="shared" si="50"/>
        <v>0</v>
      </c>
      <c r="X57" s="308">
        <f t="shared" si="50"/>
        <v>5580.880939124092</v>
      </c>
      <c r="Y57" s="143"/>
      <c r="Z57" s="151"/>
      <c r="AA57" s="151"/>
      <c r="AB57" s="104"/>
      <c r="AC57" s="104"/>
      <c r="AD57" s="104"/>
      <c r="AE57" s="104"/>
      <c r="AH57" s="136"/>
      <c r="AI57" s="137"/>
      <c r="AJ57" s="75"/>
      <c r="AK57" s="75"/>
      <c r="AL57" s="75"/>
      <c r="AM57" s="75"/>
      <c r="AN57" s="75"/>
      <c r="AO57" s="75"/>
      <c r="AP57" s="138"/>
      <c r="AQ57" s="138"/>
      <c r="AR57" s="1"/>
      <c r="AS57" s="3"/>
      <c r="AT57" s="3"/>
      <c r="AU57" s="3"/>
      <c r="BD57" s="2"/>
      <c r="BE57" s="2"/>
      <c r="BF57" s="2"/>
      <c r="BG57" s="2"/>
      <c r="BL57" s="8"/>
    </row>
    <row r="58" spans="8:79" x14ac:dyDescent="0.2">
      <c r="I58" s="142" t="str">
        <f>$A$28</f>
        <v>Disk 35 Dose (Gy)</v>
      </c>
      <c r="J58" s="24" t="s">
        <v>52</v>
      </c>
      <c r="K58" s="143" t="s">
        <v>52</v>
      </c>
      <c r="L58" s="143"/>
      <c r="M58" s="143"/>
      <c r="N58" s="143"/>
      <c r="O58" s="144"/>
      <c r="P58" s="143"/>
      <c r="Q58" s="307"/>
      <c r="R58" s="307"/>
      <c r="S58" s="307"/>
      <c r="T58" s="307">
        <f>'Raw Data'!$D$67*$G$45*'Raw Data'!$T$3</f>
        <v>74.705293916322233</v>
      </c>
      <c r="U58" s="307">
        <f>'Raw Data'!$D$69*$G$45*'Raw Data'!$T$3</f>
        <v>149.41058783264447</v>
      </c>
      <c r="V58" s="307">
        <f>'Raw Data'!$D$71*$G$45*'Raw Data'!$T$3</f>
        <v>308.21481163298489</v>
      </c>
      <c r="W58" s="168">
        <f>'Raw Data'!$D$73*$G$45*'Raw Data'!$T$3</f>
        <v>0</v>
      </c>
      <c r="X58" s="309">
        <f>'Raw Data'!$D$75*$G$45*'Raw Data'!$T$3</f>
        <v>74.705293916322233</v>
      </c>
      <c r="Y58" s="143"/>
      <c r="Z58" s="151"/>
      <c r="AA58" s="151"/>
      <c r="AB58" s="104"/>
      <c r="AC58" s="104"/>
      <c r="AD58" s="104"/>
      <c r="AE58" s="104"/>
      <c r="AH58" s="136"/>
      <c r="AI58" s="137"/>
      <c r="AJ58" s="75"/>
      <c r="AK58" s="75"/>
      <c r="AL58" s="75"/>
      <c r="AM58" s="75"/>
      <c r="AN58" s="75"/>
      <c r="AO58" s="75"/>
      <c r="AP58" s="138"/>
      <c r="AQ58" s="138"/>
      <c r="AR58" s="1"/>
      <c r="AS58" s="3"/>
      <c r="AT58" s="3"/>
      <c r="AU58" s="3"/>
      <c r="BD58" s="2"/>
      <c r="BE58" s="2"/>
      <c r="BF58" s="2"/>
      <c r="BG58" s="2"/>
      <c r="BL58" s="8"/>
    </row>
    <row r="59" spans="8:79" x14ac:dyDescent="0.2">
      <c r="I59" s="142" t="str">
        <f>$A$28</f>
        <v>Disk 35 Dose (Gy)</v>
      </c>
      <c r="J59" s="75" t="s">
        <v>46</v>
      </c>
      <c r="K59" s="143"/>
      <c r="L59" s="143"/>
      <c r="M59" s="143"/>
      <c r="N59" s="143"/>
      <c r="O59" s="144"/>
      <c r="P59" s="143"/>
      <c r="Q59" s="307">
        <f>Q28^2</f>
        <v>0</v>
      </c>
      <c r="R59" s="307">
        <v>5</v>
      </c>
      <c r="S59" s="307">
        <f t="shared" ref="S59:X59" si="51">S28^2</f>
        <v>12556.982113029206</v>
      </c>
      <c r="T59" s="307">
        <f t="shared" si="51"/>
        <v>5580.880939124092</v>
      </c>
      <c r="U59" s="307">
        <f t="shared" si="51"/>
        <v>22323.523756496368</v>
      </c>
      <c r="V59" s="307">
        <f t="shared" si="51"/>
        <v>94996.370109956362</v>
      </c>
      <c r="W59" s="307">
        <f t="shared" si="51"/>
        <v>0</v>
      </c>
      <c r="X59" s="308">
        <f t="shared" si="51"/>
        <v>5580.880939124092</v>
      </c>
      <c r="Y59" s="143"/>
      <c r="Z59" s="151"/>
      <c r="AA59" s="151"/>
      <c r="AB59" s="104"/>
      <c r="AC59" s="104"/>
      <c r="AD59" s="104"/>
      <c r="AE59" s="104"/>
      <c r="AH59" s="136"/>
      <c r="AI59" s="137"/>
      <c r="AJ59" s="75"/>
      <c r="AK59" s="75"/>
      <c r="AL59" s="75"/>
      <c r="AM59" s="75"/>
      <c r="AN59" s="75"/>
      <c r="AO59" s="75"/>
      <c r="AP59" s="138"/>
      <c r="AQ59" s="138"/>
      <c r="AR59" s="1"/>
      <c r="AS59" s="3"/>
      <c r="AT59" s="3"/>
      <c r="AU59" s="3"/>
      <c r="BD59" s="2"/>
      <c r="BE59" s="2"/>
      <c r="BF59" s="2"/>
      <c r="BG59" s="2"/>
      <c r="BL59" s="8"/>
    </row>
    <row r="60" spans="8:79" x14ac:dyDescent="0.2">
      <c r="I60" s="142" t="str">
        <f>$A$29</f>
        <v>Disk 36 Dose (Gy)</v>
      </c>
      <c r="J60" s="24" t="s">
        <v>52</v>
      </c>
      <c r="K60" s="143" t="s">
        <v>52</v>
      </c>
      <c r="L60" s="143"/>
      <c r="M60" s="143"/>
      <c r="N60" s="143"/>
      <c r="O60" s="144"/>
      <c r="P60" s="143"/>
      <c r="Q60" s="307"/>
      <c r="R60" s="307"/>
      <c r="S60" s="307"/>
      <c r="T60" s="307">
        <f>'Raw Data'!$D$79*$G$45*'Raw Data'!$T$3</f>
        <v>74.705293916322233</v>
      </c>
      <c r="U60" s="307">
        <f>'Raw Data'!$D$81*$G$45*'Raw Data'!$T$3</f>
        <v>149.48455347018538</v>
      </c>
      <c r="V60" s="307">
        <f>'Raw Data'!$D$83*$G$45*'Raw Data'!$T$3</f>
        <v>308.21481163298489</v>
      </c>
      <c r="W60" s="168">
        <f>'Raw Data'!$D$85*$G$45*'Raw Data'!$T$3</f>
        <v>0</v>
      </c>
      <c r="X60" s="309">
        <f>'Raw Data'!$D$87*$G$45*'Raw Data'!$T$3</f>
        <v>74.705293916322233</v>
      </c>
      <c r="Y60" s="143"/>
      <c r="Z60" s="151"/>
      <c r="AA60" s="151"/>
      <c r="AB60" s="104"/>
      <c r="AC60" s="104"/>
      <c r="AD60" s="104"/>
      <c r="AE60" s="104"/>
      <c r="AH60" s="136"/>
      <c r="AI60" s="137"/>
      <c r="AJ60" s="75"/>
      <c r="AK60" s="75"/>
      <c r="AL60" s="75"/>
      <c r="AM60" s="75"/>
      <c r="AN60" s="75"/>
      <c r="AO60" s="75"/>
      <c r="AP60" s="138"/>
      <c r="AQ60" s="138"/>
      <c r="AR60" s="1"/>
      <c r="AS60" s="3"/>
      <c r="AT60" s="3"/>
      <c r="AU60" s="3"/>
      <c r="BD60" s="2"/>
      <c r="BE60" s="2"/>
      <c r="BF60" s="2"/>
      <c r="BG60" s="2"/>
      <c r="BL60" s="8"/>
    </row>
    <row r="61" spans="8:79" x14ac:dyDescent="0.2">
      <c r="I61" s="142" t="str">
        <f>$A$29</f>
        <v>Disk 36 Dose (Gy)</v>
      </c>
      <c r="J61" s="75" t="s">
        <v>46</v>
      </c>
      <c r="K61" s="143"/>
      <c r="L61" s="143"/>
      <c r="M61" s="143"/>
      <c r="N61" s="143"/>
      <c r="O61" s="144"/>
      <c r="P61" s="143"/>
      <c r="Q61" s="307">
        <f>Q29^2</f>
        <v>0</v>
      </c>
      <c r="R61" s="307">
        <v>6</v>
      </c>
      <c r="S61" s="307">
        <f t="shared" ref="S61:X61" si="52">S29^2</f>
        <v>12556.982113029206</v>
      </c>
      <c r="T61" s="307">
        <f t="shared" si="52"/>
        <v>5580.880939124092</v>
      </c>
      <c r="U61" s="307">
        <f t="shared" si="52"/>
        <v>22345.631726180709</v>
      </c>
      <c r="V61" s="307">
        <f t="shared" si="52"/>
        <v>94996.370109956362</v>
      </c>
      <c r="W61" s="307">
        <f t="shared" si="52"/>
        <v>0</v>
      </c>
      <c r="X61" s="308">
        <f t="shared" si="52"/>
        <v>5580.880939124092</v>
      </c>
      <c r="Y61" s="143"/>
      <c r="Z61" s="151"/>
      <c r="AA61" s="151"/>
      <c r="AB61" s="104"/>
      <c r="AC61" s="104"/>
      <c r="AD61" s="104"/>
      <c r="AE61" s="104"/>
      <c r="AH61" s="136"/>
      <c r="AI61" s="137"/>
      <c r="AJ61" s="75"/>
      <c r="AK61" s="75"/>
      <c r="AL61" s="75"/>
      <c r="AM61" s="75"/>
      <c r="AN61" s="75"/>
      <c r="AO61" s="75"/>
      <c r="AP61" s="138"/>
      <c r="AQ61" s="138"/>
      <c r="AR61" s="1"/>
      <c r="AS61" s="3"/>
      <c r="AT61" s="3"/>
      <c r="AU61" s="3"/>
      <c r="BD61" s="2"/>
      <c r="BE61" s="2"/>
      <c r="BF61" s="2"/>
      <c r="BG61" s="2"/>
      <c r="BL61" s="8"/>
    </row>
    <row r="62" spans="8:79" x14ac:dyDescent="0.2">
      <c r="I62" s="142" t="str">
        <f>$A$30</f>
        <v>Disk 37 Dose (Gy)</v>
      </c>
      <c r="J62" s="24" t="s">
        <v>52</v>
      </c>
      <c r="K62" s="143" t="s">
        <v>52</v>
      </c>
      <c r="L62" s="143"/>
      <c r="M62" s="143"/>
      <c r="N62" s="143"/>
      <c r="O62" s="144"/>
      <c r="P62" s="143"/>
      <c r="Q62" s="307"/>
      <c r="R62" s="307"/>
      <c r="S62" s="307"/>
      <c r="T62" s="307">
        <f>'Raw Data'!$D$91*$G$45*'Raw Data'!$T$3</f>
        <v>74.705293916322233</v>
      </c>
      <c r="U62" s="307">
        <f>'Raw Data'!$D$93*$G$45*'Raw Data'!$T$3</f>
        <v>149.48455347018538</v>
      </c>
      <c r="V62" s="307">
        <f>'Raw Data'!$D$95*$G$45*'Raw Data'!$T$3</f>
        <v>308.21481163298489</v>
      </c>
      <c r="W62" s="168">
        <f>'Raw Data'!$D$97*$G$45*'Raw Data'!$T$3</f>
        <v>0</v>
      </c>
      <c r="X62" s="309">
        <f>'Raw Data'!$D$99*$G$45*'Raw Data'!$T$3</f>
        <v>74.705293916322233</v>
      </c>
      <c r="Y62" s="143"/>
      <c r="Z62" s="151"/>
      <c r="AA62" s="151"/>
      <c r="AB62" s="104"/>
      <c r="AC62" s="104"/>
      <c r="AD62" s="104"/>
      <c r="AE62" s="104"/>
      <c r="AH62" s="136"/>
      <c r="AI62" s="137"/>
      <c r="AJ62" s="75"/>
      <c r="AK62" s="75"/>
      <c r="AL62" s="75"/>
      <c r="AM62" s="75"/>
      <c r="AN62" s="75"/>
      <c r="AO62" s="75"/>
      <c r="AP62" s="138"/>
      <c r="AQ62" s="138"/>
      <c r="AR62" s="1"/>
      <c r="AS62" s="3"/>
      <c r="AT62" s="3"/>
      <c r="AU62" s="3"/>
      <c r="BD62" s="2"/>
      <c r="BE62" s="2"/>
      <c r="BF62" s="2"/>
      <c r="BG62" s="2"/>
      <c r="BL62" s="8"/>
    </row>
    <row r="63" spans="8:79" x14ac:dyDescent="0.2">
      <c r="I63" s="142" t="str">
        <f>$A$30</f>
        <v>Disk 37 Dose (Gy)</v>
      </c>
      <c r="J63" s="75" t="s">
        <v>46</v>
      </c>
      <c r="K63" s="143"/>
      <c r="L63" s="143"/>
      <c r="M63" s="143"/>
      <c r="N63" s="143"/>
      <c r="O63" s="144"/>
      <c r="P63" s="143"/>
      <c r="Q63" s="307">
        <f>Q30^2</f>
        <v>0</v>
      </c>
      <c r="R63" s="307">
        <v>7</v>
      </c>
      <c r="S63" s="307">
        <f t="shared" ref="S63:X63" si="53">S30^2</f>
        <v>12556.982113029206</v>
      </c>
      <c r="T63" s="307">
        <f t="shared" si="53"/>
        <v>5580.880939124092</v>
      </c>
      <c r="U63" s="307">
        <f t="shared" si="53"/>
        <v>22345.631726180709</v>
      </c>
      <c r="V63" s="307">
        <f t="shared" si="53"/>
        <v>94996.370109956362</v>
      </c>
      <c r="W63" s="307">
        <f t="shared" si="53"/>
        <v>0</v>
      </c>
      <c r="X63" s="308">
        <f t="shared" si="53"/>
        <v>5580.880939124092</v>
      </c>
      <c r="Y63" s="143"/>
      <c r="Z63" s="151"/>
      <c r="AA63" s="151"/>
      <c r="AB63" s="104"/>
      <c r="AC63" s="104"/>
      <c r="AD63" s="104"/>
      <c r="AE63" s="104"/>
      <c r="AH63" s="136"/>
      <c r="AI63" s="137"/>
      <c r="AJ63" s="75"/>
      <c r="AK63" s="75"/>
      <c r="AL63" s="75"/>
      <c r="AM63" s="75"/>
      <c r="AN63" s="75"/>
      <c r="AO63" s="75"/>
      <c r="AP63" s="138"/>
      <c r="AQ63" s="138"/>
      <c r="AR63" s="1"/>
      <c r="AS63" s="3"/>
      <c r="AT63" s="3"/>
      <c r="AU63" s="3"/>
      <c r="BD63" s="2"/>
      <c r="BE63" s="2"/>
      <c r="BF63" s="2"/>
      <c r="BG63" s="2"/>
      <c r="BL63" s="8"/>
    </row>
    <row r="64" spans="8:79" x14ac:dyDescent="0.2">
      <c r="I64" s="142" t="str">
        <f>$A$31</f>
        <v>Disk 38 Dose (Gy)</v>
      </c>
      <c r="J64" s="24" t="s">
        <v>52</v>
      </c>
      <c r="K64" s="143" t="s">
        <v>52</v>
      </c>
      <c r="L64" s="143"/>
      <c r="M64" s="143"/>
      <c r="N64" s="143"/>
      <c r="O64" s="144"/>
      <c r="P64" s="143"/>
      <c r="Q64" s="307"/>
      <c r="R64" s="307"/>
      <c r="S64" s="307"/>
      <c r="T64" s="307">
        <f>'Raw Data'!$D$103*$G$45*'Raw Data'!$T$3</f>
        <v>280.32976628006065</v>
      </c>
      <c r="U64" s="307">
        <f>'Raw Data'!$D$105*$G$45*'Raw Data'!$T$3</f>
        <v>560.65953256012131</v>
      </c>
      <c r="V64" s="307">
        <f>'Raw Data'!$D$107*$G$45*'Raw Data'!$T$3</f>
        <v>840.98929884018207</v>
      </c>
      <c r="W64" s="168">
        <f>'Raw Data'!$D$109*$G$45*'Raw Data'!$T$3</f>
        <v>0</v>
      </c>
      <c r="X64" s="309">
        <f>'Raw Data'!$D$111*$G$45*'Raw Data'!$T$3</f>
        <v>280.32976628006065</v>
      </c>
      <c r="Y64" s="143"/>
      <c r="Z64" s="151"/>
      <c r="AA64" s="151"/>
      <c r="AB64" s="104"/>
      <c r="AC64" s="104"/>
      <c r="AD64" s="104"/>
      <c r="AE64" s="104"/>
      <c r="AH64" s="136"/>
      <c r="AI64" s="137"/>
      <c r="AJ64" s="75"/>
      <c r="AK64" s="75"/>
      <c r="AL64" s="75"/>
      <c r="AM64" s="75"/>
      <c r="AN64" s="75"/>
      <c r="AO64" s="75"/>
      <c r="AP64" s="138"/>
      <c r="AQ64" s="138"/>
      <c r="AR64" s="1"/>
      <c r="AS64" s="3"/>
      <c r="AT64" s="3"/>
      <c r="AU64" s="3"/>
      <c r="BD64" s="2"/>
      <c r="BE64" s="2"/>
      <c r="BF64" s="2"/>
      <c r="BG64" s="2"/>
      <c r="BL64" s="8"/>
    </row>
    <row r="65" spans="9:64" x14ac:dyDescent="0.2">
      <c r="I65" s="142" t="str">
        <f>$A$31</f>
        <v>Disk 38 Dose (Gy)</v>
      </c>
      <c r="J65" s="75" t="s">
        <v>46</v>
      </c>
      <c r="K65" s="143"/>
      <c r="L65" s="143"/>
      <c r="M65" s="143"/>
      <c r="N65" s="143"/>
      <c r="O65" s="144"/>
      <c r="P65" s="143"/>
      <c r="Q65" s="307">
        <f>Q31^2</f>
        <v>0</v>
      </c>
      <c r="R65" s="307">
        <v>8</v>
      </c>
      <c r="S65" s="307">
        <f t="shared" ref="S65:X65" si="54">S31^2</f>
        <v>12556.982113029206</v>
      </c>
      <c r="T65" s="307">
        <f t="shared" si="54"/>
        <v>78584.777862633433</v>
      </c>
      <c r="U65" s="307">
        <f t="shared" si="54"/>
        <v>314339.11145053373</v>
      </c>
      <c r="V65" s="307">
        <f t="shared" si="54"/>
        <v>707263.00076370104</v>
      </c>
      <c r="W65" s="307">
        <f t="shared" si="54"/>
        <v>0</v>
      </c>
      <c r="X65" s="308">
        <f t="shared" si="54"/>
        <v>78584.777862633433</v>
      </c>
      <c r="Y65" s="143"/>
      <c r="Z65" s="151"/>
      <c r="AA65" s="151"/>
      <c r="AB65" s="104"/>
      <c r="AC65" s="104"/>
      <c r="AD65" s="104"/>
      <c r="AE65" s="104"/>
      <c r="AH65" s="136"/>
      <c r="AI65" s="137"/>
      <c r="AJ65" s="75"/>
      <c r="AK65" s="75"/>
      <c r="AL65" s="75"/>
      <c r="AM65" s="75"/>
      <c r="AN65" s="75"/>
      <c r="AO65" s="75"/>
      <c r="AP65" s="138"/>
      <c r="AQ65" s="138"/>
      <c r="AR65" s="1"/>
      <c r="AS65" s="3"/>
      <c r="AT65" s="3"/>
      <c r="AU65" s="3"/>
      <c r="BD65" s="2"/>
      <c r="BE65" s="2"/>
      <c r="BF65" s="2"/>
      <c r="BG65" s="2"/>
      <c r="BL65" s="8"/>
    </row>
    <row r="66" spans="9:64" x14ac:dyDescent="0.2">
      <c r="I66" s="142" t="str">
        <f>$A$32</f>
        <v>Disk 39 Dose (Gy)</v>
      </c>
      <c r="J66" s="24" t="s">
        <v>52</v>
      </c>
      <c r="K66" s="143" t="s">
        <v>52</v>
      </c>
      <c r="L66" s="143"/>
      <c r="M66" s="143"/>
      <c r="N66" s="143"/>
      <c r="O66" s="144"/>
      <c r="P66" s="143"/>
      <c r="Q66" s="307"/>
      <c r="R66" s="307"/>
      <c r="S66" s="307"/>
      <c r="T66" s="307">
        <f>'Raw Data'!$D$115*$G$45*'Raw Data'!$T$3</f>
        <v>280.32976628006065</v>
      </c>
      <c r="U66" s="307">
        <f>'Raw Data'!$D$117*$G$45*'Raw Data'!$T$3</f>
        <v>560.73349819766224</v>
      </c>
      <c r="V66" s="307">
        <f>'Raw Data'!$D$119*$G$45*'Raw Data'!$T$3</f>
        <v>841.0632644777229</v>
      </c>
      <c r="W66" s="168">
        <f>'Raw Data'!$D$121*$G$45*'Raw Data'!$T$3</f>
        <v>0</v>
      </c>
      <c r="X66" s="309">
        <f>'Raw Data'!$D$123*$G$45*'Raw Data'!$T$3</f>
        <v>280.32976628006065</v>
      </c>
      <c r="Y66" s="143"/>
      <c r="Z66" s="151"/>
      <c r="AA66" s="151"/>
      <c r="AB66" s="104"/>
      <c r="AC66" s="104"/>
      <c r="AD66" s="104"/>
      <c r="AE66" s="104"/>
      <c r="AH66" s="136"/>
      <c r="AI66" s="137"/>
      <c r="AJ66" s="75"/>
      <c r="AK66" s="75"/>
      <c r="AL66" s="75"/>
      <c r="AM66" s="75"/>
      <c r="AN66" s="75"/>
      <c r="AO66" s="75"/>
      <c r="AP66" s="138"/>
      <c r="AQ66" s="138"/>
      <c r="AR66" s="1"/>
      <c r="AS66" s="3"/>
      <c r="AT66" s="3"/>
      <c r="AU66" s="3"/>
      <c r="BD66" s="2"/>
      <c r="BE66" s="2"/>
      <c r="BF66" s="2"/>
      <c r="BG66" s="2"/>
      <c r="BL66" s="8"/>
    </row>
    <row r="67" spans="9:64" x14ac:dyDescent="0.2">
      <c r="I67" s="142" t="str">
        <f>$A$32</f>
        <v>Disk 39 Dose (Gy)</v>
      </c>
      <c r="J67" s="75" t="s">
        <v>46</v>
      </c>
      <c r="K67" s="143"/>
      <c r="L67" s="143"/>
      <c r="M67" s="143"/>
      <c r="N67" s="143"/>
      <c r="O67" s="144"/>
      <c r="P67" s="143"/>
      <c r="Q67" s="307">
        <f>Q32^2</f>
        <v>0</v>
      </c>
      <c r="R67" s="307">
        <v>9</v>
      </c>
      <c r="S67" s="307">
        <f t="shared" ref="S67:X67" si="55">S32^2</f>
        <v>12556.982113029206</v>
      </c>
      <c r="T67" s="307">
        <f t="shared" si="55"/>
        <v>78584.777862633433</v>
      </c>
      <c r="U67" s="307">
        <f t="shared" si="55"/>
        <v>314422.05600098771</v>
      </c>
      <c r="V67" s="307">
        <f t="shared" si="55"/>
        <v>707387.41485392407</v>
      </c>
      <c r="W67" s="307">
        <f t="shared" si="55"/>
        <v>0</v>
      </c>
      <c r="X67" s="308">
        <f t="shared" si="55"/>
        <v>78584.777862633433</v>
      </c>
      <c r="Y67" s="143"/>
      <c r="Z67" s="151"/>
      <c r="AA67" s="151"/>
      <c r="AB67" s="104"/>
      <c r="AC67" s="104"/>
      <c r="AD67" s="104"/>
      <c r="AE67" s="104"/>
      <c r="AH67" s="136"/>
      <c r="AI67" s="137"/>
      <c r="AJ67" s="75"/>
      <c r="AK67" s="75"/>
      <c r="AL67" s="75"/>
      <c r="AM67" s="75"/>
      <c r="AN67" s="75"/>
      <c r="AO67" s="75"/>
      <c r="AP67" s="138"/>
      <c r="AQ67" s="138"/>
      <c r="AR67" s="1"/>
      <c r="AS67" s="3"/>
      <c r="AT67" s="3"/>
      <c r="AU67" s="3"/>
      <c r="BD67" s="2"/>
      <c r="BE67" s="2"/>
      <c r="BF67" s="2"/>
      <c r="BG67" s="2"/>
      <c r="BL67" s="8"/>
    </row>
    <row r="68" spans="9:64" x14ac:dyDescent="0.2">
      <c r="I68" s="142" t="str">
        <f>$A$33</f>
        <v>Disk 40 Dose (Gy)</v>
      </c>
      <c r="J68" s="24" t="s">
        <v>52</v>
      </c>
      <c r="K68" s="143" t="s">
        <v>52</v>
      </c>
      <c r="L68" s="143"/>
      <c r="M68" s="143"/>
      <c r="N68" s="143"/>
      <c r="O68" s="144"/>
      <c r="P68" s="143"/>
      <c r="Q68" s="307"/>
      <c r="R68" s="307"/>
      <c r="S68" s="307"/>
      <c r="T68" s="307">
        <f>'Raw Data'!$D$127*$G$45*'Raw Data'!$T$3</f>
        <v>280.32976628006065</v>
      </c>
      <c r="U68" s="307">
        <f>'Raw Data'!$D$129*$G$45*'Raw Data'!$T$3</f>
        <v>560.73349819766224</v>
      </c>
      <c r="V68" s="307">
        <f>'Raw Data'!$D$131*$G$45*'Raw Data'!$T$3</f>
        <v>841.0632644777229</v>
      </c>
      <c r="W68" s="168">
        <f>'Raw Data'!$D$133*$G$45*'Raw Data'!$T$3</f>
        <v>0</v>
      </c>
      <c r="X68" s="309">
        <f>'Raw Data'!$D$135*$G$45*'Raw Data'!$T$3</f>
        <v>280.32976628006065</v>
      </c>
      <c r="Y68" s="143"/>
      <c r="Z68" s="151"/>
      <c r="AA68" s="151"/>
      <c r="AB68" s="104"/>
      <c r="AC68" s="104"/>
      <c r="AD68" s="104"/>
      <c r="AE68" s="104"/>
      <c r="AH68" s="136"/>
      <c r="AI68" s="137"/>
      <c r="AJ68" s="75"/>
      <c r="AK68" s="75"/>
      <c r="AL68" s="75"/>
      <c r="AM68" s="75"/>
      <c r="AN68" s="75"/>
      <c r="AO68" s="75"/>
      <c r="AP68" s="138"/>
      <c r="AQ68" s="138"/>
      <c r="AR68" s="1"/>
      <c r="AS68" s="3"/>
      <c r="AT68" s="3"/>
      <c r="AU68" s="3"/>
      <c r="BD68" s="2"/>
      <c r="BE68" s="2"/>
      <c r="BF68" s="2"/>
      <c r="BG68" s="2"/>
      <c r="BL68" s="8"/>
    </row>
    <row r="69" spans="9:64" x14ac:dyDescent="0.2">
      <c r="I69" s="142" t="str">
        <f>$A$33</f>
        <v>Disk 40 Dose (Gy)</v>
      </c>
      <c r="J69" s="75" t="s">
        <v>46</v>
      </c>
      <c r="K69" s="143"/>
      <c r="L69" s="143"/>
      <c r="M69" s="143"/>
      <c r="N69" s="143"/>
      <c r="O69" s="144"/>
      <c r="P69" s="143"/>
      <c r="Q69" s="307">
        <f>Q33^2</f>
        <v>0</v>
      </c>
      <c r="R69" s="307">
        <v>10</v>
      </c>
      <c r="S69" s="307">
        <f t="shared" ref="S69:X69" si="56">S33^2</f>
        <v>12556.982113029206</v>
      </c>
      <c r="T69" s="307">
        <f t="shared" si="56"/>
        <v>78584.777862633433</v>
      </c>
      <c r="U69" s="307">
        <f t="shared" si="56"/>
        <v>314422.05600098771</v>
      </c>
      <c r="V69" s="307">
        <f t="shared" si="56"/>
        <v>707387.41485392407</v>
      </c>
      <c r="W69" s="307">
        <f t="shared" si="56"/>
        <v>0</v>
      </c>
      <c r="X69" s="308">
        <f t="shared" si="56"/>
        <v>78584.777862633433</v>
      </c>
      <c r="Y69" s="143"/>
      <c r="Z69" s="151"/>
      <c r="AA69" s="151"/>
      <c r="AB69" s="104"/>
      <c r="AC69" s="104"/>
      <c r="AD69" s="104"/>
      <c r="AE69" s="104"/>
      <c r="AH69" s="136"/>
      <c r="AI69" s="137"/>
      <c r="AJ69" s="75"/>
      <c r="AK69" s="75"/>
      <c r="AL69" s="75"/>
      <c r="AM69" s="75"/>
      <c r="AN69" s="75"/>
      <c r="AO69" s="75"/>
      <c r="AP69" s="138"/>
      <c r="AQ69" s="138"/>
      <c r="AR69" s="1"/>
      <c r="AS69" s="3"/>
      <c r="AT69" s="3"/>
      <c r="AU69" s="3"/>
      <c r="BD69" s="2"/>
      <c r="BE69" s="2"/>
      <c r="BF69" s="2"/>
      <c r="BG69" s="2"/>
      <c r="BL69" s="8"/>
    </row>
    <row r="70" spans="9:64" x14ac:dyDescent="0.2">
      <c r="I70" s="142" t="str">
        <f>$A$34</f>
        <v>Disk 41 Dose (Gy)</v>
      </c>
      <c r="J70" s="24" t="s">
        <v>52</v>
      </c>
      <c r="K70" s="143" t="s">
        <v>52</v>
      </c>
      <c r="L70" s="143"/>
      <c r="M70" s="143"/>
      <c r="N70" s="143"/>
      <c r="O70" s="144"/>
      <c r="P70" s="143"/>
      <c r="Q70" s="307"/>
      <c r="R70" s="307"/>
      <c r="S70" s="307"/>
      <c r="T70" s="307">
        <f>'Raw Data'!$D$139*$G$45*'Raw Data'!$T$3</f>
        <v>74.705293916322233</v>
      </c>
      <c r="U70" s="307">
        <f>'Raw Data'!$D$141*$G$45*'Raw Data'!$T$3</f>
        <v>149.48455347018538</v>
      </c>
      <c r="V70" s="307">
        <f>'Raw Data'!$D$143*$G$45*'Raw Data'!$T$3</f>
        <v>308.21481163298489</v>
      </c>
      <c r="W70" s="168">
        <f>'Raw Data'!$D$145*$G$45*'Raw Data'!$T$3</f>
        <v>0</v>
      </c>
      <c r="X70" s="309">
        <f>'Raw Data'!$D$147*$G$45*'Raw Data'!$T$3</f>
        <v>74.705293916322233</v>
      </c>
      <c r="Y70" s="143"/>
      <c r="Z70" s="151"/>
      <c r="AA70" s="151"/>
      <c r="AB70" s="104"/>
      <c r="AC70" s="104"/>
      <c r="AD70" s="104"/>
      <c r="AE70" s="104"/>
      <c r="AH70" s="136"/>
      <c r="AI70" s="137"/>
      <c r="AJ70" s="75"/>
      <c r="AK70" s="75"/>
      <c r="AL70" s="75"/>
      <c r="AM70" s="75"/>
      <c r="AN70" s="75"/>
      <c r="AO70" s="75"/>
      <c r="AP70" s="138"/>
      <c r="AQ70" s="138"/>
      <c r="AR70" s="1"/>
      <c r="AS70" s="3"/>
      <c r="AT70" s="3"/>
      <c r="AU70" s="3"/>
      <c r="BD70" s="2"/>
      <c r="BE70" s="2"/>
      <c r="BF70" s="2"/>
      <c r="BG70" s="2"/>
      <c r="BL70" s="8"/>
    </row>
    <row r="71" spans="9:64" x14ac:dyDescent="0.2">
      <c r="I71" s="142" t="str">
        <f>$A$34</f>
        <v>Disk 41 Dose (Gy)</v>
      </c>
      <c r="J71" s="75" t="s">
        <v>46</v>
      </c>
      <c r="K71" s="143"/>
      <c r="L71" s="143"/>
      <c r="M71" s="143"/>
      <c r="N71" s="143"/>
      <c r="O71" s="144"/>
      <c r="P71" s="143"/>
      <c r="Q71" s="307">
        <f>Q34^2</f>
        <v>0</v>
      </c>
      <c r="R71" s="307">
        <v>11</v>
      </c>
      <c r="S71" s="307">
        <f t="shared" ref="S71:X71" si="57">S34^2</f>
        <v>12556.982113029206</v>
      </c>
      <c r="T71" s="307">
        <f t="shared" si="57"/>
        <v>5580.880939124092</v>
      </c>
      <c r="U71" s="307">
        <f t="shared" si="57"/>
        <v>22345.631726180709</v>
      </c>
      <c r="V71" s="307">
        <f t="shared" si="57"/>
        <v>94996.370109956362</v>
      </c>
      <c r="W71" s="307">
        <f t="shared" si="57"/>
        <v>0</v>
      </c>
      <c r="X71" s="308">
        <f t="shared" si="57"/>
        <v>5580.880939124092</v>
      </c>
      <c r="Y71" s="143"/>
      <c r="Z71" s="151"/>
      <c r="AA71" s="151"/>
      <c r="AB71" s="104"/>
      <c r="AC71" s="104"/>
      <c r="AD71" s="104"/>
      <c r="AE71" s="104"/>
      <c r="AH71" s="136"/>
      <c r="AI71" s="137"/>
      <c r="AJ71" s="75"/>
      <c r="AK71" s="75"/>
      <c r="AL71" s="75"/>
      <c r="AM71" s="75"/>
      <c r="AN71" s="75"/>
      <c r="AO71" s="75"/>
      <c r="AP71" s="138"/>
      <c r="AQ71" s="138"/>
      <c r="AR71" s="1"/>
      <c r="AS71" s="3"/>
      <c r="AT71" s="3"/>
      <c r="AU71" s="3"/>
      <c r="BD71" s="2"/>
      <c r="BE71" s="2"/>
      <c r="BF71" s="2"/>
      <c r="BG71" s="2"/>
      <c r="BL71" s="8"/>
    </row>
    <row r="72" spans="9:64" x14ac:dyDescent="0.2">
      <c r="I72" s="142" t="str">
        <f>$A$35</f>
        <v>Disk 42 Dose (Gy)</v>
      </c>
      <c r="J72" s="24" t="s">
        <v>52</v>
      </c>
      <c r="K72" s="143" t="s">
        <v>52</v>
      </c>
      <c r="L72" s="143"/>
      <c r="M72" s="143"/>
      <c r="N72" s="143"/>
      <c r="O72" s="144"/>
      <c r="P72" s="143"/>
      <c r="Q72" s="307"/>
      <c r="R72" s="307"/>
      <c r="S72" s="307"/>
      <c r="T72" s="307">
        <f>'Raw Data'!$D$151*$G$45*'Raw Data'!$T$3</f>
        <v>74.705293916322233</v>
      </c>
      <c r="U72" s="307">
        <f>'Raw Data'!$D$153*$G$45*'Raw Data'!$T$3</f>
        <v>149.48455347018538</v>
      </c>
      <c r="V72" s="307">
        <f>'Raw Data'!$D$155*$G$45*'Raw Data'!$T$3</f>
        <v>308.28877727052583</v>
      </c>
      <c r="W72" s="168">
        <f>'Raw Data'!$D$157*$G$45*'Raw Data'!$T$3</f>
        <v>0</v>
      </c>
      <c r="X72" s="309">
        <f>'Raw Data'!$D$159*$G$45*'Raw Data'!$T$3</f>
        <v>74.705293916322233</v>
      </c>
      <c r="Y72" s="143"/>
      <c r="Z72" s="151"/>
      <c r="AA72" s="151"/>
      <c r="AB72" s="104"/>
      <c r="AC72" s="104"/>
      <c r="AD72" s="104"/>
      <c r="AE72" s="104"/>
      <c r="AH72" s="136"/>
      <c r="AI72" s="137"/>
      <c r="AJ72" s="75"/>
      <c r="AK72" s="75"/>
      <c r="AL72" s="75"/>
      <c r="AM72" s="75"/>
      <c r="AN72" s="75"/>
      <c r="AO72" s="75"/>
      <c r="AP72" s="138"/>
      <c r="AQ72" s="138"/>
      <c r="AR72" s="1"/>
      <c r="AS72" s="3"/>
      <c r="AT72" s="3"/>
      <c r="AU72" s="3"/>
      <c r="BD72" s="2"/>
      <c r="BE72" s="2"/>
      <c r="BF72" s="2"/>
      <c r="BG72" s="2"/>
      <c r="BL72" s="8"/>
    </row>
    <row r="73" spans="9:64" x14ac:dyDescent="0.2">
      <c r="I73" s="142" t="str">
        <f>$A$35</f>
        <v>Disk 42 Dose (Gy)</v>
      </c>
      <c r="J73" s="75" t="s">
        <v>46</v>
      </c>
      <c r="K73" s="143"/>
      <c r="L73" s="143"/>
      <c r="M73" s="143"/>
      <c r="N73" s="143"/>
      <c r="O73" s="144"/>
      <c r="P73" s="143"/>
      <c r="Q73" s="307">
        <f>Q35^2</f>
        <v>0</v>
      </c>
      <c r="R73" s="307">
        <v>12</v>
      </c>
      <c r="S73" s="307">
        <f t="shared" ref="S73:X73" si="58">S35^2</f>
        <v>12556.982113029206</v>
      </c>
      <c r="T73" s="307">
        <f t="shared" si="58"/>
        <v>5580.880939124092</v>
      </c>
      <c r="U73" s="307">
        <f t="shared" si="58"/>
        <v>22345.631726180709</v>
      </c>
      <c r="V73" s="307">
        <f t="shared" si="58"/>
        <v>95041.970190955879</v>
      </c>
      <c r="W73" s="307">
        <f t="shared" si="58"/>
        <v>0</v>
      </c>
      <c r="X73" s="308">
        <f t="shared" si="58"/>
        <v>5580.880939124092</v>
      </c>
      <c r="Y73" s="143"/>
      <c r="Z73" s="151"/>
      <c r="AA73" s="151"/>
      <c r="AB73" s="104"/>
      <c r="AC73" s="104"/>
      <c r="AD73" s="104"/>
      <c r="AE73" s="104"/>
      <c r="AH73" s="136"/>
      <c r="AI73" s="137"/>
      <c r="AJ73" s="75"/>
      <c r="AK73" s="75"/>
      <c r="AL73" s="75"/>
      <c r="AM73" s="75"/>
      <c r="AN73" s="75"/>
      <c r="AO73" s="75"/>
      <c r="AP73" s="138"/>
      <c r="AQ73" s="138"/>
      <c r="AR73" s="1"/>
      <c r="AS73" s="3"/>
      <c r="AT73" s="3"/>
      <c r="AU73" s="3"/>
      <c r="BD73" s="2"/>
      <c r="BE73" s="2"/>
      <c r="BF73" s="2"/>
      <c r="BG73" s="2"/>
      <c r="BL73" s="8"/>
    </row>
    <row r="74" spans="9:64" x14ac:dyDescent="0.2">
      <c r="I74" s="142" t="str">
        <f>$A$36</f>
        <v>Disk 43 Dose (Gy)</v>
      </c>
      <c r="J74" s="24" t="s">
        <v>52</v>
      </c>
      <c r="K74" s="143" t="s">
        <v>52</v>
      </c>
      <c r="L74" s="143"/>
      <c r="M74" s="143"/>
      <c r="N74" s="143"/>
      <c r="O74" s="144"/>
      <c r="P74" s="143"/>
      <c r="Q74" s="307"/>
      <c r="R74" s="307"/>
      <c r="S74" s="307"/>
      <c r="T74" s="307">
        <f>'Raw Data'!$D$163*$G$45*'Raw Data'!$T$3</f>
        <v>74.705293916322233</v>
      </c>
      <c r="U74" s="307">
        <f>'Raw Data'!$D$165*$G$45*'Raw Data'!$T$3</f>
        <v>149.48455347018538</v>
      </c>
      <c r="V74" s="307">
        <f>'Raw Data'!$D$167*$G$45*'Raw Data'!$T$3</f>
        <v>308.28877727052583</v>
      </c>
      <c r="W74" s="168">
        <f>'Raw Data'!$D$169*$G$45*'Raw Data'!$T$3</f>
        <v>0</v>
      </c>
      <c r="X74" s="309">
        <f>'Raw Data'!$D$171*$G$45*'Raw Data'!$T$3</f>
        <v>74.705293916322233</v>
      </c>
      <c r="Y74" s="143"/>
      <c r="Z74" s="151"/>
      <c r="AA74" s="151"/>
      <c r="AB74" s="104"/>
      <c r="AC74" s="104"/>
      <c r="AD74" s="104"/>
      <c r="AE74" s="104"/>
      <c r="AH74" s="136"/>
      <c r="AI74" s="137"/>
      <c r="AJ74" s="75"/>
      <c r="AK74" s="75"/>
      <c r="AL74" s="75"/>
      <c r="AM74" s="75"/>
      <c r="AN74" s="75"/>
      <c r="AO74" s="75"/>
      <c r="AP74" s="138"/>
      <c r="AQ74" s="138"/>
      <c r="AR74" s="1"/>
      <c r="AS74" s="3"/>
      <c r="AT74" s="3"/>
      <c r="AU74" s="3"/>
      <c r="BD74" s="2"/>
      <c r="BE74" s="2"/>
      <c r="BF74" s="2"/>
      <c r="BG74" s="2"/>
      <c r="BL74" s="8"/>
    </row>
    <row r="75" spans="9:64" x14ac:dyDescent="0.2">
      <c r="I75" s="142" t="str">
        <f>$A$36</f>
        <v>Disk 43 Dose (Gy)</v>
      </c>
      <c r="J75" s="75" t="s">
        <v>46</v>
      </c>
      <c r="K75" s="143"/>
      <c r="L75" s="143"/>
      <c r="M75" s="143"/>
      <c r="N75" s="143"/>
      <c r="O75" s="144"/>
      <c r="P75" s="143"/>
      <c r="Q75" s="307">
        <f>Q36^2</f>
        <v>0</v>
      </c>
      <c r="R75" s="307">
        <v>13</v>
      </c>
      <c r="S75" s="307">
        <f t="shared" ref="S75:X75" si="59">S36^2</f>
        <v>12556.982113029206</v>
      </c>
      <c r="T75" s="307">
        <f t="shared" si="59"/>
        <v>5580.880939124092</v>
      </c>
      <c r="U75" s="307">
        <f t="shared" si="59"/>
        <v>22345.631726180709</v>
      </c>
      <c r="V75" s="307">
        <f t="shared" si="59"/>
        <v>95041.970190955879</v>
      </c>
      <c r="W75" s="307">
        <f t="shared" si="59"/>
        <v>0</v>
      </c>
      <c r="X75" s="308">
        <f t="shared" si="59"/>
        <v>5580.880939124092</v>
      </c>
      <c r="Y75" s="143"/>
      <c r="Z75" s="151"/>
      <c r="AA75" s="151"/>
      <c r="AB75" s="104"/>
      <c r="AC75" s="104"/>
      <c r="AD75" s="104"/>
      <c r="AE75" s="104"/>
      <c r="AH75" s="136"/>
      <c r="AI75" s="137"/>
      <c r="AJ75" s="75"/>
      <c r="AK75" s="75"/>
      <c r="AL75" s="75"/>
      <c r="AM75" s="75"/>
      <c r="AN75" s="75"/>
      <c r="AO75" s="75"/>
      <c r="AP75" s="138"/>
      <c r="AQ75" s="138"/>
      <c r="AR75" s="1"/>
      <c r="AS75" s="3"/>
      <c r="AT75" s="3"/>
      <c r="AU75" s="3"/>
      <c r="BD75" s="2"/>
      <c r="BE75" s="2"/>
      <c r="BF75" s="2"/>
      <c r="BG75" s="2"/>
      <c r="BL75" s="8"/>
    </row>
    <row r="76" spans="9:64" x14ac:dyDescent="0.2">
      <c r="I76" s="142" t="str">
        <f>$A$37</f>
        <v>Disk 44 Dose (Gy)</v>
      </c>
      <c r="J76" s="24" t="s">
        <v>52</v>
      </c>
      <c r="K76" s="143" t="s">
        <v>52</v>
      </c>
      <c r="L76" s="143"/>
      <c r="M76" s="143"/>
      <c r="N76" s="143"/>
      <c r="O76" s="144"/>
      <c r="P76" s="143"/>
      <c r="Q76" s="307"/>
      <c r="R76" s="307"/>
      <c r="S76" s="307"/>
      <c r="T76" s="307">
        <f>'Raw Data'!$D$175*$G$45*'Raw Data'!$T$3</f>
        <v>74.705293916322233</v>
      </c>
      <c r="U76" s="307">
        <f>'Raw Data'!$D$177*$G$45*'Raw Data'!$T$3</f>
        <v>149.48455347018538</v>
      </c>
      <c r="V76" s="307">
        <f>'Raw Data'!$D$179*$G$45*'Raw Data'!$T$3</f>
        <v>308.28877727052583</v>
      </c>
      <c r="W76" s="168">
        <f>'Raw Data'!$D$181*$G$45*'Raw Data'!$T$3</f>
        <v>0</v>
      </c>
      <c r="X76" s="309">
        <f>'Raw Data'!$D$183*$G$45*'Raw Data'!$T$3</f>
        <v>74.705293916322233</v>
      </c>
      <c r="Y76" s="143"/>
      <c r="Z76" s="151"/>
      <c r="AA76" s="151"/>
      <c r="AB76" s="104"/>
      <c r="AC76" s="104"/>
      <c r="AD76" s="104"/>
      <c r="AE76" s="104"/>
      <c r="AH76" s="136"/>
      <c r="AI76" s="137"/>
      <c r="AJ76" s="75"/>
      <c r="AK76" s="75"/>
      <c r="AL76" s="75"/>
      <c r="AM76" s="75"/>
      <c r="AN76" s="75"/>
      <c r="AO76" s="75"/>
      <c r="AP76" s="138"/>
      <c r="AQ76" s="138"/>
      <c r="AR76" s="1"/>
      <c r="AS76" s="3"/>
      <c r="AT76" s="3"/>
      <c r="AU76" s="3"/>
      <c r="BD76" s="2"/>
      <c r="BE76" s="2"/>
      <c r="BF76" s="2"/>
      <c r="BG76" s="2"/>
      <c r="BL76" s="8"/>
    </row>
    <row r="77" spans="9:64" x14ac:dyDescent="0.2">
      <c r="I77" s="142" t="str">
        <f>$A$37</f>
        <v>Disk 44 Dose (Gy)</v>
      </c>
      <c r="J77" s="75" t="s">
        <v>46</v>
      </c>
      <c r="K77" s="143"/>
      <c r="L77" s="143"/>
      <c r="M77" s="143"/>
      <c r="N77" s="143"/>
      <c r="O77" s="144"/>
      <c r="P77" s="143"/>
      <c r="Q77" s="307">
        <f>Q37^2</f>
        <v>0</v>
      </c>
      <c r="R77" s="307">
        <v>14</v>
      </c>
      <c r="S77" s="307">
        <f t="shared" ref="S77:X77" si="60">S37^2</f>
        <v>12556.982113029206</v>
      </c>
      <c r="T77" s="307">
        <f t="shared" si="60"/>
        <v>5580.880939124092</v>
      </c>
      <c r="U77" s="307">
        <f t="shared" si="60"/>
        <v>22345.631726180709</v>
      </c>
      <c r="V77" s="307">
        <f t="shared" si="60"/>
        <v>95041.970190955879</v>
      </c>
      <c r="W77" s="307">
        <f t="shared" si="60"/>
        <v>0</v>
      </c>
      <c r="X77" s="308">
        <f t="shared" si="60"/>
        <v>5580.880939124092</v>
      </c>
      <c r="Y77" s="143"/>
      <c r="Z77" s="151"/>
      <c r="AA77" s="151"/>
      <c r="AB77" s="104"/>
      <c r="AC77" s="104"/>
      <c r="AD77" s="104"/>
      <c r="AE77" s="104"/>
      <c r="AH77" s="136"/>
      <c r="AI77" s="137"/>
      <c r="AJ77" s="75"/>
      <c r="AK77" s="75"/>
      <c r="AL77" s="75"/>
      <c r="AM77" s="75"/>
      <c r="AN77" s="75"/>
      <c r="AO77" s="75"/>
      <c r="AP77" s="138"/>
      <c r="AQ77" s="138"/>
      <c r="AR77" s="1"/>
      <c r="AS77" s="3"/>
      <c r="AT77" s="3"/>
      <c r="AU77" s="3"/>
      <c r="BD77" s="2"/>
      <c r="BE77" s="2"/>
      <c r="BF77" s="2"/>
      <c r="BG77" s="2"/>
      <c r="BL77" s="8"/>
    </row>
    <row r="78" spans="9:64" x14ac:dyDescent="0.2">
      <c r="I78" s="142" t="str">
        <f>$A$38</f>
        <v>Disk 45 Dose (Gy)</v>
      </c>
      <c r="J78" s="24" t="s">
        <v>52</v>
      </c>
      <c r="K78" s="143"/>
      <c r="L78" s="143"/>
      <c r="M78" s="143"/>
      <c r="N78" s="143"/>
      <c r="O78" s="144"/>
      <c r="P78" s="143"/>
      <c r="Q78" s="307"/>
      <c r="R78" s="307"/>
      <c r="S78" s="307"/>
      <c r="T78" s="307">
        <f>'Raw Data'!$D$187*$G$45*'Raw Data'!$T$3</f>
        <v>74.705293916322233</v>
      </c>
      <c r="U78" s="307">
        <f>'Raw Data'!$D$189*$G$45*'Raw Data'!$T$3</f>
        <v>149.48455347018538</v>
      </c>
      <c r="V78" s="307">
        <f>'Raw Data'!$D$191*$G$45*'Raw Data'!$T$3</f>
        <v>308.28877727052583</v>
      </c>
      <c r="W78" s="168">
        <f>'Raw Data'!$D$193*$G$45*'Raw Data'!$T$3</f>
        <v>0</v>
      </c>
      <c r="X78" s="309">
        <f>'Raw Data'!$D$195*$G$45*'Raw Data'!$T$3</f>
        <v>74.705293916322233</v>
      </c>
      <c r="Y78" s="143"/>
      <c r="Z78" s="151"/>
      <c r="AA78" s="151"/>
      <c r="AB78" s="104"/>
      <c r="AC78" s="104"/>
      <c r="AD78" s="104"/>
      <c r="AE78" s="104"/>
      <c r="AH78" s="136"/>
      <c r="AI78" s="137"/>
      <c r="AJ78" s="75"/>
      <c r="AK78" s="75"/>
      <c r="AL78" s="75"/>
      <c r="AM78" s="75"/>
      <c r="AN78" s="75"/>
      <c r="AO78" s="75"/>
      <c r="AP78" s="138"/>
      <c r="AQ78" s="138"/>
      <c r="AR78" s="1"/>
      <c r="AS78" s="3"/>
      <c r="AT78" s="3"/>
      <c r="AU78" s="3"/>
      <c r="BD78" s="2"/>
      <c r="BE78" s="2"/>
      <c r="BF78" s="2"/>
      <c r="BG78" s="2"/>
      <c r="BL78" s="8"/>
    </row>
    <row r="79" spans="9:64" x14ac:dyDescent="0.2">
      <c r="I79" s="142" t="str">
        <f>$A$38</f>
        <v>Disk 45 Dose (Gy)</v>
      </c>
      <c r="J79" s="75" t="s">
        <v>46</v>
      </c>
      <c r="K79" s="143"/>
      <c r="L79" s="143"/>
      <c r="M79" s="143"/>
      <c r="N79" s="143"/>
      <c r="O79" s="144"/>
      <c r="P79" s="143"/>
      <c r="Q79" s="307">
        <f>Q38^2</f>
        <v>0</v>
      </c>
      <c r="R79" s="307">
        <v>15</v>
      </c>
      <c r="S79" s="307">
        <f t="shared" ref="S79:X79" si="61">S38^2</f>
        <v>12556.982113029206</v>
      </c>
      <c r="T79" s="307">
        <f t="shared" si="61"/>
        <v>5580.880939124092</v>
      </c>
      <c r="U79" s="307">
        <f t="shared" si="61"/>
        <v>22345.631726180709</v>
      </c>
      <c r="V79" s="307">
        <f t="shared" si="61"/>
        <v>95041.970190955879</v>
      </c>
      <c r="W79" s="307">
        <f t="shared" si="61"/>
        <v>0</v>
      </c>
      <c r="X79" s="308">
        <f t="shared" si="61"/>
        <v>5580.880939124092</v>
      </c>
      <c r="Y79" s="143"/>
      <c r="Z79" s="151"/>
      <c r="AA79" s="151"/>
      <c r="AB79" s="104"/>
      <c r="AC79" s="104"/>
      <c r="AD79" s="104"/>
      <c r="AE79" s="104"/>
      <c r="AH79" s="136"/>
      <c r="AI79" s="137"/>
      <c r="AJ79" s="75"/>
      <c r="AK79" s="75"/>
      <c r="AL79" s="75"/>
      <c r="AM79" s="75"/>
      <c r="AN79" s="75"/>
      <c r="AO79" s="75"/>
      <c r="AP79" s="138"/>
      <c r="AQ79" s="138"/>
      <c r="AR79" s="1"/>
      <c r="AS79" s="3"/>
      <c r="AT79" s="3"/>
      <c r="AU79" s="3"/>
      <c r="BD79" s="2"/>
      <c r="BE79" s="2"/>
      <c r="BF79" s="2"/>
      <c r="BG79" s="2"/>
      <c r="BL79" s="8"/>
    </row>
    <row r="80" spans="9:64" x14ac:dyDescent="0.2">
      <c r="I80" s="142" t="str">
        <f>$A$39</f>
        <v>Disk 46 Dose (Gy)</v>
      </c>
      <c r="J80" s="24" t="s">
        <v>52</v>
      </c>
      <c r="K80" s="143"/>
      <c r="L80" s="143"/>
      <c r="M80" s="143"/>
      <c r="N80" s="143"/>
      <c r="O80" s="144"/>
      <c r="P80" s="143"/>
      <c r="Q80" s="307"/>
      <c r="R80" s="307"/>
      <c r="S80" s="307"/>
      <c r="T80" s="307">
        <f>'Raw Data'!$D$199*$G$45*'Raw Data'!$T$3</f>
        <v>280.32976628006065</v>
      </c>
      <c r="U80" s="307">
        <f>'Raw Data'!$D$201*$G$45*'Raw Data'!$T$3</f>
        <v>560.73349819766224</v>
      </c>
      <c r="V80" s="307">
        <f>'Raw Data'!$D$203*$G$45*'Raw Data'!$T$3</f>
        <v>841.13723011526383</v>
      </c>
      <c r="W80" s="168">
        <f>'Raw Data'!$D$205*$G$45*'Raw Data'!$T$3</f>
        <v>0</v>
      </c>
      <c r="X80" s="309">
        <f>'Raw Data'!$D$207*$G$45*'Raw Data'!$T$3</f>
        <v>280.40373191760159</v>
      </c>
      <c r="Y80" s="143"/>
      <c r="Z80" s="151"/>
      <c r="AA80" s="151"/>
      <c r="AB80" s="104"/>
      <c r="AC80" s="104"/>
      <c r="AD80" s="104"/>
      <c r="AE80" s="104"/>
      <c r="AH80" s="136"/>
      <c r="AI80" s="137"/>
      <c r="AJ80" s="75"/>
      <c r="AK80" s="75"/>
      <c r="AL80" s="75"/>
      <c r="AM80" s="75"/>
      <c r="AN80" s="75"/>
      <c r="AO80" s="75"/>
      <c r="AP80" s="138"/>
      <c r="AQ80" s="138"/>
      <c r="AR80" s="1"/>
      <c r="AS80" s="3"/>
      <c r="AT80" s="3"/>
      <c r="AU80" s="3"/>
      <c r="BD80" s="2"/>
      <c r="BE80" s="2"/>
      <c r="BF80" s="2"/>
      <c r="BG80" s="2"/>
      <c r="BL80" s="8"/>
    </row>
    <row r="81" spans="9:73" x14ac:dyDescent="0.2">
      <c r="I81" s="142" t="str">
        <f>$A$39</f>
        <v>Disk 46 Dose (Gy)</v>
      </c>
      <c r="J81" s="75" t="s">
        <v>46</v>
      </c>
      <c r="K81" s="143"/>
      <c r="L81" s="143"/>
      <c r="M81" s="143"/>
      <c r="N81" s="143"/>
      <c r="O81" s="144"/>
      <c r="P81" s="143"/>
      <c r="Q81" s="307">
        <f>Q39^2</f>
        <v>0</v>
      </c>
      <c r="R81" s="307">
        <v>16</v>
      </c>
      <c r="S81" s="307">
        <f t="shared" ref="S81:X81" si="62">S39^2</f>
        <v>12556.982113029206</v>
      </c>
      <c r="T81" s="307">
        <f t="shared" si="62"/>
        <v>78584.777862633433</v>
      </c>
      <c r="U81" s="307">
        <f t="shared" si="62"/>
        <v>314422.05600098771</v>
      </c>
      <c r="V81" s="307">
        <f t="shared" si="62"/>
        <v>707511.83988597826</v>
      </c>
      <c r="W81" s="307">
        <f t="shared" si="62"/>
        <v>0</v>
      </c>
      <c r="X81" s="308">
        <f t="shared" si="62"/>
        <v>78626.252873318183</v>
      </c>
      <c r="Y81" s="143"/>
      <c r="Z81" s="151"/>
      <c r="AA81" s="151"/>
      <c r="AB81" s="104"/>
      <c r="AC81" s="104"/>
      <c r="AD81" s="104"/>
      <c r="AE81" s="104"/>
      <c r="AH81" s="136"/>
      <c r="AI81" s="137"/>
      <c r="AJ81" s="75"/>
      <c r="AK81" s="75"/>
      <c r="AL81" s="75"/>
      <c r="AM81" s="75"/>
      <c r="AN81" s="75"/>
      <c r="AO81" s="75"/>
      <c r="AP81" s="138"/>
      <c r="AQ81" s="138"/>
      <c r="AR81" s="1"/>
      <c r="AS81" s="3"/>
      <c r="AT81" s="3"/>
      <c r="AU81" s="3"/>
      <c r="BD81" s="2"/>
      <c r="BE81" s="2"/>
      <c r="BF81" s="2"/>
      <c r="BG81" s="2"/>
      <c r="BL81" s="8"/>
    </row>
    <row r="82" spans="9:73" x14ac:dyDescent="0.2">
      <c r="I82" s="142" t="str">
        <f>$A$40</f>
        <v>Disk 47 Dose (Gy)</v>
      </c>
      <c r="J82" s="24" t="s">
        <v>52</v>
      </c>
      <c r="K82" s="143" t="s">
        <v>52</v>
      </c>
      <c r="L82" s="143"/>
      <c r="M82" s="143"/>
      <c r="N82" s="143"/>
      <c r="O82" s="144"/>
      <c r="P82" s="143"/>
      <c r="Q82" s="307"/>
      <c r="R82" s="307"/>
      <c r="S82" s="307"/>
      <c r="T82" s="307">
        <f>'Raw Data'!$D$211*$G$45*'Raw Data'!$T$3</f>
        <v>280.40373191760159</v>
      </c>
      <c r="U82" s="307">
        <f>'Raw Data'!$D$213*$G$45*'Raw Data'!$T$3</f>
        <v>560.73349819766224</v>
      </c>
      <c r="V82" s="307">
        <f>'Raw Data'!$D$215*$G$45*'Raw Data'!$T$3</f>
        <v>841.13723011526383</v>
      </c>
      <c r="W82" s="168">
        <f>'Raw Data'!$D$217*$G$45*'Raw Data'!$T$3</f>
        <v>0</v>
      </c>
      <c r="X82" s="309">
        <f>'Raw Data'!$D$219*$G$45*'Raw Data'!$T$3</f>
        <v>280.40373191760159</v>
      </c>
      <c r="Y82" s="143"/>
      <c r="Z82" s="151"/>
      <c r="AA82" s="151"/>
      <c r="AB82" s="104"/>
      <c r="AC82" s="104"/>
      <c r="AD82" s="104"/>
      <c r="AE82" s="104"/>
      <c r="AH82" s="136"/>
      <c r="AI82" s="137"/>
      <c r="AJ82" s="75"/>
      <c r="AK82" s="75"/>
      <c r="AL82" s="75"/>
      <c r="AM82" s="75"/>
      <c r="AN82" s="75"/>
      <c r="AO82" s="75"/>
      <c r="AP82" s="138"/>
      <c r="AQ82" s="138"/>
      <c r="AR82" s="1"/>
      <c r="AS82" s="3"/>
      <c r="AT82" s="3"/>
      <c r="AU82" s="3"/>
      <c r="BD82" s="2"/>
      <c r="BE82" s="2"/>
      <c r="BF82" s="2"/>
      <c r="BG82" s="2"/>
      <c r="BL82" s="8"/>
    </row>
    <row r="83" spans="9:73" x14ac:dyDescent="0.2">
      <c r="I83" s="142" t="str">
        <f>$A$40</f>
        <v>Disk 47 Dose (Gy)</v>
      </c>
      <c r="J83" s="75" t="s">
        <v>46</v>
      </c>
      <c r="K83" s="143"/>
      <c r="L83" s="143"/>
      <c r="M83" s="143"/>
      <c r="N83" s="143"/>
      <c r="O83" s="144"/>
      <c r="P83" s="143"/>
      <c r="Q83" s="307">
        <f>Q40^2</f>
        <v>0</v>
      </c>
      <c r="R83" s="307">
        <v>17</v>
      </c>
      <c r="S83" s="307">
        <f t="shared" ref="S83:X83" si="63">S40^2</f>
        <v>12556.982113029206</v>
      </c>
      <c r="T83" s="307">
        <f t="shared" si="63"/>
        <v>78626.252873318183</v>
      </c>
      <c r="U83" s="307">
        <f t="shared" si="63"/>
        <v>314422.05600098771</v>
      </c>
      <c r="V83" s="307">
        <f t="shared" si="63"/>
        <v>707511.83988597826</v>
      </c>
      <c r="W83" s="307">
        <f t="shared" si="63"/>
        <v>0</v>
      </c>
      <c r="X83" s="308">
        <f t="shared" si="63"/>
        <v>78626.252873318183</v>
      </c>
      <c r="Y83" s="143"/>
      <c r="Z83" s="151"/>
      <c r="AA83" s="151"/>
      <c r="AB83" s="104"/>
      <c r="AC83" s="104"/>
      <c r="AD83" s="104"/>
      <c r="AE83" s="104"/>
      <c r="AH83" s="136"/>
      <c r="AI83" s="137"/>
      <c r="AJ83" s="75"/>
      <c r="AK83" s="75"/>
      <c r="AL83" s="75"/>
      <c r="AM83" s="75"/>
      <c r="AN83" s="75"/>
      <c r="AO83" s="75"/>
      <c r="AP83" s="138"/>
      <c r="AQ83" s="138"/>
      <c r="AR83" s="1"/>
      <c r="AS83" s="3"/>
      <c r="AT83" s="3"/>
      <c r="AU83" s="3"/>
      <c r="BD83" s="2"/>
      <c r="BE83" s="2"/>
      <c r="BF83" s="2"/>
      <c r="BG83" s="2"/>
      <c r="BL83" s="8"/>
    </row>
    <row r="84" spans="9:73" x14ac:dyDescent="0.2">
      <c r="I84" s="142" t="str">
        <f>$A$41</f>
        <v>Disk 48 Dose (Gy)</v>
      </c>
      <c r="J84" s="24" t="s">
        <v>52</v>
      </c>
      <c r="K84" s="143"/>
      <c r="L84" s="143"/>
      <c r="M84" s="143"/>
      <c r="N84" s="143"/>
      <c r="O84" s="144"/>
      <c r="P84" s="143"/>
      <c r="Q84" s="307"/>
      <c r="R84" s="307"/>
      <c r="S84" s="307"/>
      <c r="T84" s="307">
        <f>'Raw Data'!$D$223*$G$45*'Raw Data'!$T$3</f>
        <v>74.705293916322233</v>
      </c>
      <c r="U84" s="307">
        <f>'Raw Data'!$D$225*$G$45*'Raw Data'!$T$3</f>
        <v>149.48455347018538</v>
      </c>
      <c r="V84" s="307">
        <f>'Raw Data'!$D$227*$G$45*'Raw Data'!$T$3</f>
        <v>308.28877727052583</v>
      </c>
      <c r="W84" s="168">
        <f>'Raw Data'!$D$229*$G$45*'Raw Data'!$T$3</f>
        <v>0</v>
      </c>
      <c r="X84" s="309">
        <f>'Raw Data'!$D$231*$G$45*'Raw Data'!$T$3</f>
        <v>74.705293916322233</v>
      </c>
      <c r="Y84" s="143"/>
      <c r="Z84" s="151"/>
      <c r="AA84" s="151"/>
      <c r="AB84" s="104"/>
      <c r="AC84" s="104"/>
      <c r="AD84" s="104"/>
      <c r="AE84" s="104"/>
      <c r="AH84" s="136"/>
      <c r="AI84" s="137"/>
      <c r="AJ84" s="75"/>
      <c r="AK84" s="75"/>
      <c r="AL84" s="75"/>
      <c r="AM84" s="75"/>
      <c r="AN84" s="75"/>
      <c r="AO84" s="75"/>
      <c r="AP84" s="138"/>
      <c r="AQ84" s="138"/>
      <c r="AR84" s="1"/>
      <c r="AS84" s="3"/>
      <c r="AT84" s="3"/>
      <c r="AU84" s="3"/>
      <c r="BD84" s="2"/>
      <c r="BE84" s="2"/>
      <c r="BF84" s="2"/>
      <c r="BG84" s="2"/>
      <c r="BL84" s="8"/>
    </row>
    <row r="85" spans="9:73" x14ac:dyDescent="0.2">
      <c r="I85" s="142" t="str">
        <f>$A$41</f>
        <v>Disk 48 Dose (Gy)</v>
      </c>
      <c r="J85" s="75" t="s">
        <v>46</v>
      </c>
      <c r="K85" s="143"/>
      <c r="L85" s="143"/>
      <c r="M85" s="143"/>
      <c r="N85" s="143"/>
      <c r="O85" s="144"/>
      <c r="P85" s="143"/>
      <c r="Q85" s="307">
        <f>Q41^2</f>
        <v>0</v>
      </c>
      <c r="R85" s="307">
        <f t="shared" ref="R85:X85" si="64">R41^2</f>
        <v>0</v>
      </c>
      <c r="S85" s="307">
        <f t="shared" si="64"/>
        <v>12556.982113029206</v>
      </c>
      <c r="T85" s="307">
        <f t="shared" si="64"/>
        <v>5580.880939124092</v>
      </c>
      <c r="U85" s="307">
        <f t="shared" si="64"/>
        <v>22345.631726180709</v>
      </c>
      <c r="V85" s="307">
        <f t="shared" si="64"/>
        <v>95041.970190955879</v>
      </c>
      <c r="W85" s="307">
        <f t="shared" si="64"/>
        <v>0</v>
      </c>
      <c r="X85" s="308">
        <f t="shared" si="64"/>
        <v>5580.880939124092</v>
      </c>
      <c r="Y85" s="143"/>
      <c r="Z85" s="151"/>
      <c r="AA85" s="151"/>
      <c r="AB85" s="104"/>
      <c r="AC85" s="104"/>
      <c r="AD85" s="104"/>
      <c r="AE85" s="104"/>
      <c r="AH85" s="136"/>
      <c r="AI85" s="137"/>
      <c r="AJ85" s="75"/>
      <c r="AK85" s="75"/>
      <c r="AL85" s="75"/>
      <c r="AM85" s="75"/>
      <c r="AN85" s="75"/>
      <c r="AO85" s="75"/>
      <c r="AP85" s="138"/>
      <c r="AQ85" s="138"/>
      <c r="AR85" s="1"/>
      <c r="AS85" s="3"/>
      <c r="AT85" s="3"/>
      <c r="AU85" s="3"/>
      <c r="BD85" s="2"/>
      <c r="BE85" s="2"/>
      <c r="BF85" s="2"/>
      <c r="BG85" s="2"/>
      <c r="BL85" s="8"/>
    </row>
    <row r="86" spans="9:73" x14ac:dyDescent="0.2">
      <c r="I86" s="142" t="str">
        <f>$A$42</f>
        <v>Disk 49 Dose (Gy)</v>
      </c>
      <c r="J86" s="24" t="s">
        <v>52</v>
      </c>
      <c r="K86" s="143" t="s">
        <v>52</v>
      </c>
      <c r="L86" s="143"/>
      <c r="M86" s="143"/>
      <c r="N86" s="143"/>
      <c r="O86" s="144"/>
      <c r="P86" s="143"/>
      <c r="Q86" s="307"/>
      <c r="R86" s="307"/>
      <c r="S86" s="307"/>
      <c r="T86" s="307">
        <f>'Raw Data'!$D$235*$G$45*'Raw Data'!$T$3</f>
        <v>74.705293916322233</v>
      </c>
      <c r="U86" s="307">
        <f>'Raw Data'!$D$237*$G$45*'Raw Data'!$T$3</f>
        <v>149.48455347018538</v>
      </c>
      <c r="V86" s="307">
        <f>'Raw Data'!$D$239*$G$45*'Raw Data'!$T$3</f>
        <v>308.28877727052583</v>
      </c>
      <c r="W86" s="168">
        <f>'Raw Data'!$D$241*$G$45*'Raw Data'!$T$3</f>
        <v>0</v>
      </c>
      <c r="X86" s="309">
        <f>'Raw Data'!$D$243*$G$45*'Raw Data'!$T$3</f>
        <v>74.705293916322233</v>
      </c>
      <c r="Y86" s="143"/>
      <c r="Z86" s="151"/>
      <c r="AA86" s="151"/>
      <c r="AB86" s="104"/>
      <c r="AC86" s="104"/>
      <c r="AD86" s="104"/>
      <c r="AE86" s="104"/>
      <c r="AH86" s="136"/>
      <c r="AI86" s="137"/>
      <c r="AJ86" s="75"/>
      <c r="AK86" s="75"/>
      <c r="AL86" s="75"/>
      <c r="AM86" s="75"/>
      <c r="AN86" s="75"/>
      <c r="AO86" s="75"/>
      <c r="AP86" s="138"/>
      <c r="AQ86" s="138"/>
      <c r="AR86" s="1"/>
      <c r="AS86" s="3"/>
      <c r="AT86" s="3"/>
      <c r="AU86" s="3"/>
      <c r="BD86" s="2"/>
      <c r="BE86" s="2"/>
      <c r="BF86" s="2"/>
      <c r="BG86" s="2"/>
      <c r="BL86" s="8"/>
    </row>
    <row r="87" spans="9:73" x14ac:dyDescent="0.2">
      <c r="I87" s="154" t="str">
        <f>$A$42</f>
        <v>Disk 49 Dose (Gy)</v>
      </c>
      <c r="J87" s="147" t="s">
        <v>46</v>
      </c>
      <c r="K87" s="148"/>
      <c r="L87" s="148"/>
      <c r="M87" s="148"/>
      <c r="N87" s="148"/>
      <c r="O87" s="149"/>
      <c r="P87" s="148"/>
      <c r="Q87" s="310">
        <f>Q42^2</f>
        <v>0</v>
      </c>
      <c r="R87" s="310">
        <f t="shared" ref="R87:X87" si="65">R42^2</f>
        <v>0</v>
      </c>
      <c r="S87" s="310">
        <f t="shared" si="65"/>
        <v>12556.982113029206</v>
      </c>
      <c r="T87" s="310">
        <f t="shared" si="65"/>
        <v>5580.880939124092</v>
      </c>
      <c r="U87" s="310">
        <f t="shared" si="65"/>
        <v>22345.631726180709</v>
      </c>
      <c r="V87" s="310">
        <f t="shared" si="65"/>
        <v>95041.970190955879</v>
      </c>
      <c r="W87" s="310">
        <f t="shared" si="65"/>
        <v>0</v>
      </c>
      <c r="X87" s="311">
        <f t="shared" si="65"/>
        <v>5580.880939124092</v>
      </c>
      <c r="Y87" s="143"/>
      <c r="Z87" s="151"/>
      <c r="AA87" s="151"/>
      <c r="AB87" s="104"/>
      <c r="AC87" s="104"/>
      <c r="AD87" s="104"/>
      <c r="AE87" s="104"/>
      <c r="AH87" s="136"/>
      <c r="AI87" s="137"/>
      <c r="AJ87" s="75"/>
      <c r="AK87" s="75"/>
      <c r="AL87" s="75"/>
      <c r="AM87" s="75"/>
      <c r="AN87" s="75"/>
      <c r="AO87" s="75"/>
      <c r="AP87" s="138"/>
      <c r="AQ87" s="138"/>
      <c r="AR87" s="1"/>
      <c r="AS87" s="3"/>
      <c r="AT87" s="3"/>
      <c r="AU87" s="3"/>
      <c r="BD87" s="2"/>
      <c r="BE87" s="2"/>
      <c r="BF87" s="2"/>
      <c r="BG87" s="2"/>
      <c r="BL87" s="8"/>
    </row>
    <row r="88" spans="9:73" x14ac:dyDescent="0.2">
      <c r="I88" s="146" t="s">
        <v>136</v>
      </c>
      <c r="J88" s="147"/>
      <c r="K88" s="148"/>
      <c r="L88" s="148"/>
      <c r="M88" s="148"/>
      <c r="N88" s="148"/>
      <c r="O88" s="149"/>
      <c r="P88" s="148"/>
      <c r="Q88" s="147"/>
      <c r="R88" s="147" t="s">
        <v>21</v>
      </c>
      <c r="S88" s="147"/>
      <c r="T88" s="147"/>
      <c r="U88" s="147"/>
      <c r="V88" s="147"/>
      <c r="W88" s="147"/>
      <c r="X88" s="147"/>
      <c r="Y88" s="152"/>
      <c r="Z88" s="143"/>
      <c r="AA88" s="143"/>
      <c r="AO88" s="1"/>
      <c r="AP88" s="1"/>
      <c r="AQ88" s="1"/>
      <c r="AR88" s="1"/>
      <c r="AS88" s="1"/>
      <c r="AT88" s="3"/>
      <c r="AU88" s="3"/>
      <c r="AV88" s="3"/>
      <c r="BD88" s="2"/>
      <c r="BE88" s="2"/>
      <c r="BF88" s="2"/>
      <c r="BG88" s="2"/>
      <c r="BU88" s="2"/>
    </row>
    <row r="89" spans="9:73" x14ac:dyDescent="0.2">
      <c r="I89" s="1"/>
      <c r="O89" s="109"/>
      <c r="Y89" s="143"/>
      <c r="Z89" s="143"/>
      <c r="AA89" s="143"/>
      <c r="BE89" s="2"/>
      <c r="BF89" s="2"/>
      <c r="BG89" s="2"/>
    </row>
    <row r="90" spans="9:73" x14ac:dyDescent="0.2">
      <c r="I90" s="1"/>
      <c r="O90" s="109"/>
      <c r="BE90" s="2"/>
      <c r="BF90" s="2"/>
      <c r="BG90" s="2"/>
    </row>
    <row r="91" spans="9:73" ht="12" customHeight="1" x14ac:dyDescent="0.25">
      <c r="I91" s="1"/>
      <c r="O91" s="109"/>
      <c r="X91" s="5"/>
      <c r="AE91" s="107"/>
      <c r="BD91" s="18"/>
      <c r="BE91" s="2"/>
      <c r="BF91" s="2"/>
      <c r="BG91" s="2"/>
    </row>
    <row r="92" spans="9:73" x14ac:dyDescent="0.2">
      <c r="I92" s="1"/>
      <c r="O92" s="109"/>
      <c r="BD92" s="2"/>
      <c r="BE92" s="2"/>
      <c r="BF92" s="2"/>
      <c r="BG92" s="2"/>
    </row>
    <row r="93" spans="9:73" x14ac:dyDescent="0.2">
      <c r="I93" s="1"/>
      <c r="O93" s="109"/>
      <c r="BE93" s="2"/>
      <c r="BF93" s="2"/>
      <c r="BG93" s="2"/>
    </row>
    <row r="94" spans="9:73" x14ac:dyDescent="0.2">
      <c r="I94" s="1"/>
      <c r="O94" s="109"/>
      <c r="BD94" s="2"/>
      <c r="BE94" s="2"/>
      <c r="BF94" s="2"/>
    </row>
    <row r="95" spans="9:73" x14ac:dyDescent="0.2">
      <c r="I95" s="1"/>
      <c r="O95" s="109"/>
      <c r="BD95" s="2"/>
      <c r="BE95" s="2"/>
      <c r="BF95" s="2"/>
    </row>
    <row r="96" spans="9:73" x14ac:dyDescent="0.2">
      <c r="I96" s="1"/>
      <c r="O96" s="109"/>
      <c r="BD96" s="2"/>
      <c r="BE96" s="2"/>
      <c r="BF96" s="2"/>
    </row>
    <row r="97" spans="8:59" x14ac:dyDescent="0.2">
      <c r="I97" s="1"/>
      <c r="O97" s="109"/>
      <c r="BD97" s="2"/>
      <c r="BE97" s="2"/>
      <c r="BF97" s="2"/>
    </row>
    <row r="98" spans="8:59" x14ac:dyDescent="0.2">
      <c r="I98" s="1"/>
      <c r="O98" s="109"/>
      <c r="BD98" s="2"/>
      <c r="BE98" s="2"/>
    </row>
    <row r="99" spans="8:59" x14ac:dyDescent="0.2">
      <c r="I99" s="1"/>
      <c r="O99" s="109"/>
      <c r="BD99" s="2"/>
      <c r="BE99" s="2"/>
      <c r="BF99" s="2"/>
    </row>
    <row r="100" spans="8:59" x14ac:dyDescent="0.2">
      <c r="I100" s="1"/>
      <c r="O100" s="109"/>
      <c r="BD100" s="2"/>
      <c r="BE100" s="2"/>
    </row>
    <row r="101" spans="8:59" x14ac:dyDescent="0.2">
      <c r="I101" s="1"/>
      <c r="O101" s="109"/>
      <c r="BD101" s="2"/>
      <c r="BE101" s="2"/>
    </row>
    <row r="102" spans="8:59" x14ac:dyDescent="0.2">
      <c r="I102" s="1"/>
      <c r="O102" s="109"/>
      <c r="BD102" s="2"/>
      <c r="BE102" s="2"/>
    </row>
    <row r="103" spans="8:59" x14ac:dyDescent="0.2">
      <c r="I103" s="1"/>
      <c r="O103" s="109"/>
      <c r="BD103" s="2"/>
      <c r="BE103" s="2"/>
      <c r="BF103" s="2"/>
    </row>
    <row r="104" spans="8:59" x14ac:dyDescent="0.2">
      <c r="I104" s="1"/>
      <c r="O104" s="109"/>
      <c r="BD104" s="2"/>
      <c r="BE104" s="2"/>
      <c r="BF104" s="2"/>
    </row>
    <row r="105" spans="8:59" x14ac:dyDescent="0.2">
      <c r="I105" s="1"/>
      <c r="O105" s="109"/>
      <c r="BD105" s="2"/>
      <c r="BE105" s="2"/>
      <c r="BF105" s="2"/>
    </row>
    <row r="106" spans="8:59" x14ac:dyDescent="0.2">
      <c r="I106" s="1"/>
      <c r="O106" s="109"/>
      <c r="BD106" s="2"/>
      <c r="BE106" s="2"/>
      <c r="BF106" s="2"/>
      <c r="BG106" s="2"/>
    </row>
    <row r="107" spans="8:59" x14ac:dyDescent="0.2">
      <c r="H107" s="5"/>
      <c r="J107" s="2"/>
      <c r="P107" s="108"/>
      <c r="AN107" s="1"/>
      <c r="AO107" s="1"/>
      <c r="AP107" s="1"/>
      <c r="AQ107" s="1"/>
      <c r="AR107" s="1"/>
      <c r="AS107" s="3"/>
      <c r="AT107" s="3"/>
      <c r="AU107" s="3"/>
      <c r="AW107"/>
      <c r="BD107" s="2"/>
      <c r="BE107" s="2"/>
      <c r="BF107" s="2"/>
      <c r="BG107" s="2"/>
    </row>
    <row r="108" spans="8:59" x14ac:dyDescent="0.2">
      <c r="AN108" s="1"/>
      <c r="AO108" s="1"/>
      <c r="AP108" s="1"/>
      <c r="AQ108" s="1"/>
      <c r="AR108"/>
      <c r="AS108"/>
      <c r="AT108"/>
      <c r="AU108"/>
      <c r="AV108"/>
      <c r="AW108"/>
      <c r="BD108" s="2"/>
      <c r="BE108" s="2"/>
      <c r="BF108" s="2"/>
      <c r="BG108" s="2"/>
    </row>
    <row r="109" spans="8:59" x14ac:dyDescent="0.2">
      <c r="AO109"/>
      <c r="AP109"/>
      <c r="AQ109"/>
      <c r="AR109"/>
      <c r="AS109"/>
      <c r="AT109"/>
      <c r="AU109"/>
      <c r="AV109"/>
      <c r="AW109"/>
      <c r="BD109" s="2"/>
      <c r="BE109" s="2"/>
      <c r="BF109" s="2"/>
      <c r="BG109" s="2"/>
    </row>
    <row r="110" spans="8:59" x14ac:dyDescent="0.2">
      <c r="AO110"/>
      <c r="AP110"/>
      <c r="AQ110"/>
      <c r="AR110" s="64"/>
      <c r="AS110"/>
      <c r="AT110"/>
      <c r="AU110"/>
      <c r="AV110"/>
      <c r="BD110" s="2"/>
      <c r="BE110" s="2"/>
      <c r="BF110" s="2"/>
      <c r="BG110" s="2"/>
    </row>
    <row r="111" spans="8:59" x14ac:dyDescent="0.2">
      <c r="AO111"/>
      <c r="AP111"/>
      <c r="AQ111"/>
      <c r="AR111" s="64"/>
      <c r="AS111" s="3"/>
      <c r="AT111" s="3"/>
      <c r="AU111" s="3"/>
      <c r="BD111" s="2"/>
      <c r="BE111" s="2"/>
      <c r="BF111" s="2"/>
      <c r="BG111" s="2"/>
    </row>
    <row r="112" spans="8:59" x14ac:dyDescent="0.2">
      <c r="AN112" s="1"/>
      <c r="AO112" s="1"/>
      <c r="AP112" s="1"/>
      <c r="AQ112" s="1"/>
      <c r="AR112" s="64"/>
      <c r="AS112" s="3"/>
      <c r="AT112" s="3"/>
      <c r="AU112" s="3"/>
      <c r="BD112" s="2"/>
      <c r="BE112" s="2"/>
      <c r="BF112" s="2"/>
      <c r="BG112" s="2"/>
    </row>
    <row r="113" spans="40:59" x14ac:dyDescent="0.2">
      <c r="AN113" s="1"/>
      <c r="AO113" s="1"/>
      <c r="AP113" s="1"/>
      <c r="AQ113" s="1"/>
      <c r="AR113" s="64"/>
      <c r="AS113" s="3"/>
      <c r="AT113" s="3"/>
      <c r="AU113" s="3"/>
      <c r="BD113" s="2"/>
      <c r="BE113" s="2"/>
      <c r="BF113" s="2"/>
      <c r="BG113" s="2"/>
    </row>
    <row r="114" spans="40:59" x14ac:dyDescent="0.2">
      <c r="AN114" s="1"/>
      <c r="AO114" s="1"/>
      <c r="AP114" s="1"/>
      <c r="AQ114" s="1"/>
      <c r="AR114" s="64"/>
      <c r="AS114" s="3"/>
      <c r="AT114" s="3"/>
      <c r="AU114" s="3"/>
      <c r="BD114" s="2"/>
      <c r="BE114" s="2"/>
      <c r="BF114" s="2"/>
      <c r="BG114" s="2"/>
    </row>
    <row r="115" spans="40:59" x14ac:dyDescent="0.2">
      <c r="AN115" s="1"/>
      <c r="AO115" s="1"/>
      <c r="AP115" s="1"/>
      <c r="AQ115" s="1"/>
      <c r="AR115" s="64"/>
      <c r="AS115" s="3"/>
      <c r="AT115" s="3"/>
      <c r="AU115" s="3"/>
      <c r="BD115" s="2"/>
      <c r="BE115" s="2"/>
      <c r="BF115" s="2"/>
      <c r="BG115" s="2"/>
    </row>
    <row r="116" spans="40:59" x14ac:dyDescent="0.2">
      <c r="AN116" s="1"/>
      <c r="AO116" s="1"/>
      <c r="AP116" s="1"/>
      <c r="AQ116" s="1"/>
      <c r="AR116" s="64"/>
      <c r="AS116" s="3"/>
      <c r="AT116" s="3"/>
      <c r="AU116" s="3"/>
      <c r="BD116" s="2"/>
      <c r="BE116" s="2"/>
      <c r="BF116" s="2"/>
      <c r="BG116" s="2"/>
    </row>
    <row r="117" spans="40:59" x14ac:dyDescent="0.2">
      <c r="AN117" s="1"/>
      <c r="AO117" s="1"/>
      <c r="AP117" s="1"/>
      <c r="AQ117" s="1"/>
      <c r="AR117" s="64"/>
      <c r="AS117" s="3"/>
      <c r="AT117" s="3"/>
      <c r="AU117" s="3"/>
      <c r="BD117" s="2"/>
      <c r="BE117" s="2"/>
      <c r="BF117" s="2"/>
      <c r="BG117" s="2"/>
    </row>
    <row r="118" spans="40:59" x14ac:dyDescent="0.2">
      <c r="AN118" s="1"/>
      <c r="AO118" s="1"/>
      <c r="AP118" s="1"/>
      <c r="AQ118" s="1"/>
      <c r="AR118" s="64"/>
      <c r="AS118" s="3"/>
      <c r="AT118" s="3"/>
      <c r="AU118" s="3"/>
      <c r="BD118" s="2"/>
      <c r="BE118" s="2"/>
      <c r="BF118" s="2"/>
      <c r="BG118" s="2"/>
    </row>
    <row r="119" spans="40:59" x14ac:dyDescent="0.2">
      <c r="AN119" s="1"/>
      <c r="AO119" s="1"/>
      <c r="AP119" s="1"/>
      <c r="AQ119" s="1"/>
      <c r="AR119" s="64"/>
      <c r="AS119" s="3"/>
      <c r="AT119" s="3"/>
      <c r="AU119" s="3"/>
      <c r="BD119" s="2"/>
      <c r="BE119" s="2"/>
    </row>
    <row r="120" spans="40:59" x14ac:dyDescent="0.2">
      <c r="AN120" s="1"/>
      <c r="AO120" s="1"/>
      <c r="AP120" s="1"/>
      <c r="AQ120" s="1"/>
      <c r="AR120" s="64"/>
      <c r="BD120" s="2"/>
      <c r="BE120" s="2"/>
    </row>
    <row r="121" spans="40:59" x14ac:dyDescent="0.2">
      <c r="AO121"/>
      <c r="AP121"/>
      <c r="AQ121"/>
      <c r="AR121" s="64"/>
      <c r="BD121" s="2"/>
      <c r="BE121" s="2"/>
    </row>
    <row r="122" spans="40:59" x14ac:dyDescent="0.2">
      <c r="AO122"/>
      <c r="AP122"/>
      <c r="AQ122"/>
      <c r="AR122" s="64"/>
      <c r="BD122" s="2"/>
      <c r="BE122" s="2"/>
    </row>
    <row r="123" spans="40:59" x14ac:dyDescent="0.2">
      <c r="AO123"/>
      <c r="AP123"/>
      <c r="AQ123"/>
      <c r="AR123" s="64"/>
      <c r="BD123" s="2"/>
      <c r="BE123" s="2"/>
    </row>
    <row r="124" spans="40:59" x14ac:dyDescent="0.2">
      <c r="AO124"/>
      <c r="AP124"/>
      <c r="AQ124"/>
      <c r="AR124" s="64"/>
      <c r="BD124" s="2"/>
      <c r="BE124" s="2"/>
    </row>
    <row r="125" spans="40:59" x14ac:dyDescent="0.2">
      <c r="AO125"/>
      <c r="AP125"/>
      <c r="AQ125"/>
      <c r="AR125" s="64"/>
      <c r="BD125" s="2"/>
      <c r="BE125" s="2"/>
    </row>
    <row r="126" spans="40:59" x14ac:dyDescent="0.2">
      <c r="AO126"/>
      <c r="AP126"/>
      <c r="AQ126"/>
      <c r="AR126" s="64"/>
      <c r="BD126" s="2"/>
      <c r="BE126" s="2"/>
    </row>
    <row r="127" spans="40:59" x14ac:dyDescent="0.2">
      <c r="AO127"/>
      <c r="AP127"/>
      <c r="AQ127"/>
      <c r="AR127" s="64"/>
      <c r="BD127" s="2"/>
      <c r="BE127" s="2"/>
    </row>
    <row r="128" spans="40:59" x14ac:dyDescent="0.2">
      <c r="AO128"/>
      <c r="AP128"/>
      <c r="AQ128"/>
      <c r="AR128" s="64"/>
      <c r="BD128" s="2"/>
      <c r="BE128" s="2"/>
    </row>
    <row r="129" spans="41:57" x14ac:dyDescent="0.2">
      <c r="AO129"/>
      <c r="AP129"/>
      <c r="AQ129"/>
      <c r="AR129" s="64"/>
      <c r="BD129" s="2"/>
      <c r="BE129" s="2"/>
    </row>
    <row r="130" spans="41:57" x14ac:dyDescent="0.2">
      <c r="AR130" s="64"/>
    </row>
    <row r="147" spans="49:63" x14ac:dyDescent="0.2">
      <c r="AW147" s="2">
        <v>1</v>
      </c>
      <c r="AX147" s="2">
        <v>0</v>
      </c>
      <c r="AY147" s="2">
        <v>0</v>
      </c>
      <c r="AZ147" s="2">
        <v>0</v>
      </c>
      <c r="BH147" s="4"/>
      <c r="BI147" s="3"/>
      <c r="BJ147" s="3"/>
      <c r="BK147" s="4"/>
    </row>
  </sheetData>
  <phoneticPr fontId="5"/>
  <conditionalFormatting sqref="AH3:AH22">
    <cfRule type="cellIs" dxfId="3" priority="4" operator="greaterThan">
      <formula>10</formula>
    </cfRule>
  </conditionalFormatting>
  <conditionalFormatting sqref="AF3:AF22">
    <cfRule type="cellIs" dxfId="2" priority="2" operator="lessThan">
      <formula>0.9</formula>
    </cfRule>
    <cfRule type="cellIs" dxfId="1" priority="3" operator="greaterThan">
      <formula>1.1</formula>
    </cfRule>
  </conditionalFormatting>
  <conditionalFormatting sqref="AI3:AI22">
    <cfRule type="cellIs" dxfId="0" priority="1" operator="greaterThan">
      <formula>1</formula>
    </cfRule>
  </conditionalFormatting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00"/>
  <sheetViews>
    <sheetView topLeftCell="A39" zoomScale="85" zoomScaleNormal="85" workbookViewId="0">
      <selection activeCell="R50" sqref="R50"/>
    </sheetView>
  </sheetViews>
  <sheetFormatPr defaultColWidth="11.1640625" defaultRowHeight="12" x14ac:dyDescent="0.2"/>
  <cols>
    <col min="1" max="14" width="11.1640625" customWidth="1"/>
    <col min="16" max="16" width="11.33203125" customWidth="1"/>
    <col min="17" max="17" width="12.5" customWidth="1"/>
    <col min="18" max="18" width="12.83203125" bestFit="1" customWidth="1"/>
    <col min="19" max="19" width="7.6640625" customWidth="1"/>
    <col min="20" max="20" width="8.6640625" customWidth="1"/>
  </cols>
  <sheetData>
    <row r="1" spans="1:24" ht="15.75" x14ac:dyDescent="0.25">
      <c r="P1" s="29" t="s">
        <v>143</v>
      </c>
      <c r="S1" s="5" t="s">
        <v>145</v>
      </c>
      <c r="U1" s="33" t="s">
        <v>150</v>
      </c>
      <c r="V1" s="36"/>
      <c r="W1" s="36"/>
      <c r="X1" t="s">
        <v>96</v>
      </c>
    </row>
    <row r="2" spans="1:24" ht="15.75" x14ac:dyDescent="0.25">
      <c r="A2" s="9" t="s">
        <v>0</v>
      </c>
      <c r="B2" t="s">
        <v>1</v>
      </c>
      <c r="F2" t="s">
        <v>0</v>
      </c>
      <c r="G2" t="s">
        <v>1</v>
      </c>
      <c r="I2" t="s">
        <v>0</v>
      </c>
      <c r="J2" t="s">
        <v>1</v>
      </c>
      <c r="L2" t="s">
        <v>0</v>
      </c>
      <c r="M2" t="s">
        <v>1</v>
      </c>
      <c r="P2" s="29"/>
      <c r="U2" s="33" t="s">
        <v>115</v>
      </c>
      <c r="V2" s="36"/>
      <c r="W2" s="36"/>
      <c r="X2" t="s">
        <v>97</v>
      </c>
    </row>
    <row r="3" spans="1:24" ht="16.5" thickBot="1" x14ac:dyDescent="0.3">
      <c r="A3" s="1">
        <v>0</v>
      </c>
      <c r="B3" s="4">
        <f>CHOOSE($R$4,Regression!$BQ$3*A3+Regression!$BR$3,Regression!$BX$3*A3^2+Regression!$BY$3*A3+Regression!$BZ$3,Regression!$CF$3*A3^2+Regression!$CG$3*A3+Regression!$CH$3,Regression!$AW$3*(1-EXP(-(A3+Regression!$AY$3)*Regression!$AX$3)),Regression!$BH$3*(1-EXP(-(A3+Regression!$BJ$3)*Regression!$BI$3))+A3*Regression!$BK$3)</f>
        <v>7.0315754197016647E-2</v>
      </c>
      <c r="F3" s="1">
        <v>0</v>
      </c>
      <c r="G3" s="4">
        <f>CHOOSE($R$6,Regression!$BQ$4*F3+Regression!$BR$4,Regression!$BX$4*F3^2+Regression!$BY$4*F3+Regression!$BZ$4,Regression!$CF$4*A3^2+Regression!$CG$4*A3+Regression!$CH$4,Regression!$AW$4*(1-EXP(-(F3+Regression!$AY$4)*Regression!$AX$4)),Regression!$BH$4*(1-EXP(-(F3+Regression!$BJ$4)*Regression!$BI$4))+F3*Regression!$BK$4)</f>
        <v>55.130081328444916</v>
      </c>
      <c r="I3" s="1">
        <v>0</v>
      </c>
      <c r="J3" s="4">
        <f>CHOOSE($R$8,Regression!$BQ$5*I3+Regression!$BR$5,Regression!$BX$5*I3^2+Regression!$BY$5*I3+Regression!$BZ$5,Regression!$CF$5*A3^2+Regression!$CG$5*A3+Regression!$CH$5,Regression!$AW$5*(1-EXP(-(I3+Regression!$AY$5)*Regression!$AX$5)),Regression!$BH$5*(1-EXP(-(I3+Regression!$BJ$5)*Regression!$BI$5))+I3*Regression!$BK$5)</f>
        <v>75.9251595813069</v>
      </c>
      <c r="L3" s="1">
        <v>0</v>
      </c>
      <c r="M3" s="4">
        <f>CHOOSE($R$10,Regression!$BQ$6*L3+Regression!$BR$6,Regression!$BX$6*L3^2+Regression!$BY$6*L3+Regression!$BZ$6,Regression!$CF$6*A3^2+Regression!$CG$6*A3+Regression!$CH$6,Regression!$AW$6*(1-EXP(-(L3+Regression!$AY$6)*Regression!$AX$6)),Regression!$BH$6*(1-EXP(-(L3+Regression!$BJ$6)*Regression!$BI$6))+L3*Regression!$BK$6)</f>
        <v>574.07702040391803</v>
      </c>
      <c r="P3" s="30"/>
      <c r="Q3" s="61" t="s">
        <v>142</v>
      </c>
      <c r="R3" s="61" t="s">
        <v>144</v>
      </c>
      <c r="S3" s="316" t="s">
        <v>148</v>
      </c>
      <c r="U3" s="113" t="s">
        <v>116</v>
      </c>
    </row>
    <row r="4" spans="1:24" ht="15" thickBot="1" x14ac:dyDescent="0.25">
      <c r="A4" s="1">
        <f>A3+MAX(Regression!$S$23:$X$23)/11</f>
        <v>76.446848472967375</v>
      </c>
      <c r="B4" s="4">
        <f>CHOOSE($R$4,Regression!$BQ$3*A4+Regression!$BR$3,Regression!$BX$3*A4^2+Regression!$BY$3*A4+Regression!$BZ$3,Regression!$CF$3*A4^2+Regression!$CG$3*A4+Regression!$CH$3,Regression!$AW$3*(1-EXP(-(A4+Regression!$AY$3)*Regression!$AX$3)),Regression!$BH$3*(1-EXP(-(A4+Regression!$BJ$3)*Regression!$BI$3))+A4*Regression!$BK$3)</f>
        <v>3538.8055515464407</v>
      </c>
      <c r="F4" s="1">
        <f>F3+MAX(Regression!$S$24:$X$24)/11</f>
        <v>76.446848472967375</v>
      </c>
      <c r="G4" s="4">
        <f>CHOOSE($R$6,Regression!$BQ$4*F4+Regression!$BR$4,Regression!$BX$4*F4^2+Regression!$BY$4*F4+Regression!$BZ$4,Regression!$CF$4*A4^2+Regression!$CG$4*A4+Regression!$CH$4,Regression!$AW$4*(1-EXP(-(F4+Regression!$AY$4)*Regression!$AX$4)),Regression!$BH$4*(1-EXP(-(F4+Regression!$BJ$4)*Regression!$BI$4))+F4*Regression!$BK$4)</f>
        <v>1778.5095191385576</v>
      </c>
      <c r="I4" s="1">
        <f>I3+MAX(Regression!$S$25:$X$25)/11</f>
        <v>28.019528330271353</v>
      </c>
      <c r="J4" s="4">
        <f>CHOOSE($R$8,Regression!$BQ$5*I4+Regression!$BR$5,Regression!$BX$5*I4^2+Regression!$BY$5*I4+Regression!$BZ$5,Regression!$CF$5*A4^2+Regression!$CG$5*A4+Regression!$CH$5,Regression!$AW$5*(1-EXP(-(I4+Regression!$AY$5)*Regression!$AX$5)),Regression!$BH$5*(1-EXP(-(I4+Regression!$BJ$5)*Regression!$BI$5))+I4*Regression!$BK$5)</f>
        <v>88.0785148921684</v>
      </c>
      <c r="L4" s="1">
        <f>L3+MAX(Regression!$S$26:$X$26)/11</f>
        <v>76.453572621834738</v>
      </c>
      <c r="M4" s="4">
        <f>CHOOSE($R$10,Regression!$BQ$6*L4+Regression!$BR$6,Regression!$BX$6*L4^2+Regression!$BY$6*L4+Regression!$BZ$6,Regression!$CF$6*A4^2+Regression!$CG$6*A4+Regression!$CH$6,Regression!$AW$6*(1-EXP(-(L4+Regression!$AY$6)*Regression!$AX$6)),Regression!$BH$6*(1-EXP(-(L4+Regression!$BJ$6)*Regression!$BI$6))+L4*Regression!$BK$6)</f>
        <v>12291.136316830343</v>
      </c>
      <c r="P4" s="302" t="str">
        <f>'Raw Data'!$A$303&amp;" ="</f>
        <v>Disk 30 =</v>
      </c>
      <c r="Q4" s="293">
        <v>1</v>
      </c>
      <c r="R4" s="300">
        <v>4</v>
      </c>
      <c r="S4" s="91">
        <f>MATCH(MIN(B81:F81),B81:F81,0)</f>
        <v>4</v>
      </c>
      <c r="U4" s="4"/>
      <c r="W4" s="63" t="s">
        <v>95</v>
      </c>
    </row>
    <row r="5" spans="1:24" ht="13.5" thickBot="1" x14ac:dyDescent="0.25">
      <c r="A5" s="1">
        <f>A4+MAX(Regression!$S$23:$X$23)/11</f>
        <v>152.89369694593475</v>
      </c>
      <c r="B5" s="4">
        <f>CHOOSE($R$4,Regression!$BQ$3*A5+Regression!$BR$3,Regression!$BX$3*A5^2+Regression!$BY$3*A5+Regression!$BZ$3,Regression!$CF$3*A5^2+Regression!$CG$3*A5+Regression!$CH$3,Regression!$AW$3*(1-EXP(-(A5+Regression!$AY$3)*Regression!$AX$3)),Regression!$BH$3*(1-EXP(-(A5+Regression!$BJ$3)*Regression!$BI$3))+A5*Regression!$BK$3)</f>
        <v>6901.6759559512793</v>
      </c>
      <c r="F5" s="1">
        <f>F4+MAX(Regression!$S$24:$X$24)/11</f>
        <v>152.89369694593475</v>
      </c>
      <c r="G5" s="4">
        <f>CHOOSE($R$6,Regression!$BQ$4*F5+Regression!$BR$4,Regression!$BX$4*F5^2+Regression!$BY$4*F5+Regression!$BZ$4,Regression!$CF$4*A5^2+Regression!$CG$4*A5+Regression!$CH$4,Regression!$AW$4*(1-EXP(-(F5+Regression!$AY$4)*Regression!$AX$4)),Regression!$BH$4*(1-EXP(-(F5+Regression!$BJ$4)*Regression!$BI$4))+F5*Regression!$BK$4)</f>
        <v>3350.3223018868985</v>
      </c>
      <c r="I5" s="1">
        <f>I4+MAX(Regression!$S$25:$X$25)/11</f>
        <v>56.039056660542705</v>
      </c>
      <c r="J5" s="4">
        <f>CHOOSE($R$8,Regression!$BQ$5*I5+Regression!$BR$5,Regression!$BX$5*I5^2+Regression!$BY$5*I5+Regression!$BZ$5,Regression!$CF$5*A5^2+Regression!$CG$5*A5+Regression!$CH$5,Regression!$AW$5*(1-EXP(-(I5+Regression!$AY$5)*Regression!$AX$5)),Regression!$BH$5*(1-EXP(-(I5+Regression!$BJ$5)*Regression!$BI$5))+I5*Regression!$BK$5)</f>
        <v>98.808038484549456</v>
      </c>
      <c r="L5" s="1">
        <f>L4+MAX(Regression!$S$26:$X$26)/11</f>
        <v>152.90714524366948</v>
      </c>
      <c r="M5" s="4">
        <f>CHOOSE($R$10,Regression!$BQ$6*L5+Regression!$BR$6,Regression!$BX$6*L5^2+Regression!$BY$6*L5+Regression!$BZ$6,Regression!$CF$6*A5^2+Regression!$CG$6*A5+Regression!$CH$6,Regression!$AW$6*(1-EXP(-(L5+Regression!$AY$6)*Regression!$AX$6)),Regression!$BH$6*(1-EXP(-(L5+Regression!$BJ$6)*Regression!$BI$6))+L5*Regression!$BK$6)</f>
        <v>21942.748662166414</v>
      </c>
      <c r="P5" s="159"/>
      <c r="S5" s="25"/>
    </row>
    <row r="6" spans="1:24" ht="13.5" thickBot="1" x14ac:dyDescent="0.25">
      <c r="A6" s="1">
        <f>A5+MAX(Regression!$S$23:$X$23)/11</f>
        <v>229.34054541890214</v>
      </c>
      <c r="B6" s="4">
        <f>CHOOSE($R$4,Regression!$BQ$3*A6+Regression!$BR$3,Regression!$BX$3*A6^2+Regression!$BY$3*A6+Regression!$BZ$3,Regression!$CF$3*A6^2+Regression!$CG$3*A6+Regression!$CH$3,Regression!$AW$3*(1-EXP(-(A6+Regression!$AY$3)*Regression!$AX$3)),Regression!$BH$3*(1-EXP(-(A6+Regression!$BJ$3)*Regression!$BI$3))+A6*Regression!$BK$3)</f>
        <v>10097.421498720088</v>
      </c>
      <c r="F6" s="1">
        <f>F5+MAX(Regression!$S$24:$X$24)/11</f>
        <v>229.34054541890214</v>
      </c>
      <c r="G6" s="4">
        <f>CHOOSE($R$6,Regression!$BQ$4*F6+Regression!$BR$4,Regression!$BX$4*F6^2+Regression!$BY$4*F6+Regression!$BZ$4,Regression!$CF$4*A6^2+Regression!$CG$4*A6+Regression!$CH$4,Regression!$AW$4*(1-EXP(-(F6+Regression!$AY$4)*Regression!$AX$4)),Regression!$BH$4*(1-EXP(-(F6+Regression!$BJ$4)*Regression!$BI$4))+F6*Regression!$BK$4)</f>
        <v>4783.8983152751352</v>
      </c>
      <c r="I6" s="1">
        <f>I5+MAX(Regression!$S$25:$X$25)/11</f>
        <v>84.058584990814055</v>
      </c>
      <c r="J6" s="4">
        <f>CHOOSE($R$8,Regression!$BQ$5*I6+Regression!$BR$5,Regression!$BX$5*I6^2+Regression!$BY$5*I6+Regression!$BZ$5,Regression!$CF$5*A6^2+Regression!$CG$5*A6+Regression!$CH$5,Regression!$AW$5*(1-EXP(-(I6+Regression!$AY$5)*Regression!$AX$5)),Regression!$BH$5*(1-EXP(-(I6+Regression!$BJ$5)*Regression!$BI$5))+I6*Regression!$BK$5)</f>
        <v>108.28053999337769</v>
      </c>
      <c r="L6" s="1">
        <f>L5+MAX(Regression!$S$26:$X$26)/11</f>
        <v>229.36071786550423</v>
      </c>
      <c r="M6" s="4">
        <f>CHOOSE($R$10,Regression!$BQ$6*L6+Regression!$BR$6,Regression!$BX$6*L6^2+Regression!$BY$6*L6+Regression!$BZ$6,Regression!$CF$6*A6^2+Regression!$CG$6*A6+Regression!$CH$6,Regression!$AW$6*(1-EXP(-(L6+Regression!$AY$6)*Regression!$AX$6)),Regression!$BH$6*(1-EXP(-(L6+Regression!$BJ$6)*Regression!$BI$6))+L6*Regression!$BK$6)</f>
        <v>29893.004652852953</v>
      </c>
      <c r="P6" s="302" t="str">
        <f>'Raw Data'!$A$304&amp;" ="</f>
        <v>Disk 31 =</v>
      </c>
      <c r="Q6" s="293">
        <v>0</v>
      </c>
      <c r="R6" s="300">
        <v>4</v>
      </c>
      <c r="S6" s="91">
        <f>MATCH(MIN(B82:F82),B82:F82,0)</f>
        <v>4</v>
      </c>
      <c r="U6" s="4"/>
    </row>
    <row r="7" spans="1:24" ht="13.5" thickBot="1" x14ac:dyDescent="0.25">
      <c r="A7" s="1">
        <f>A6+MAX(Regression!$S$23:$X$23)/11</f>
        <v>305.7873938918695</v>
      </c>
      <c r="B7" s="4">
        <f>CHOOSE($R$4,Regression!$BQ$3*A7+Regression!$BR$3,Regression!$BX$3*A7^2+Regression!$BY$3*A7+Regression!$BZ$3,Regression!$CF$3*A7^2+Regression!$CG$3*A7+Regression!$CH$3,Regression!$AW$3*(1-EXP(-(A7+Regression!$AY$3)*Regression!$AX$3)),Regression!$BH$3*(1-EXP(-(A7+Regression!$BJ$3)*Regression!$BI$3))+A7*Regression!$BK$3)</f>
        <v>13134.347798570798</v>
      </c>
      <c r="F7" s="1">
        <f>F6+MAX(Regression!$S$24:$X$24)/11</f>
        <v>305.7873938918695</v>
      </c>
      <c r="G7" s="4">
        <f>CHOOSE($R$6,Regression!$BQ$4*F7+Regression!$BR$4,Regression!$BX$4*F7^2+Regression!$BY$4*F7+Regression!$BZ$4,Regression!$CF$4*A7^2+Regression!$CG$4*A7+Regression!$CH$4,Regression!$AW$4*(1-EXP(-(F7+Regression!$AY$4)*Regression!$AX$4)),Regression!$BH$4*(1-EXP(-(F7+Regression!$BJ$4)*Regression!$BI$4))+F7*Regression!$BK$4)</f>
        <v>6091.3951168781041</v>
      </c>
      <c r="I7" s="1">
        <f>I6+MAX(Regression!$S$25:$X$25)/11</f>
        <v>112.07811332108541</v>
      </c>
      <c r="J7" s="4">
        <f>CHOOSE($R$8,Regression!$BQ$5*I7+Regression!$BR$5,Regression!$BX$5*I7^2+Regression!$BY$5*I7+Regression!$BZ$5,Regression!$CF$5*A7^2+Regression!$CG$5*A7+Regression!$CH$5,Regression!$AW$5*(1-EXP(-(I7+Regression!$AY$5)*Regression!$AX$5)),Regression!$BH$5*(1-EXP(-(I7+Regression!$BJ$5)*Regression!$BI$5))+I7*Regression!$BK$5)</f>
        <v>116.64328639699887</v>
      </c>
      <c r="L7" s="1">
        <f>L6+MAX(Regression!$S$26:$X$26)/11</f>
        <v>305.81429048733895</v>
      </c>
      <c r="M7" s="4">
        <f>CHOOSE($R$10,Regression!$BQ$6*L7+Regression!$BR$6,Regression!$BX$6*L7^2+Regression!$BY$6*L7+Regression!$BZ$6,Regression!$CF$6*A7^2+Regression!$CG$6*A7+Regression!$CH$6,Regression!$AW$6*(1-EXP(-(L7+Regression!$AY$6)*Regression!$AX$6)),Regression!$BH$6*(1-EXP(-(L7+Regression!$BJ$6)*Regression!$BI$6))+L7*Regression!$BK$6)</f>
        <v>36441.814121769334</v>
      </c>
      <c r="P7" s="303"/>
      <c r="Q7" s="24"/>
      <c r="R7" s="24"/>
      <c r="S7" s="25"/>
    </row>
    <row r="8" spans="1:24" ht="13.5" thickBot="1" x14ac:dyDescent="0.25">
      <c r="A8" s="1">
        <f>A7+MAX(Regression!$S$23:$X$23)/11</f>
        <v>382.23424236483686</v>
      </c>
      <c r="B8" s="4">
        <f>CHOOSE($R$4,Regression!$BQ$3*A8+Regression!$BR$3,Regression!$BX$3*A8^2+Regression!$BY$3*A8+Regression!$BZ$3,Regression!$CF$3*A8^2+Regression!$CG$3*A8+Regression!$CH$3,Regression!$AW$3*(1-EXP(-(A8+Regression!$AY$3)*Regression!$AX$3)),Regression!$BH$3*(1-EXP(-(A8+Regression!$BJ$3)*Regression!$BI$3))+A8*Regression!$BK$3)</f>
        <v>16020.347709168871</v>
      </c>
      <c r="F8" s="1">
        <f>F7+MAX(Regression!$S$24:$X$24)/11</f>
        <v>382.23424236483686</v>
      </c>
      <c r="G8" s="4">
        <f>CHOOSE($R$6,Regression!$BQ$4*F8+Regression!$BR$4,Regression!$BX$4*F8^2+Regression!$BY$4*F8+Regression!$BZ$4,Regression!$CF$4*A8^2+Regression!$CG$4*A8+Regression!$CH$4,Regression!$AW$4*(1-EXP(-(F8+Regression!$AY$4)*Regression!$AX$4)),Regression!$BH$4*(1-EXP(-(F8+Regression!$BJ$4)*Regression!$BI$4))+F8*Regression!$BK$4)</f>
        <v>7283.9010392961918</v>
      </c>
      <c r="I8" s="1">
        <f>I7+MAX(Regression!$S$25:$X$25)/11</f>
        <v>140.09764165135675</v>
      </c>
      <c r="J8" s="4">
        <f>CHOOSE($R$8,Regression!$BQ$5*I8+Regression!$BR$5,Regression!$BX$5*I8^2+Regression!$BY$5*I8+Regression!$BZ$5,Regression!$CF$5*A8^2+Regression!$CG$5*A8+Regression!$CH$5,Regression!$AW$5*(1-EXP(-(I8+Regression!$AY$5)*Regression!$AX$5)),Regression!$BH$5*(1-EXP(-(I8+Regression!$BJ$5)*Regression!$BI$5))+I8*Regression!$BK$5)</f>
        <v>124.02629154575504</v>
      </c>
      <c r="L8" s="1">
        <f>L7+MAX(Regression!$S$26:$X$26)/11</f>
        <v>382.26786310917367</v>
      </c>
      <c r="M8" s="4">
        <f>CHOOSE($R$10,Regression!$BQ$6*L8+Regression!$BR$6,Regression!$BX$6*L8^2+Regression!$BY$6*L8+Regression!$BZ$6,Regression!$CF$6*A8^2+Regression!$CG$6*A8+Regression!$CH$6,Regression!$AW$6*(1-EXP(-(L8+Regression!$AY$6)*Regression!$AX$6)),Regression!$BH$6*(1-EXP(-(L8+Regression!$BJ$6)*Regression!$BI$6))+L8*Regression!$BK$6)</f>
        <v>41836.219724608978</v>
      </c>
      <c r="P8" s="302" t="str">
        <f>'Raw Data'!$A$305&amp;" ="</f>
        <v>Disk 32 =</v>
      </c>
      <c r="Q8" s="293">
        <v>0</v>
      </c>
      <c r="R8" s="300">
        <v>4</v>
      </c>
      <c r="S8" s="91">
        <f>MATCH(MIN(B83:F83),B83:F83,0)</f>
        <v>2</v>
      </c>
      <c r="U8" s="4"/>
    </row>
    <row r="9" spans="1:24" ht="13.5" thickBot="1" x14ac:dyDescent="0.25">
      <c r="A9" s="1">
        <f>A8+MAX(Regression!$S$23:$X$23)/11</f>
        <v>458.68109083780422</v>
      </c>
      <c r="B9" s="4">
        <f>CHOOSE($R$4,Regression!$BQ$3*A9+Regression!$BR$3,Regression!$BX$3*A9^2+Regression!$BY$3*A9+Regression!$BZ$3,Regression!$CF$3*A9^2+Regression!$CG$3*A9+Regression!$CH$3,Regression!$AW$3*(1-EXP(-(A9+Regression!$AY$3)*Regression!$AX$3)),Regression!$BH$3*(1-EXP(-(A9+Regression!$BJ$3)*Regression!$BI$3))+A9*Regression!$BK$3)</f>
        <v>18762.921832347798</v>
      </c>
      <c r="F9" s="1">
        <f>F8+MAX(Regression!$S$24:$X$24)/11</f>
        <v>458.68109083780422</v>
      </c>
      <c r="G9" s="4">
        <f>CHOOSE($R$6,Regression!$BQ$4*F9+Regression!$BR$4,Regression!$BX$4*F9^2+Regression!$BY$4*F9+Regression!$BZ$4,Regression!$CF$4*A9^2+Regression!$CG$4*A9+Regression!$CH$4,Regression!$AW$4*(1-EXP(-(F9+Regression!$AY$4)*Regression!$AX$4)),Regression!$BH$4*(1-EXP(-(F9+Regression!$BJ$4)*Regression!$BI$4))+F9*Regression!$BK$4)</f>
        <v>8371.5292256587036</v>
      </c>
      <c r="I9" s="1">
        <f>I8+MAX(Regression!$S$25:$X$25)/11</f>
        <v>168.11716998162811</v>
      </c>
      <c r="J9" s="4">
        <f>CHOOSE($R$8,Regression!$BQ$5*I9+Regression!$BR$5,Regression!$BX$5*I9^2+Regression!$BY$5*I9+Regression!$BZ$5,Regression!$CF$5*A9^2+Regression!$CG$5*A9+Regression!$CH$5,Regression!$AW$5*(1-EXP(-(I9+Regression!$AY$5)*Regression!$AX$5)),Regression!$BH$5*(1-EXP(-(I9+Regression!$BJ$5)*Regression!$BI$5))+I9*Regression!$BK$5)</f>
        <v>130.54433745982902</v>
      </c>
      <c r="L9" s="1">
        <f>L8+MAX(Regression!$S$26:$X$26)/11</f>
        <v>458.7214357310084</v>
      </c>
      <c r="M9" s="4">
        <f>CHOOSE($R$10,Regression!$BQ$6*L9+Regression!$BR$6,Regression!$BX$6*L9^2+Regression!$BY$6*L9+Regression!$BZ$6,Regression!$CF$6*A9^2+Regression!$CG$6*A9+Regression!$CH$6,Regression!$AW$6*(1-EXP(-(L9+Regression!$AY$6)*Regression!$AX$6)),Regression!$BH$6*(1-EXP(-(L9+Regression!$BJ$6)*Regression!$BI$6))+L9*Regression!$BK$6)</f>
        <v>46279.716202261545</v>
      </c>
      <c r="P9" s="159"/>
      <c r="S9" s="25"/>
    </row>
    <row r="10" spans="1:24" ht="13.5" thickBot="1" x14ac:dyDescent="0.25">
      <c r="A10" s="1">
        <f>A9+MAX(Regression!$S$23:$X$23)/11</f>
        <v>535.12793931077158</v>
      </c>
      <c r="B10" s="4">
        <f>CHOOSE($R$4,Regression!$BQ$3*A10+Regression!$BR$3,Regression!$BX$3*A10^2+Regression!$BY$3*A10+Regression!$BZ$3,Regression!$CF$3*A10^2+Regression!$CG$3*A10+Regression!$CH$3,Regression!$AW$3*(1-EXP(-(A10+Regression!$AY$3)*Regression!$AX$3)),Regression!$BH$3*(1-EXP(-(A10+Regression!$BJ$3)*Regression!$BI$3))+A10*Regression!$BK$3)</f>
        <v>21369.198011882367</v>
      </c>
      <c r="F10" s="1">
        <f>F9+MAX(Regression!$S$24:$X$24)/11</f>
        <v>535.12793931077158</v>
      </c>
      <c r="G10" s="4">
        <f>CHOOSE($R$6,Regression!$BQ$4*F10+Regression!$BR$4,Regression!$BX$4*F10^2+Regression!$BY$4*F10+Regression!$BZ$4,Regression!$CF$4*A10^2+Regression!$CG$4*A10+Regression!$CH$4,Regression!$AW$4*(1-EXP(-(F10+Regression!$AY$4)*Regression!$AX$4)),Regression!$BH$4*(1-EXP(-(F10+Regression!$BJ$4)*Regression!$BI$4))+F10*Regression!$BK$4)</f>
        <v>9363.503394953832</v>
      </c>
      <c r="I10" s="1">
        <f>I9+MAX(Regression!$S$25:$X$25)/11</f>
        <v>196.13669831189947</v>
      </c>
      <c r="J10" s="4">
        <f>CHOOSE($R$8,Regression!$BQ$5*I10+Regression!$BR$5,Regression!$BX$5*I10^2+Regression!$BY$5*I10+Regression!$BZ$5,Regression!$CF$5*A10^2+Regression!$CG$5*A10+Regression!$CH$5,Regression!$AW$5*(1-EXP(-(I10+Regression!$AY$5)*Regression!$AX$5)),Regression!$BH$5*(1-EXP(-(I10+Regression!$BJ$5)*Regression!$BI$5))+I10*Regression!$BK$5)</f>
        <v>136.29875882104585</v>
      </c>
      <c r="L10" s="1">
        <f>L9+MAX(Regression!$S$26:$X$26)/11</f>
        <v>535.17500835284318</v>
      </c>
      <c r="M10" s="4">
        <f>CHOOSE($R$10,Regression!$BQ$6*L10+Regression!$BR$6,Regression!$BX$6*L10^2+Regression!$BY$6*L10+Regression!$BZ$6,Regression!$CF$6*A10^2+Regression!$CG$6*A10+Regression!$CH$6,Regression!$AW$6*(1-EXP(-(L10+Regression!$AY$6)*Regression!$AX$6)),Regression!$BH$6*(1-EXP(-(L10+Regression!$BJ$6)*Regression!$BI$6))+L10*Regression!$BK$6)</f>
        <v>49939.926872463489</v>
      </c>
      <c r="P10" s="302" t="str">
        <f>'Raw Data'!$A$306&amp;" ="</f>
        <v>Disk 33 =</v>
      </c>
      <c r="Q10" s="293">
        <v>1</v>
      </c>
      <c r="R10" s="300">
        <v>4</v>
      </c>
      <c r="S10" s="91">
        <f>MATCH(MIN(A84:E84),B84:F84,0)</f>
        <v>4</v>
      </c>
      <c r="U10" s="4"/>
    </row>
    <row r="11" spans="1:24" x14ac:dyDescent="0.2">
      <c r="A11" s="1">
        <f>A10+MAX(Regression!$S$23:$X$23)/11</f>
        <v>611.574787783739</v>
      </c>
      <c r="B11" s="4">
        <f>CHOOSE($R$4,Regression!$BQ$3*A11+Regression!$BR$3,Regression!$BX$3*A11^2+Regression!$BY$3*A11+Regression!$BZ$3,Regression!$CF$3*A11^2+Regression!$CG$3*A11+Regression!$CH$3,Regression!$AW$3*(1-EXP(-(A11+Regression!$AY$3)*Regression!$AX$3)),Regression!$BH$3*(1-EXP(-(A11+Regression!$BJ$3)*Regression!$BI$3))+A11*Regression!$BK$3)</f>
        <v>23845.949858478176</v>
      </c>
      <c r="F11" s="1">
        <f>F10+MAX(Regression!$S$24:$X$24)/11</f>
        <v>611.574787783739</v>
      </c>
      <c r="G11" s="4">
        <f>CHOOSE($R$6,Regression!$BQ$4*F11+Regression!$BR$4,Regression!$BX$4*F11^2+Regression!$BY$4*F11+Regression!$BZ$4,Regression!$CF$4*A11^2+Regression!$CG$4*A11+Regression!$CH$4,Regression!$AW$4*(1-EXP(-(F11+Regression!$AY$4)*Regression!$AX$4)),Regression!$BH$4*(1-EXP(-(F11+Regression!$BJ$4)*Regression!$BI$4))+F11*Regression!$BK$4)</f>
        <v>10268.236064525145</v>
      </c>
      <c r="I11" s="1">
        <f>I10+MAX(Regression!$S$25:$X$25)/11</f>
        <v>224.15622664217082</v>
      </c>
      <c r="J11" s="4">
        <f>CHOOSE($R$8,Regression!$BQ$5*I11+Regression!$BR$5,Regression!$BX$5*I11^2+Regression!$BY$5*I11+Regression!$BZ$5,Regression!$CF$5*A11^2+Regression!$CG$5*A11+Regression!$CH$5,Regression!$AW$5*(1-EXP(-(I11+Regression!$AY$5)*Regression!$AX$5)),Regression!$BH$5*(1-EXP(-(I11+Regression!$BJ$5)*Regression!$BI$5))+I11*Regression!$BK$5)</f>
        <v>141.37901840174769</v>
      </c>
      <c r="L11" s="1">
        <f>L10+MAX(Regression!$S$26:$X$26)/11</f>
        <v>611.6285809746779</v>
      </c>
      <c r="M11" s="4">
        <f>CHOOSE($R$10,Regression!$BQ$6*L11+Regression!$BR$6,Regression!$BX$6*L11^2+Regression!$BY$6*L11+Regression!$BZ$6,Regression!$CF$6*A11^2+Regression!$CG$6*A11+Regression!$CH$6,Regression!$AW$6*(1-EXP(-(L11+Regression!$AY$6)*Regression!$AX$6)),Regression!$BH$6*(1-EXP(-(L11+Regression!$BJ$6)*Regression!$BI$6))+L11*Regression!$BK$6)</f>
        <v>52954.926933257426</v>
      </c>
      <c r="P11" s="157"/>
      <c r="S11" s="25"/>
    </row>
    <row r="12" spans="1:24" x14ac:dyDescent="0.2">
      <c r="A12" s="1">
        <f>A11+MAX(Regression!$S$23:$X$23)/11</f>
        <v>688.02163625670642</v>
      </c>
      <c r="B12" s="4">
        <f>CHOOSE($R$4,Regression!$BQ$3*A12+Regression!$BR$3,Regression!$BX$3*A12^2+Regression!$BY$3*A12+Regression!$BZ$3,Regression!$CF$3*A12^2+Regression!$CG$3*A12+Regression!$CH$3,Regression!$AW$3*(1-EXP(-(A12+Regression!$AY$3)*Regression!$AX$3)),Regression!$BH$3*(1-EXP(-(A12+Regression!$BJ$3)*Regression!$BI$3))+A12*Regression!$BK$3)</f>
        <v>26199.614354123169</v>
      </c>
      <c r="F12" s="1">
        <f>F11+MAX(Regression!$S$24:$X$24)/11</f>
        <v>688.02163625670642</v>
      </c>
      <c r="G12" s="4">
        <f>CHOOSE($R$6,Regression!$BQ$4*F12+Regression!$BR$4,Regression!$BX$4*F12^2+Regression!$BY$4*F12+Regression!$BZ$4,Regression!$CF$4*A12^2+Regression!$CG$4*A12+Regression!$CH$4,Regression!$AW$4*(1-EXP(-(F12+Regression!$AY$4)*Regression!$AX$4)),Regression!$BH$4*(1-EXP(-(F12+Regression!$BJ$4)*Regression!$BI$4))+F12*Regression!$BK$4)</f>
        <v>11093.399893106758</v>
      </c>
      <c r="I12" s="1">
        <f>I11+MAX(Regression!$S$25:$X$25)/11</f>
        <v>252.17575497244218</v>
      </c>
      <c r="J12" s="4">
        <f>CHOOSE($R$8,Regression!$BQ$5*I12+Regression!$BR$5,Regression!$BX$5*I12^2+Regression!$BY$5*I12+Regression!$BZ$5,Regression!$CF$5*A12^2+Regression!$CG$5*A12+Regression!$CH$5,Regression!$AW$5*(1-EXP(-(I12+Regression!$AY$5)*Regression!$AX$5)),Regression!$BH$5*(1-EXP(-(I12+Regression!$BJ$5)*Regression!$BI$5))+I12*Regression!$BK$5)</f>
        <v>145.86409792360166</v>
      </c>
      <c r="L12" s="1">
        <f>L11+MAX(Regression!$S$26:$X$26)/11</f>
        <v>688.08215359651263</v>
      </c>
      <c r="M12" s="4">
        <f>CHOOSE($R$10,Regression!$BQ$6*L12+Regression!$BR$6,Regression!$BX$6*L12^2+Regression!$BY$6*L12+Regression!$BZ$6,Regression!$CF$6*A12^2+Regression!$CG$6*A12+Regression!$CH$6,Regression!$AW$6*(1-EXP(-(L12+Regression!$AY$6)*Regression!$AX$6)),Regression!$BH$6*(1-EXP(-(L12+Regression!$BJ$6)*Regression!$BI$6))+L12*Regression!$BK$6)</f>
        <v>55438.452114086962</v>
      </c>
      <c r="P12" s="157"/>
      <c r="S12" s="25" t="s">
        <v>149</v>
      </c>
    </row>
    <row r="13" spans="1:24" x14ac:dyDescent="0.2">
      <c r="A13" s="1">
        <f>A12+MAX(Regression!$S$23:$X$23)/11</f>
        <v>764.46848472967383</v>
      </c>
      <c r="B13" s="4">
        <f>CHOOSE($R$4,Regression!$BQ$3*A13+Regression!$BR$3,Regression!$BX$3*A13^2+Regression!$BY$3*A13+Regression!$BZ$3,Regression!$CF$3*A13^2+Regression!$CG$3*A13+Regression!$CH$3,Regression!$AW$3*(1-EXP(-(A13+Regression!$AY$3)*Regression!$AX$3)),Regression!$BH$3*(1-EXP(-(A13+Regression!$BJ$3)*Regression!$BI$3))+A13*Regression!$BK$3)</f>
        <v>28436.308581554109</v>
      </c>
      <c r="F13" s="1">
        <f>F12+MAX(Regression!$S$24:$X$24)/11</f>
        <v>764.46848472967383</v>
      </c>
      <c r="G13" s="4">
        <f>CHOOSE($R$6,Regression!$BQ$4*F13+Regression!$BR$4,Regression!$BX$4*F13^2+Regression!$BY$4*F13+Regression!$BZ$4,Regression!$CF$4*A13^2+Regression!$CG$4*A13+Regression!$CH$4,Regression!$AW$4*(1-EXP(-(F13+Regression!$AY$4)*Regression!$AX$4)),Regression!$BH$4*(1-EXP(-(F13+Regression!$BJ$4)*Regression!$BI$4))+F13*Regression!$BK$4)</f>
        <v>11845.992749427613</v>
      </c>
      <c r="I13" s="1">
        <f>I12+MAX(Regression!$S$25:$X$25)/11</f>
        <v>280.19528330271351</v>
      </c>
      <c r="J13" s="4">
        <f>CHOOSE($R$8,Regression!$BQ$5*I13+Regression!$BR$5,Regression!$BX$5*I13^2+Regression!$BY$5*I13+Regression!$BZ$5,Regression!$CF$5*A13^2+Regression!$CG$5*A13+Regression!$CH$5,Regression!$AW$5*(1-EXP(-(I13+Regression!$AY$5)*Regression!$AX$5)),Regression!$BH$5*(1-EXP(-(I13+Regression!$BJ$5)*Regression!$BI$5))+I13*Regression!$BK$5)</f>
        <v>149.82372596972891</v>
      </c>
      <c r="L13" s="1">
        <f>L12+MAX(Regression!$S$26:$X$26)/11</f>
        <v>764.53572621834735</v>
      </c>
      <c r="M13" s="4">
        <f>CHOOSE($R$10,Regression!$BQ$6*L13+Regression!$BR$6,Regression!$BX$6*L13^2+Regression!$BY$6*L13+Regression!$BZ$6,Regression!$CF$6*A13^2+Regression!$CG$6*A13+Regression!$CH$6,Regression!$AW$6*(1-EXP(-(L13+Regression!$AY$6)*Regression!$AX$6)),Regression!$BH$6*(1-EXP(-(L13+Regression!$BJ$6)*Regression!$BI$6))+L13*Regression!$BK$6)</f>
        <v>57484.189161996052</v>
      </c>
      <c r="P13" s="157"/>
      <c r="S13" s="25"/>
    </row>
    <row r="14" spans="1:24" x14ac:dyDescent="0.2">
      <c r="A14" s="1">
        <f>A13+MAX(Regression!$S$23:$X$23)/11</f>
        <v>840.91533320264125</v>
      </c>
      <c r="B14" s="4">
        <f>CHOOSE($R$4,Regression!$BQ$3*A14+Regression!$BR$3,Regression!$BX$3*A14^2+Regression!$BY$3*A14+Regression!$BZ$3,Regression!$CF$3*A14^2+Regression!$CG$3*A14+Regression!$CH$3,Regression!$AW$3*(1-EXP(-(A14+Regression!$AY$3)*Regression!$AX$3)),Regression!$BH$3*(1-EXP(-(A14+Regression!$BJ$3)*Regression!$BI$3))+A14*Regression!$BK$3)</f>
        <v>30561.845622317407</v>
      </c>
      <c r="F14" s="1">
        <f>F13+MAX(Regression!$S$24:$X$24)/11</f>
        <v>840.91533320264125</v>
      </c>
      <c r="G14" s="4">
        <f>CHOOSE($R$6,Regression!$BQ$4*F14+Regression!$BR$4,Regression!$BX$4*F14^2+Regression!$BY$4*F14+Regression!$BZ$4,Regression!$CF$4*A14^2+Regression!$CG$4*A14+Regression!$CH$4,Regression!$AW$4*(1-EXP(-(F14+Regression!$AY$4)*Regression!$AX$4)),Regression!$BH$4*(1-EXP(-(F14+Regression!$BJ$4)*Regression!$BI$4))+F14*Regression!$BK$4)</f>
        <v>12532.397058204415</v>
      </c>
      <c r="I14" s="1">
        <f>I13+MAX(Regression!$S$25:$X$25)/11</f>
        <v>308.21481163298483</v>
      </c>
      <c r="J14" s="4">
        <f>CHOOSE($R$8,Regression!$BQ$5*I14+Regression!$BR$5,Regression!$BX$5*I14^2+Regression!$BY$5*I14+Regression!$BZ$5,Regression!$CF$5*A14^2+Regression!$CG$5*A14+Regression!$CH$5,Regression!$AW$5*(1-EXP(-(I14+Regression!$AY$5)*Regression!$AX$5)),Regression!$BH$5*(1-EXP(-(I14+Regression!$BJ$5)*Regression!$BI$5))+I14*Regression!$BK$5)</f>
        <v>153.31946204024496</v>
      </c>
      <c r="L14" s="1">
        <f>L13+MAX(Regression!$S$26:$X$26)/11</f>
        <v>840.98929884018207</v>
      </c>
      <c r="M14" s="4">
        <f>CHOOSE($R$10,Regression!$BQ$6*L14+Regression!$BR$6,Regression!$BX$6*L14^2+Regression!$BY$6*L14+Regression!$BZ$6,Regression!$CF$6*A14^2+Regression!$CG$6*A14+Regression!$CH$6,Regression!$AW$6*(1-EXP(-(L14+Regression!$AY$6)*Regression!$AX$6)),Regression!$BH$6*(1-EXP(-(L14+Regression!$BJ$6)*Regression!$BI$6))+L14*Regression!$BK$6)</f>
        <v>59169.310014199364</v>
      </c>
      <c r="P14" s="157"/>
      <c r="S14" s="25"/>
    </row>
    <row r="15" spans="1:24" x14ac:dyDescent="0.2">
      <c r="P15" s="157"/>
      <c r="S15" s="25"/>
    </row>
    <row r="16" spans="1:24" x14ac:dyDescent="0.2">
      <c r="P16" s="157"/>
      <c r="S16" s="25"/>
    </row>
    <row r="17" spans="1:21" x14ac:dyDescent="0.2">
      <c r="P17" s="157"/>
      <c r="S17" s="25"/>
    </row>
    <row r="18" spans="1:21" x14ac:dyDescent="0.2">
      <c r="A18" s="9" t="s">
        <v>0</v>
      </c>
      <c r="B18" t="s">
        <v>1</v>
      </c>
      <c r="F18" t="s">
        <v>0</v>
      </c>
      <c r="G18" t="s">
        <v>1</v>
      </c>
      <c r="I18" t="s">
        <v>0</v>
      </c>
      <c r="J18" t="s">
        <v>1</v>
      </c>
      <c r="L18" t="s">
        <v>0</v>
      </c>
      <c r="M18" t="s">
        <v>1</v>
      </c>
      <c r="P18" s="157"/>
      <c r="S18" s="25"/>
    </row>
    <row r="19" spans="1:21" ht="12.75" thickBot="1" x14ac:dyDescent="0.25">
      <c r="A19" s="1">
        <v>0</v>
      </c>
      <c r="B19" s="4">
        <f>CHOOSE($R$20,Regression!$BQ$7*A19+Regression!$BR$7,Regression!$BX$7*A19^2+Regression!$BY$7*A19+Regression!$BZ$7,Regression!$CF$7*A3^2+Regression!$CG$7*A3+Regression!$CH$7,Regression!$AW$7*(1-EXP(-(A19+Regression!$AY$7)*Regression!$AX$7)),Regression!$BH$7*(1-EXP(-(A19+Regression!$BJ$7)*Regression!$BI$7))+A19*Regression!$BK$7)</f>
        <v>17.914847994793956</v>
      </c>
      <c r="F19" s="1">
        <v>0</v>
      </c>
      <c r="G19" s="4">
        <f>CHOOSE($R$22,Regression!$BQ$8*F19+Regression!$BR$8,Regression!$BX$8*F19^2+Regression!$BY$8*F19+Regression!$BZ$8,Regression!$CF$8*A3^2+Regression!$CG$8*A3+Regression!$CH$8,Regression!$AW$8*(1-EXP(-(F19+Regression!$AY$8)*Regression!$AX$8)),Regression!$BH$8*(1-EXP(-(F19+Regression!$BJ$8)*Regression!$BI$8))+F19*Regression!$BK$8)</f>
        <v>108.99857787764154</v>
      </c>
      <c r="I19" s="1">
        <v>0</v>
      </c>
      <c r="J19" s="4">
        <f>CHOOSE($R$24,Regression!$BQ$9*I19+Regression!$BR$9,Regression!$BX$9*I19^2+Regression!$BY$9*I19+Regression!$BZ$9,Regression!$CF$9*A3^2+Regression!$CG$9*A3+Regression!$CH$9,Regression!$AW$9*(1-EXP(-(I19+Regression!$AY$9)*Regression!$AX$9)),Regression!$BH$9*(1-EXP(-(I19+Regression!$BJ$9)*Regression!$BI$9))+I19*Regression!$BK$9)</f>
        <v>378.9050120392626</v>
      </c>
      <c r="L19" s="1">
        <v>0</v>
      </c>
      <c r="M19" s="4">
        <f>CHOOSE($R$26,Regression!$BQ$10*L19+Regression!$BR$10,Regression!$BX$10*L19^2+Regression!$BY$10*L19+Regression!$BZ$10,Regression!$CF$10*A3^2+Regression!$CG$10*A3+Regression!$CH$10,Regression!$AW$10*(1-EXP(-(L19+Regression!$AY$10)*Regression!$AX$10)),Regression!$BH$10*(1-EXP(-(L19+Regression!$BJ$10)*Regression!$BI$10))+L19*Regression!$BK$10)</f>
        <v>109.45113747717376</v>
      </c>
      <c r="P19" s="157"/>
      <c r="S19" s="25"/>
    </row>
    <row r="20" spans="1:21" ht="13.5" thickBot="1" x14ac:dyDescent="0.25">
      <c r="A20" s="1">
        <f>A19+MAX(Regression!$S$27:$X$27)/11</f>
        <v>28.019528330271353</v>
      </c>
      <c r="B20" s="4">
        <f>CHOOSE($R$20,Regression!$BQ$7*A20+Regression!$BR$7,Regression!$BX$7*A20^2+Regression!$BY$7*A20+Regression!$BZ$7,Regression!$CF$7*A4^2+Regression!$CG$7*A4+Regression!$CH$7,Regression!$AW$7*(1-EXP(-(A20+Regression!$AY$7)*Regression!$AX$7)),Regression!$BH$7*(1-EXP(-(A20+Regression!$BJ$7)*Regression!$BI$7))+A20*Regression!$BK$7)</f>
        <v>47.03465021845043</v>
      </c>
      <c r="F20" s="1">
        <f>F19+MAX(Regression!$S$28:$X$28)/11</f>
        <v>28.019528330271353</v>
      </c>
      <c r="G20" s="4">
        <f>CHOOSE($R$22,Regression!$BQ$8*F20+Regression!$BR$8,Regression!$BX$8*F20^2+Regression!$BY$8*F20+Regression!$BZ$8,Regression!$CF$8*A4^2+Regression!$CG$8*A4+Regression!$CH$8,Regression!$AW$8*(1-EXP(-(F20+Regression!$AY$8)*Regression!$AX$8)),Regression!$BH$8*(1-EXP(-(F20+Regression!$BJ$8)*Regression!$BI$8))+F20*Regression!$BK$8)</f>
        <v>2976.0040978072229</v>
      </c>
      <c r="I20" s="1">
        <f>I19+MAX(Regression!$S$29:$X$29)/11</f>
        <v>28.019528330271353</v>
      </c>
      <c r="J20" s="4">
        <f>CHOOSE($R$24,Regression!$BQ$9*I20+Regression!$BR$9,Regression!$BX$9*I20^2+Regression!$BY$9*I20+Regression!$BZ$9,Regression!$CF$9*A4^2+Regression!$CG$9*A4+Regression!$CH$9,Regression!$AW$9*(1-EXP(-(I20+Regression!$AY$9)*Regression!$AX$9)),Regression!$BH$9*(1-EXP(-(I20+Regression!$BJ$9)*Regression!$BI$9))+I20*Regression!$BK$9)</f>
        <v>3913.7852754215546</v>
      </c>
      <c r="L20" s="1">
        <f>L19+MAX(Regression!$S$30:$X$30)/11</f>
        <v>28.019528330271353</v>
      </c>
      <c r="M20" s="4">
        <f>CHOOSE($R$26,Regression!$BQ$10*L20+Regression!$BR$10,Regression!$BX$10*L20^2+Regression!$BY$10*L20+Regression!$BZ$10,Regression!$CF$10*A4^2+Regression!$CG$10*A4+Regression!$CH$10,Regression!$AW$10*(1-EXP(-(L20+Regression!$AY$10)*Regression!$AX$10)),Regression!$BH$10*(1-EXP(-(L20+Regression!$BJ$10)*Regression!$BI$10))+L20*Regression!$BK$10)</f>
        <v>2471.5797307210851</v>
      </c>
      <c r="P20" s="302" t="str">
        <f>'Raw Data'!$A$307&amp;" ="</f>
        <v>Disk 34 =</v>
      </c>
      <c r="Q20" s="293">
        <v>1</v>
      </c>
      <c r="R20" s="300">
        <v>4</v>
      </c>
      <c r="S20" s="91">
        <f>MATCH(MIN(B85:F85),B85:F85,0)</f>
        <v>4</v>
      </c>
      <c r="U20" s="4"/>
    </row>
    <row r="21" spans="1:21" ht="13.5" thickBot="1" x14ac:dyDescent="0.25">
      <c r="A21" s="1">
        <f>A20+MAX(Regression!$S$27:$X$27)/11</f>
        <v>56.039056660542705</v>
      </c>
      <c r="B21" s="4">
        <f>CHOOSE($R$20,Regression!$BQ$7*A21+Regression!$BR$7,Regression!$BX$7*A21^2+Regression!$BY$7*A21+Regression!$BZ$7,Regression!$CF$7*A5^2+Regression!$CG$7*A5+Regression!$CH$7,Regression!$AW$7*(1-EXP(-(A21+Regression!$AY$7)*Regression!$AX$7)),Regression!$BH$7*(1-EXP(-(A21+Regression!$BJ$7)*Regression!$BI$7))+A21*Regression!$BK$7)</f>
        <v>74.178022029720154</v>
      </c>
      <c r="F21" s="1">
        <f>F20+MAX(Regression!$S$28:$X$28)/11</f>
        <v>56.039056660542705</v>
      </c>
      <c r="G21" s="4">
        <f>CHOOSE($R$22,Regression!$BQ$8*F21+Regression!$BR$8,Regression!$BX$8*F21^2+Regression!$BY$8*F21+Regression!$BZ$8,Regression!$CF$8*A5^2+Regression!$CG$8*A5+Regression!$CH$8,Regression!$AW$8*(1-EXP(-(F21+Regression!$AY$8)*Regression!$AX$8)),Regression!$BH$8*(1-EXP(-(F21+Regression!$BJ$8)*Regression!$BI$8))+F21*Regression!$BK$8)</f>
        <v>5733.0107961318326</v>
      </c>
      <c r="I21" s="1">
        <f>I20+MAX(Regression!$S$29:$X$29)/11</f>
        <v>56.039056660542705</v>
      </c>
      <c r="J21" s="4">
        <f>CHOOSE($R$24,Regression!$BQ$9*I21+Regression!$BR$9,Regression!$BX$9*I21^2+Regression!$BY$9*I21+Regression!$BZ$9,Regression!$CF$9*A5^2+Regression!$CG$9*A5+Regression!$CH$9,Regression!$AW$9*(1-EXP(-(I21+Regression!$AY$9)*Regression!$AX$9)),Regression!$BH$9*(1-EXP(-(I21+Regression!$BJ$9)*Regression!$BI$9))+I21*Regression!$BK$9)</f>
        <v>7183.2858734158053</v>
      </c>
      <c r="L21" s="1">
        <f>L20+MAX(Regression!$S$30:$X$30)/11</f>
        <v>56.039056660542705</v>
      </c>
      <c r="M21" s="4">
        <f>CHOOSE($R$26,Regression!$BQ$10*L21+Regression!$BR$10,Regression!$BX$10*L21^2+Regression!$BY$10*L21+Regression!$BZ$10,Regression!$CF$10*A5^2+Regression!$CG$10*A5+Regression!$CH$10,Regression!$AW$10*(1-EXP(-(L21+Regression!$AY$10)*Regression!$AX$10)),Regression!$BH$10*(1-EXP(-(L21+Regression!$BJ$10)*Regression!$BI$10))+L21*Regression!$BK$10)</f>
        <v>4711.2022068468987</v>
      </c>
      <c r="P21" s="159"/>
      <c r="S21" s="25"/>
    </row>
    <row r="22" spans="1:21" ht="13.5" thickBot="1" x14ac:dyDescent="0.25">
      <c r="A22" s="1">
        <f>A21+MAX(Regression!$S$27:$X$27)/11</f>
        <v>84.058584990814055</v>
      </c>
      <c r="B22" s="4">
        <f>CHOOSE($R$20,Regression!$BQ$7*A22+Regression!$BR$7,Regression!$BX$7*A22^2+Regression!$BY$7*A22+Regression!$BZ$7,Regression!$CF$7*A6^2+Regression!$CG$7*A6+Regression!$CH$7,Regression!$AW$7*(1-EXP(-(A22+Regression!$AY$7)*Regression!$AX$7)),Regression!$BH$7*(1-EXP(-(A22+Regression!$BJ$7)*Regression!$BI$7))+A22*Regression!$BK$7)</f>
        <v>99.479108473442494</v>
      </c>
      <c r="F22" s="1">
        <f>F21+MAX(Regression!$S$28:$X$28)/11</f>
        <v>84.058584990814055</v>
      </c>
      <c r="G22" s="4">
        <f>CHOOSE($R$22,Regression!$BQ$8*F22+Regression!$BR$8,Regression!$BX$8*F22^2+Regression!$BY$8*F22+Regression!$BZ$8,Regression!$CF$8*A6^2+Regression!$CG$8*A6+Regression!$CH$8,Regression!$AW$8*(1-EXP(-(F22+Regression!$AY$8)*Regression!$AX$8)),Regression!$BH$8*(1-EXP(-(F22+Regression!$BJ$8)*Regression!$BI$8))+F22*Regression!$BK$8)</f>
        <v>8384.2390137857237</v>
      </c>
      <c r="I22" s="1">
        <f>I21+MAX(Regression!$S$29:$X$29)/11</f>
        <v>84.058584990814055</v>
      </c>
      <c r="J22" s="4">
        <f>CHOOSE($R$24,Regression!$BQ$9*I22+Regression!$BR$9,Regression!$BX$9*I22^2+Regression!$BY$9*I22+Regression!$BZ$9,Regression!$CF$9*A6^2+Regression!$CG$9*A6+Regression!$CH$9,Regression!$AW$9*(1-EXP(-(I22+Regression!$AY$9)*Regression!$AX$9)),Regression!$BH$9*(1-EXP(-(I22+Regression!$BJ$9)*Regression!$BI$9))+I22*Regression!$BK$9)</f>
        <v>10207.330074012454</v>
      </c>
      <c r="L22" s="1">
        <f>L21+MAX(Regression!$S$30:$X$30)/11</f>
        <v>84.058584990814055</v>
      </c>
      <c r="M22" s="4">
        <f>CHOOSE($R$26,Regression!$BQ$10*L22+Regression!$BR$10,Regression!$BX$10*L22^2+Regression!$BY$10*L22+Regression!$BZ$10,Regression!$CF$10*A6^2+Regression!$CG$10*A6+Regression!$CH$10,Regression!$AW$10*(1-EXP(-(L22+Regression!$AY$10)*Regression!$AX$10)),Regression!$BH$10*(1-EXP(-(L22+Regression!$BJ$10)*Regression!$BI$10))+L22*Regression!$BK$10)</f>
        <v>6834.6720509164634</v>
      </c>
      <c r="P22" s="302" t="str">
        <f>'Raw Data'!$A$308&amp;" ="</f>
        <v>Disk 35 =</v>
      </c>
      <c r="Q22" s="293">
        <v>1</v>
      </c>
      <c r="R22" s="300">
        <v>4</v>
      </c>
      <c r="S22" s="91">
        <f>MATCH(MIN(B86:F86),B86:F86,0)</f>
        <v>4</v>
      </c>
      <c r="U22" s="4"/>
    </row>
    <row r="23" spans="1:21" ht="13.5" thickBot="1" x14ac:dyDescent="0.25">
      <c r="A23" s="1">
        <f>A22+MAX(Regression!$S$27:$X$27)/11</f>
        <v>112.07811332108541</v>
      </c>
      <c r="B23" s="4">
        <f>CHOOSE($R$20,Regression!$BQ$7*A23+Regression!$BR$7,Regression!$BX$7*A23^2+Regression!$BY$7*A23+Regression!$BZ$7,Regression!$CF$7*A7^2+Regression!$CG$7*A7+Regression!$CH$7,Regression!$AW$7*(1-EXP(-(A23+Regression!$AY$7)*Regression!$AX$7)),Regression!$BH$7*(1-EXP(-(A23+Regression!$BJ$7)*Regression!$BI$7))+A23*Regression!$BK$7)</f>
        <v>123.0629498503981</v>
      </c>
      <c r="F23" s="1">
        <f>F22+MAX(Regression!$S$28:$X$28)/11</f>
        <v>112.07811332108541</v>
      </c>
      <c r="G23" s="4">
        <f>CHOOSE($R$22,Regression!$BQ$8*F23+Regression!$BR$8,Regression!$BX$8*F23^2+Regression!$BY$8*F23+Regression!$BZ$8,Regression!$CF$8*A7^2+Regression!$CG$8*A7+Regression!$CH$8,Regression!$AW$8*(1-EXP(-(F23+Regression!$AY$8)*Regression!$AX$8)),Regression!$BH$8*(1-EXP(-(F23+Regression!$BJ$8)*Regression!$BI$8))+F23*Regression!$BK$8)</f>
        <v>10933.747169263052</v>
      </c>
      <c r="I23" s="1">
        <f>I22+MAX(Regression!$S$29:$X$29)/11</f>
        <v>112.07811332108541</v>
      </c>
      <c r="J23" s="4">
        <f>CHOOSE($R$24,Regression!$BQ$9*I23+Regression!$BR$9,Regression!$BX$9*I23^2+Regression!$BY$9*I23+Regression!$BZ$9,Regression!$CF$9*A7^2+Regression!$CG$9*A7+Regression!$CH$9,Regression!$AW$9*(1-EXP(-(I23+Regression!$AY$9)*Regression!$AX$9)),Regression!$BH$9*(1-EXP(-(I23+Regression!$BJ$9)*Regression!$BI$9))+I23*Regression!$BK$9)</f>
        <v>13004.345414144931</v>
      </c>
      <c r="L23" s="1">
        <f>L22+MAX(Regression!$S$30:$X$30)/11</f>
        <v>112.07811332108541</v>
      </c>
      <c r="M23" s="4">
        <f>CHOOSE($R$26,Regression!$BQ$10*L23+Regression!$BR$10,Regression!$BX$10*L23^2+Regression!$BY$10*L23+Regression!$BZ$10,Regression!$CF$10*A7^2+Regression!$CG$10*A7+Regression!$CH$10,Regression!$AW$10*(1-EXP(-(L23+Regression!$AY$10)*Regression!$AX$10)),Regression!$BH$10*(1-EXP(-(L23+Regression!$BJ$10)*Regression!$BI$10))+L23*Regression!$BK$10)</f>
        <v>8848.0132397729467</v>
      </c>
      <c r="P23" s="159"/>
      <c r="S23" s="25"/>
    </row>
    <row r="24" spans="1:21" ht="13.5" thickBot="1" x14ac:dyDescent="0.25">
      <c r="A24" s="1">
        <f>A23+MAX(Regression!$S$27:$X$27)/11</f>
        <v>140.09764165135675</v>
      </c>
      <c r="B24" s="4">
        <f>CHOOSE($R$20,Regression!$BQ$7*A24+Regression!$BR$7,Regression!$BX$7*A24^2+Regression!$BY$7*A24+Regression!$BZ$7,Regression!$CF$7*A8^2+Regression!$CG$7*A8+Regression!$CH$7,Regression!$AW$7*(1-EXP(-(A24+Regression!$AY$7)*Regression!$AX$7)),Regression!$BH$7*(1-EXP(-(A24+Regression!$BJ$7)*Regression!$BI$7))+A24*Regression!$BK$7)</f>
        <v>145.04609967799783</v>
      </c>
      <c r="F24" s="1">
        <f>F23+MAX(Regression!$S$28:$X$28)/11</f>
        <v>140.09764165135675</v>
      </c>
      <c r="G24" s="4">
        <f>CHOOSE($R$22,Regression!$BQ$8*F24+Regression!$BR$8,Regression!$BX$8*F24^2+Regression!$BY$8*F24+Regression!$BZ$8,Regression!$CF$8*A8^2+Regression!$CG$8*A8+Regression!$CH$8,Regression!$AW$8*(1-EXP(-(F24+Regression!$AY$8)*Regression!$AX$8)),Regression!$BH$8*(1-EXP(-(F24+Regression!$BJ$8)*Regression!$BI$8))+F24*Regression!$BK$8)</f>
        <v>13385.437971119927</v>
      </c>
      <c r="I24" s="1">
        <f>I23+MAX(Regression!$S$29:$X$29)/11</f>
        <v>140.09764165135675</v>
      </c>
      <c r="J24" s="4">
        <f>CHOOSE($R$24,Regression!$BQ$9*I24+Regression!$BR$9,Regression!$BX$9*I24^2+Regression!$BY$9*I24+Regression!$BZ$9,Regression!$CF$9*A8^2+Regression!$CG$9*A8+Regression!$CH$9,Regression!$AW$9*(1-EXP(-(I24+Regression!$AY$9)*Regression!$AX$9)),Regression!$BH$9*(1-EXP(-(I24+Regression!$BJ$9)*Regression!$BI$9))+I24*Regression!$BK$9)</f>
        <v>15591.375991076591</v>
      </c>
      <c r="L24" s="1">
        <f>L23+MAX(Regression!$S$30:$X$30)/11</f>
        <v>140.09764165135675</v>
      </c>
      <c r="M24" s="4">
        <f>CHOOSE($R$26,Regression!$BQ$10*L24+Regression!$BR$10,Regression!$BX$10*L24^2+Regression!$BY$10*L24+Regression!$BZ$10,Regression!$CF$10*A8^2+Regression!$CG$10*A8+Regression!$CH$10,Regression!$AW$10*(1-EXP(-(L24+Regression!$AY$10)*Regression!$AX$10)),Regression!$BH$10*(1-EXP(-(L24+Regression!$BJ$10)*Regression!$BI$10))+L24*Regression!$BK$10)</f>
        <v>10756.937331191892</v>
      </c>
      <c r="P24" s="302" t="str">
        <f>'Raw Data'!$A$309&amp;" ="</f>
        <v>Disk 36 =</v>
      </c>
      <c r="Q24" s="293">
        <v>1</v>
      </c>
      <c r="R24" s="300">
        <v>4</v>
      </c>
      <c r="S24" s="91">
        <f>MATCH(MIN(B87:F87),B87:F87,0)</f>
        <v>4</v>
      </c>
      <c r="U24" s="4"/>
    </row>
    <row r="25" spans="1:21" ht="13.5" thickBot="1" x14ac:dyDescent="0.25">
      <c r="A25" s="1">
        <f>A24+MAX(Regression!$S$27:$X$27)/11</f>
        <v>168.11716998162811</v>
      </c>
      <c r="B25" s="4">
        <f>CHOOSE($R$20,Regression!$BQ$7*A25+Regression!$BR$7,Regression!$BX$7*A25^2+Regression!$BY$7*A25+Regression!$BZ$7,Regression!$CF$7*A9^2+Regression!$CG$7*A9+Regression!$CH$7,Regression!$AW$7*(1-EXP(-(A25+Regression!$AY$7)*Regression!$AX$7)),Regression!$BH$7*(1-EXP(-(A25+Regression!$BJ$7)*Regression!$BI$7))+A25*Regression!$BK$7)</f>
        <v>165.53720070850696</v>
      </c>
      <c r="F25" s="1">
        <f>F24+MAX(Regression!$S$28:$X$28)/11</f>
        <v>168.11716998162811</v>
      </c>
      <c r="G25" s="4">
        <f>CHOOSE($R$22,Regression!$BQ$8*F25+Regression!$BR$8,Regression!$BX$8*F25^2+Regression!$BY$8*F25+Regression!$BZ$8,Regression!$CF$8*A9^2+Regression!$CG$8*A9+Regression!$CH$8,Regression!$AW$8*(1-EXP(-(F25+Regression!$AY$8)*Regression!$AX$8)),Regression!$BH$8*(1-EXP(-(F25+Regression!$BJ$8)*Regression!$BI$8))+F25*Regression!$BK$8)</f>
        <v>15743.064392120416</v>
      </c>
      <c r="I25" s="1">
        <f>I24+MAX(Regression!$S$29:$X$29)/11</f>
        <v>168.11716998162811</v>
      </c>
      <c r="J25" s="4">
        <f>CHOOSE($R$24,Regression!$BQ$9*I25+Regression!$BR$9,Regression!$BX$9*I25^2+Regression!$BY$9*I25+Regression!$BZ$9,Regression!$CF$9*A9^2+Regression!$CG$9*A9+Regression!$CH$9,Regression!$AW$9*(1-EXP(-(I25+Regression!$AY$9)*Regression!$AX$9)),Regression!$BH$9*(1-EXP(-(I25+Regression!$BJ$9)*Regression!$BI$9))+I25*Regression!$BK$9)</f>
        <v>17984.18632355849</v>
      </c>
      <c r="L25" s="1">
        <f>L24+MAX(Regression!$S$30:$X$30)/11</f>
        <v>168.11716998162811</v>
      </c>
      <c r="M25" s="4">
        <f>CHOOSE($R$26,Regression!$BQ$10*L25+Regression!$BR$10,Regression!$BX$10*L25^2+Regression!$BY$10*L25+Regression!$BZ$10,Regression!$CF$10*A9^2+Regression!$CG$10*A9+Regression!$CH$10,Regression!$AW$10*(1-EXP(-(L25+Regression!$AY$10)*Regression!$AX$10)),Regression!$BH$10*(1-EXP(-(L25+Regression!$BJ$10)*Regression!$BI$10))+L25*Regression!$BK$10)</f>
        <v>12566.859666744625</v>
      </c>
      <c r="P25" s="159"/>
      <c r="S25" s="25"/>
    </row>
    <row r="26" spans="1:21" ht="12.75" thickBot="1" x14ac:dyDescent="0.25">
      <c r="A26" s="1">
        <f>A25+MAX(Regression!$S$27:$X$27)/11</f>
        <v>196.13669831189947</v>
      </c>
      <c r="B26" s="4">
        <f>CHOOSE($R$20,Regression!$BQ$7*A26+Regression!$BR$7,Regression!$BX$7*A26^2+Regression!$BY$7*A26+Regression!$BZ$7,Regression!$CF$7*A10^2+Regression!$CG$7*A10+Regression!$CH$7,Regression!$AW$7*(1-EXP(-(A26+Regression!$AY$7)*Regression!$AX$7)),Regression!$BH$7*(1-EXP(-(A26+Regression!$BJ$7)*Regression!$BI$7))+A26*Regression!$BK$7)</f>
        <v>184.63752185153848</v>
      </c>
      <c r="F26" s="1">
        <f>F25+MAX(Regression!$S$28:$X$28)/11</f>
        <v>196.13669831189947</v>
      </c>
      <c r="G26" s="4">
        <f>CHOOSE($R$22,Regression!$BQ$8*F26+Regression!$BR$8,Regression!$BX$8*F26^2+Regression!$BY$8*F26+Regression!$BZ$8,Regression!$CF$8*A10^2+Regression!$CG$8*A10+Regression!$CH$8,Regression!$AW$8*(1-EXP(-(F26+Regression!$AY$8)*Regression!$AX$8)),Regression!$BH$8*(1-EXP(-(F26+Regression!$BJ$8)*Regression!$BI$8))+F26*Regression!$BK$8)</f>
        <v>18010.235414171704</v>
      </c>
      <c r="I26" s="1">
        <f>I25+MAX(Regression!$S$29:$X$29)/11</f>
        <v>196.13669831189947</v>
      </c>
      <c r="J26" s="4">
        <f>CHOOSE($R$24,Regression!$BQ$9*I26+Regression!$BR$9,Regression!$BX$9*I26^2+Regression!$BY$9*I26+Regression!$BZ$9,Regression!$CF$9*A10^2+Regression!$CG$9*A10+Regression!$CH$9,Regression!$AW$9*(1-EXP(-(I26+Regression!$AY$9)*Regression!$AX$9)),Regression!$BH$9*(1-EXP(-(I26+Regression!$BJ$9)*Regression!$BI$9))+I26*Regression!$BK$9)</f>
        <v>20197.357415653925</v>
      </c>
      <c r="L26" s="1">
        <f>L25+MAX(Regression!$S$30:$X$30)/11</f>
        <v>196.13669831189947</v>
      </c>
      <c r="M26" s="4">
        <f>CHOOSE($R$26,Regression!$BQ$10*L26+Regression!$BR$10,Regression!$BX$10*L26^2+Regression!$BY$10*L26+Regression!$BZ$10,Regression!$CF$10*A10^2+Regression!$CG$10*A10+Regression!$CH$10,Regression!$AW$10*(1-EXP(-(L26+Regression!$AY$10)*Regression!$AX$10)),Regression!$BH$10*(1-EXP(-(L26+Regression!$BJ$10)*Regression!$BI$10))+L26*Regression!$BK$10)</f>
        <v>14282.914734339103</v>
      </c>
      <c r="P26" s="304" t="str">
        <f>'Raw Data'!$A$310&amp;" ="</f>
        <v>Disk 37 =</v>
      </c>
      <c r="Q26" s="293">
        <v>1</v>
      </c>
      <c r="R26" s="300">
        <v>4</v>
      </c>
      <c r="S26" s="91">
        <f>MATCH(MIN(B88:F88),B88:F88,0)</f>
        <v>4</v>
      </c>
      <c r="T26" s="25"/>
      <c r="U26" s="4"/>
    </row>
    <row r="27" spans="1:21" x14ac:dyDescent="0.2">
      <c r="A27" s="1">
        <f>A26+MAX(Regression!$S$27:$X$27)/11</f>
        <v>224.15622664217082</v>
      </c>
      <c r="B27" s="4">
        <f>CHOOSE($R$20,Regression!$BQ$7*A27+Regression!$BR$7,Regression!$BX$7*A27^2+Regression!$BY$7*A27+Regression!$BZ$7,Regression!$CF$7*A11^2+Regression!$CG$7*A11+Regression!$CH$7,Regression!$AW$7*(1-EXP(-(A27+Regression!$AY$7)*Regression!$AX$7)),Regression!$BH$7*(1-EXP(-(A27+Regression!$BJ$7)*Regression!$BI$7))+A27*Regression!$BK$7)</f>
        <v>202.44145865433663</v>
      </c>
      <c r="F27" s="1">
        <f>F26+MAX(Regression!$S$28:$X$28)/11</f>
        <v>224.15622664217082</v>
      </c>
      <c r="G27" s="4">
        <f>CHOOSE($R$22,Regression!$BQ$8*F27+Regression!$BR$8,Regression!$BX$8*F27^2+Regression!$BY$8*F27+Regression!$BZ$8,Regression!$CF$8*A11^2+Regression!$CG$8*A11+Regression!$CH$8,Regression!$AW$8*(1-EXP(-(F27+Regression!$AY$8)*Regression!$AX$8)),Regression!$BH$8*(1-EXP(-(F27+Regression!$BJ$8)*Regression!$BI$8))+F27*Regression!$BK$8)</f>
        <v>20190.421552842403</v>
      </c>
      <c r="I27" s="1">
        <f>I26+MAX(Regression!$S$29:$X$29)/11</f>
        <v>224.15622664217082</v>
      </c>
      <c r="J27" s="4">
        <f>CHOOSE($R$24,Regression!$BQ$9*I27+Regression!$BR$9,Regression!$BX$9*I27^2+Regression!$BY$9*I27+Regression!$BZ$9,Regression!$CF$9*A11^2+Regression!$CG$9*A11+Regression!$CH$9,Regression!$AW$9*(1-EXP(-(I27+Regression!$AY$9)*Regression!$AX$9)),Regression!$BH$9*(1-EXP(-(I27+Regression!$BJ$9)*Regression!$BI$9))+I27*Regression!$BK$9)</f>
        <v>22244.375608611335</v>
      </c>
      <c r="L27" s="1">
        <f>L26+MAX(Regression!$S$30:$X$30)/11</f>
        <v>224.15622664217082</v>
      </c>
      <c r="M27" s="4">
        <f>CHOOSE($R$26,Regression!$BQ$10*L27+Regression!$BR$10,Regression!$BX$10*L27^2+Regression!$BY$10*L27+Regression!$BZ$10,Regression!$CF$10*A11^2+Regression!$CG$10*A11+Regression!$CH$10,Regression!$AW$10*(1-EXP(-(L27+Regression!$AY$10)*Regression!$AX$10)),Regression!$BH$10*(1-EXP(-(L27+Regression!$BJ$10)*Regression!$BI$10))+L27*Regression!$BK$10)</f>
        <v>15909.970734019529</v>
      </c>
      <c r="P27" s="83"/>
      <c r="Q27" s="25"/>
      <c r="R27" s="25"/>
      <c r="S27" s="25"/>
      <c r="T27" s="25"/>
    </row>
    <row r="28" spans="1:21" x14ac:dyDescent="0.2">
      <c r="A28" s="1">
        <f>A27+MAX(Regression!$S$27:$X$27)/11</f>
        <v>252.17575497244218</v>
      </c>
      <c r="B28" s="4">
        <f>CHOOSE($R$20,Regression!$BQ$7*A28+Regression!$BR$7,Regression!$BX$7*A28^2+Regression!$BY$7*A28+Regression!$BZ$7,Regression!$CF$7*A12^2+Regression!$CG$7*A12+Regression!$CH$7,Regression!$AW$7*(1-EXP(-(A28+Regression!$AY$7)*Regression!$AX$7)),Regression!$BH$7*(1-EXP(-(A28+Regression!$BJ$7)*Regression!$BI$7))+A28*Regression!$BK$7)</f>
        <v>219.03699981327026</v>
      </c>
      <c r="F28" s="1">
        <f>F27+MAX(Regression!$S$28:$X$28)/11</f>
        <v>252.17575497244218</v>
      </c>
      <c r="G28" s="4">
        <f>CHOOSE($R$22,Regression!$BQ$8*F28+Regression!$BR$8,Regression!$BX$8*F28^2+Regression!$BY$8*F28+Regression!$BZ$8,Regression!$CF$8*A12^2+Regression!$CG$8*A12+Regression!$CH$8,Regression!$AW$8*(1-EXP(-(F28+Regression!$AY$8)*Regression!$AX$8)),Regression!$BH$8*(1-EXP(-(F28+Regression!$BJ$8)*Regression!$BI$8))+F28*Regression!$BK$8)</f>
        <v>22286.960169920905</v>
      </c>
      <c r="I28" s="1">
        <f>I27+MAX(Regression!$S$29:$X$29)/11</f>
        <v>252.17575497244218</v>
      </c>
      <c r="J28" s="4">
        <f>CHOOSE($R$24,Regression!$BQ$9*I28+Regression!$BR$9,Regression!$BX$9*I28^2+Regression!$BY$9*I28+Regression!$BZ$9,Regression!$CF$9*A12^2+Regression!$CG$9*A12+Regression!$CH$9,Regression!$AW$9*(1-EXP(-(I28+Regression!$AY$9)*Regression!$AX$9)),Regression!$BH$9*(1-EXP(-(I28+Regression!$BJ$9)*Regression!$BI$9))+I28*Regression!$BK$9)</f>
        <v>24137.714762219759</v>
      </c>
      <c r="L28" s="1">
        <f>L27+MAX(Regression!$S$30:$X$30)/11</f>
        <v>252.17575497244218</v>
      </c>
      <c r="M28" s="4">
        <f>CHOOSE($R$26,Regression!$BQ$10*L28+Regression!$BR$10,Regression!$BX$10*L28^2+Regression!$BY$10*L28+Regression!$BZ$10,Regression!$CF$10*A12^2+Regression!$CG$10*A12+Regression!$CH$10,Regression!$AW$10*(1-EXP(-(L28+Regression!$AY$10)*Regression!$AX$10)),Regression!$BH$10*(1-EXP(-(L28+Regression!$BJ$10)*Regression!$BI$10))+L28*Regression!$BK$10)</f>
        <v>17452.64338834583</v>
      </c>
      <c r="P28" s="83"/>
      <c r="Q28" s="25"/>
      <c r="R28" s="25"/>
      <c r="S28" s="25"/>
      <c r="T28" s="25"/>
    </row>
    <row r="29" spans="1:21" x14ac:dyDescent="0.2">
      <c r="A29" s="1">
        <f>A28+MAX(Regression!$S$27:$X$27)/11</f>
        <v>280.19528330271351</v>
      </c>
      <c r="B29" s="4">
        <f>CHOOSE($R$20,Regression!$BQ$7*A29+Regression!$BR$7,Regression!$BX$7*A29^2+Regression!$BY$7*A29+Regression!$BZ$7,Regression!$CF$7*A13^2+Regression!$CG$7*A13+Regression!$CH$7,Regression!$AW$7*(1-EXP(-(A29+Regression!$AY$7)*Regression!$AX$7)),Regression!$BH$7*(1-EXP(-(A29+Regression!$BJ$7)*Regression!$BI$7))+A29*Regression!$BK$7)</f>
        <v>234.50616202207883</v>
      </c>
      <c r="F29" s="1">
        <f>F28+MAX(Regression!$S$28:$X$28)/11</f>
        <v>280.19528330271351</v>
      </c>
      <c r="G29" s="4">
        <f>CHOOSE($R$22,Regression!$BQ$8*F29+Regression!$BR$8,Regression!$BX$8*F29^2+Regression!$BY$8*F29+Regression!$BZ$8,Regression!$CF$8*A13^2+Regression!$CG$8*A13+Regression!$CH$8,Regression!$AW$8*(1-EXP(-(F29+Regression!$AY$8)*Regression!$AX$8)),Regression!$BH$8*(1-EXP(-(F29+Regression!$BJ$8)*Regression!$BI$8))+F29*Regression!$BK$8)</f>
        <v>24303.060582145998</v>
      </c>
      <c r="I29" s="1">
        <f>I28+MAX(Regression!$S$29:$X$29)/11</f>
        <v>280.19528330271351</v>
      </c>
      <c r="J29" s="4">
        <f>CHOOSE($R$24,Regression!$BQ$9*I29+Regression!$BR$9,Regression!$BX$9*I29^2+Regression!$BY$9*I29+Regression!$BZ$9,Regression!$CF$9*A13^2+Regression!$CG$9*A13+Regression!$CH$9,Regression!$AW$9*(1-EXP(-(I29+Regression!$AY$9)*Regression!$AX$9)),Regression!$BH$9*(1-EXP(-(I29+Regression!$BJ$9)*Regression!$BI$9))+I29*Regression!$BK$9)</f>
        <v>25888.912266433279</v>
      </c>
      <c r="L29" s="1">
        <f>L28+MAX(Regression!$S$30:$X$30)/11</f>
        <v>280.19528330271351</v>
      </c>
      <c r="M29" s="4">
        <f>CHOOSE($R$26,Regression!$BQ$10*L29+Regression!$BR$10,Regression!$BX$10*L29^2+Regression!$BY$10*L29+Regression!$BZ$10,Regression!$CF$10*A13^2+Regression!$CG$10*A13+Regression!$CH$10,Regression!$AW$10*(1-EXP(-(L29+Regression!$AY$10)*Regression!$AX$10)),Regression!$BH$10*(1-EXP(-(L29+Regression!$BJ$10)*Regression!$BI$10))+L29*Regression!$BK$10)</f>
        <v>18915.309036531013</v>
      </c>
      <c r="P29" s="83"/>
      <c r="Q29" s="25"/>
      <c r="R29" s="25"/>
      <c r="S29" s="25"/>
      <c r="T29" s="25"/>
    </row>
    <row r="30" spans="1:21" x14ac:dyDescent="0.2">
      <c r="A30" s="1">
        <f>A29+MAX(Regression!$S$27:$X$27)/11</f>
        <v>308.21481163298483</v>
      </c>
      <c r="B30" s="4">
        <f>CHOOSE($R$20,Regression!$BQ$7*A30+Regression!$BR$7,Regression!$BX$7*A30^2+Regression!$BY$7*A30+Regression!$BZ$7,Regression!$CF$7*A14^2+Regression!$CG$7*A14+Regression!$CH$7,Regression!$AW$7*(1-EXP(-(A30+Regression!$AY$7)*Regression!$AX$7)),Regression!$BH$7*(1-EXP(-(A30+Regression!$BJ$7)*Regression!$BI$7))+A30*Regression!$BK$7)</f>
        <v>248.92539530593075</v>
      </c>
      <c r="F30" s="1">
        <f>F29+MAX(Regression!$S$28:$X$28)/11</f>
        <v>308.21481163298483</v>
      </c>
      <c r="G30" s="4">
        <f>CHOOSE($R$22,Regression!$BQ$8*F30+Regression!$BR$8,Regression!$BX$8*F30^2+Regression!$BY$8*F30+Regression!$BZ$8,Regression!$CF$8*A14^2+Regression!$CG$8*A14+Regression!$CH$8,Regression!$AW$8*(1-EXP(-(F30+Regression!$AY$8)*Regression!$AX$8)),Regression!$BH$8*(1-EXP(-(F30+Regression!$BJ$8)*Regression!$BI$8))+F30*Regression!$BK$8)</f>
        <v>26241.808973930089</v>
      </c>
      <c r="I30" s="1">
        <f>I29+MAX(Regression!$S$29:$X$29)/11</f>
        <v>308.21481163298483</v>
      </c>
      <c r="J30" s="4">
        <f>CHOOSE($R$24,Regression!$BQ$9*I30+Regression!$BR$9,Regression!$BX$9*I30^2+Regression!$BY$9*I30+Regression!$BZ$9,Regression!$CF$9*A14^2+Regression!$CG$9*A14+Regression!$CH$9,Regression!$AW$9*(1-EXP(-(I30+Regression!$AY$9)*Regression!$AX$9)),Regression!$BH$9*(1-EXP(-(I30+Regression!$BJ$9)*Regression!$BI$9))+I30*Regression!$BK$9)</f>
        <v>27508.639346454293</v>
      </c>
      <c r="L30" s="1">
        <f>L29+MAX(Regression!$S$30:$X$30)/11</f>
        <v>308.21481163298483</v>
      </c>
      <c r="M30" s="4">
        <f>CHOOSE($R$26,Regression!$BQ$10*L30+Regression!$BR$10,Regression!$BX$10*L30^2+Regression!$BY$10*L30+Regression!$BZ$10,Regression!$CF$10*A14^2+Regression!$CG$10*A14+Regression!$CH$10,Regression!$AW$10*(1-EXP(-(L30+Regression!$AY$10)*Regression!$AX$10)),Regression!$BH$10*(1-EXP(-(L30+Regression!$BJ$10)*Regression!$BI$10))+L30*Regression!$BK$10)</f>
        <v>20302.117049482575</v>
      </c>
      <c r="P30" s="83"/>
      <c r="Q30" s="25"/>
      <c r="R30" s="25"/>
      <c r="S30" s="25"/>
      <c r="T30" s="25"/>
    </row>
    <row r="31" spans="1:21" x14ac:dyDescent="0.2">
      <c r="P31" s="83"/>
      <c r="Q31" s="25"/>
      <c r="R31" s="25"/>
      <c r="S31" s="25"/>
      <c r="T31" s="25"/>
    </row>
    <row r="32" spans="1:21" x14ac:dyDescent="0.2">
      <c r="P32" s="83"/>
      <c r="Q32" s="25"/>
      <c r="R32" s="25"/>
      <c r="S32" s="25"/>
      <c r="T32" s="25"/>
    </row>
    <row r="33" spans="1:21" x14ac:dyDescent="0.2">
      <c r="A33" s="9" t="s">
        <v>0</v>
      </c>
      <c r="B33" t="s">
        <v>1</v>
      </c>
      <c r="F33" t="s">
        <v>0</v>
      </c>
      <c r="G33" t="s">
        <v>1</v>
      </c>
      <c r="I33" t="s">
        <v>0</v>
      </c>
      <c r="J33" t="s">
        <v>1</v>
      </c>
      <c r="L33" t="s">
        <v>0</v>
      </c>
      <c r="M33" t="s">
        <v>1</v>
      </c>
      <c r="P33" s="83"/>
      <c r="Q33" s="25"/>
      <c r="R33" s="25"/>
      <c r="S33" s="25"/>
      <c r="T33" s="25"/>
    </row>
    <row r="34" spans="1:21" ht="12.75" thickBot="1" x14ac:dyDescent="0.25">
      <c r="A34" s="1">
        <v>0</v>
      </c>
      <c r="B34" s="4">
        <f>CHOOSE($R$35,Regression!$BQ$11*A34+Regression!$BR$11,Regression!$BX$11*A34^2+Regression!$BY$11*A34+Regression!$BZ$11,Regression!$CF$11*A3^2+Regression!$CG$11*A3+Regression!$CH$11,Regression!$AW$11*(1-EXP(-(A34+Regression!$AY$11)*Regression!$AX$11)),Regression!$BH$11*(1-EXP(-(A34+Regression!$BJ$11)*Regression!$BI$11))+A34*Regression!$BK$11)</f>
        <v>2038.3124510609309</v>
      </c>
      <c r="F34" s="1">
        <v>0</v>
      </c>
      <c r="G34" s="4">
        <f>CHOOSE($R$37,Regression!$BQ$12*F34+Regression!$BR$12,Regression!$BX$12*F34^2+Regression!$BY$12*F34+Regression!$BZ$12,Regression!$CF$12*A3^2+Regression!$CG$12*A3+Regression!$CH$12,Regression!$AW$12*(1-EXP(-(F34+Regression!$AY$12)*Regression!$AX$12)),Regression!$BH$12*(1-EXP(-(F34+Regression!$BJ$12)*Regression!$BI$12))+F34*Regression!$BK$12)</f>
        <v>166.00870039745348</v>
      </c>
      <c r="I34" s="1">
        <v>0</v>
      </c>
      <c r="J34" s="4">
        <f>CHOOSE($R$39,Regression!$BQ$13*I34+Regression!$BR$13,Regression!$BX$13*I34^2+Regression!$BY$13*I34+Regression!$BZ$13,Regression!$CF$13*A3^2+Regression!$CG$13*A3+Regression!$CH$13,Regression!$AW$13*(1-EXP(-(I34+Regression!$AY$13)*Regression!$AX$13)),Regression!$BH$13*(1-EXP(-(I34+Regression!$BJ$13)*Regression!$BI$13))+I34*Regression!$BK$13)</f>
        <v>216.29028092743249</v>
      </c>
      <c r="L34" s="1">
        <v>0</v>
      </c>
      <c r="M34" s="4">
        <f>CHOOSE($R$41,Regression!$BQ$14*L34+Regression!$BR$14,Regression!$BX$14*L34^2+Regression!$BY$14*L34+Regression!$BZ$14,Regression!$CF$14*A3^2+Regression!$CG$14*A3+Regression!$CH$14,Regression!$AW$14*(1-EXP(-(L34+Regression!$AY$14)*Regression!$AX$14)),Regression!$BH$14*(1-EXP(-(L34+Regression!$BJ$14)*Regression!$BI$14))+L34*Regression!$BK$14)</f>
        <v>10.919072262707815</v>
      </c>
      <c r="P34" s="83"/>
      <c r="Q34" s="25"/>
      <c r="R34" s="25"/>
      <c r="S34" s="25"/>
      <c r="T34" s="25"/>
    </row>
    <row r="35" spans="1:21" ht="13.5" thickBot="1" x14ac:dyDescent="0.25">
      <c r="A35" s="1">
        <f>A34+MAX(Regression!$S$31:$X$31)/11</f>
        <v>76.453572621834738</v>
      </c>
      <c r="B35" s="4">
        <f>CHOOSE($R$35,Regression!$BQ$11*A35+Regression!$BR$11,Regression!$BX$11*A35^2+Regression!$BY$11*A35+Regression!$BZ$11,Regression!$CF$11*A4^2+Regression!$CG$11*A4+Regression!$CH$11,Regression!$AW$11*(1-EXP(-(A35+Regression!$AY$11)*Regression!$AX$11)),Regression!$BH$11*(1-EXP(-(A35+Regression!$BJ$11)*Regression!$BI$11))+A35*Regression!$BK$11)</f>
        <v>31694.671575461631</v>
      </c>
      <c r="F35" s="1">
        <f>F34+MAX(Regression!$S$32:$X$32)/11</f>
        <v>76.460296770702087</v>
      </c>
      <c r="G35" s="4">
        <f>CHOOSE($R$37,Regression!$BQ$12*F35+Regression!$BR$12,Regression!$BX$12*F35^2+Regression!$BY$12*F35+Regression!$BZ$12,Regression!$CF$12*A4^2+Regression!$CG$12*A4+Regression!$CH$12,Regression!$AW$12*(1-EXP(-(F35+Regression!$AY$12)*Regression!$AX$12)),Regression!$BH$12*(1-EXP(-(F35+Regression!$BJ$12)*Regression!$BI$12))+F35*Regression!$BK$12)</f>
        <v>4286.5613044973425</v>
      </c>
      <c r="I35" s="1">
        <f>I34+MAX(Regression!$S$33:$X$33)/11</f>
        <v>76.460296770702087</v>
      </c>
      <c r="J35" s="4">
        <f>CHOOSE($R$39,Regression!$BQ$13*I35+Regression!$BR$13,Regression!$BX$13*I35^2+Regression!$BY$13*I35+Regression!$BZ$13,Regression!$CF$13*A4^2+Regression!$CG$13*A4+Regression!$CH$13,Regression!$AW$13*(1-EXP(-(I35+Regression!$AY$13)*Regression!$AX$13)),Regression!$BH$13*(1-EXP(-(I35+Regression!$BJ$13)*Regression!$BI$13))+I35*Regression!$BK$13)</f>
        <v>233.25715189424025</v>
      </c>
      <c r="L35" s="1">
        <f>L34+MAX(Regression!$S$34:$X$34)/11</f>
        <v>28.019528330271353</v>
      </c>
      <c r="M35" s="4">
        <f>CHOOSE($R$41,Regression!$BQ$14*L35+Regression!$BR$14,Regression!$BX$14*L35^2+Regression!$BY$14*L35+Regression!$BZ$14,Regression!$CF$14*A4^2+Regression!$CG$14*A4+Regression!$CH$14,Regression!$AW$14*(1-EXP(-(L35+Regression!$AY$14)*Regression!$AX$14)),Regression!$BH$14*(1-EXP(-(L35+Regression!$BJ$14)*Regression!$BI$14))+L35*Regression!$BK$14)</f>
        <v>254.28266474389775</v>
      </c>
      <c r="P35" s="302" t="str">
        <f>'Raw Data'!$A$311&amp;" ="</f>
        <v>Disk 38 =</v>
      </c>
      <c r="Q35" s="293">
        <v>0</v>
      </c>
      <c r="R35" s="300">
        <v>4</v>
      </c>
      <c r="S35" s="91">
        <f>MATCH(MIN(B89:F89),B89:F89,0)</f>
        <v>4</v>
      </c>
      <c r="T35" s="25"/>
      <c r="U35" s="4"/>
    </row>
    <row r="36" spans="1:21" ht="13.5" thickBot="1" x14ac:dyDescent="0.25">
      <c r="A36" s="1">
        <f>A35+MAX(Regression!$S$31:$X$31)/11</f>
        <v>152.90714524366948</v>
      </c>
      <c r="B36" s="4">
        <f>CHOOSE($R$35,Regression!$BQ$11*A36+Regression!$BR$11,Regression!$BX$11*A36^2+Regression!$BY$11*A36+Regression!$BZ$11,Regression!$CF$11*A5^2+Regression!$CG$11*A5+Regression!$CH$11,Regression!$AW$11*(1-EXP(-(A36+Regression!$AY$11)*Regression!$AX$11)),Regression!$BH$11*(1-EXP(-(A36+Regression!$BJ$11)*Regression!$BI$11))+A36*Regression!$BK$11)</f>
        <v>58286.121224925031</v>
      </c>
      <c r="F36" s="1">
        <f>F35+MAX(Regression!$S$32:$X$32)/11</f>
        <v>152.92059354140417</v>
      </c>
      <c r="G36" s="4">
        <f>CHOOSE($R$37,Regression!$BQ$12*F36+Regression!$BR$12,Regression!$BX$12*F36^2+Regression!$BY$12*F36+Regression!$BZ$12,Regression!$CF$12*A5^2+Regression!$CG$12*A5+Regression!$CH$12,Regression!$AW$12*(1-EXP(-(F36+Regression!$AY$12)*Regression!$AX$12)),Regression!$BH$12*(1-EXP(-(F36+Regression!$BJ$12)*Regression!$BI$12))+F36*Regression!$BK$12)</f>
        <v>8018.2193331627013</v>
      </c>
      <c r="I36" s="1">
        <f>I35+MAX(Regression!$S$33:$X$33)/11</f>
        <v>152.92059354140417</v>
      </c>
      <c r="J36" s="4">
        <f>CHOOSE($R$39,Regression!$BQ$13*I36+Regression!$BR$13,Regression!$BX$13*I36^2+Regression!$BY$13*I36+Regression!$BZ$13,Regression!$CF$13*A5^2+Regression!$CG$13*A5+Regression!$CH$13,Regression!$AW$13*(1-EXP(-(I36+Regression!$AY$13)*Regression!$AX$13)),Regression!$BH$13*(1-EXP(-(I36+Regression!$BJ$13)*Regression!$BI$13))+I36*Regression!$BK$13)</f>
        <v>250.22402286104804</v>
      </c>
      <c r="L36" s="1">
        <f>L35+MAX(Regression!$S$34:$X$34)/11</f>
        <v>56.039056660542705</v>
      </c>
      <c r="M36" s="4">
        <f>CHOOSE($R$41,Regression!$BQ$14*L36+Regression!$BR$14,Regression!$BX$14*L36^2+Regression!$BY$14*L36+Regression!$BZ$14,Regression!$CF$14*A5^2+Regression!$CG$14*A5+Regression!$CH$14,Regression!$AW$14*(1-EXP(-(L36+Regression!$AY$14)*Regression!$AX$14)),Regression!$BH$14*(1-EXP(-(L36+Regression!$BJ$14)*Regression!$BI$14))+L36*Regression!$BK$14)</f>
        <v>487.19454167735165</v>
      </c>
      <c r="P36" s="158"/>
      <c r="Q36" s="25"/>
      <c r="R36" s="25"/>
      <c r="S36" s="25"/>
      <c r="T36" s="25"/>
    </row>
    <row r="37" spans="1:21" ht="13.5" thickBot="1" x14ac:dyDescent="0.25">
      <c r="A37" s="1">
        <f>A36+MAX(Regression!$S$31:$X$31)/11</f>
        <v>229.36071786550423</v>
      </c>
      <c r="B37" s="4">
        <f>CHOOSE($R$35,Regression!$BQ$11*A37+Regression!$BR$11,Regression!$BX$11*A37^2+Regression!$BY$11*A37+Regression!$BZ$11,Regression!$CF$11*A6^2+Regression!$CG$11*A6+Regression!$CH$11,Regression!$AW$11*(1-EXP(-(A37+Regression!$AY$11)*Regression!$AX$11)),Regression!$BH$11*(1-EXP(-(A37+Regression!$BJ$11)*Regression!$BI$11))+A37*Regression!$BK$11)</f>
        <v>82129.412017763942</v>
      </c>
      <c r="F37" s="1">
        <f>F36+MAX(Regression!$S$32:$X$32)/11</f>
        <v>229.38089031210626</v>
      </c>
      <c r="G37" s="4">
        <f>CHOOSE($R$37,Regression!$BQ$12*F37+Regression!$BR$12,Regression!$BX$12*F37^2+Regression!$BY$12*F37+Regression!$BZ$12,Regression!$CF$12*A6^2+Regression!$CG$12*A6+Regression!$CH$12,Regression!$AW$12*(1-EXP(-(F37+Regression!$AY$12)*Regression!$AX$12)),Regression!$BH$12*(1-EXP(-(F37+Regression!$BJ$12)*Regression!$BI$12))+F37*Regression!$BK$12)</f>
        <v>11397.686356359343</v>
      </c>
      <c r="I37" s="1">
        <f>I36+MAX(Regression!$S$33:$X$33)/11</f>
        <v>229.38089031210626</v>
      </c>
      <c r="J37" s="4">
        <f>CHOOSE($R$39,Regression!$BQ$13*I37+Regression!$BR$13,Regression!$BX$13*I37^2+Regression!$BY$13*I37+Regression!$BZ$13,Regression!$CF$13*A6^2+Regression!$CG$13*A6+Regression!$CH$13,Regression!$AW$13*(1-EXP(-(I37+Regression!$AY$13)*Regression!$AX$13)),Regression!$BH$13*(1-EXP(-(I37+Regression!$BJ$13)*Regression!$BI$13))+I37*Regression!$BK$13)</f>
        <v>267.1908938278558</v>
      </c>
      <c r="L37" s="1">
        <f>L36+MAX(Regression!$S$34:$X$34)/11</f>
        <v>84.058584990814055</v>
      </c>
      <c r="M37" s="4">
        <f>CHOOSE($R$41,Regression!$BQ$14*L37+Regression!$BR$14,Regression!$BX$14*L37^2+Regression!$BY$14*L37+Regression!$BZ$14,Regression!$CF$14*A6^2+Regression!$CG$14*A6+Regression!$CH$14,Regression!$AW$14*(1-EXP(-(L37+Regression!$AY$14)*Regression!$AX$14)),Regression!$BH$14*(1-EXP(-(L37+Regression!$BJ$14)*Regression!$BI$14))+L37*Regression!$BK$14)</f>
        <v>710.10357200347869</v>
      </c>
      <c r="P37" s="302" t="str">
        <f>'Raw Data'!$A$312&amp;" ="</f>
        <v>Disk 39 =</v>
      </c>
      <c r="Q37" s="293">
        <v>1</v>
      </c>
      <c r="R37" s="300">
        <v>4</v>
      </c>
      <c r="S37" s="91">
        <f>MATCH(MIN(B90:F90),B90:F90,0)</f>
        <v>4</v>
      </c>
      <c r="T37" s="25"/>
      <c r="U37" s="4"/>
    </row>
    <row r="38" spans="1:21" ht="13.5" thickBot="1" x14ac:dyDescent="0.25">
      <c r="A38" s="1">
        <f>A37+MAX(Regression!$S$31:$X$31)/11</f>
        <v>305.81429048733895</v>
      </c>
      <c r="B38" s="4">
        <f>CHOOSE($R$35,Regression!$BQ$11*A38+Regression!$BR$11,Regression!$BX$11*A38^2+Regression!$BY$11*A38+Regression!$BZ$11,Regression!$CF$11*A7^2+Regression!$CG$11*A7+Regression!$CH$11,Regression!$AW$11*(1-EXP(-(A38+Regression!$AY$11)*Regression!$AX$11)),Regression!$BH$11*(1-EXP(-(A38+Regression!$BJ$11)*Regression!$BI$11))+A38*Regression!$BK$11)</f>
        <v>103508.55919951032</v>
      </c>
      <c r="F38" s="1">
        <f>F37+MAX(Regression!$S$32:$X$32)/11</f>
        <v>305.84118708280835</v>
      </c>
      <c r="G38" s="4">
        <f>CHOOSE($R$37,Regression!$BQ$12*F38+Regression!$BR$12,Regression!$BX$12*F38^2+Regression!$BY$12*F38+Regression!$BZ$12,Regression!$CF$12*A7^2+Regression!$CG$12*A7+Regression!$CH$12,Regression!$AW$12*(1-EXP(-(F38+Regression!$AY$12)*Regression!$AX$12)),Regression!$BH$12*(1-EXP(-(F38+Regression!$BJ$12)*Regression!$BI$12))+F38*Regression!$BK$12)</f>
        <v>14458.201889439497</v>
      </c>
      <c r="I38" s="1">
        <f>I37+MAX(Regression!$S$33:$X$33)/11</f>
        <v>305.84118708280835</v>
      </c>
      <c r="J38" s="4">
        <f>CHOOSE($R$39,Regression!$BQ$13*I38+Regression!$BR$13,Regression!$BX$13*I38^2+Regression!$BY$13*I38+Regression!$BZ$13,Regression!$CF$13*A7^2+Regression!$CG$13*A7+Regression!$CH$13,Regression!$AW$13*(1-EXP(-(I38+Regression!$AY$13)*Regression!$AX$13)),Regression!$BH$13*(1-EXP(-(I38+Regression!$BJ$13)*Regression!$BI$13))+I38*Regression!$BK$13)</f>
        <v>284.15776479466359</v>
      </c>
      <c r="L38" s="1">
        <f>L37+MAX(Regression!$S$34:$X$34)/11</f>
        <v>112.07811332108541</v>
      </c>
      <c r="M38" s="4">
        <f>CHOOSE($R$41,Regression!$BQ$14*L38+Regression!$BR$14,Regression!$BX$14*L38^2+Regression!$BY$14*L38+Regression!$BZ$14,Regression!$CF$14*A7^2+Regression!$CG$14*A7+Regression!$CH$14,Regression!$AW$14*(1-EXP(-(L38+Regression!$AY$14)*Regression!$AX$14)),Regression!$BH$14*(1-EXP(-(L38+Regression!$BJ$14)*Regression!$BI$14))+L38*Regression!$BK$14)</f>
        <v>923.43934712640441</v>
      </c>
      <c r="P38" s="303"/>
      <c r="Q38" s="24"/>
      <c r="R38" s="24"/>
      <c r="S38" s="25"/>
      <c r="T38" s="25"/>
    </row>
    <row r="39" spans="1:21" ht="13.5" thickBot="1" x14ac:dyDescent="0.25">
      <c r="A39" s="1">
        <f>A38+MAX(Regression!$S$31:$X$31)/11</f>
        <v>382.26786310917367</v>
      </c>
      <c r="B39" s="4">
        <f>CHOOSE($R$35,Regression!$BQ$11*A39+Regression!$BR$11,Regression!$BX$11*A39^2+Regression!$BY$11*A39+Regression!$BZ$11,Regression!$CF$11*A8^2+Regression!$CG$11*A8+Regression!$CH$11,Regression!$AW$11*(1-EXP(-(A39+Regression!$AY$11)*Regression!$AX$11)),Regression!$BH$11*(1-EXP(-(A39+Regression!$BJ$11)*Regression!$BI$11))+A39*Regression!$BK$11)</f>
        <v>122678.22576063998</v>
      </c>
      <c r="F39" s="1">
        <f>F38+MAX(Regression!$S$32:$X$32)/11</f>
        <v>382.30148385351043</v>
      </c>
      <c r="G39" s="4">
        <f>CHOOSE($R$37,Regression!$BQ$12*F39+Regression!$BR$12,Regression!$BX$12*F39^2+Regression!$BY$12*F39+Regression!$BZ$12,Regression!$CF$12*A8^2+Regression!$CG$12*A8+Regression!$CH$12,Regression!$AW$12*(1-EXP(-(F39+Regression!$AY$12)*Regression!$AX$12)),Regression!$BH$12*(1-EXP(-(F39+Regression!$BJ$12)*Regression!$BI$12))+F39*Regression!$BK$12)</f>
        <v>17229.868327943412</v>
      </c>
      <c r="I39" s="1">
        <f>I38+MAX(Regression!$S$33:$X$33)/11</f>
        <v>382.30148385351043</v>
      </c>
      <c r="J39" s="4">
        <f>CHOOSE($R$39,Regression!$BQ$13*I39+Regression!$BR$13,Regression!$BX$13*I39^2+Regression!$BY$13*I39+Regression!$BZ$13,Regression!$CF$13*A8^2+Regression!$CG$13*A8+Regression!$CH$13,Regression!$AW$13*(1-EXP(-(I39+Regression!$AY$13)*Regression!$AX$13)),Regression!$BH$13*(1-EXP(-(I39+Regression!$BJ$13)*Regression!$BI$13))+I39*Regression!$BK$13)</f>
        <v>301.12463576147138</v>
      </c>
      <c r="L39" s="1">
        <f>L38+MAX(Regression!$S$34:$X$34)/11</f>
        <v>140.09764165135675</v>
      </c>
      <c r="M39" s="4">
        <f>CHOOSE($R$41,Regression!$BQ$14*L39+Regression!$BR$14,Regression!$BX$14*L39^2+Regression!$BY$14*L39+Regression!$BZ$14,Regression!$CF$14*A8^2+Regression!$CG$14*A8+Regression!$CH$14,Regression!$AW$14*(1-EXP(-(L39+Regression!$AY$14)*Regression!$AX$14)),Regression!$BH$14*(1-EXP(-(L39+Regression!$BJ$14)*Regression!$BI$14))+L39*Regression!$BK$14)</f>
        <v>1127.6130088246912</v>
      </c>
      <c r="P39" s="302" t="str">
        <f>'Raw Data'!$A$313&amp;" ="</f>
        <v>Disk 40 =</v>
      </c>
      <c r="Q39" s="293">
        <v>0</v>
      </c>
      <c r="R39" s="300">
        <v>1</v>
      </c>
      <c r="S39" s="91">
        <f>MATCH(MIN(B91:F91),B91:F91,0)</f>
        <v>4</v>
      </c>
      <c r="T39" s="25"/>
      <c r="U39" s="4"/>
    </row>
    <row r="40" spans="1:21" ht="12.75" thickBot="1" x14ac:dyDescent="0.25">
      <c r="A40" s="1">
        <f>A39+MAX(Regression!$S$31:$X$31)/11</f>
        <v>458.7214357310084</v>
      </c>
      <c r="B40" s="4">
        <f>CHOOSE($R$35,Regression!$BQ$11*A40+Regression!$BR$11,Regression!$BX$11*A40^2+Regression!$BY$11*A40+Regression!$BZ$11,Regression!$CF$11*A9^2+Regression!$CG$11*A9+Regression!$CH$11,Regression!$AW$11*(1-EXP(-(A40+Regression!$AY$11)*Regression!$AX$11)),Regression!$BH$11*(1-EXP(-(A40+Regression!$BJ$11)*Regression!$BI$11))+A40*Regression!$BK$11)</f>
        <v>139866.75591766351</v>
      </c>
      <c r="F40" s="1">
        <f>F39+MAX(Regression!$S$32:$X$32)/11</f>
        <v>458.76178062421252</v>
      </c>
      <c r="G40" s="4">
        <f>CHOOSE($R$37,Regression!$BQ$12*F40+Regression!$BR$12,Regression!$BX$12*F40^2+Regression!$BY$12*F40+Regression!$BZ$12,Regression!$CF$12*A9^2+Regression!$CG$12*A9+Regression!$CH$12,Regression!$AW$12*(1-EXP(-(F40+Regression!$AY$12)*Regression!$AX$12)),Regression!$BH$12*(1-EXP(-(F40+Regression!$BJ$12)*Regression!$BI$12))+F40*Regression!$BK$12)</f>
        <v>19739.947026546703</v>
      </c>
      <c r="I40" s="1">
        <f>I39+MAX(Regression!$S$33:$X$33)/11</f>
        <v>458.76178062421252</v>
      </c>
      <c r="J40" s="4">
        <f>CHOOSE($R$39,Regression!$BQ$13*I40+Regression!$BR$13,Regression!$BX$13*I40^2+Regression!$BY$13*I40+Regression!$BZ$13,Regression!$CF$13*A9^2+Regression!$CG$13*A9+Regression!$CH$13,Regression!$AW$13*(1-EXP(-(I40+Regression!$AY$13)*Regression!$AX$13)),Regression!$BH$13*(1-EXP(-(I40+Regression!$BJ$13)*Regression!$BI$13))+I40*Regression!$BK$13)</f>
        <v>318.09150672827911</v>
      </c>
      <c r="L40" s="1">
        <f>L39+MAX(Regression!$S$34:$X$34)/11</f>
        <v>168.11716998162811</v>
      </c>
      <c r="M40" s="4">
        <f>CHOOSE($R$41,Regression!$BQ$14*L40+Regression!$BR$14,Regression!$BX$14*L40^2+Regression!$BY$14*L40+Regression!$BZ$14,Regression!$CF$14*A9^2+Regression!$CG$14*A9+Regression!$CH$14,Regression!$AW$14*(1-EXP(-(L40+Regression!$AY$14)*Regression!$AX$14)),Regression!$BH$14*(1-EXP(-(L40+Regression!$BJ$14)*Regression!$BI$14))+L40*Regression!$BK$14)</f>
        <v>1323.0180416058363</v>
      </c>
      <c r="P40" s="83"/>
      <c r="Q40" s="25"/>
      <c r="R40" s="25"/>
      <c r="S40" s="25"/>
      <c r="T40" s="25"/>
    </row>
    <row r="41" spans="1:21" ht="12.75" thickBot="1" x14ac:dyDescent="0.25">
      <c r="A41" s="1">
        <f>A40+MAX(Regression!$S$31:$X$31)/11</f>
        <v>535.17500835284318</v>
      </c>
      <c r="B41" s="4">
        <f>CHOOSE($R$35,Regression!$BQ$11*A41+Regression!$BR$11,Regression!$BX$11*A41^2+Regression!$BY$11*A41+Regression!$BZ$11,Regression!$CF$11*A10^2+Regression!$CG$11*A10+Regression!$CH$11,Regression!$AW$11*(1-EXP(-(A41+Regression!$AY$11)*Regression!$AX$11)),Regression!$BH$11*(1-EXP(-(A41+Regression!$BJ$11)*Regression!$BI$11))+A41*Regression!$BK$11)</f>
        <v>155278.89509164286</v>
      </c>
      <c r="F41" s="1">
        <f>F40+MAX(Regression!$S$32:$X$32)/11</f>
        <v>535.22207739491455</v>
      </c>
      <c r="G41" s="4">
        <f>CHOOSE($R$37,Regression!$BQ$12*F41+Regression!$BR$12,Regression!$BX$12*F41^2+Regression!$BY$12*F41+Regression!$BZ$12,Regression!$CF$12*A10^2+Regression!$CG$12*A10+Regression!$CH$12,Regression!$AW$12*(1-EXP(-(F41+Regression!$AY$12)*Regression!$AX$12)),Regression!$BH$12*(1-EXP(-(F41+Regression!$BJ$12)*Regression!$BI$12))+F41*Regression!$BK$12)</f>
        <v>22013.126434305042</v>
      </c>
      <c r="I41" s="1">
        <f>I40+MAX(Regression!$S$33:$X$33)/11</f>
        <v>535.22207739491455</v>
      </c>
      <c r="J41" s="4">
        <f>CHOOSE($R$39,Regression!$BQ$13*I41+Regression!$BR$13,Regression!$BX$13*I41^2+Regression!$BY$13*I41+Regression!$BZ$13,Regression!$CF$13*A10^2+Regression!$CG$13*A10+Regression!$CH$13,Regression!$AW$13*(1-EXP(-(I41+Regression!$AY$13)*Regression!$AX$13)),Regression!$BH$13*(1-EXP(-(I41+Regression!$BJ$13)*Regression!$BI$13))+I41*Regression!$BK$13)</f>
        <v>335.05837769508685</v>
      </c>
      <c r="L41" s="1">
        <f>L40+MAX(Regression!$S$34:$X$34)/11</f>
        <v>196.13669831189947</v>
      </c>
      <c r="M41" s="4">
        <f>CHOOSE($R$41,Regression!$BQ$14*L41+Regression!$BR$14,Regression!$BX$14*L41^2+Regression!$BY$14*L41+Regression!$BZ$14,Regression!$CF$14*A10^2+Regression!$CG$14*A10+Regression!$CH$14,Regression!$AW$14*(1-EXP(-(L41+Regression!$AY$14)*Regression!$AX$14)),Regression!$BH$14*(1-EXP(-(L41+Regression!$BJ$14)*Regression!$BI$14))+L41*Regression!$BK$14)</f>
        <v>1510.0310310315961</v>
      </c>
      <c r="P41" s="304" t="str">
        <f>'Raw Data'!$A$314&amp;" ="</f>
        <v>Disk 41 =</v>
      </c>
      <c r="Q41" s="293">
        <v>1</v>
      </c>
      <c r="R41" s="300">
        <v>4</v>
      </c>
      <c r="S41" s="91">
        <f>MATCH(MIN(B92:F92),B92:F92,0)</f>
        <v>4</v>
      </c>
      <c r="T41" s="25"/>
      <c r="U41" s="4"/>
    </row>
    <row r="42" spans="1:21" x14ac:dyDescent="0.2">
      <c r="A42" s="1">
        <f>A41+MAX(Regression!$S$31:$X$31)/11</f>
        <v>611.6285809746779</v>
      </c>
      <c r="B42" s="4">
        <f>CHOOSE($R$35,Regression!$BQ$11*A42+Regression!$BR$11,Regression!$BX$11*A42^2+Regression!$BY$11*A42+Regression!$BZ$11,Regression!$CF$11*A11^2+Regression!$CG$11*A11+Regression!$CH$11,Regression!$AW$11*(1-EXP(-(A42+Regression!$AY$11)*Regression!$AX$11)),Regression!$BH$11*(1-EXP(-(A42+Regression!$BJ$11)*Regression!$BI$11))+A42*Regression!$BK$11)</f>
        <v>169098.22878382867</v>
      </c>
      <c r="F42" s="1">
        <f>F41+MAX(Regression!$S$32:$X$32)/11</f>
        <v>611.68237416561669</v>
      </c>
      <c r="G42" s="4">
        <f>CHOOSE($R$37,Regression!$BQ$12*F42+Regression!$BR$12,Regression!$BX$12*F42^2+Regression!$BY$12*F42+Regression!$BZ$12,Regression!$CF$12*A11^2+Regression!$CG$12*A11+Regression!$CH$12,Regression!$AW$12*(1-EXP(-(F42+Regression!$AY$12)*Regression!$AX$12)),Regression!$BH$12*(1-EXP(-(F42+Regression!$BJ$12)*Regression!$BI$12))+F42*Regression!$BK$12)</f>
        <v>24071.764923501363</v>
      </c>
      <c r="I42" s="1">
        <f>I41+MAX(Regression!$S$33:$X$33)/11</f>
        <v>611.68237416561669</v>
      </c>
      <c r="J42" s="4">
        <f>CHOOSE($R$39,Regression!$BQ$13*I42+Regression!$BR$13,Regression!$BX$13*I42^2+Regression!$BY$13*I42+Regression!$BZ$13,Regression!$CF$13*A11^2+Regression!$CG$13*A11+Regression!$CH$13,Regression!$AW$13*(1-EXP(-(I42+Regression!$AY$13)*Regression!$AX$13)),Regression!$BH$13*(1-EXP(-(I42+Regression!$BJ$13)*Regression!$BI$13))+I42*Regression!$BK$13)</f>
        <v>352.02524866189469</v>
      </c>
      <c r="L42" s="1">
        <f>L41+MAX(Regression!$S$34:$X$34)/11</f>
        <v>224.15622664217082</v>
      </c>
      <c r="M42" s="4">
        <f>CHOOSE($R$41,Regression!$BQ$14*L42+Regression!$BR$14,Regression!$BX$14*L42^2+Regression!$BY$14*L42+Regression!$BZ$14,Regression!$CF$14*A11^2+Regression!$CG$14*A11+Regression!$CH$14,Regression!$AW$14*(1-EXP(-(L42+Regression!$AY$14)*Regression!$AX$14)),Regression!$BH$14*(1-EXP(-(L42+Regression!$BJ$14)*Regression!$BI$14))+L42*Regression!$BK$14)</f>
        <v>1689.0123894755745</v>
      </c>
      <c r="P42" s="83"/>
      <c r="Q42" s="25"/>
      <c r="R42" s="25"/>
      <c r="S42" s="25"/>
      <c r="T42" s="25"/>
    </row>
    <row r="43" spans="1:21" x14ac:dyDescent="0.2">
      <c r="A43" s="1">
        <f>A42+MAX(Regression!$S$31:$X$31)/11</f>
        <v>688.08215359651263</v>
      </c>
      <c r="B43" s="4">
        <f>CHOOSE($R$35,Regression!$BQ$11*A43+Regression!$BR$11,Regression!$BX$11*A43^2+Regression!$BY$11*A43+Regression!$BZ$11,Regression!$CF$11*A12^2+Regression!$CG$11*A12+Regression!$CH$11,Regression!$AW$11*(1-EXP(-(A43+Regression!$AY$11)*Regression!$AX$11)),Regression!$BH$11*(1-EXP(-(A43+Regression!$BJ$11)*Regression!$BI$11))+A43*Regression!$BK$11)</f>
        <v>181489.3693996887</v>
      </c>
      <c r="F43" s="1">
        <f>F42+MAX(Regression!$S$32:$X$32)/11</f>
        <v>688.14267093631884</v>
      </c>
      <c r="G43" s="4">
        <f>CHOOSE($R$37,Regression!$BQ$12*F43+Regression!$BR$12,Regression!$BX$12*F43^2+Regression!$BY$12*F43+Regression!$BZ$12,Regression!$CF$12*A12^2+Regression!$CG$12*A12+Regression!$CH$12,Regression!$AW$12*(1-EXP(-(F43+Regression!$AY$12)*Regression!$AX$12)),Regression!$BH$12*(1-EXP(-(F43+Regression!$BJ$12)*Regression!$BI$12))+F43*Regression!$BK$12)</f>
        <v>25936.110700493846</v>
      </c>
      <c r="I43" s="1">
        <f>I42+MAX(Regression!$S$33:$X$33)/11</f>
        <v>688.14267093631884</v>
      </c>
      <c r="J43" s="4">
        <f>CHOOSE($R$39,Regression!$BQ$13*I43+Regression!$BR$13,Regression!$BX$13*I43^2+Regression!$BY$13*I43+Regression!$BZ$13,Regression!$CF$13*A12^2+Regression!$CG$13*A12+Regression!$CH$13,Regression!$AW$13*(1-EXP(-(I43+Regression!$AY$13)*Regression!$AX$13)),Regression!$BH$13*(1-EXP(-(I43+Regression!$BJ$13)*Regression!$BI$13))+I43*Regression!$BK$13)</f>
        <v>368.99211962870243</v>
      </c>
      <c r="L43" s="1">
        <f>L42+MAX(Regression!$S$34:$X$34)/11</f>
        <v>252.17575497244218</v>
      </c>
      <c r="M43" s="4">
        <f>CHOOSE($R$41,Regression!$BQ$14*L43+Regression!$BR$14,Regression!$BX$14*L43^2+Regression!$BY$14*L43+Regression!$BZ$14,Regression!$CF$14*A12^2+Regression!$CG$14*A12+Regression!$CH$14,Regression!$AW$14*(1-EXP(-(L43+Regression!$AY$14)*Regression!$AX$14)),Regression!$BH$14*(1-EXP(-(L43+Regression!$BJ$14)*Regression!$BI$14))+L43*Regression!$BK$14)</f>
        <v>1860.3070507117593</v>
      </c>
      <c r="P43" s="83"/>
      <c r="Q43" s="25"/>
      <c r="R43" s="25"/>
      <c r="S43" s="25"/>
      <c r="T43" s="25"/>
    </row>
    <row r="44" spans="1:21" x14ac:dyDescent="0.2">
      <c r="A44" s="1">
        <f>A43+MAX(Regression!$S$31:$X$31)/11</f>
        <v>764.53572621834735</v>
      </c>
      <c r="B44" s="4">
        <f>CHOOSE($R$35,Regression!$BQ$11*A44+Regression!$BR$11,Regression!$BX$11*A44^2+Regression!$BY$11*A44+Regression!$BZ$11,Regression!$CF$11*A13^2+Regression!$CG$11*A13+Regression!$CH$11,Regression!$AW$11*(1-EXP(-(A44+Regression!$AY$11)*Regression!$AX$11)),Regression!$BH$11*(1-EXP(-(A44+Regression!$BJ$11)*Regression!$BI$11))+A44*Regression!$BK$11)</f>
        <v>192599.91707022049</v>
      </c>
      <c r="F44" s="1">
        <f>F43+MAX(Regression!$S$32:$X$32)/11</f>
        <v>764.60296770702098</v>
      </c>
      <c r="G44" s="4">
        <f>CHOOSE($R$37,Regression!$BQ$12*F44+Regression!$BR$12,Regression!$BX$12*F44^2+Regression!$BY$12*F44+Regression!$BZ$12,Regression!$CF$12*A13^2+Regression!$CG$12*A13+Regression!$CH$12,Regression!$AW$12*(1-EXP(-(F44+Regression!$AY$12)*Regression!$AX$12)),Regression!$BH$12*(1-EXP(-(F44+Regression!$BJ$12)*Regression!$BI$12))+F44*Regression!$BK$12)</f>
        <v>27624.500961547696</v>
      </c>
      <c r="I44" s="1">
        <f>I43+MAX(Regression!$S$33:$X$33)/11</f>
        <v>764.60296770702098</v>
      </c>
      <c r="J44" s="4">
        <f>CHOOSE($R$39,Regression!$BQ$13*I44+Regression!$BR$13,Regression!$BX$13*I44^2+Regression!$BY$13*I44+Regression!$BZ$13,Regression!$CF$13*A13^2+Regression!$CG$13*A13+Regression!$CH$13,Regression!$AW$13*(1-EXP(-(I44+Regression!$AY$13)*Regression!$AX$13)),Regression!$BH$13*(1-EXP(-(I44+Regression!$BJ$13)*Regression!$BI$13))+I44*Regression!$BK$13)</f>
        <v>385.95899059551027</v>
      </c>
      <c r="L44" s="1">
        <f>L43+MAX(Regression!$S$34:$X$34)/11</f>
        <v>280.19528330271351</v>
      </c>
      <c r="M44" s="4">
        <f>CHOOSE($R$41,Regression!$BQ$14*L44+Regression!$BR$14,Regression!$BX$14*L44^2+Regression!$BY$14*L44+Regression!$BZ$14,Regression!$CF$14*A13^2+Regression!$CG$14*A13+Regression!$CH$14,Regression!$AW$14*(1-EXP(-(L44+Regression!$AY$14)*Regression!$AX$14)),Regression!$BH$14*(1-EXP(-(L44+Regression!$BJ$14)*Regression!$BI$14))+L44*Regression!$BK$14)</f>
        <v>2024.2451346726289</v>
      </c>
      <c r="P44" s="25"/>
      <c r="Q44" s="25"/>
      <c r="R44" s="25"/>
      <c r="S44" s="25"/>
      <c r="T44" s="25"/>
    </row>
    <row r="45" spans="1:21" x14ac:dyDescent="0.2">
      <c r="A45" s="1">
        <f>A44+MAX(Regression!$S$31:$X$31)/11</f>
        <v>840.98929884018207</v>
      </c>
      <c r="B45" s="4">
        <f>CHOOSE($R$35,Regression!$BQ$11*A45+Regression!$BR$11,Regression!$BX$11*A45^2+Regression!$BY$11*A45+Regression!$BZ$11,Regression!$CF$11*A14^2+Regression!$CG$11*A14+Regression!$CH$11,Regression!$AW$11*(1-EXP(-(A45+Regression!$AY$11)*Regression!$AX$11)),Regression!$BH$11*(1-EXP(-(A45+Regression!$BJ$11)*Regression!$BI$11))+A45*Regression!$BK$11)</f>
        <v>202562.21782735622</v>
      </c>
      <c r="F45" s="1">
        <f>F44+MAX(Regression!$S$32:$X$32)/11</f>
        <v>841.06326447772312</v>
      </c>
      <c r="G45" s="4">
        <f>CHOOSE($R$37,Regression!$BQ$12*F45+Regression!$BR$12,Regression!$BX$12*F45^2+Regression!$BY$12*F45+Regression!$BZ$12,Regression!$CF$12*A14^2+Regression!$CG$12*A14+Regression!$CH$12,Regression!$AW$12*(1-EXP(-(F45+Regression!$AY$12)*Regression!$AX$12)),Regression!$BH$12*(1-EXP(-(F45+Regression!$BJ$12)*Regression!$BI$12))+F45*Regression!$BK$12)</f>
        <v>29153.542252493258</v>
      </c>
      <c r="I45" s="1">
        <f>I44+MAX(Regression!$S$33:$X$33)/11</f>
        <v>841.06326447772312</v>
      </c>
      <c r="J45" s="4">
        <f>CHOOSE($R$39,Regression!$BQ$13*I45+Regression!$BR$13,Regression!$BX$13*I45^2+Regression!$BY$13*I45+Regression!$BZ$13,Regression!$CF$13*A14^2+Regression!$CG$13*A14+Regression!$CH$13,Regression!$AW$13*(1-EXP(-(I45+Regression!$AY$13)*Regression!$AX$13)),Regression!$BH$13*(1-EXP(-(I45+Regression!$BJ$13)*Regression!$BI$13))+I45*Regression!$BK$13)</f>
        <v>402.925861562318</v>
      </c>
      <c r="L45" s="1">
        <f>L44+MAX(Regression!$S$34:$X$34)/11</f>
        <v>308.21481163298483</v>
      </c>
      <c r="M45" s="4">
        <f>CHOOSE($R$41,Regression!$BQ$14*L45+Regression!$BR$14,Regression!$BX$14*L45^2+Regression!$BY$14*L45+Regression!$BZ$14,Regression!$CF$14*A14^2+Regression!$CG$14*A14+Regression!$CH$14,Regression!$AW$14*(1-EXP(-(L45+Regression!$AY$14)*Regression!$AX$14)),Regression!$BH$14*(1-EXP(-(L45+Regression!$BJ$14)*Regression!$BI$14))+L45*Regression!$BK$14)</f>
        <v>2181.1425836579433</v>
      </c>
      <c r="P45" s="25"/>
      <c r="Q45" s="25"/>
      <c r="R45" s="25"/>
      <c r="S45" s="25"/>
      <c r="T45" s="25"/>
    </row>
    <row r="46" spans="1:21" x14ac:dyDescent="0.2">
      <c r="P46" s="25"/>
      <c r="Q46" s="25"/>
      <c r="R46" s="25"/>
      <c r="S46" s="25"/>
      <c r="T46" s="25"/>
    </row>
    <row r="47" spans="1:21" x14ac:dyDescent="0.2">
      <c r="P47" s="25"/>
      <c r="Q47" s="25"/>
      <c r="R47" s="25"/>
      <c r="S47" s="25"/>
      <c r="T47" s="25"/>
    </row>
    <row r="48" spans="1:21" x14ac:dyDescent="0.2">
      <c r="A48" t="s">
        <v>0</v>
      </c>
      <c r="B48" t="s">
        <v>1</v>
      </c>
      <c r="F48" t="s">
        <v>0</v>
      </c>
      <c r="G48" t="s">
        <v>1</v>
      </c>
      <c r="I48" t="s">
        <v>0</v>
      </c>
      <c r="J48" t="s">
        <v>1</v>
      </c>
      <c r="L48" t="s">
        <v>0</v>
      </c>
      <c r="M48" t="s">
        <v>1</v>
      </c>
      <c r="P48" s="25"/>
      <c r="Q48" s="25"/>
      <c r="R48" s="25"/>
      <c r="S48" s="25"/>
      <c r="T48" s="25"/>
    </row>
    <row r="49" spans="1:22" s="14" customFormat="1" ht="12.75" thickBot="1" x14ac:dyDescent="0.25">
      <c r="A49" s="1">
        <v>0</v>
      </c>
      <c r="B49" s="4">
        <f>CHOOSE($R$50,Regression!$BQ$15*A49+Regression!$BR$15,Regression!$BX$15*A49^2+Regression!$BY$15*A49+Regression!$BZ$15,Regression!$CF$15*A3^2+Regression!$CG$15*A3+Regression!$CH$15,Regression!$AW$15*(1-EXP(-(A49+Regression!$AY$15)*Regression!$AX$15)),Regression!$BH$15*(1-EXP(-(A49+Regression!$BJ$15)*Regression!$BI$15))+A49*Regression!$BK$15)</f>
        <v>53.422449128995211</v>
      </c>
      <c r="F49" s="12">
        <v>0</v>
      </c>
      <c r="G49" s="4">
        <f>CHOOSE($R$52,Regression!$BQ$16*F49+Regression!$BR$16,Regression!$BX$16*F49^2+Regression!$BY$16*F49+Regression!$BZ$16,Regression!$CF$16*A3^2+Regression!$CG$16*A3+Regression!$CH$16,Regression!$AW$16*(1-EXP(-(F49+Regression!$AY$16)*Regression!$AX$16)),Regression!$BH$16*(1-EXP(-(F49+Regression!$BJ$16)*Regression!$BI$16))+F49*Regression!$BK$16)</f>
        <v>215.69802060955138</v>
      </c>
      <c r="I49" s="13">
        <v>0</v>
      </c>
      <c r="J49" s="4">
        <f>CHOOSE($R$54,Regression!$BQ$17*I49+Regression!$BR$17,Regression!$BX$17*I49^2+Regression!$BY$17*I49+Regression!$BZ$17,Regression!$CF$17*A3^2+Regression!$CG$17*A3+Regression!$CH$17,Regression!$AW$17*(1-EXP(-(I49+Regression!$AY$17)*Regression!$AX$17)),Regression!$BH$17*(1-EXP(-(I49+Regression!$BJ$17)*Regression!$BI$17))+I49*Regression!$BK$17)</f>
        <v>44.701882013392414</v>
      </c>
      <c r="L49" s="13">
        <v>0</v>
      </c>
      <c r="M49" s="4">
        <f>CHOOSE($R$56,Regression!$BQ$18*L49+Regression!$BR$18,Regression!$BX$18*L49^2+Regression!$BY$18*L49+Regression!$BZ$18,Regression!$CF$18*A3^2+Regression!$CG$18*A3+Regression!$CH$18,Regression!$AW$18*(1-EXP(-(L49+Regression!$AY$18)*Regression!$AX$18)),Regression!$BH$18*(1-EXP(-(L49+Regression!$BJ$18)*Regression!$BI$18))+L49*Regression!$BK$18)</f>
        <v>64.276530737815207</v>
      </c>
      <c r="P49" s="156"/>
      <c r="Q49" s="156"/>
      <c r="R49" s="156"/>
      <c r="S49" s="156"/>
      <c r="T49" s="156"/>
    </row>
    <row r="50" spans="1:22" ht="13.5" thickBot="1" x14ac:dyDescent="0.25">
      <c r="A50" s="1">
        <f>A49+MAX(Regression!$S$35:$X$35)/11</f>
        <v>28.026252479138712</v>
      </c>
      <c r="B50" s="4">
        <f>CHOOSE($R$50,Regression!$BQ$15*A50+Regression!$BR$15,Regression!$BX$15*A50^2+Regression!$BY$15*A50+Regression!$BZ$15,Regression!$CF$15*A4^2+Regression!$CG$15*A4+Regression!$CH$15,Regression!$AW$15*(1-EXP(-(A50+Regression!$AY$15)*Regression!$AX$15)),Regression!$BH$15*(1-EXP(-(A50+Regression!$BJ$15)*Regression!$BI$15))+A50*Regression!$BK$15)</f>
        <v>59.636293054330785</v>
      </c>
      <c r="F50" s="1">
        <f>F49+MAX(Regression!$S$36:$X$36)/11</f>
        <v>28.026252479138712</v>
      </c>
      <c r="G50" s="4">
        <f>CHOOSE($R$52,Regression!$BQ$16*F50+Regression!$BR$16,Regression!$BX$16*F50^2+Regression!$BY$16*F50+Regression!$BZ$16,Regression!$CF$16*A4^2+Regression!$CG$16*A4+Regression!$CH$16,Regression!$AW$16*(1-EXP(-(F50+Regression!$AY$16)*Regression!$AX$16)),Regression!$BH$16*(1-EXP(-(F50+Regression!$BJ$16)*Regression!$BI$16))+F50*Regression!$BK$16)</f>
        <v>222.4863417081387</v>
      </c>
      <c r="I50" s="1">
        <f>I49+MAX(Regression!$S$37:$X$37)/11</f>
        <v>28.026252479138712</v>
      </c>
      <c r="J50" s="4">
        <f>CHOOSE($R$54,Regression!$BQ$17*I50+Regression!$BR$17,Regression!$BX$17*I50^2+Regression!$BY$17*I50+Regression!$BZ$17,Regression!$CF$17*A4^2+Regression!$CG$17*A4+Regression!$CH$17,Regression!$AW$17*(1-EXP(-(I50+Regression!$AY$17)*Regression!$AX$17)),Regression!$BH$17*(1-EXP(-(I50+Regression!$BJ$17)*Regression!$BI$17))+I50*Regression!$BK$17)</f>
        <v>1886.4818241598307</v>
      </c>
      <c r="L50" s="1">
        <f>L49+MAX(Regression!$S$38:$X$38)/11</f>
        <v>28.026252479138712</v>
      </c>
      <c r="M50" s="4">
        <f>CHOOSE($R$56,Regression!$BQ$18*L50+Regression!$BR$18,Regression!$BX$18*L50^2+Regression!$BY$18*L50+Regression!$BZ$18,Regression!$CF$18*A4^2+Regression!$CG$18*A4+Regression!$CH$18,Regression!$AW$18*(1-EXP(-(L50+Regression!$AY$18)*Regression!$AX$18)),Regression!$BH$18*(1-EXP(-(L50+Regression!$BJ$18)*Regression!$BI$18))+L50*Regression!$BK$18)</f>
        <v>702.41530842118152</v>
      </c>
      <c r="P50" s="302" t="str">
        <f>'Raw Data'!$A$315&amp;" ="</f>
        <v>Disk 42 =</v>
      </c>
      <c r="Q50" s="293">
        <v>0</v>
      </c>
      <c r="R50" s="300">
        <v>1</v>
      </c>
      <c r="S50" s="91">
        <f>MATCH(MIN(B93:F93),B93:F93,0)</f>
        <v>4</v>
      </c>
      <c r="T50" s="25"/>
      <c r="U50" s="4"/>
    </row>
    <row r="51" spans="1:22" ht="13.5" thickBot="1" x14ac:dyDescent="0.25">
      <c r="A51" s="1">
        <f>A50+MAX(Regression!$S$35:$X$35)/11</f>
        <v>56.052504958277424</v>
      </c>
      <c r="B51" s="4">
        <f>CHOOSE($R$50,Regression!$BQ$15*A51+Regression!$BR$15,Regression!$BX$15*A51^2+Regression!$BY$15*A51+Regression!$BZ$15,Regression!$CF$15*A5^2+Regression!$CG$15*A5+Regression!$CH$15,Regression!$AW$15*(1-EXP(-(A51+Regression!$AY$15)*Regression!$AX$15)),Regression!$BH$15*(1-EXP(-(A51+Regression!$BJ$15)*Regression!$BI$15))+A51*Regression!$BK$15)</f>
        <v>65.85013697966636</v>
      </c>
      <c r="F51" s="1">
        <f>F50+MAX(Regression!$S$36:$X$36)/11</f>
        <v>56.052504958277424</v>
      </c>
      <c r="G51" s="4">
        <f>CHOOSE($R$52,Regression!$BQ$16*F51+Regression!$BR$16,Regression!$BX$16*F51^2+Regression!$BY$16*F51+Regression!$BZ$16,Regression!$CF$16*A5^2+Regression!$CG$16*A5+Regression!$CH$16,Regression!$AW$16*(1-EXP(-(F51+Regression!$AY$16)*Regression!$AX$16)),Regression!$BH$16*(1-EXP(-(F51+Regression!$BJ$16)*Regression!$BI$16))+F51*Regression!$BK$16)</f>
        <v>229.27466280672604</v>
      </c>
      <c r="I51" s="1">
        <f>I50+MAX(Regression!$S$37:$X$37)/11</f>
        <v>56.052504958277424</v>
      </c>
      <c r="J51" s="4">
        <f>CHOOSE($R$54,Regression!$BQ$17*I51+Regression!$BR$17,Regression!$BX$17*I51^2+Regression!$BY$17*I51+Regression!$BZ$17,Regression!$CF$17*A5^2+Regression!$CG$17*A5+Regression!$CH$17,Regression!$AW$17*(1-EXP(-(I51+Regression!$AY$17)*Regression!$AX$17)),Regression!$BH$17*(1-EXP(-(I51+Regression!$BJ$17)*Regression!$BI$17))+I51*Regression!$BK$17)</f>
        <v>3668.0765307599986</v>
      </c>
      <c r="L51" s="1">
        <f>L50+MAX(Regression!$S$38:$X$38)/11</f>
        <v>56.052504958277424</v>
      </c>
      <c r="M51" s="4">
        <f>CHOOSE($R$56,Regression!$BQ$18*L51+Regression!$BR$18,Regression!$BX$18*L51^2+Regression!$BY$18*L51+Regression!$BZ$18,Regression!$CF$18*A5^2+Regression!$CG$18*A5+Regression!$CH$18,Regression!$AW$18*(1-EXP(-(L51+Regression!$AY$18)*Regression!$AX$18)),Regression!$BH$18*(1-EXP(-(L51+Regression!$BJ$18)*Regression!$BI$18))+L51*Regression!$BK$18)</f>
        <v>1258.940715150213</v>
      </c>
      <c r="P51" s="158"/>
      <c r="Q51" s="25"/>
      <c r="R51" s="25"/>
      <c r="S51" s="25"/>
      <c r="T51" s="25"/>
    </row>
    <row r="52" spans="1:22" ht="13.5" thickBot="1" x14ac:dyDescent="0.25">
      <c r="A52" s="1">
        <f>A51+MAX(Regression!$S$35:$X$35)/11</f>
        <v>84.07875743741613</v>
      </c>
      <c r="B52" s="4">
        <f>CHOOSE($R$50,Regression!$BQ$15*A52+Regression!$BR$15,Regression!$BX$15*A52^2+Regression!$BY$15*A52+Regression!$BZ$15,Regression!$CF$15*A6^2+Regression!$CG$15*A6+Regression!$CH$15,Regression!$AW$15*(1-EXP(-(A52+Regression!$AY$15)*Regression!$AX$15)),Regression!$BH$15*(1-EXP(-(A52+Regression!$BJ$15)*Regression!$BI$15))+A52*Regression!$BK$15)</f>
        <v>72.063980905001927</v>
      </c>
      <c r="F52" s="1">
        <f>F51+MAX(Regression!$S$36:$X$36)/11</f>
        <v>84.07875743741613</v>
      </c>
      <c r="G52" s="4">
        <f>CHOOSE($R$52,Regression!$BQ$16*F52+Regression!$BR$16,Regression!$BX$16*F52^2+Regression!$BY$16*F52+Regression!$BZ$16,Regression!$CF$16*A6^2+Regression!$CG$16*A6+Regression!$CH$16,Regression!$AW$16*(1-EXP(-(F52+Regression!$AY$16)*Regression!$AX$16)),Regression!$BH$16*(1-EXP(-(F52+Regression!$BJ$16)*Regression!$BI$16))+F52*Regression!$BK$16)</f>
        <v>236.06298390531336</v>
      </c>
      <c r="I52" s="1">
        <f>I51+MAX(Regression!$S$37:$X$37)/11</f>
        <v>84.07875743741613</v>
      </c>
      <c r="J52" s="4">
        <f>CHOOSE($R$54,Regression!$BQ$17*I52+Regression!$BR$17,Regression!$BX$17*I52^2+Regression!$BY$17*I52+Regression!$BZ$17,Regression!$CF$17*A6^2+Regression!$CG$17*A6+Regression!$CH$17,Regression!$AW$17*(1-EXP(-(I52+Regression!$AY$17)*Regression!$AX$17)),Regression!$BH$17*(1-EXP(-(I52+Regression!$BJ$17)*Regression!$BI$17))+I52*Regression!$BK$17)</f>
        <v>5391.452720255591</v>
      </c>
      <c r="L52" s="1">
        <f>L51+MAX(Regression!$S$38:$X$38)/11</f>
        <v>84.07875743741613</v>
      </c>
      <c r="M52" s="4">
        <f>CHOOSE($R$56,Regression!$BQ$18*L52+Regression!$BR$18,Regression!$BX$18*L52^2+Regression!$BY$18*L52+Regression!$BZ$18,Regression!$CF$18*A6^2+Regression!$CG$18*A6+Regression!$CH$18,Regression!$AW$18*(1-EXP(-(L52+Regression!$AY$18)*Regression!$AX$18)),Regression!$BH$18*(1-EXP(-(L52+Regression!$BJ$18)*Regression!$BI$18))+L52*Regression!$BK$18)</f>
        <v>1744.2905154856387</v>
      </c>
      <c r="P52" s="302" t="str">
        <f>'Raw Data'!$A$316&amp;" ="</f>
        <v>Disk 43 =</v>
      </c>
      <c r="Q52" s="293">
        <v>0</v>
      </c>
      <c r="R52" s="300">
        <v>1</v>
      </c>
      <c r="S52" s="91">
        <f>MATCH(MIN(B94:F94),B94:F94,0)</f>
        <v>2</v>
      </c>
      <c r="T52" s="25"/>
      <c r="U52" s="4"/>
    </row>
    <row r="53" spans="1:22" ht="12.75" thickBot="1" x14ac:dyDescent="0.25">
      <c r="A53" s="1">
        <f>A52+MAX(Regression!$S$35:$X$35)/11</f>
        <v>112.10500991655485</v>
      </c>
      <c r="B53" s="4">
        <f>CHOOSE($R$50,Regression!$BQ$15*A53+Regression!$BR$15,Regression!$BX$15*A53^2+Regression!$BY$15*A53+Regression!$BZ$15,Regression!$CF$15*A7^2+Regression!$CG$15*A7+Regression!$CH$15,Regression!$AW$15*(1-EXP(-(A53+Regression!$AY$15)*Regression!$AX$15)),Regression!$BH$15*(1-EXP(-(A53+Regression!$BJ$15)*Regression!$BI$15))+A53*Regression!$BK$15)</f>
        <v>78.277824830337508</v>
      </c>
      <c r="F53" s="1">
        <f>F52+MAX(Regression!$S$36:$X$36)/11</f>
        <v>112.10500991655485</v>
      </c>
      <c r="G53" s="4">
        <f>CHOOSE($R$52,Regression!$BQ$16*F53+Regression!$BR$16,Regression!$BX$16*F53^2+Regression!$BY$16*F53+Regression!$BZ$16,Regression!$CF$16*A7^2+Regression!$CG$16*A7+Regression!$CH$16,Regression!$AW$16*(1-EXP(-(F53+Regression!$AY$16)*Regression!$AX$16)),Regression!$BH$16*(1-EXP(-(F53+Regression!$BJ$16)*Regression!$BI$16))+F53*Regression!$BK$16)</f>
        <v>242.85130500390071</v>
      </c>
      <c r="I53" s="1">
        <f>I52+MAX(Regression!$S$37:$X$37)/11</f>
        <v>112.10500991655485</v>
      </c>
      <c r="J53" s="4">
        <f>CHOOSE($R$54,Regression!$BQ$17*I53+Regression!$BR$17,Regression!$BX$17*I53^2+Regression!$BY$17*I53+Regression!$BZ$17,Regression!$CF$17*A7^2+Regression!$CG$17*A7+Regression!$CH$17,Regression!$AW$17*(1-EXP(-(I53+Regression!$AY$17)*Regression!$AX$17)),Regression!$BH$17*(1-EXP(-(I53+Regression!$BJ$17)*Regression!$BI$17))+I53*Regression!$BK$17)</f>
        <v>7058.5128431429475</v>
      </c>
      <c r="L53" s="1">
        <f>L52+MAX(Regression!$S$38:$X$38)/11</f>
        <v>112.10500991655485</v>
      </c>
      <c r="M53" s="4">
        <f>CHOOSE($R$56,Regression!$BQ$18*L53+Regression!$BR$18,Regression!$BX$18*L53^2+Regression!$BY$18*L53+Regression!$BZ$18,Regression!$CF$18*A7^2+Regression!$CG$18*A7+Regression!$CH$18,Regression!$AW$18*(1-EXP(-(L53+Regression!$AY$18)*Regression!$AX$18)),Regression!$BH$18*(1-EXP(-(L53+Regression!$BJ$18)*Regression!$BI$18))+L53*Regression!$BK$18)</f>
        <v>2167.5675587929036</v>
      </c>
      <c r="P53" s="25"/>
      <c r="Q53" s="25"/>
      <c r="R53" s="25"/>
      <c r="S53" s="25"/>
      <c r="T53" s="25"/>
    </row>
    <row r="54" spans="1:22" ht="12.75" thickBot="1" x14ac:dyDescent="0.25">
      <c r="A54" s="1">
        <f>A53+MAX(Regression!$S$35:$X$35)/11</f>
        <v>140.13126239569357</v>
      </c>
      <c r="B54" s="4">
        <f>CHOOSE($R$50,Regression!$BQ$15*A54+Regression!$BR$15,Regression!$BX$15*A54^2+Regression!$BY$15*A54+Regression!$BZ$15,Regression!$CF$15*A8^2+Regression!$CG$15*A8+Regression!$CH$15,Regression!$AW$15*(1-EXP(-(A54+Regression!$AY$15)*Regression!$AX$15)),Regression!$BH$15*(1-EXP(-(A54+Regression!$BJ$15)*Regression!$BI$15))+A54*Regression!$BK$15)</f>
        <v>84.491668755673089</v>
      </c>
      <c r="F54" s="1">
        <f>F53+MAX(Regression!$S$36:$X$36)/11</f>
        <v>140.13126239569357</v>
      </c>
      <c r="G54" s="4">
        <f>CHOOSE($R$52,Regression!$BQ$16*F54+Regression!$BR$16,Regression!$BX$16*F54^2+Regression!$BY$16*F54+Regression!$BZ$16,Regression!$CF$16*A8^2+Regression!$CG$16*A8+Regression!$CH$16,Regression!$AW$16*(1-EXP(-(F54+Regression!$AY$16)*Regression!$AX$16)),Regression!$BH$16*(1-EXP(-(F54+Regression!$BJ$16)*Regression!$BI$16))+F54*Regression!$BK$16)</f>
        <v>249.63962610248802</v>
      </c>
      <c r="I54" s="1">
        <f>I53+MAX(Regression!$S$37:$X$37)/11</f>
        <v>140.13126239569357</v>
      </c>
      <c r="J54" s="4">
        <f>CHOOSE($R$54,Regression!$BQ$17*I54+Regression!$BR$17,Regression!$BX$17*I54^2+Regression!$BY$17*I54+Regression!$BZ$17,Regression!$CF$17*A8^2+Regression!$CG$17*A8+Regression!$CH$17,Regression!$AW$17*(1-EXP(-(I54+Regression!$AY$17)*Regression!$AX$17)),Regression!$BH$17*(1-EXP(-(I54+Regression!$BJ$17)*Regression!$BI$17))+I54*Regression!$BK$17)</f>
        <v>8671.0971821053045</v>
      </c>
      <c r="L54" s="1">
        <f>L53+MAX(Regression!$S$38:$X$38)/11</f>
        <v>140.13126239569357</v>
      </c>
      <c r="M54" s="4">
        <f>CHOOSE($R$56,Regression!$BQ$18*L54+Regression!$BR$18,Regression!$BX$18*L54^2+Regression!$BY$18*L54+Regression!$BZ$18,Regression!$CF$18*A8^2+Regression!$CG$18*A8+Regression!$CH$18,Regression!$AW$18*(1-EXP(-(L54+Regression!$AY$18)*Regression!$AX$18)),Regression!$BH$18*(1-EXP(-(L54+Regression!$BJ$18)*Regression!$BI$18))+L54*Regression!$BK$18)</f>
        <v>2536.7105053174932</v>
      </c>
      <c r="P54" s="305" t="str">
        <f>'Raw Data'!$A$317&amp;" ="</f>
        <v>Disk 44 =</v>
      </c>
      <c r="Q54" s="293">
        <v>1</v>
      </c>
      <c r="R54" s="300">
        <v>4</v>
      </c>
      <c r="S54" s="91">
        <f>MATCH(MIN(B95:F95),B95:F95,0)</f>
        <v>4</v>
      </c>
      <c r="T54" s="25"/>
      <c r="U54" s="4"/>
    </row>
    <row r="55" spans="1:22" ht="12.75" thickBot="1" x14ac:dyDescent="0.25">
      <c r="A55" s="1">
        <f>A54+MAX(Regression!$S$35:$X$35)/11</f>
        <v>168.15751487483229</v>
      </c>
      <c r="B55" s="4">
        <f>CHOOSE($R$50,Regression!$BQ$15*A55+Regression!$BR$15,Regression!$BX$15*A55^2+Regression!$BY$15*A55+Regression!$BZ$15,Regression!$CF$15*A9^2+Regression!$CG$15*A9+Regression!$CH$15,Regression!$AW$15*(1-EXP(-(A55+Regression!$AY$15)*Regression!$AX$15)),Regression!$BH$15*(1-EXP(-(A55+Regression!$BJ$15)*Regression!$BI$15))+A55*Regression!$BK$15)</f>
        <v>90.705512681008656</v>
      </c>
      <c r="F55" s="1">
        <f>F54+MAX(Regression!$S$36:$X$36)/11</f>
        <v>168.15751487483229</v>
      </c>
      <c r="G55" s="4">
        <f>CHOOSE($R$52,Regression!$BQ$16*F55+Regression!$BR$16,Regression!$BX$16*F55^2+Regression!$BY$16*F55+Regression!$BZ$16,Regression!$CF$16*A9^2+Regression!$CG$16*A9+Regression!$CH$16,Regression!$AW$16*(1-EXP(-(F55+Regression!$AY$16)*Regression!$AX$16)),Regression!$BH$16*(1-EXP(-(F55+Regression!$BJ$16)*Regression!$BI$16))+F55*Regression!$BK$16)</f>
        <v>256.42794720107537</v>
      </c>
      <c r="I55" s="1">
        <f>I54+MAX(Regression!$S$37:$X$37)/11</f>
        <v>168.15751487483229</v>
      </c>
      <c r="J55" s="4">
        <f>CHOOSE($R$54,Regression!$BQ$17*I55+Regression!$BR$17,Regression!$BX$17*I55^2+Regression!$BY$17*I55+Regression!$BZ$17,Regression!$CF$17*A9^2+Regression!$CG$17*A9+Regression!$CH$17,Regression!$AW$17*(1-EXP(-(I55+Regression!$AY$17)*Regression!$AX$17)),Regression!$BH$17*(1-EXP(-(I55+Regression!$BJ$17)*Regression!$BI$17))+I55*Regression!$BK$17)</f>
        <v>10230.985883517409</v>
      </c>
      <c r="L55" s="1">
        <f>L54+MAX(Regression!$S$38:$X$38)/11</f>
        <v>168.15751487483229</v>
      </c>
      <c r="M55" s="4">
        <f>CHOOSE($R$56,Regression!$BQ$18*L55+Regression!$BR$18,Regression!$BX$18*L55^2+Regression!$BY$18*L55+Regression!$BZ$18,Regression!$CF$18*A9^2+Regression!$CG$18*A9+Regression!$CH$18,Regression!$AW$18*(1-EXP(-(L55+Regression!$AY$18)*Regression!$AX$18)),Regression!$BH$18*(1-EXP(-(L55+Regression!$BJ$18)*Regression!$BI$18))+L55*Regression!$BK$18)</f>
        <v>2858.6427176201992</v>
      </c>
      <c r="P55" s="25"/>
      <c r="Q55" s="25"/>
      <c r="R55" s="25"/>
      <c r="S55" s="25"/>
      <c r="T55" s="25"/>
    </row>
    <row r="56" spans="1:22" ht="12.75" thickBot="1" x14ac:dyDescent="0.25">
      <c r="A56" s="1">
        <f>A55+MAX(Regression!$S$35:$X$35)/11</f>
        <v>196.18376735397101</v>
      </c>
      <c r="B56" s="4">
        <f>CHOOSE($R$50,Regression!$BQ$15*A56+Regression!$BR$15,Regression!$BX$15*A56^2+Regression!$BY$15*A56+Regression!$BZ$15,Regression!$CF$15*A10^2+Regression!$CG$15*A10+Regression!$CH$15,Regression!$AW$15*(1-EXP(-(A56+Regression!$AY$15)*Regression!$AX$15)),Regression!$BH$15*(1-EXP(-(A56+Regression!$BJ$15)*Regression!$BI$15))+A56*Regression!$BK$15)</f>
        <v>96.919356606344238</v>
      </c>
      <c r="F56" s="1">
        <f>F55+MAX(Regression!$S$36:$X$36)/11</f>
        <v>196.18376735397101</v>
      </c>
      <c r="G56" s="4">
        <f>CHOOSE($R$52,Regression!$BQ$16*F56+Regression!$BR$16,Regression!$BX$16*F56^2+Regression!$BY$16*F56+Regression!$BZ$16,Regression!$CF$16*A10^2+Regression!$CG$16*A10+Regression!$CH$16,Regression!$AW$16*(1-EXP(-(F56+Regression!$AY$16)*Regression!$AX$16)),Regression!$BH$16*(1-EXP(-(F56+Regression!$BJ$16)*Regression!$BI$16))+F56*Regression!$BK$16)</f>
        <v>263.21626829966272</v>
      </c>
      <c r="I56" s="1">
        <f>I55+MAX(Regression!$S$37:$X$37)/11</f>
        <v>196.18376735397101</v>
      </c>
      <c r="J56" s="4">
        <f>CHOOSE($R$54,Regression!$BQ$17*I56+Regression!$BR$17,Regression!$BX$17*I56^2+Regression!$BY$17*I56+Regression!$BZ$17,Regression!$CF$17*A10^2+Regression!$CG$17*A10+Regression!$CH$17,Regression!$AW$17*(1-EXP(-(I56+Regression!$AY$17)*Regression!$AX$17)),Regression!$BH$17*(1-EXP(-(I56+Regression!$BJ$17)*Regression!$BI$17))+I56*Regression!$BK$17)</f>
        <v>11739.900922565133</v>
      </c>
      <c r="L56" s="1">
        <f>L55+MAX(Regression!$S$38:$X$38)/11</f>
        <v>196.18376735397101</v>
      </c>
      <c r="M56" s="4">
        <f>CHOOSE($R$56,Regression!$BQ$18*L56+Regression!$BR$18,Regression!$BX$18*L56^2+Regression!$BY$18*L56+Regression!$BZ$18,Regression!$CF$18*A10^2+Regression!$CG$18*A10+Regression!$CH$18,Regression!$AW$18*(1-EXP(-(L56+Regression!$AY$18)*Regression!$AX$18)),Regression!$BH$18*(1-EXP(-(L56+Regression!$BJ$18)*Regression!$BI$18))+L56*Regression!$BK$18)</f>
        <v>3139.4021098661256</v>
      </c>
      <c r="P56" s="305" t="str">
        <f>'Raw Data'!$A$318&amp;" ="</f>
        <v>Disk 45 =</v>
      </c>
      <c r="Q56" s="293">
        <v>1</v>
      </c>
      <c r="R56" s="300">
        <v>4</v>
      </c>
      <c r="S56" s="91">
        <f>MATCH(MIN(B96:F96),B96:F96,0)</f>
        <v>4</v>
      </c>
      <c r="T56" s="25"/>
      <c r="U56" s="4"/>
    </row>
    <row r="57" spans="1:22" x14ac:dyDescent="0.2">
      <c r="A57" s="1">
        <f>A56+MAX(Regression!$S$35:$X$35)/11</f>
        <v>224.21001983310973</v>
      </c>
      <c r="B57" s="4">
        <f>CHOOSE($R$50,Regression!$BQ$15*A57+Regression!$BR$15,Regression!$BX$15*A57^2+Regression!$BY$15*A57+Regression!$BZ$15,Regression!$CF$15*A11^2+Regression!$CG$15*A11+Regression!$CH$15,Regression!$AW$15*(1-EXP(-(A57+Regression!$AY$15)*Regression!$AX$15)),Regression!$BH$15*(1-EXP(-(A57+Regression!$BJ$15)*Regression!$BI$15))+A57*Regression!$BK$15)</f>
        <v>103.13320053167982</v>
      </c>
      <c r="F57" s="1">
        <f>F56+MAX(Regression!$S$36:$X$36)/11</f>
        <v>224.21001983310973</v>
      </c>
      <c r="G57" s="4">
        <f>CHOOSE($R$52,Regression!$BQ$16*F57+Regression!$BR$16,Regression!$BX$16*F57^2+Regression!$BY$16*F57+Regression!$BZ$16,Regression!$CF$16*A11^2+Regression!$CG$16*A11+Regression!$CH$16,Regression!$AW$16*(1-EXP(-(F57+Regression!$AY$16)*Regression!$AX$16)),Regression!$BH$16*(1-EXP(-(F57+Regression!$BJ$16)*Regression!$BI$16))+F57*Regression!$BK$16)</f>
        <v>270.00458939825</v>
      </c>
      <c r="I57" s="1">
        <f>I56+MAX(Regression!$S$37:$X$37)/11</f>
        <v>224.21001983310973</v>
      </c>
      <c r="J57" s="4">
        <f>CHOOSE($R$54,Regression!$BQ$17*I57+Regression!$BR$17,Regression!$BX$17*I57^2+Regression!$BY$17*I57+Regression!$BZ$17,Regression!$CF$17*A11^2+Regression!$CG$17*A11+Regression!$CH$17,Regression!$AW$17*(1-EXP(-(I57+Regression!$AY$17)*Regression!$AX$17)),Regression!$BH$17*(1-EXP(-(I57+Regression!$BJ$17)*Regression!$BI$17))+I57*Regression!$BK$17)</f>
        <v>13199.508004149409</v>
      </c>
      <c r="L57" s="1">
        <f>L56+MAX(Regression!$S$38:$X$38)/11</f>
        <v>224.21001983310973</v>
      </c>
      <c r="M57" s="4">
        <f>CHOOSE($R$56,Regression!$BQ$18*L57+Regression!$BR$18,Regression!$BX$18*L57^2+Regression!$BY$18*L57+Regression!$BZ$18,Regression!$CF$18*A11^2+Regression!$CG$18*A11+Regression!$CH$18,Regression!$AW$18*(1-EXP(-(L57+Regression!$AY$18)*Regression!$AX$18)),Regression!$BH$18*(1-EXP(-(L57+Regression!$BJ$18)*Regression!$BI$18))+L57*Regression!$BK$18)</f>
        <v>3384.2543903213159</v>
      </c>
      <c r="P57" s="25"/>
      <c r="Q57" s="25"/>
      <c r="R57" s="25"/>
      <c r="S57" s="25"/>
      <c r="T57" s="25"/>
    </row>
    <row r="58" spans="1:22" x14ac:dyDescent="0.2">
      <c r="A58" s="1">
        <f>A57+MAX(Regression!$S$35:$X$35)/11</f>
        <v>252.23627231224845</v>
      </c>
      <c r="B58" s="4">
        <f>CHOOSE($R$50,Regression!$BQ$15*A58+Regression!$BR$15,Regression!$BX$15*A58^2+Regression!$BY$15*A58+Regression!$BZ$15,Regression!$CF$15*A12^2+Regression!$CG$15*A12+Regression!$CH$15,Regression!$AW$15*(1-EXP(-(A58+Regression!$AY$15)*Regression!$AX$15)),Regression!$BH$15*(1-EXP(-(A58+Regression!$BJ$15)*Regression!$BI$15))+A58*Regression!$BK$15)</f>
        <v>109.34704445701539</v>
      </c>
      <c r="F58" s="1">
        <f>F57+MAX(Regression!$S$36:$X$36)/11</f>
        <v>252.23627231224845</v>
      </c>
      <c r="G58" s="4">
        <f>CHOOSE($R$52,Regression!$BQ$16*F58+Regression!$BR$16,Regression!$BX$16*F58^2+Regression!$BY$16*F58+Regression!$BZ$16,Regression!$CF$16*A12^2+Regression!$CG$16*A12+Regression!$CH$16,Regression!$AW$16*(1-EXP(-(F58+Regression!$AY$16)*Regression!$AX$16)),Regression!$BH$16*(1-EXP(-(F58+Regression!$BJ$16)*Regression!$BI$16))+F58*Regression!$BK$16)</f>
        <v>276.79291049683735</v>
      </c>
      <c r="I58" s="1">
        <f>I57+MAX(Regression!$S$37:$X$37)/11</f>
        <v>252.23627231224845</v>
      </c>
      <c r="J58" s="4">
        <f>CHOOSE($R$54,Regression!$BQ$17*I58+Regression!$BR$17,Regression!$BX$17*I58^2+Regression!$BY$17*I58+Regression!$BZ$17,Regression!$CF$17*A12^2+Regression!$CG$17*A12+Regression!$CH$17,Regression!$AW$17*(1-EXP(-(I58+Regression!$AY$17)*Regression!$AX$17)),Regression!$BH$17*(1-EXP(-(I58+Regression!$BJ$17)*Regression!$BI$17))+I58*Regression!$BK$17)</f>
        <v>14611.418401672843</v>
      </c>
      <c r="L58" s="1">
        <f>L57+MAX(Regression!$S$38:$X$38)/11</f>
        <v>252.23627231224845</v>
      </c>
      <c r="M58" s="4">
        <f>CHOOSE($R$56,Regression!$BQ$18*L58+Regression!$BR$18,Regression!$BX$18*L58^2+Regression!$BY$18*L58+Regression!$BZ$18,Regression!$CF$18*A12^2+Regression!$CG$18*A12+Regression!$CH$18,Regression!$AW$18*(1-EXP(-(L58+Regression!$AY$18)*Regression!$AX$18)),Regression!$BH$18*(1-EXP(-(L58+Regression!$BJ$18)*Regression!$BI$18))+L58*Regression!$BK$18)</f>
        <v>3597.7918209465856</v>
      </c>
      <c r="P58" s="25"/>
      <c r="Q58" s="25"/>
      <c r="R58" s="25"/>
      <c r="S58" s="25"/>
      <c r="T58" s="25"/>
    </row>
    <row r="59" spans="1:22" x14ac:dyDescent="0.2">
      <c r="A59" s="1">
        <f>A58+MAX(Regression!$S$35:$X$35)/11</f>
        <v>280.26252479138714</v>
      </c>
      <c r="B59" s="4">
        <f>CHOOSE($R$50,Regression!$BQ$15*A59+Regression!$BR$15,Regression!$BX$15*A59^2+Regression!$BY$15*A59+Regression!$BZ$15,Regression!$CF$15*A13^2+Regression!$CG$15*A13+Regression!$CH$15,Regression!$AW$15*(1-EXP(-(A59+Regression!$AY$15)*Regression!$AX$15)),Regression!$BH$15*(1-EXP(-(A59+Regression!$BJ$15)*Regression!$BI$15))+A59*Regression!$BK$15)</f>
        <v>115.56088838235095</v>
      </c>
      <c r="F59" s="1">
        <f>F58+MAX(Regression!$S$36:$X$36)/11</f>
        <v>280.26252479138714</v>
      </c>
      <c r="G59" s="4">
        <f>CHOOSE($R$52,Regression!$BQ$16*F59+Regression!$BR$16,Regression!$BX$16*F59^2+Regression!$BY$16*F59+Regression!$BZ$16,Regression!$CF$16*A13^2+Regression!$CG$16*A13+Regression!$CH$16,Regression!$AW$16*(1-EXP(-(F59+Regression!$AY$16)*Regression!$AX$16)),Regression!$BH$16*(1-EXP(-(F59+Regression!$BJ$16)*Regression!$BI$16))+F59*Regression!$BK$16)</f>
        <v>283.5812315954247</v>
      </c>
      <c r="I59" s="1">
        <f>I58+MAX(Regression!$S$37:$X$37)/11</f>
        <v>280.26252479138714</v>
      </c>
      <c r="J59" s="4">
        <f>CHOOSE($R$54,Regression!$BQ$17*I59+Regression!$BR$17,Regression!$BX$17*I59^2+Regression!$BY$17*I59+Regression!$BZ$17,Regression!$CF$17*A13^2+Regression!$CG$17*A13+Regression!$CH$17,Regression!$AW$17*(1-EXP(-(I59+Regression!$AY$17)*Regression!$AX$17)),Regression!$BH$17*(1-EXP(-(I59+Regression!$BJ$17)*Regression!$BI$17))+I59*Regression!$BK$17)</f>
        <v>15977.190735738948</v>
      </c>
      <c r="L59" s="1">
        <f>L58+MAX(Regression!$S$38:$X$38)/11</f>
        <v>280.26252479138714</v>
      </c>
      <c r="M59" s="4">
        <f>CHOOSE($R$56,Regression!$BQ$18*L59+Regression!$BR$18,Regression!$BX$18*L59^2+Regression!$BY$18*L59+Regression!$BZ$18,Regression!$CF$18*A13^2+Regression!$CG$18*A13+Regression!$CH$18,Regression!$AW$18*(1-EXP(-(L59+Regression!$AY$18)*Regression!$AX$18)),Regression!$BH$18*(1-EXP(-(L59+Regression!$BJ$18)*Regression!$BI$18))+L59*Regression!$BK$18)</f>
        <v>3784.0193463479122</v>
      </c>
      <c r="P59" s="25"/>
      <c r="Q59" s="25"/>
      <c r="R59" s="25"/>
      <c r="S59" s="25"/>
      <c r="T59" s="25"/>
    </row>
    <row r="60" spans="1:22" x14ac:dyDescent="0.2">
      <c r="A60" s="1">
        <f>A59+MAX(Regression!$S$35:$X$35)/11</f>
        <v>308.28877727052583</v>
      </c>
      <c r="B60" s="4">
        <f>CHOOSE($R$50,Regression!$BQ$15*A60+Regression!$BR$15,Regression!$BX$15*A60^2+Regression!$BY$15*A60+Regression!$BZ$15,Regression!$CF$15*A14^2+Regression!$CG$15*A14+Regression!$CH$15,Regression!$AW$15*(1-EXP(-(A60+Regression!$AY$15)*Regression!$AX$15)),Regression!$BH$15*(1-EXP(-(A60+Regression!$BJ$15)*Regression!$BI$15))+A60*Regression!$BK$15)</f>
        <v>121.77473230768653</v>
      </c>
      <c r="F60" s="1">
        <f>F59+MAX(Regression!$S$36:$X$36)/11</f>
        <v>308.28877727052583</v>
      </c>
      <c r="G60" s="4">
        <f>CHOOSE($R$52,Regression!$BQ$16*F60+Regression!$BR$16,Regression!$BX$16*F60^2+Regression!$BY$16*F60+Regression!$BZ$16,Regression!$CF$16*A14^2+Regression!$CG$16*A14+Regression!$CH$16,Regression!$AW$16*(1-EXP(-(F60+Regression!$AY$16)*Regression!$AX$16)),Regression!$BH$16*(1-EXP(-(F60+Regression!$BJ$16)*Regression!$BI$16))+F60*Regression!$BK$16)</f>
        <v>290.36955269401199</v>
      </c>
      <c r="I60" s="1">
        <f>I59+MAX(Regression!$S$37:$X$37)/11</f>
        <v>308.28877727052583</v>
      </c>
      <c r="J60" s="4">
        <f>CHOOSE($R$54,Regression!$BQ$17*I60+Regression!$BR$17,Regression!$BX$17*I60^2+Regression!$BY$17*I60+Regression!$BZ$17,Regression!$CF$17*A14^2+Regression!$CG$17*A14+Regression!$CH$17,Regression!$AW$17*(1-EXP(-(I60+Regression!$AY$17)*Regression!$AX$17)),Regression!$BH$17*(1-EXP(-(I60+Regression!$BJ$17)*Regression!$BI$17))+I60*Regression!$BK$17)</f>
        <v>17298.332694727487</v>
      </c>
      <c r="L60" s="1">
        <f>L59+MAX(Regression!$S$38:$X$38)/11</f>
        <v>308.28877727052583</v>
      </c>
      <c r="M60" s="4">
        <f>CHOOSE($R$56,Regression!$BQ$18*L60+Regression!$BR$18,Regression!$BX$18*L60^2+Regression!$BY$18*L60+Regression!$BZ$18,Regression!$CF$18*A14^2+Regression!$CG$18*A14+Regression!$CH$18,Regression!$AW$18*(1-EXP(-(L60+Regression!$AY$18)*Regression!$AX$18)),Regression!$BH$18*(1-EXP(-(L60+Regression!$BJ$18)*Regression!$BI$18))+L60*Regression!$BK$18)</f>
        <v>3946.4297074520587</v>
      </c>
      <c r="P60" s="25"/>
      <c r="Q60" s="25"/>
      <c r="R60" s="25"/>
      <c r="S60" s="25"/>
      <c r="T60" s="25"/>
      <c r="U60" s="25"/>
      <c r="V60" s="25"/>
    </row>
    <row r="61" spans="1:22" x14ac:dyDescent="0.2">
      <c r="P61" s="25"/>
      <c r="Q61" s="25"/>
      <c r="R61" s="25"/>
      <c r="S61" s="25"/>
      <c r="T61" s="25"/>
      <c r="U61" s="25"/>
      <c r="V61" s="25"/>
    </row>
    <row r="62" spans="1:22" x14ac:dyDescent="0.2">
      <c r="P62" s="25"/>
      <c r="Q62" s="25"/>
      <c r="R62" s="25"/>
      <c r="S62" s="25"/>
      <c r="T62" s="25"/>
      <c r="U62" s="25"/>
      <c r="V62" s="25"/>
    </row>
    <row r="63" spans="1:22" x14ac:dyDescent="0.2">
      <c r="A63" s="9" t="s">
        <v>0</v>
      </c>
      <c r="B63" t="s">
        <v>1</v>
      </c>
      <c r="F63" t="s">
        <v>0</v>
      </c>
      <c r="G63" t="s">
        <v>1</v>
      </c>
      <c r="I63" t="s">
        <v>0</v>
      </c>
      <c r="J63" t="s">
        <v>1</v>
      </c>
      <c r="L63" t="s">
        <v>0</v>
      </c>
      <c r="M63" t="s">
        <v>1</v>
      </c>
      <c r="P63" s="25"/>
      <c r="Q63" s="25"/>
      <c r="R63" s="25"/>
      <c r="S63" s="25"/>
      <c r="T63" s="25"/>
      <c r="U63" s="25"/>
      <c r="V63" s="25"/>
    </row>
    <row r="64" spans="1:22" x14ac:dyDescent="0.2">
      <c r="A64" s="13">
        <v>0</v>
      </c>
      <c r="B64" s="4">
        <f>CHOOSE($R$66,Regression!$BQ$19*A64+Regression!$BR$19,Regression!$BX$19*A64^2+Regression!$BY$19*A64+Regression!$BZ$19,Regression!$CF$19*A3^2+Regression!$CG$19*A3+Regression!$CH$19,Regression!$AW$19*(1-EXP(-(A64+Regression!$AY$19)*Regression!$AX$19)),Regression!$BH$19*(1-EXP(-(A64+Regression!$BJ$19)*Regression!$BI$19))+A64*Regression!$BK$19)</f>
        <v>145.43489465563067</v>
      </c>
      <c r="F64" s="1">
        <v>0</v>
      </c>
      <c r="G64" s="4">
        <f>CHOOSE($R$68,Regression!$BQ$20*F64+Regression!$BR$20,Regression!$BX$20*F64^2+Regression!$BY$20*F64+Regression!$BZ$20,Regression!$CF$20*A3^2+Regression!$CG$20*A3+Regression!$CH$20,Regression!$AW$20*(1-EXP(-(F64+Regression!$AY$20)*Regression!$AX$20)),Regression!$BH$20*(1-EXP(-(F64+Regression!$BJ$20)*Regression!$BI$20))+F64*Regression!$BK$20)</f>
        <v>403.18799747245373</v>
      </c>
      <c r="I64" s="1">
        <v>0</v>
      </c>
      <c r="J64" s="4">
        <f>CHOOSE($R$70,Regression!$BQ$21*I64+Regression!$BR$21,Regression!$BX$21*I64^2+Regression!$BY$21*I64+Regression!$BZ$21,Regression!$CF$21*A3^2+Regression!$CG$21*A3+Regression!$CH$21,Regression!$AW$21*(1-EXP(-(I64+Regression!$AY$21)*Regression!$AX$21)),Regression!$BH$21*(1-EXP(-(I64+Regression!$BJ$21)*Regression!$BI$21))+I64*Regression!$BK$21)</f>
        <v>56.197725996319519</v>
      </c>
      <c r="L64" s="1">
        <v>0</v>
      </c>
      <c r="M64" s="4">
        <f>CHOOSE($R$72,Regression!$BQ$22*L64+Regression!$BR$22,Regression!$BX$22*L64^2+Regression!$BY$22*L64+Regression!$BZ$22,Regression!$CF$22*A3^2+Regression!$CG$22*A3+Regression!$CH$22,Regression!$AW$22*(1-EXP(-(L64+Regression!$AY$22)*Regression!$AX$22)),Regression!$BH$22*(1-EXP(-(L64+Regression!$BJ$22)*Regression!$BI$22))+L64*Regression!$BK$22)</f>
        <v>133.86977470146621</v>
      </c>
      <c r="P64" s="25"/>
      <c r="Q64" s="25"/>
      <c r="R64" s="25"/>
      <c r="S64" s="25"/>
      <c r="T64" s="25"/>
      <c r="U64" s="25"/>
      <c r="V64" s="25"/>
    </row>
    <row r="65" spans="1:22" ht="12.75" thickBot="1" x14ac:dyDescent="0.25">
      <c r="A65" s="1">
        <f>A64+MAX(Regression!$S$39:$X$39)/11</f>
        <v>76.467020919569435</v>
      </c>
      <c r="B65" s="4">
        <f>CHOOSE($R$66,Regression!$BQ$19*A65+Regression!$BR$19,Regression!$BX$19*A65^2+Regression!$BY$19*A65+Regression!$BZ$19,Regression!$CF$19*A4^2+Regression!$CG$19*A4+Regression!$CH$19,Regression!$AW$19*(1-EXP(-(A65+Regression!$AY$19)*Regression!$AX$19)),Regression!$BH$19*(1-EXP(-(A65+Regression!$BJ$19)*Regression!$BI$19))+A65*Regression!$BK$19)</f>
        <v>7726.8653422237994</v>
      </c>
      <c r="F65" s="1">
        <f>F64+MAX(Regression!$S$40:$X$40)/11</f>
        <v>76.467020919569435</v>
      </c>
      <c r="G65" s="4">
        <f>CHOOSE($R$68,Regression!$BQ$20*F65+Regression!$BR$20,Regression!$BX$20*F65^2+Regression!$BY$20*F65+Regression!$BZ$20,Regression!$CF$20*A4^2+Regression!$CG$20*A4+Regression!$CH$20,Regression!$AW$20*(1-EXP(-(F65+Regression!$AY$20)*Regression!$AX$20)),Regression!$BH$20*(1-EXP(-(F65+Regression!$BJ$20)*Regression!$BI$20))+F65*Regression!$BK$20)</f>
        <v>16389.960660698442</v>
      </c>
      <c r="I65" s="1">
        <f>I64+MAX(Regression!$S$41:$X$41)/11</f>
        <v>28.026252479138712</v>
      </c>
      <c r="J65" s="4">
        <f>CHOOSE($R$70,Regression!$BQ$21*I65+Regression!$BR$21,Regression!$BX$21*I65^2+Regression!$BY$21*I65+Regression!$BZ$21,Regression!$CF$21*A4^2+Regression!$CG$21*A4+Regression!$CH$21,Regression!$AW$21*(1-EXP(-(I65+Regression!$AY$21)*Regression!$AX$21)),Regression!$BH$21*(1-EXP(-(I65+Regression!$BJ$21)*Regression!$BI$21))+I65*Regression!$BK$21)</f>
        <v>608.99637340858192</v>
      </c>
      <c r="L65" s="1">
        <f>L64+MAX(Regression!$S$42:$X$42)/11</f>
        <v>28.026252479138712</v>
      </c>
      <c r="M65" s="4">
        <f>CHOOSE($R$72,Regression!$BQ$22*L65+Regression!$BR$22,Regression!$BX$22*L65^2+Regression!$BY$22*L65+Regression!$BZ$22,Regression!$CF$22*A4^2+Regression!$CG$22*A4+Regression!$CH$22,Regression!$AW$22*(1-EXP(-(L65+Regression!$AY$22)*Regression!$AX$22)),Regression!$BH$22*(1-EXP(-(L65+Regression!$BJ$22)*Regression!$BI$22))+L65*Regression!$BK$22)</f>
        <v>141.84394903163627</v>
      </c>
      <c r="P65" s="25"/>
      <c r="Q65" s="25"/>
      <c r="R65" s="25"/>
      <c r="S65" s="25"/>
      <c r="T65" s="25"/>
      <c r="U65" s="25"/>
      <c r="V65" s="25"/>
    </row>
    <row r="66" spans="1:22" ht="13.5" thickBot="1" x14ac:dyDescent="0.25">
      <c r="A66" s="1">
        <f>A65+MAX(Regression!$S$39:$X$39)/11</f>
        <v>152.93404183913887</v>
      </c>
      <c r="B66" s="4">
        <f>CHOOSE($R$66,Regression!$BQ$19*A66+Regression!$BR$19,Regression!$BX$19*A66^2+Regression!$BY$19*A66+Regression!$BZ$19,Regression!$CF$19*A5^2+Regression!$CG$19*A5+Regression!$CH$19,Regression!$AW$19*(1-EXP(-(A66+Regression!$AY$19)*Regression!$AX$19)),Regression!$BH$19*(1-EXP(-(A66+Regression!$BJ$19)*Regression!$BI$19))+A66*Regression!$BK$19)</f>
        <v>14515.448066633582</v>
      </c>
      <c r="F66" s="1">
        <f>F65+MAX(Regression!$S$40:$X$40)/11</f>
        <v>152.93404183913887</v>
      </c>
      <c r="G66" s="4">
        <f>CHOOSE($R$68,Regression!$BQ$20*F66+Regression!$BR$20,Regression!$BX$20*F66^2+Regression!$BY$20*F66+Regression!$BZ$20,Regression!$CF$20*A5^2+Regression!$CG$20*A5+Regression!$CH$20,Regression!$AW$20*(1-EXP(-(F66+Regression!$AY$20)*Regression!$AX$20)),Regression!$BH$20*(1-EXP(-(F66+Regression!$BJ$20)*Regression!$BI$20))+F66*Regression!$BK$20)</f>
        <v>31134.812629169133</v>
      </c>
      <c r="I66" s="1">
        <f>I65+MAX(Regression!$S$41:$X$41)/11</f>
        <v>56.052504958277424</v>
      </c>
      <c r="J66" s="4">
        <f>CHOOSE($R$70,Regression!$BQ$21*I66+Regression!$BR$21,Regression!$BX$21*I66^2+Regression!$BY$21*I66+Regression!$BZ$21,Regression!$CF$21*A5^2+Regression!$CG$21*A5+Regression!$CH$21,Regression!$AW$21*(1-EXP(-(I66+Regression!$AY$21)*Regression!$AX$21)),Regression!$BH$21*(1-EXP(-(I66+Regression!$BJ$21)*Regression!$BI$21))+I66*Regression!$BK$21)</f>
        <v>1151.5304920291028</v>
      </c>
      <c r="L66" s="1">
        <f>L65+MAX(Regression!$S$42:$X$42)/11</f>
        <v>56.052504958277424</v>
      </c>
      <c r="M66" s="4">
        <f>CHOOSE($R$72,Regression!$BQ$22*L66+Regression!$BR$22,Regression!$BX$22*L66^2+Regression!$BY$22*L66+Regression!$BZ$22,Regression!$CF$22*A5^2+Regression!$CG$22*A5+Regression!$CH$22,Regression!$AW$22*(1-EXP(-(L66+Regression!$AY$22)*Regression!$AX$22)),Regression!$BH$22*(1-EXP(-(L66+Regression!$BJ$22)*Regression!$BI$22))+L66*Regression!$BK$22)</f>
        <v>149.81812336180633</v>
      </c>
      <c r="P66" s="302" t="str">
        <f>'Raw Data'!$A$319&amp;" ="</f>
        <v>Disk 46 =</v>
      </c>
      <c r="Q66" s="293">
        <v>0</v>
      </c>
      <c r="R66" s="300">
        <v>4</v>
      </c>
      <c r="S66" s="91">
        <f>MATCH(MIN(B97:F97),B97:F97,0)</f>
        <v>4</v>
      </c>
      <c r="T66" s="25"/>
      <c r="U66" s="91"/>
      <c r="V66" s="25"/>
    </row>
    <row r="67" spans="1:22" ht="13.5" thickBot="1" x14ac:dyDescent="0.25">
      <c r="A67" s="1">
        <f>A66+MAX(Regression!$S$39:$X$39)/11</f>
        <v>229.40106275870829</v>
      </c>
      <c r="B67" s="4">
        <f>CHOOSE($R$66,Regression!$BQ$19*A67+Regression!$BR$19,Regression!$BX$19*A67^2+Regression!$BY$19*A67+Regression!$BZ$19,Regression!$CF$19*A6^2+Regression!$CG$19*A6+Regression!$CH$19,Regression!$AW$19*(1-EXP(-(A67+Regression!$AY$19)*Regression!$AX$19)),Regression!$BH$19*(1-EXP(-(A67+Regression!$BJ$19)*Regression!$BI$19))+A67*Regression!$BK$19)</f>
        <v>20594.097171821548</v>
      </c>
      <c r="F67" s="1">
        <f>F66+MAX(Regression!$S$40:$X$40)/11</f>
        <v>229.40106275870829</v>
      </c>
      <c r="G67" s="4">
        <f>CHOOSE($R$68,Regression!$BQ$20*F67+Regression!$BR$20,Regression!$BX$20*F67^2+Regression!$BY$20*F67+Regression!$BZ$20,Regression!$CF$20*A6^2+Regression!$CG$20*A6+Regression!$CH$20,Regression!$AW$20*(1-EXP(-(F67+Regression!$AY$20)*Regression!$AX$20)),Regression!$BH$20*(1-EXP(-(F67+Regression!$BJ$20)*Regression!$BI$20))+F67*Regression!$BK$20)</f>
        <v>44734.221600075369</v>
      </c>
      <c r="I67" s="1">
        <f>I66+MAX(Regression!$S$41:$X$41)/11</f>
        <v>84.07875743741613</v>
      </c>
      <c r="J67" s="4">
        <f>CHOOSE($R$70,Regression!$BQ$21*I67+Regression!$BR$21,Regression!$BX$21*I67^2+Regression!$BY$21*I67+Regression!$BZ$21,Regression!$CF$21*A6^2+Regression!$CG$21*A6+Regression!$CH$21,Regression!$AW$21*(1-EXP(-(I67+Regression!$AY$21)*Regression!$AX$21)),Regression!$BH$21*(1-EXP(-(I67+Regression!$BJ$21)*Regression!$BI$21))+I67*Regression!$BK$21)</f>
        <v>1683.8000818578821</v>
      </c>
      <c r="L67" s="1">
        <f>L66+MAX(Regression!$S$42:$X$42)/11</f>
        <v>84.07875743741613</v>
      </c>
      <c r="M67" s="4">
        <f>CHOOSE($R$72,Regression!$BQ$22*L67+Regression!$BR$22,Regression!$BX$22*L67^2+Regression!$BY$22*L67+Regression!$BZ$22,Regression!$CF$22*A6^2+Regression!$CG$22*A6+Regression!$CH$22,Regression!$AW$22*(1-EXP(-(L67+Regression!$AY$22)*Regression!$AX$22)),Regression!$BH$22*(1-EXP(-(L67+Regression!$BJ$22)*Regression!$BI$22))+L67*Regression!$BK$22)</f>
        <v>157.79229769197639</v>
      </c>
      <c r="P67" s="155"/>
      <c r="Q67" s="25"/>
      <c r="R67" s="25"/>
      <c r="S67" s="25"/>
      <c r="T67" s="25"/>
      <c r="U67" s="25"/>
      <c r="V67" s="25"/>
    </row>
    <row r="68" spans="1:22" ht="12.75" thickBot="1" x14ac:dyDescent="0.25">
      <c r="A68" s="1">
        <f>A67+MAX(Regression!$S$39:$X$39)/11</f>
        <v>305.86808367827774</v>
      </c>
      <c r="B68" s="4">
        <f>CHOOSE($R$66,Regression!$BQ$19*A68+Regression!$BR$19,Regression!$BX$19*A68^2+Regression!$BY$19*A68+Regression!$BZ$19,Regression!$CF$19*A7^2+Regression!$CG$19*A7+Regression!$CH$19,Regression!$AW$19*(1-EXP(-(A68+Regression!$AY$19)*Regression!$AX$19)),Regression!$BH$19*(1-EXP(-(A68+Regression!$BJ$19)*Regression!$BI$19))+A68*Regression!$BK$19)</f>
        <v>26037.055804577238</v>
      </c>
      <c r="F68" s="1">
        <f>F67+MAX(Regression!$S$40:$X$40)/11</f>
        <v>305.86808367827774</v>
      </c>
      <c r="G68" s="4">
        <f>CHOOSE($R$68,Regression!$BQ$20*F68+Regression!$BR$20,Regression!$BX$20*F68^2+Regression!$BY$20*F68+Regression!$BZ$20,Regression!$CF$20*A7^2+Regression!$CG$20*A7+Regression!$CH$20,Regression!$AW$20*(1-EXP(-(F68+Regression!$AY$20)*Regression!$AX$20)),Regression!$BH$20*(1-EXP(-(F68+Regression!$BJ$20)*Regression!$BI$20))+F68*Regression!$BK$20)</f>
        <v>57277.170471548299</v>
      </c>
      <c r="I68" s="1">
        <f>I67+MAX(Regression!$S$41:$X$41)/11</f>
        <v>112.10500991655485</v>
      </c>
      <c r="J68" s="4">
        <f>CHOOSE($R$70,Regression!$BQ$21*I68+Regression!$BR$21,Regression!$BX$21*I68^2+Regression!$BY$21*I68+Regression!$BZ$21,Regression!$CF$21*A7^2+Regression!$CG$21*A7+Regression!$CH$21,Regression!$AW$21*(1-EXP(-(I68+Regression!$AY$21)*Regression!$AX$21)),Regression!$BH$21*(1-EXP(-(I68+Regression!$BJ$21)*Regression!$BI$21))+I68*Regression!$BK$21)</f>
        <v>2205.8051428949198</v>
      </c>
      <c r="L68" s="1">
        <f>L67+MAX(Regression!$S$42:$X$42)/11</f>
        <v>112.10500991655485</v>
      </c>
      <c r="M68" s="4">
        <f>CHOOSE($R$72,Regression!$BQ$22*L68+Regression!$BR$22,Regression!$BX$22*L68^2+Regression!$BY$22*L68+Regression!$BZ$22,Regression!$CF$22*A7^2+Regression!$CG$22*A7+Regression!$CH$22,Regression!$AW$22*(1-EXP(-(L68+Regression!$AY$22)*Regression!$AX$22)),Regression!$BH$22*(1-EXP(-(L68+Regression!$BJ$22)*Regression!$BI$22))+L68*Regression!$BK$22)</f>
        <v>165.76647202214644</v>
      </c>
      <c r="P68" s="305" t="str">
        <f>'Raw Data'!$A$320&amp;" ="</f>
        <v>Disk 47 =</v>
      </c>
      <c r="Q68" s="293">
        <v>1</v>
      </c>
      <c r="R68" s="300">
        <v>4</v>
      </c>
      <c r="S68" s="91">
        <f>MATCH(MIN(B98:F98),B98:F98,0)</f>
        <v>4</v>
      </c>
      <c r="T68" s="25"/>
      <c r="U68" s="91"/>
      <c r="V68" s="25"/>
    </row>
    <row r="69" spans="1:22" ht="12.75" thickBot="1" x14ac:dyDescent="0.25">
      <c r="A69" s="1">
        <f>A68+MAX(Regression!$S$39:$X$39)/11</f>
        <v>382.33510459784719</v>
      </c>
      <c r="B69" s="4">
        <f>CHOOSE($R$66,Regression!$BQ$19*A69+Regression!$BR$19,Regression!$BX$19*A69^2+Regression!$BY$19*A69+Regression!$BZ$19,Regression!$CF$19*A8^2+Regression!$CG$19*A8+Regression!$CH$19,Regression!$AW$19*(1-EXP(-(A69+Regression!$AY$19)*Regression!$AX$19)),Regression!$BH$19*(1-EXP(-(A69+Regression!$BJ$19)*Regression!$BI$19))+A69*Regression!$BK$19)</f>
        <v>30910.802942342587</v>
      </c>
      <c r="F69" s="1">
        <f>F68+MAX(Regression!$S$40:$X$40)/11</f>
        <v>382.33510459784719</v>
      </c>
      <c r="G69" s="4">
        <f>CHOOSE($R$68,Regression!$BQ$20*F69+Regression!$BR$20,Regression!$BX$20*F69^2+Regression!$BY$20*F69+Regression!$BZ$20,Regression!$CF$20*A8^2+Regression!$CG$20*A8+Regression!$CH$20,Regression!$AW$20*(1-EXP(-(F69+Regression!$AY$20)*Regression!$AX$20)),Regression!$BH$20*(1-EXP(-(F69+Regression!$BJ$20)*Regression!$BI$20))+F69*Regression!$BK$20)</f>
        <v>68845.729570620708</v>
      </c>
      <c r="I69" s="1">
        <f>I68+MAX(Regression!$S$41:$X$41)/11</f>
        <v>140.13126239569357</v>
      </c>
      <c r="J69" s="4">
        <f>CHOOSE($R$70,Regression!$BQ$21*I69+Regression!$BR$21,Regression!$BX$21*I69^2+Regression!$BY$21*I69+Regression!$BZ$21,Regression!$CF$21*A8^2+Regression!$CG$21*A8+Regression!$CH$21,Regression!$AW$21*(1-EXP(-(I69+Regression!$AY$21)*Regression!$AX$21)),Regression!$BH$21*(1-EXP(-(I69+Regression!$BJ$21)*Regression!$BI$21))+I69*Regression!$BK$21)</f>
        <v>2717.5456751402162</v>
      </c>
      <c r="L69" s="1">
        <f>L68+MAX(Regression!$S$42:$X$42)/11</f>
        <v>140.13126239569357</v>
      </c>
      <c r="M69" s="4">
        <f>CHOOSE($R$72,Regression!$BQ$22*L69+Regression!$BR$22,Regression!$BX$22*L69^2+Regression!$BY$22*L69+Regression!$BZ$22,Regression!$CF$22*A8^2+Regression!$CG$22*A8+Regression!$CH$22,Regression!$AW$22*(1-EXP(-(L69+Regression!$AY$22)*Regression!$AX$22)),Regression!$BH$22*(1-EXP(-(L69+Regression!$BJ$22)*Regression!$BI$22))+L69*Regression!$BK$22)</f>
        <v>173.7406463523165</v>
      </c>
      <c r="P69" s="25"/>
      <c r="Q69" s="25"/>
      <c r="R69" s="25"/>
      <c r="S69" s="25"/>
      <c r="T69" s="25"/>
      <c r="U69" s="25"/>
      <c r="V69" s="25"/>
    </row>
    <row r="70" spans="1:22" ht="12.75" thickBot="1" x14ac:dyDescent="0.25">
      <c r="A70" s="1">
        <f>A69+MAX(Regression!$S$39:$X$39)/11</f>
        <v>458.80212551741664</v>
      </c>
      <c r="B70" s="4">
        <f>CHOOSE($R$66,Regression!$BQ$19*A70+Regression!$BR$19,Regression!$BX$19*A70^2+Regression!$BY$19*A70+Regression!$BZ$19,Regression!$CF$19*A9^2+Regression!$CG$19*A9+Regression!$CH$19,Regression!$AW$19*(1-EXP(-(A70+Regression!$AY$19)*Regression!$AX$19)),Regression!$BH$19*(1-EXP(-(A70+Regression!$BJ$19)*Regression!$BI$19))+A70*Regression!$BK$19)</f>
        <v>35274.865351328757</v>
      </c>
      <c r="F70" s="1">
        <f>F69+MAX(Regression!$S$40:$X$40)/11</f>
        <v>458.80212551741664</v>
      </c>
      <c r="G70" s="4">
        <f>CHOOSE($R$68,Regression!$BQ$20*F70+Regression!$BR$20,Regression!$BX$20*F70^2+Regression!$BY$20*F70+Regression!$BZ$20,Regression!$CF$20*A9^2+Regression!$CG$20*A9+Regression!$CH$20,Regression!$AW$20*(1-EXP(-(F70+Regression!$AY$20)*Regression!$AX$20)),Regression!$BH$20*(1-EXP(-(F70+Regression!$BJ$20)*Regression!$BI$20))+F70*Regression!$BK$20)</f>
        <v>79515.593651236632</v>
      </c>
      <c r="I70" s="1">
        <f>I69+MAX(Regression!$S$41:$X$41)/11</f>
        <v>168.15751487483229</v>
      </c>
      <c r="J70" s="4">
        <f>CHOOSE($R$70,Regression!$BQ$21*I70+Regression!$BR$21,Regression!$BX$21*I70^2+Regression!$BY$21*I70+Regression!$BZ$21,Regression!$CF$21*A9^2+Regression!$CG$21*A9+Regression!$CH$21,Regression!$AW$21*(1-EXP(-(I70+Regression!$AY$21)*Regression!$AX$21)),Regression!$BH$21*(1-EXP(-(I70+Regression!$BJ$21)*Regression!$BI$21))+I70*Regression!$BK$21)</f>
        <v>3219.0216785937705</v>
      </c>
      <c r="L70" s="1">
        <f>L69+MAX(Regression!$S$42:$X$42)/11</f>
        <v>168.15751487483229</v>
      </c>
      <c r="M70" s="4">
        <f>CHOOSE($R$72,Regression!$BQ$22*L70+Regression!$BR$22,Regression!$BX$22*L70^2+Regression!$BY$22*L70+Regression!$BZ$22,Regression!$CF$22*A9^2+Regression!$CG$22*A9+Regression!$CH$22,Regression!$AW$22*(1-EXP(-(L70+Regression!$AY$22)*Regression!$AX$22)),Regression!$BH$22*(1-EXP(-(L70+Regression!$BJ$22)*Regression!$BI$22))+L70*Regression!$BK$22)</f>
        <v>181.71482068248656</v>
      </c>
      <c r="P70" s="305" t="str">
        <f>'Raw Data'!$A$321&amp;" ="</f>
        <v>Disk 48 =</v>
      </c>
      <c r="Q70" s="293">
        <v>1</v>
      </c>
      <c r="R70" s="300">
        <v>2</v>
      </c>
      <c r="S70" s="91">
        <f>MATCH(MIN(B99:F99),B99:F99,0)</f>
        <v>2</v>
      </c>
      <c r="T70" s="25"/>
      <c r="U70" s="91"/>
      <c r="V70" s="25"/>
    </row>
    <row r="71" spans="1:22" ht="12.75" thickBot="1" x14ac:dyDescent="0.25">
      <c r="A71" s="1">
        <f>A70+MAX(Regression!$S$39:$X$39)/11</f>
        <v>535.26914643698603</v>
      </c>
      <c r="B71" s="4">
        <f>CHOOSE($R$66,Regression!$BQ$19*A71+Regression!$BR$19,Regression!$BX$19*A71^2+Regression!$BY$19*A71+Regression!$BZ$19,Regression!$CF$19*A10^2+Regression!$CG$19*A10+Regression!$CH$19,Regression!$AW$19*(1-EXP(-(A71+Regression!$AY$19)*Regression!$AX$19)),Regression!$BH$19*(1-EXP(-(A71+Regression!$BJ$19)*Regression!$BI$19))+A71*Regression!$BK$19)</f>
        <v>39182.54463201022</v>
      </c>
      <c r="F71" s="1">
        <f>F70+MAX(Regression!$S$40:$X$40)/11</f>
        <v>535.26914643698603</v>
      </c>
      <c r="G71" s="4">
        <f>CHOOSE($R$68,Regression!$BQ$20*F71+Regression!$BR$20,Regression!$BX$20*F71^2+Regression!$BY$20*F71+Regression!$BZ$20,Regression!$CF$20*A10^2+Regression!$CG$20*A10+Regression!$CH$20,Regression!$AW$20*(1-EXP(-(F71+Regression!$AY$20)*Regression!$AX$20)),Regression!$BH$20*(1-EXP(-(F71+Regression!$BJ$20)*Regression!$BI$20))+F71*Regression!$BK$20)</f>
        <v>89356.577175964965</v>
      </c>
      <c r="I71" s="1">
        <f>I70+MAX(Regression!$S$41:$X$41)/11</f>
        <v>196.18376735397101</v>
      </c>
      <c r="J71" s="4">
        <f>CHOOSE($R$70,Regression!$BQ$21*I71+Regression!$BR$21,Regression!$BX$21*I71^2+Regression!$BY$21*I71+Regression!$BZ$21,Regression!$CF$21*A10^2+Regression!$CG$21*A10+Regression!$CH$21,Regression!$AW$21*(1-EXP(-(I71+Regression!$AY$21)*Regression!$AX$21)),Regression!$BH$21*(1-EXP(-(I71+Regression!$BJ$21)*Regression!$BI$21))+I71*Regression!$BK$21)</f>
        <v>3710.2331532555836</v>
      </c>
      <c r="L71" s="1">
        <f>L70+MAX(Regression!$S$42:$X$42)/11</f>
        <v>196.18376735397101</v>
      </c>
      <c r="M71" s="4">
        <f>CHOOSE($R$72,Regression!$BQ$22*L71+Regression!$BR$22,Regression!$BX$22*L71^2+Regression!$BY$22*L71+Regression!$BZ$22,Regression!$CF$22*A10^2+Regression!$CG$22*A10+Regression!$CH$22,Regression!$AW$22*(1-EXP(-(L71+Regression!$AY$22)*Regression!$AX$22)),Regression!$BH$22*(1-EXP(-(L71+Regression!$BJ$22)*Regression!$BI$22))+L71*Regression!$BK$22)</f>
        <v>189.68899501265662</v>
      </c>
      <c r="P71" s="25"/>
      <c r="Q71" s="25"/>
      <c r="R71" s="25"/>
      <c r="S71" s="25"/>
      <c r="T71" s="25"/>
      <c r="U71" s="25"/>
      <c r="V71" s="25"/>
    </row>
    <row r="72" spans="1:22" ht="12.75" thickBot="1" x14ac:dyDescent="0.25">
      <c r="A72" s="1">
        <f>A71+MAX(Regression!$S$39:$X$39)/11</f>
        <v>611.73616735655548</v>
      </c>
      <c r="B72" s="4">
        <f>CHOOSE($R$66,Regression!$BQ$19*A72+Regression!$BR$19,Regression!$BX$19*A72^2+Regression!$BY$19*A72+Regression!$BZ$19,Regression!$CF$19*A11^2+Regression!$CG$19*A11+Regression!$CH$19,Regression!$AW$19*(1-EXP(-(A72+Regression!$AY$19)*Regression!$AX$19)),Regression!$BH$19*(1-EXP(-(A72+Regression!$BJ$19)*Regression!$BI$19))+A72*Regression!$BK$19)</f>
        <v>42681.56823195333</v>
      </c>
      <c r="F72" s="1">
        <f>F71+MAX(Regression!$S$40:$X$40)/11</f>
        <v>611.73616735655548</v>
      </c>
      <c r="G72" s="4">
        <f>CHOOSE($R$68,Regression!$BQ$20*F72+Regression!$BR$20,Regression!$BX$20*F72^2+Regression!$BY$20*F72+Regression!$BZ$20,Regression!$CF$20*A11^2+Regression!$CG$20*A11+Regression!$CH$20,Regression!$AW$20*(1-EXP(-(F72+Regression!$AY$20)*Regression!$AX$20)),Regression!$BH$20*(1-EXP(-(F72+Regression!$BJ$20)*Regression!$BI$20))+F72*Regression!$BK$20)</f>
        <v>98433.071122116962</v>
      </c>
      <c r="I72" s="1">
        <f>I71+MAX(Regression!$S$41:$X$41)/11</f>
        <v>224.21001983310973</v>
      </c>
      <c r="J72" s="4">
        <f>CHOOSE($R$70,Regression!$BQ$21*I72+Regression!$BR$21,Regression!$BX$21*I72^2+Regression!$BY$21*I72+Regression!$BZ$21,Regression!$CF$21*A11^2+Regression!$CG$21*A11+Regression!$CH$21,Regression!$AW$21*(1-EXP(-(I72+Regression!$AY$21)*Regression!$AX$21)),Regression!$BH$21*(1-EXP(-(I72+Regression!$BJ$21)*Regression!$BI$21))+I72*Regression!$BK$21)</f>
        <v>4191.1800991256541</v>
      </c>
      <c r="L72" s="1">
        <f>L71+MAX(Regression!$S$42:$X$42)/11</f>
        <v>224.21001983310973</v>
      </c>
      <c r="M72" s="4">
        <f>CHOOSE($R$72,Regression!$BQ$22*L72+Regression!$BR$22,Regression!$BX$22*L72^2+Regression!$BY$22*L72+Regression!$BZ$22,Regression!$CF$22*A11^2+Regression!$CG$22*A11+Regression!$CH$22,Regression!$AW$22*(1-EXP(-(L72+Regression!$AY$22)*Regression!$AX$22)),Regression!$BH$22*(1-EXP(-(L72+Regression!$BJ$22)*Regression!$BI$22))+L72*Regression!$BK$22)</f>
        <v>197.66316934282668</v>
      </c>
      <c r="P72" s="305" t="str">
        <f>'Raw Data'!$A$322&amp;" ="</f>
        <v>Disk 49 =</v>
      </c>
      <c r="Q72" s="293">
        <v>0</v>
      </c>
      <c r="R72" s="300">
        <v>1</v>
      </c>
      <c r="S72" s="91">
        <f>MATCH(MIN(B100:F100),B100:F100,0)</f>
        <v>2</v>
      </c>
      <c r="T72" s="25"/>
      <c r="U72" s="91"/>
      <c r="V72" s="25"/>
    </row>
    <row r="73" spans="1:22" x14ac:dyDescent="0.2">
      <c r="A73" s="1">
        <f>A72+MAX(Regression!$S$39:$X$39)/11</f>
        <v>688.20318827612493</v>
      </c>
      <c r="B73" s="4">
        <f>CHOOSE($R$66,Regression!$BQ$19*A73+Regression!$BR$19,Regression!$BX$19*A73^2+Regression!$BY$19*A73+Regression!$BZ$19,Regression!$CF$19*A12^2+Regression!$CG$19*A12+Regression!$CH$19,Regression!$AW$19*(1-EXP(-(A73+Regression!$AY$19)*Regression!$AX$19)),Regression!$BH$19*(1-EXP(-(A73+Regression!$BJ$19)*Regression!$BI$19))+A73*Regression!$BK$19)</f>
        <v>45814.672377292438</v>
      </c>
      <c r="F73" s="1">
        <f>F72+MAX(Regression!$S$40:$X$40)/11</f>
        <v>688.20318827612493</v>
      </c>
      <c r="G73" s="4">
        <f>CHOOSE($R$68,Regression!$BQ$20*F73+Regression!$BR$20,Regression!$BX$20*F73^2+Regression!$BY$20*F73+Regression!$BZ$20,Regression!$CF$20*A12^2+Regression!$CG$20*A12+Regression!$CH$20,Regression!$AW$20*(1-EXP(-(F73+Regression!$AY$20)*Regression!$AX$20)),Regression!$BH$20*(1-EXP(-(F73+Regression!$BJ$20)*Regression!$BI$20))+F73*Regression!$BK$20)</f>
        <v>106804.46430121562</v>
      </c>
      <c r="I73" s="1">
        <f>I72+MAX(Regression!$S$41:$X$41)/11</f>
        <v>252.23627231224845</v>
      </c>
      <c r="J73" s="4">
        <f>CHOOSE($R$70,Regression!$BQ$21*I73+Regression!$BR$21,Regression!$BX$21*I73^2+Regression!$BY$21*I73+Regression!$BZ$21,Regression!$CF$21*A12^2+Regression!$CG$21*A12+Regression!$CH$21,Regression!$AW$21*(1-EXP(-(I73+Regression!$AY$21)*Regression!$AX$21)),Regression!$BH$21*(1-EXP(-(I73+Regression!$BJ$21)*Regression!$BI$21))+I73*Regression!$BK$21)</f>
        <v>4661.8625162039843</v>
      </c>
      <c r="L73" s="1">
        <f>L72+MAX(Regression!$S$42:$X$42)/11</f>
        <v>252.23627231224845</v>
      </c>
      <c r="M73" s="4">
        <f>CHOOSE($R$72,Regression!$BQ$22*L73+Regression!$BR$22,Regression!$BX$22*L73^2+Regression!$BY$22*L73+Regression!$BZ$22,Regression!$CF$22*A12^2+Regression!$CG$22*A12+Regression!$CH$22,Regression!$AW$22*(1-EXP(-(L73+Regression!$AY$22)*Regression!$AX$22)),Regression!$BH$22*(1-EXP(-(L73+Regression!$BJ$22)*Regression!$BI$22))+L73*Regression!$BK$22)</f>
        <v>205.63734367299674</v>
      </c>
      <c r="P73" s="25"/>
      <c r="Q73" s="25"/>
      <c r="R73" s="25"/>
      <c r="S73" s="25"/>
      <c r="T73" s="25"/>
      <c r="U73" s="25"/>
      <c r="V73" s="25"/>
    </row>
    <row r="74" spans="1:22" x14ac:dyDescent="0.2">
      <c r="A74" s="1">
        <f>A73+MAX(Regression!$S$39:$X$39)/11</f>
        <v>764.67020919569438</v>
      </c>
      <c r="B74" s="4">
        <f>CHOOSE($R$66,Regression!$BQ$19*A74+Regression!$BR$19,Regression!$BX$19*A74^2+Regression!$BY$19*A74+Regression!$BZ$19,Regression!$CF$19*A13^2+Regression!$CG$19*A13+Regression!$CH$19,Regression!$AW$19*(1-EXP(-(A74+Regression!$AY$19)*Regression!$AX$19)),Regression!$BH$19*(1-EXP(-(A74+Regression!$BJ$19)*Regression!$BI$19))+A74*Regression!$BK$19)</f>
        <v>48620.124042637202</v>
      </c>
      <c r="F74" s="1">
        <f>F73+MAX(Regression!$S$40:$X$40)/11</f>
        <v>764.67020919569438</v>
      </c>
      <c r="G74" s="4">
        <f>CHOOSE($R$68,Regression!$BQ$20*F74+Regression!$BR$20,Regression!$BX$20*F74^2+Regression!$BY$20*F74+Regression!$BZ$20,Regression!$CF$20*A13^2+Regression!$CG$20*A13+Regression!$CH$20,Regression!$AW$20*(1-EXP(-(F74+Regression!$AY$20)*Regression!$AX$20)),Regression!$BH$20*(1-EXP(-(F74+Regression!$BJ$20)*Regression!$BI$20))+F74*Regression!$BK$20)</f>
        <v>114525.53194857201</v>
      </c>
      <c r="I74" s="1">
        <f>I73+MAX(Regression!$S$41:$X$41)/11</f>
        <v>280.26252479138714</v>
      </c>
      <c r="J74" s="4">
        <f>CHOOSE($R$70,Regression!$BQ$21*I74+Regression!$BR$21,Regression!$BX$21*I74^2+Regression!$BY$21*I74+Regression!$BZ$21,Regression!$CF$21*A13^2+Regression!$CG$21*A13+Regression!$CH$21,Regression!$AW$21*(1-EXP(-(I74+Regression!$AY$21)*Regression!$AX$21)),Regression!$BH$21*(1-EXP(-(I74+Regression!$BJ$21)*Regression!$BI$21))+I74*Regression!$BK$21)</f>
        <v>5122.2804044905715</v>
      </c>
      <c r="L74" s="1">
        <f>L73+MAX(Regression!$S$42:$X$42)/11</f>
        <v>280.26252479138714</v>
      </c>
      <c r="M74" s="4">
        <f>CHOOSE($R$72,Regression!$BQ$22*L74+Regression!$BR$22,Regression!$BX$22*L74^2+Regression!$BY$22*L74+Regression!$BZ$22,Regression!$CF$22*A13^2+Regression!$CG$22*A13+Regression!$CH$22,Regression!$AW$22*(1-EXP(-(L74+Regression!$AY$22)*Regression!$AX$22)),Regression!$BH$22*(1-EXP(-(L74+Regression!$BJ$22)*Regression!$BI$22))+L74*Regression!$BK$22)</f>
        <v>213.61151800316676</v>
      </c>
      <c r="P74" s="25"/>
      <c r="Q74" s="25"/>
      <c r="R74" s="25"/>
      <c r="S74" s="25"/>
      <c r="T74" s="25"/>
    </row>
    <row r="75" spans="1:22" x14ac:dyDescent="0.2">
      <c r="A75" s="1">
        <f>A74+MAX(Regression!$S$39:$X$39)/11</f>
        <v>841.13723011526383</v>
      </c>
      <c r="B75" s="4">
        <f>CHOOSE($R$66,Regression!$BQ$19*A75+Regression!$BR$19,Regression!$BX$19*A75^2+Regression!$BY$19*A75+Regression!$BZ$19,Regression!$CF$19*A14^2+Regression!$CG$19*A14+Regression!$CH$19,Regression!$AW$19*(1-EXP(-(A75+Regression!$AY$19)*Regression!$AX$19)),Regression!$BH$19*(1-EXP(-(A75+Regression!$BJ$19)*Regression!$BI$19))+A75*Regression!$BK$19)</f>
        <v>51132.188334625156</v>
      </c>
      <c r="F75" s="1">
        <f>F74+MAX(Regression!$S$40:$X$40)/11</f>
        <v>841.13723011526383</v>
      </c>
      <c r="G75" s="4">
        <f>CHOOSE($R$68,Regression!$BQ$20*F75+Regression!$BR$20,Regression!$BX$20*F75^2+Regression!$BY$20*F75+Regression!$BZ$20,Regression!$CF$20*A14^2+Regression!$CG$20*A14+Regression!$CH$20,Regression!$AW$20*(1-EXP(-(F75+Regression!$AY$20)*Regression!$AX$20)),Regression!$BH$20*(1-EXP(-(F75+Regression!$BJ$20)*Regression!$BI$20))+F75*Regression!$BK$20)</f>
        <v>121646.79412556505</v>
      </c>
      <c r="I75" s="1">
        <f>I74+MAX(Regression!$S$41:$X$41)/11</f>
        <v>308.28877727052583</v>
      </c>
      <c r="J75" s="4">
        <f>CHOOSE($R$70,Regression!$BQ$21*I75+Regression!$BR$21,Regression!$BX$21*I75^2+Regression!$BY$21*I75+Regression!$BZ$21,Regression!$CF$21*A14^2+Regression!$CG$21*A14+Regression!$CH$21,Regression!$AW$21*(1-EXP(-(I75+Regression!$AY$21)*Regression!$AX$21)),Regression!$BH$21*(1-EXP(-(I75+Regression!$BJ$21)*Regression!$BI$21))+I75*Regression!$BK$21)</f>
        <v>5572.4337639854175</v>
      </c>
      <c r="L75" s="1">
        <f>L74+MAX(Regression!$S$42:$X$42)/11</f>
        <v>308.28877727052583</v>
      </c>
      <c r="M75" s="4">
        <f>CHOOSE($R$72,Regression!$BQ$22*L75+Regression!$BR$22,Regression!$BX$22*L75^2+Regression!$BY$22*L75+Regression!$BZ$22,Regression!$CF$22*A14^2+Regression!$CG$22*A14+Regression!$CH$22,Regression!$AW$22*(1-EXP(-(L75+Regression!$AY$22)*Regression!$AX$22)),Regression!$BH$22*(1-EXP(-(L75+Regression!$BJ$22)*Regression!$BI$22))+L75*Regression!$BK$22)</f>
        <v>221.58569233333682</v>
      </c>
      <c r="P75" s="25"/>
      <c r="Q75" s="25"/>
      <c r="R75" s="25"/>
      <c r="S75" s="25"/>
      <c r="T75" s="25"/>
    </row>
    <row r="76" spans="1:22" x14ac:dyDescent="0.2">
      <c r="P76" s="25"/>
      <c r="Q76" s="25"/>
      <c r="R76" s="25"/>
      <c r="S76" s="25"/>
      <c r="T76" s="25"/>
    </row>
    <row r="77" spans="1:22" x14ac:dyDescent="0.2">
      <c r="P77" s="25"/>
      <c r="Q77" s="25"/>
      <c r="R77" s="25"/>
      <c r="S77" s="25"/>
      <c r="T77" s="25"/>
    </row>
    <row r="78" spans="1:22" x14ac:dyDescent="0.2">
      <c r="P78" s="25"/>
      <c r="Q78" s="25"/>
      <c r="R78" s="25"/>
      <c r="S78" s="25"/>
      <c r="T78" s="25"/>
    </row>
    <row r="79" spans="1:22" x14ac:dyDescent="0.2">
      <c r="B79" t="s">
        <v>78</v>
      </c>
      <c r="P79" s="25"/>
      <c r="Q79" s="25"/>
      <c r="R79" s="25"/>
      <c r="S79" s="25"/>
      <c r="T79" s="25"/>
    </row>
    <row r="80" spans="1:22" x14ac:dyDescent="0.2">
      <c r="A80" s="5" t="s">
        <v>68</v>
      </c>
      <c r="B80" s="15" t="s">
        <v>72</v>
      </c>
      <c r="C80" s="32" t="s">
        <v>151</v>
      </c>
      <c r="D80" s="32" t="s">
        <v>152</v>
      </c>
      <c r="E80" s="5" t="s">
        <v>79</v>
      </c>
      <c r="F80" s="5" t="s">
        <v>80</v>
      </c>
      <c r="P80" s="25"/>
      <c r="Q80" s="25"/>
      <c r="R80" s="25"/>
      <c r="S80" s="25"/>
      <c r="T80" s="25"/>
    </row>
    <row r="81" spans="1:20" x14ac:dyDescent="0.2">
      <c r="A81" s="4" t="str">
        <f>'Raw Data'!A303</f>
        <v>Disk 30</v>
      </c>
      <c r="B81" s="4">
        <f>Regression!BT3</f>
        <v>4722305.4102706239</v>
      </c>
      <c r="C81" s="4">
        <f>Regression!CB3</f>
        <v>1757753.8665229795</v>
      </c>
      <c r="D81" s="4">
        <f>Regression!CJ3</f>
        <v>1757753.8665229795</v>
      </c>
      <c r="E81" s="4">
        <f>Regression!AZ3</f>
        <v>1719592.4261801683</v>
      </c>
      <c r="F81" s="4">
        <f>Regression!BL3</f>
        <v>7589542.6685286453</v>
      </c>
      <c r="P81" s="25"/>
      <c r="Q81" s="25"/>
      <c r="R81" s="25"/>
      <c r="S81" s="25"/>
      <c r="T81" s="25"/>
    </row>
    <row r="82" spans="1:20" x14ac:dyDescent="0.2">
      <c r="A82" s="4" t="str">
        <f>'Raw Data'!A304</f>
        <v>Disk 31</v>
      </c>
      <c r="B82" s="4">
        <f>Regression!BT4</f>
        <v>2377807.4374090303</v>
      </c>
      <c r="C82" s="4">
        <f>Regression!CB4</f>
        <v>6427.8464120011722</v>
      </c>
      <c r="D82" s="4">
        <f>Regression!CJ4</f>
        <v>6427.8464120011722</v>
      </c>
      <c r="E82" s="4">
        <f>Regression!AZ4</f>
        <v>5049.3871391529865</v>
      </c>
      <c r="F82" s="4">
        <f>Regression!BL4</f>
        <v>4112260.8519278714</v>
      </c>
      <c r="P82" s="25"/>
      <c r="Q82" s="25"/>
      <c r="R82" s="25"/>
      <c r="S82" s="25"/>
      <c r="T82" s="25"/>
    </row>
    <row r="83" spans="1:20" x14ac:dyDescent="0.2">
      <c r="A83" s="4" t="str">
        <f>'Raw Data'!A305</f>
        <v>Disk 32</v>
      </c>
      <c r="B83" s="4">
        <f>Regression!BT5</f>
        <v>385.12792770792453</v>
      </c>
      <c r="C83" s="4">
        <f>Regression!CB5</f>
        <v>170.38453750308014</v>
      </c>
      <c r="D83" s="4">
        <f>Regression!CJ5</f>
        <v>170.38453750308014</v>
      </c>
      <c r="E83" s="4">
        <f>Regression!AZ5</f>
        <v>203.4816821581361</v>
      </c>
      <c r="F83" s="4">
        <f>Regression!BL5</f>
        <v>15510.948222477755</v>
      </c>
      <c r="P83" s="25"/>
      <c r="Q83" s="25"/>
      <c r="R83" s="25"/>
      <c r="S83" s="25"/>
      <c r="T83" s="25"/>
    </row>
    <row r="84" spans="1:20" x14ac:dyDescent="0.2">
      <c r="A84" s="4" t="str">
        <f>'Raw Data'!A306</f>
        <v>Disk 33</v>
      </c>
      <c r="B84" s="4">
        <f>Regression!BT6</f>
        <v>212179639.46102548</v>
      </c>
      <c r="C84" s="4">
        <f>Regression!CB6</f>
        <v>8101194.9345182879</v>
      </c>
      <c r="D84" s="4">
        <f>Regression!CJ6</f>
        <v>8101194.9345182879</v>
      </c>
      <c r="E84" s="4">
        <f>Regression!AZ6</f>
        <v>500686.9013659489</v>
      </c>
      <c r="F84" s="4">
        <f>Regression!BL6</f>
        <v>378266635.19255412</v>
      </c>
      <c r="P84" s="25"/>
      <c r="Q84" s="25"/>
      <c r="R84" s="25"/>
      <c r="S84" s="25"/>
      <c r="T84" s="25"/>
    </row>
    <row r="85" spans="1:20" x14ac:dyDescent="0.2">
      <c r="A85" s="4" t="str">
        <f>'Raw Data'!A307</f>
        <v>Disk 34</v>
      </c>
      <c r="B85" s="4">
        <f>Regression!BT7</f>
        <v>530.86422109470925</v>
      </c>
      <c r="C85" s="4">
        <f>Regression!CB7</f>
        <v>134.15776826639961</v>
      </c>
      <c r="D85" s="4">
        <f>Regression!CJ7</f>
        <v>134.15776826639961</v>
      </c>
      <c r="E85" s="4">
        <f>Regression!AZ7</f>
        <v>115.48109350585042</v>
      </c>
      <c r="F85" s="4">
        <f>Regression!BL7</f>
        <v>2642.9535249181736</v>
      </c>
      <c r="P85" s="25"/>
      <c r="Q85" s="25"/>
      <c r="R85" s="25"/>
      <c r="S85" s="25"/>
      <c r="T85" s="25"/>
    </row>
    <row r="86" spans="1:20" x14ac:dyDescent="0.2">
      <c r="A86" s="4" t="str">
        <f>'Raw Data'!A308</f>
        <v>Disk 35</v>
      </c>
      <c r="B86" s="4">
        <f>Regression!BT8</f>
        <v>1659656.5690162715</v>
      </c>
      <c r="C86" s="4">
        <f>Regression!CB8</f>
        <v>208468.964116672</v>
      </c>
      <c r="D86" s="4">
        <f>Regression!CJ8</f>
        <v>208468.964116672</v>
      </c>
      <c r="E86" s="4">
        <f>Regression!AZ8</f>
        <v>198033.83038424782</v>
      </c>
      <c r="F86" s="4">
        <f>Regression!BL8</f>
        <v>3623742.7149147368</v>
      </c>
      <c r="P86" s="25"/>
      <c r="Q86" s="25"/>
      <c r="R86" s="25"/>
      <c r="S86" s="25"/>
      <c r="T86" s="25"/>
    </row>
    <row r="87" spans="1:20" x14ac:dyDescent="0.2">
      <c r="A87" s="4" t="str">
        <f>'Raw Data'!A309</f>
        <v>Disk 36</v>
      </c>
      <c r="B87" s="4">
        <f>Regression!BT9</f>
        <v>7304977.558925746</v>
      </c>
      <c r="C87" s="4">
        <f>Regression!CB9</f>
        <v>67120.52988140026</v>
      </c>
      <c r="D87" s="4">
        <f>Regression!CJ9</f>
        <v>67120.52988140026</v>
      </c>
      <c r="E87" s="4">
        <f>Regression!AZ9</f>
        <v>26483.739456939496</v>
      </c>
      <c r="F87" s="4">
        <f>Regression!BL9</f>
        <v>17137748.607810888</v>
      </c>
      <c r="P87" s="25"/>
      <c r="Q87" s="25"/>
      <c r="R87" s="25"/>
      <c r="S87" s="25"/>
      <c r="T87" s="25"/>
    </row>
    <row r="88" spans="1:20" x14ac:dyDescent="0.2">
      <c r="A88" s="4" t="str">
        <f>'Raw Data'!A310</f>
        <v>Disk 37</v>
      </c>
      <c r="B88" s="4">
        <f>Regression!BT10</f>
        <v>1841544.4647250962</v>
      </c>
      <c r="C88" s="4">
        <f>Regression!CB10</f>
        <v>13107.97613949902</v>
      </c>
      <c r="D88" s="4">
        <f>Regression!CJ10</f>
        <v>13107.97613949902</v>
      </c>
      <c r="E88" s="4">
        <f>Regression!AZ10</f>
        <v>4655.2625872928511</v>
      </c>
      <c r="F88" s="4">
        <f>Regression!BL10</f>
        <v>3965411.2841528859</v>
      </c>
      <c r="P88" s="25"/>
      <c r="Q88" s="25"/>
      <c r="R88" s="25"/>
      <c r="S88" s="25"/>
      <c r="T88" s="25"/>
    </row>
    <row r="89" spans="1:20" x14ac:dyDescent="0.2">
      <c r="A89" s="4" t="str">
        <f>'Raw Data'!A311</f>
        <v>Disk 38</v>
      </c>
      <c r="B89" s="4">
        <f>Regression!BT11</f>
        <v>858612458.07143974</v>
      </c>
      <c r="C89" s="4">
        <f>Regression!CB11</f>
        <v>8512482.2777026221</v>
      </c>
      <c r="D89" s="4">
        <f>Regression!CJ11</f>
        <v>8512482.2777026221</v>
      </c>
      <c r="E89" s="4">
        <f>Regression!AZ11</f>
        <v>4205001.6770665273</v>
      </c>
      <c r="F89" s="4">
        <f>Regression!BL11</f>
        <v>858612458.07279885</v>
      </c>
      <c r="P89" s="25"/>
      <c r="Q89" s="25"/>
      <c r="R89" s="25"/>
      <c r="S89" s="25"/>
      <c r="T89" s="25"/>
    </row>
    <row r="90" spans="1:20" x14ac:dyDescent="0.2">
      <c r="A90" s="4" t="str">
        <f>'Raw Data'!A312</f>
        <v>Disk 39</v>
      </c>
      <c r="B90" s="4">
        <f>Regression!BT12</f>
        <v>14185414.496163957</v>
      </c>
      <c r="C90" s="4">
        <f>Regression!CB12</f>
        <v>875121.741667578</v>
      </c>
      <c r="D90" s="4">
        <f>Regression!CJ12</f>
        <v>875121.741667578</v>
      </c>
      <c r="E90" s="4">
        <f>Regression!AZ12</f>
        <v>421095.04961568653</v>
      </c>
      <c r="F90" s="4">
        <f>Regression!BL12</f>
        <v>25339004.971757773</v>
      </c>
      <c r="P90" s="25"/>
      <c r="Q90" s="25"/>
      <c r="R90" s="25"/>
      <c r="S90" s="25"/>
      <c r="T90" s="25"/>
    </row>
    <row r="91" spans="1:20" x14ac:dyDescent="0.2">
      <c r="A91" s="4" t="str">
        <f>'Raw Data'!A313</f>
        <v>Disk 40</v>
      </c>
      <c r="B91" s="4">
        <f>Regression!BT13</f>
        <v>25425.800615428689</v>
      </c>
      <c r="C91" s="4">
        <f>Regression!CB13</f>
        <v>21369.823841616049</v>
      </c>
      <c r="D91" s="4">
        <f>Regression!CJ13</f>
        <v>21369.823841616049</v>
      </c>
      <c r="E91" s="4">
        <f>Regression!AZ13</f>
        <v>18580.90091048953</v>
      </c>
      <c r="F91" s="4">
        <f>Regression!BL13</f>
        <v>106517.54907318197</v>
      </c>
      <c r="P91" s="25"/>
      <c r="Q91" s="25"/>
      <c r="R91" s="25"/>
      <c r="S91" s="25"/>
      <c r="T91" s="25"/>
    </row>
    <row r="92" spans="1:20" x14ac:dyDescent="0.2">
      <c r="A92" s="4" t="str">
        <f>'Raw Data'!A314</f>
        <v>Disk 41</v>
      </c>
      <c r="B92" s="4">
        <f>Regression!BT14</f>
        <v>14910.908242327205</v>
      </c>
      <c r="C92" s="4">
        <f>Regression!CB14</f>
        <v>823.54305858272301</v>
      </c>
      <c r="D92" s="4">
        <f>Regression!CJ14</f>
        <v>823.54305858272301</v>
      </c>
      <c r="E92" s="4">
        <f>Regression!AZ14</f>
        <v>763.77827677787161</v>
      </c>
      <c r="F92" s="4">
        <f>Regression!BL14</f>
        <v>31862.221134848856</v>
      </c>
      <c r="P92" s="25"/>
      <c r="Q92" s="25"/>
      <c r="R92" s="25"/>
      <c r="S92" s="25"/>
      <c r="T92" s="25"/>
    </row>
    <row r="93" spans="1:20" x14ac:dyDescent="0.2">
      <c r="A93" s="4" t="str">
        <f>'Raw Data'!A315</f>
        <v>Disk 42</v>
      </c>
      <c r="B93" s="4">
        <f>Regression!BT15</f>
        <v>610.45948657979147</v>
      </c>
      <c r="C93" s="4">
        <f>Regression!CB15</f>
        <v>560.81215550944296</v>
      </c>
      <c r="D93" s="4">
        <f>Regression!CJ15</f>
        <v>560.81215550944296</v>
      </c>
      <c r="E93" s="4">
        <f>Regression!AZ15</f>
        <v>543.36601127997756</v>
      </c>
      <c r="F93" s="4">
        <f>Regression!BL15</f>
        <v>6695.2593724714598</v>
      </c>
      <c r="P93" s="25"/>
      <c r="Q93" s="25"/>
      <c r="R93" s="25"/>
      <c r="S93" s="25"/>
      <c r="T93" s="25"/>
    </row>
    <row r="94" spans="1:20" x14ac:dyDescent="0.2">
      <c r="A94" s="4" t="str">
        <f>'Raw Data'!A316</f>
        <v>Disk 43</v>
      </c>
      <c r="B94" s="4">
        <f>Regression!BT16</f>
        <v>14739.235862270525</v>
      </c>
      <c r="C94" s="4">
        <f>Regression!CB16</f>
        <v>10958.419529682375</v>
      </c>
      <c r="D94" s="4">
        <f>Regression!CJ16</f>
        <v>10958.419529682375</v>
      </c>
      <c r="E94" s="4">
        <f>Regression!AZ16</f>
        <v>14021.028786497958</v>
      </c>
      <c r="F94" s="4">
        <f>Regression!BL16</f>
        <v>14739.235862271305</v>
      </c>
      <c r="P94" s="25"/>
      <c r="Q94" s="25"/>
      <c r="R94" s="25"/>
      <c r="S94" s="25"/>
      <c r="T94" s="25"/>
    </row>
    <row r="95" spans="1:20" x14ac:dyDescent="0.2">
      <c r="A95" s="4" t="str">
        <f>'Raw Data'!A317</f>
        <v>Disk 44</v>
      </c>
      <c r="B95" s="4">
        <f>Regression!BT17</f>
        <v>587771.12048349949</v>
      </c>
      <c r="C95" s="4">
        <f>Regression!CB17</f>
        <v>73605.880441750385</v>
      </c>
      <c r="D95" s="4">
        <f>Regression!CJ17</f>
        <v>73605.880441750385</v>
      </c>
      <c r="E95" s="4">
        <f>Regression!AZ17</f>
        <v>73045.556292180583</v>
      </c>
      <c r="F95" s="4">
        <f>Regression!BL17</f>
        <v>1157472.1251357677</v>
      </c>
      <c r="P95" s="25"/>
      <c r="Q95" s="25"/>
      <c r="R95" s="25"/>
      <c r="S95" s="25"/>
      <c r="T95" s="25"/>
    </row>
    <row r="96" spans="1:20" x14ac:dyDescent="0.2">
      <c r="A96" s="4" t="str">
        <f>'Raw Data'!A318</f>
        <v>Disk 45</v>
      </c>
      <c r="B96" s="4">
        <f>Regression!BT18</f>
        <v>451721.15685586288</v>
      </c>
      <c r="C96" s="4">
        <f>Regression!CB18</f>
        <v>13026.485794505717</v>
      </c>
      <c r="D96" s="4">
        <f>Regression!CJ18</f>
        <v>13026.485794505717</v>
      </c>
      <c r="E96" s="4">
        <f>Regression!AZ18</f>
        <v>3000.0318297852523</v>
      </c>
      <c r="F96" s="4">
        <f>Regression!BL18</f>
        <v>1018127.372103584</v>
      </c>
      <c r="P96" s="25"/>
      <c r="Q96" s="25"/>
      <c r="R96" s="25"/>
      <c r="S96" s="25"/>
      <c r="T96" s="25"/>
    </row>
    <row r="97" spans="1:6" x14ac:dyDescent="0.2">
      <c r="A97" s="4" t="str">
        <f>'Raw Data'!A319</f>
        <v>Disk 46</v>
      </c>
      <c r="B97" s="4">
        <f>Regression!BT19</f>
        <v>57061631.391170062</v>
      </c>
      <c r="C97" s="4">
        <f>Regression!CB19</f>
        <v>231801.17403691274</v>
      </c>
      <c r="D97" s="4">
        <f>Regression!CJ19</f>
        <v>231801.17403691274</v>
      </c>
      <c r="E97" s="4">
        <f>Regression!AZ19</f>
        <v>146495.9654671532</v>
      </c>
      <c r="F97" s="4">
        <f>Regression!BL19</f>
        <v>96792498.542773306</v>
      </c>
    </row>
    <row r="98" spans="1:6" x14ac:dyDescent="0.2">
      <c r="A98" s="4" t="str">
        <f>'Raw Data'!A320</f>
        <v>Disk 47</v>
      </c>
      <c r="B98" s="4">
        <f>Regression!BT20</f>
        <v>173512836.32519463</v>
      </c>
      <c r="C98" s="4">
        <f>Regression!CB20</f>
        <v>456845.4343133588</v>
      </c>
      <c r="D98" s="4">
        <f>Regression!CJ20</f>
        <v>456845.4343133588</v>
      </c>
      <c r="E98" s="4">
        <f>Regression!AZ20</f>
        <v>68975.6630602816</v>
      </c>
      <c r="F98" s="4">
        <f>Regression!BL20</f>
        <v>297449814.21382719</v>
      </c>
    </row>
    <row r="99" spans="1:6" x14ac:dyDescent="0.2">
      <c r="A99" s="4" t="str">
        <f>'Raw Data'!A321</f>
        <v>Disk 48</v>
      </c>
      <c r="B99" s="4">
        <f>Regression!BT21</f>
        <v>23210.868698717244</v>
      </c>
      <c r="C99" s="4">
        <f>Regression!CB21</f>
        <v>3237.3420399298689</v>
      </c>
      <c r="D99" s="4">
        <f>Regression!CJ21</f>
        <v>3237.3420399298689</v>
      </c>
      <c r="E99" s="4">
        <f>Regression!AZ21</f>
        <v>3302.2309661669219</v>
      </c>
      <c r="F99" s="4">
        <f>Regression!BL21</f>
        <v>69155.249899837901</v>
      </c>
    </row>
    <row r="100" spans="1:6" x14ac:dyDescent="0.2">
      <c r="A100" s="4" t="str">
        <f>'Raw Data'!A322</f>
        <v>Disk 49</v>
      </c>
      <c r="B100" s="4">
        <f>Regression!BT22</f>
        <v>19217.726279578314</v>
      </c>
      <c r="C100" s="4">
        <f>Regression!CB22</f>
        <v>16672.310949544382</v>
      </c>
      <c r="D100" s="4">
        <f>Regression!CJ22</f>
        <v>16672.310949544382</v>
      </c>
      <c r="E100" s="4">
        <f>Regression!AZ22</f>
        <v>16674.855169043673</v>
      </c>
      <c r="F100" s="4">
        <f>Regression!BL22</f>
        <v>57426.559556770408</v>
      </c>
    </row>
  </sheetData>
  <phoneticPr fontId="5" type="noConversion"/>
  <pageMargins left="0.75" right="0.75" top="1" bottom="1" header="0.5" footer="0.5"/>
  <pageSetup orientation="landscape" horizontalDpi="4294967292" verticalDpi="4294967292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93"/>
  <sheetViews>
    <sheetView zoomScale="75" workbookViewId="0">
      <selection activeCell="Y92" sqref="Y92"/>
    </sheetView>
  </sheetViews>
  <sheetFormatPr defaultColWidth="11.1640625" defaultRowHeight="12" x14ac:dyDescent="0.2"/>
  <cols>
    <col min="1" max="1" width="12" customWidth="1"/>
    <col min="2" max="4" width="11.1640625" customWidth="1"/>
    <col min="5" max="5" width="12.33203125" bestFit="1" customWidth="1"/>
    <col min="6" max="6" width="12.6640625" customWidth="1"/>
    <col min="18" max="22" width="0" hidden="1" customWidth="1"/>
  </cols>
  <sheetData>
    <row r="1" spans="1:25" x14ac:dyDescent="0.2">
      <c r="A1" s="5" t="s">
        <v>158</v>
      </c>
    </row>
    <row r="2" spans="1:25" ht="18.75" x14ac:dyDescent="0.3">
      <c r="X2" s="21" t="s">
        <v>14</v>
      </c>
    </row>
    <row r="3" spans="1:25" ht="12.75" thickBot="1" x14ac:dyDescent="0.25"/>
    <row r="4" spans="1:25" ht="13.5" thickBot="1" x14ac:dyDescent="0.25">
      <c r="X4" s="299" t="str">
        <f>'Raw Data'!$A$303&amp;" ="</f>
        <v>Disk 30 =</v>
      </c>
      <c r="Y4" s="300">
        <v>1</v>
      </c>
    </row>
    <row r="5" spans="1:25" ht="13.5" thickBot="1" x14ac:dyDescent="0.25">
      <c r="X5" s="22"/>
    </row>
    <row r="6" spans="1:25" ht="13.5" thickBot="1" x14ac:dyDescent="0.25">
      <c r="X6" s="299" t="str">
        <f>'Raw Data'!$A$304&amp;" ="</f>
        <v>Disk 31 =</v>
      </c>
      <c r="Y6" s="300">
        <v>1</v>
      </c>
    </row>
    <row r="7" spans="1:25" ht="13.5" thickBot="1" x14ac:dyDescent="0.25">
      <c r="X7" s="22"/>
    </row>
    <row r="8" spans="1:25" ht="13.5" thickBot="1" x14ac:dyDescent="0.25">
      <c r="X8" s="299" t="str">
        <f>'Raw Data'!$A$305&amp;" ="</f>
        <v>Disk 32 =</v>
      </c>
      <c r="Y8" s="300">
        <v>0</v>
      </c>
    </row>
    <row r="9" spans="1:25" ht="13.5" thickBot="1" x14ac:dyDescent="0.25">
      <c r="X9" s="22"/>
    </row>
    <row r="10" spans="1:25" ht="13.5" thickBot="1" x14ac:dyDescent="0.25">
      <c r="X10" s="299" t="str">
        <f>'Raw Data'!$A$306&amp;" ="</f>
        <v>Disk 33 =</v>
      </c>
      <c r="Y10" s="300">
        <v>1</v>
      </c>
    </row>
    <row r="25" spans="19:25" ht="12.75" thickBot="1" x14ac:dyDescent="0.25">
      <c r="S25" s="24"/>
    </row>
    <row r="26" spans="19:25" ht="13.5" thickBot="1" x14ac:dyDescent="0.25">
      <c r="X26" s="299" t="str">
        <f>'Raw Data'!$A$307&amp;" ="</f>
        <v>Disk 34 =</v>
      </c>
      <c r="Y26" s="300">
        <v>0</v>
      </c>
    </row>
    <row r="27" spans="19:25" ht="13.5" thickBot="1" x14ac:dyDescent="0.25">
      <c r="X27" s="22"/>
    </row>
    <row r="28" spans="19:25" ht="13.5" thickBot="1" x14ac:dyDescent="0.25">
      <c r="X28" s="299" t="str">
        <f>'Raw Data'!$A$308&amp;" ="</f>
        <v>Disk 35 =</v>
      </c>
      <c r="Y28" s="300">
        <v>1</v>
      </c>
    </row>
    <row r="29" spans="19:25" ht="13.5" thickBot="1" x14ac:dyDescent="0.25">
      <c r="X29" s="22"/>
    </row>
    <row r="30" spans="19:25" ht="13.5" thickBot="1" x14ac:dyDescent="0.25">
      <c r="X30" s="299" t="str">
        <f>'Raw Data'!$A$309&amp;" ="</f>
        <v>Disk 36 =</v>
      </c>
      <c r="Y30" s="300">
        <v>1</v>
      </c>
    </row>
    <row r="31" spans="19:25" ht="13.5" thickBot="1" x14ac:dyDescent="0.25">
      <c r="X31" s="22"/>
    </row>
    <row r="32" spans="19:25" ht="13.5" thickBot="1" x14ac:dyDescent="0.25">
      <c r="X32" s="299" t="str">
        <f>'Raw Data'!$A$310&amp;" ="</f>
        <v>Disk 37 =</v>
      </c>
      <c r="Y32" s="300">
        <v>1</v>
      </c>
    </row>
    <row r="45" spans="24:25" ht="12.75" thickBot="1" x14ac:dyDescent="0.25"/>
    <row r="46" spans="24:25" ht="13.5" thickBot="1" x14ac:dyDescent="0.25">
      <c r="X46" s="299" t="str">
        <f>'Raw Data'!$A$311&amp;" ="</f>
        <v>Disk 38 =</v>
      </c>
      <c r="Y46" s="300">
        <v>1</v>
      </c>
    </row>
    <row r="47" spans="24:25" ht="13.5" thickBot="1" x14ac:dyDescent="0.25">
      <c r="X47" s="22"/>
    </row>
    <row r="48" spans="24:25" ht="13.5" thickBot="1" x14ac:dyDescent="0.25">
      <c r="X48" s="299" t="str">
        <f>'Raw Data'!$A$312&amp;" ="</f>
        <v>Disk 39 =</v>
      </c>
      <c r="Y48" s="300">
        <v>1</v>
      </c>
    </row>
    <row r="49" spans="24:25" ht="13.5" thickBot="1" x14ac:dyDescent="0.25">
      <c r="X49" s="22"/>
    </row>
    <row r="50" spans="24:25" ht="13.5" thickBot="1" x14ac:dyDescent="0.25">
      <c r="X50" s="299" t="str">
        <f>'Raw Data'!$A$313&amp;" ="</f>
        <v>Disk 40 =</v>
      </c>
      <c r="Y50" s="300">
        <v>0</v>
      </c>
    </row>
    <row r="51" spans="24:25" ht="13.5" thickBot="1" x14ac:dyDescent="0.25">
      <c r="X51" s="22"/>
    </row>
    <row r="52" spans="24:25" ht="13.5" thickBot="1" x14ac:dyDescent="0.25">
      <c r="X52" s="299" t="str">
        <f>'Raw Data'!$A$314&amp;" ="</f>
        <v>Disk 41 =</v>
      </c>
      <c r="Y52" s="300">
        <v>1</v>
      </c>
    </row>
    <row r="61" spans="24:25" x14ac:dyDescent="0.2">
      <c r="X61" s="75"/>
      <c r="Y61" s="75"/>
    </row>
    <row r="62" spans="24:25" x14ac:dyDescent="0.2">
      <c r="X62" s="75"/>
      <c r="Y62" s="75"/>
    </row>
    <row r="63" spans="24:25" ht="12.75" thickBot="1" x14ac:dyDescent="0.25">
      <c r="X63" s="75"/>
      <c r="Y63" s="75"/>
    </row>
    <row r="64" spans="24:25" ht="13.5" thickBot="1" x14ac:dyDescent="0.25">
      <c r="X64" s="299" t="str">
        <f>'Raw Data'!$A$315&amp;" ="</f>
        <v>Disk 42 =</v>
      </c>
      <c r="Y64" s="300">
        <v>0</v>
      </c>
    </row>
    <row r="65" spans="23:27" ht="13.5" thickBot="1" x14ac:dyDescent="0.25">
      <c r="X65" s="22"/>
    </row>
    <row r="66" spans="23:27" ht="13.5" thickBot="1" x14ac:dyDescent="0.25">
      <c r="X66" s="299" t="str">
        <f>'Raw Data'!$A$316&amp;" ="</f>
        <v>Disk 43 =</v>
      </c>
      <c r="Y66" s="300">
        <v>0</v>
      </c>
    </row>
    <row r="67" spans="23:27" ht="13.5" thickBot="1" x14ac:dyDescent="0.25">
      <c r="X67" s="301"/>
      <c r="Y67" s="75"/>
    </row>
    <row r="68" spans="23:27" ht="13.5" thickBot="1" x14ac:dyDescent="0.25">
      <c r="X68" s="299" t="str">
        <f>'Raw Data'!$A$317&amp;" ="</f>
        <v>Disk 44 =</v>
      </c>
      <c r="Y68" s="300">
        <v>1</v>
      </c>
    </row>
    <row r="69" spans="23:27" ht="13.5" thickBot="1" x14ac:dyDescent="0.25">
      <c r="X69" s="301"/>
      <c r="Y69" s="75"/>
    </row>
    <row r="70" spans="23:27" ht="13.5" thickBot="1" x14ac:dyDescent="0.25">
      <c r="W70" s="25"/>
      <c r="X70" s="299" t="str">
        <f>'Raw Data'!$A$318&amp;" ="</f>
        <v>Disk 45 =</v>
      </c>
      <c r="Y70" s="300">
        <v>1</v>
      </c>
      <c r="AA70" s="25"/>
    </row>
    <row r="71" spans="23:27" x14ac:dyDescent="0.2">
      <c r="W71" s="25"/>
      <c r="AA71" s="25"/>
    </row>
    <row r="72" spans="23:27" x14ac:dyDescent="0.2">
      <c r="W72" s="25"/>
      <c r="AA72" s="25"/>
    </row>
    <row r="73" spans="23:27" x14ac:dyDescent="0.2">
      <c r="W73" s="25"/>
      <c r="AA73" s="25"/>
    </row>
    <row r="74" spans="23:27" x14ac:dyDescent="0.2">
      <c r="W74" s="25"/>
      <c r="AA74" s="25"/>
    </row>
    <row r="75" spans="23:27" x14ac:dyDescent="0.2">
      <c r="W75" s="25"/>
      <c r="AA75" s="25"/>
    </row>
    <row r="76" spans="23:27" x14ac:dyDescent="0.2">
      <c r="W76" s="25"/>
      <c r="AA76" s="25"/>
    </row>
    <row r="77" spans="23:27" x14ac:dyDescent="0.2">
      <c r="W77" s="25"/>
      <c r="AA77" s="25"/>
    </row>
    <row r="78" spans="23:27" x14ac:dyDescent="0.2">
      <c r="W78" s="25"/>
      <c r="AA78" s="25"/>
    </row>
    <row r="79" spans="23:27" x14ac:dyDescent="0.2">
      <c r="W79" s="25"/>
      <c r="X79" s="24"/>
      <c r="Y79" s="24"/>
      <c r="Z79" s="25"/>
      <c r="AA79" s="25"/>
    </row>
    <row r="80" spans="23:27" x14ac:dyDescent="0.2">
      <c r="X80" s="75"/>
      <c r="Y80" s="75"/>
    </row>
    <row r="81" spans="24:26" x14ac:dyDescent="0.2">
      <c r="X81" s="75"/>
      <c r="Y81" s="75"/>
    </row>
    <row r="82" spans="24:26" x14ac:dyDescent="0.2">
      <c r="X82" s="75"/>
      <c r="Y82" s="75"/>
    </row>
    <row r="85" spans="24:26" ht="12.75" thickBot="1" x14ac:dyDescent="0.25">
      <c r="X85" s="24"/>
      <c r="Y85" s="24"/>
      <c r="Z85" s="25"/>
    </row>
    <row r="86" spans="24:26" ht="13.5" thickBot="1" x14ac:dyDescent="0.25">
      <c r="X86" s="299" t="str">
        <f>'Raw Data'!$A$319&amp;" ="</f>
        <v>Disk 46 =</v>
      </c>
      <c r="Y86" s="300">
        <v>1</v>
      </c>
      <c r="Z86" s="25"/>
    </row>
    <row r="87" spans="24:26" ht="13.5" thickBot="1" x14ac:dyDescent="0.25">
      <c r="X87" s="353"/>
      <c r="Y87" s="24"/>
      <c r="Z87" s="25"/>
    </row>
    <row r="88" spans="24:26" ht="13.5" thickBot="1" x14ac:dyDescent="0.25">
      <c r="X88" s="299" t="str">
        <f>'Raw Data'!$A$320&amp;" ="</f>
        <v>Disk 47 =</v>
      </c>
      <c r="Y88" s="300">
        <v>1</v>
      </c>
      <c r="Z88" s="25"/>
    </row>
    <row r="89" spans="24:26" ht="12.75" thickBot="1" x14ac:dyDescent="0.25">
      <c r="X89" s="24"/>
      <c r="Y89" s="24"/>
      <c r="Z89" s="25"/>
    </row>
    <row r="90" spans="24:26" ht="13.5" thickBot="1" x14ac:dyDescent="0.25">
      <c r="X90" s="299" t="str">
        <f>'Raw Data'!$A$321&amp;" ="</f>
        <v>Disk 48 =</v>
      </c>
      <c r="Y90" s="300">
        <v>1</v>
      </c>
      <c r="Z90" s="25"/>
    </row>
    <row r="91" spans="24:26" ht="13.5" thickBot="1" x14ac:dyDescent="0.25">
      <c r="X91" s="353"/>
      <c r="Y91" s="24"/>
      <c r="Z91" s="25"/>
    </row>
    <row r="92" spans="24:26" ht="13.5" thickBot="1" x14ac:dyDescent="0.25">
      <c r="X92" s="299" t="str">
        <f>'Raw Data'!$A$322&amp;" ="</f>
        <v>Disk 49 =</v>
      </c>
      <c r="Y92" s="300">
        <v>0</v>
      </c>
      <c r="Z92" s="25"/>
    </row>
    <row r="93" spans="24:26" x14ac:dyDescent="0.2">
      <c r="X93" s="24"/>
      <c r="Y93" s="24"/>
      <c r="Z93" s="25"/>
    </row>
  </sheetData>
  <phoneticPr fontId="5" type="noConversion"/>
  <pageMargins left="0.75" right="0.75" top="1" bottom="1" header="0.5" footer="0.5"/>
  <pageSetup paperSize="0" orientation="landscape" horizontalDpi="4294967292" verticalDpi="4294967292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A103"/>
  <sheetViews>
    <sheetView topLeftCell="A15" zoomScale="85" zoomScaleNormal="85" workbookViewId="0">
      <selection activeCell="Z78" sqref="Z78"/>
    </sheetView>
  </sheetViews>
  <sheetFormatPr defaultColWidth="12" defaultRowHeight="12" x14ac:dyDescent="0.2"/>
  <cols>
    <col min="16" max="22" width="0" hidden="1" customWidth="1"/>
  </cols>
  <sheetData>
    <row r="2" spans="24:27" ht="18.75" x14ac:dyDescent="0.3">
      <c r="X2" s="21" t="s">
        <v>14</v>
      </c>
    </row>
    <row r="3" spans="24:27" ht="12.75" thickBot="1" x14ac:dyDescent="0.25"/>
    <row r="4" spans="24:27" ht="13.5" thickBot="1" x14ac:dyDescent="0.25">
      <c r="X4" s="299" t="str">
        <f>'Raw Data'!$A$303&amp;" ="</f>
        <v>Disk 30 =</v>
      </c>
      <c r="Y4" s="300">
        <v>1</v>
      </c>
      <c r="AA4" s="24"/>
    </row>
    <row r="5" spans="24:27" ht="13.5" thickBot="1" x14ac:dyDescent="0.25">
      <c r="X5" s="22"/>
      <c r="AA5" s="24"/>
    </row>
    <row r="6" spans="24:27" ht="13.5" thickBot="1" x14ac:dyDescent="0.25">
      <c r="X6" s="299" t="str">
        <f>'Raw Data'!$A$304&amp;" ="</f>
        <v>Disk 31 =</v>
      </c>
      <c r="Y6" s="300">
        <v>0</v>
      </c>
      <c r="AA6" s="24"/>
    </row>
    <row r="7" spans="24:27" ht="13.5" thickBot="1" x14ac:dyDescent="0.25">
      <c r="X7" s="22"/>
      <c r="AA7" s="24"/>
    </row>
    <row r="8" spans="24:27" ht="13.5" thickBot="1" x14ac:dyDescent="0.25">
      <c r="X8" s="299" t="str">
        <f>'Raw Data'!$A$305&amp;" ="</f>
        <v>Disk 32 =</v>
      </c>
      <c r="Y8" s="300">
        <v>1</v>
      </c>
      <c r="AA8" s="24"/>
    </row>
    <row r="9" spans="24:27" ht="13.5" thickBot="1" x14ac:dyDescent="0.25">
      <c r="X9" s="22"/>
      <c r="AA9" s="24"/>
    </row>
    <row r="10" spans="24:27" ht="13.5" thickBot="1" x14ac:dyDescent="0.25">
      <c r="X10" s="299" t="str">
        <f>'Raw Data'!$A$306&amp;" ="</f>
        <v>Disk 33 =</v>
      </c>
      <c r="Y10" s="300">
        <v>1</v>
      </c>
      <c r="AA10" s="24"/>
    </row>
    <row r="11" spans="24:27" x14ac:dyDescent="0.2">
      <c r="AA11" s="24"/>
    </row>
    <row r="12" spans="24:27" x14ac:dyDescent="0.2">
      <c r="AA12" s="24"/>
    </row>
    <row r="13" spans="24:27" x14ac:dyDescent="0.2">
      <c r="AA13" s="24"/>
    </row>
    <row r="14" spans="24:27" x14ac:dyDescent="0.2">
      <c r="AA14" s="24"/>
    </row>
    <row r="15" spans="24:27" x14ac:dyDescent="0.2">
      <c r="AA15" s="24"/>
    </row>
    <row r="16" spans="24:27" x14ac:dyDescent="0.2">
      <c r="AA16" s="24"/>
    </row>
    <row r="17" spans="17:27" x14ac:dyDescent="0.2">
      <c r="AA17" s="24"/>
    </row>
    <row r="18" spans="17:27" x14ac:dyDescent="0.2">
      <c r="AA18" s="24"/>
    </row>
    <row r="19" spans="17:27" x14ac:dyDescent="0.2">
      <c r="AA19" s="24"/>
    </row>
    <row r="20" spans="17:27" ht="12.75" thickBot="1" x14ac:dyDescent="0.25">
      <c r="AA20" s="24"/>
    </row>
    <row r="21" spans="17:27" ht="13.5" thickBot="1" x14ac:dyDescent="0.25">
      <c r="X21" s="299" t="str">
        <f>'Raw Data'!$A$307&amp;" ="</f>
        <v>Disk 34 =</v>
      </c>
      <c r="Y21" s="300">
        <v>1</v>
      </c>
      <c r="AA21" s="24"/>
    </row>
    <row r="22" spans="17:27" ht="13.5" thickBot="1" x14ac:dyDescent="0.25">
      <c r="X22" s="22"/>
      <c r="AA22" s="24"/>
    </row>
    <row r="23" spans="17:27" ht="13.5" thickBot="1" x14ac:dyDescent="0.25">
      <c r="X23" s="299" t="str">
        <f>'Raw Data'!$A$308&amp;" ="</f>
        <v>Disk 35 =</v>
      </c>
      <c r="Y23" s="300">
        <v>0</v>
      </c>
      <c r="AA23" s="24"/>
    </row>
    <row r="24" spans="17:27" ht="13.5" thickBot="1" x14ac:dyDescent="0.25">
      <c r="X24" s="22"/>
      <c r="AA24" s="24"/>
    </row>
    <row r="25" spans="17:27" ht="13.5" thickBot="1" x14ac:dyDescent="0.25">
      <c r="X25" s="299" t="str">
        <f>'Raw Data'!$A$309&amp;" ="</f>
        <v>Disk 36 =</v>
      </c>
      <c r="Y25" s="300">
        <v>1</v>
      </c>
      <c r="AA25" s="24"/>
    </row>
    <row r="26" spans="17:27" ht="13.5" thickBot="1" x14ac:dyDescent="0.25">
      <c r="X26" s="22"/>
      <c r="AA26" s="24"/>
    </row>
    <row r="27" spans="17:27" ht="13.5" thickBot="1" x14ac:dyDescent="0.25">
      <c r="Q27" s="24"/>
      <c r="X27" s="299" t="str">
        <f>'Raw Data'!$A$310&amp;" ="</f>
        <v>Disk 37 =</v>
      </c>
      <c r="Y27" s="300">
        <v>1</v>
      </c>
      <c r="AA27" s="24"/>
    </row>
    <row r="28" spans="17:27" x14ac:dyDescent="0.2">
      <c r="AA28" s="24"/>
    </row>
    <row r="29" spans="17:27" x14ac:dyDescent="0.2">
      <c r="AA29" s="24"/>
    </row>
    <row r="30" spans="17:27" x14ac:dyDescent="0.2">
      <c r="AA30" s="24"/>
    </row>
    <row r="31" spans="17:27" x14ac:dyDescent="0.2">
      <c r="AA31" s="24"/>
    </row>
    <row r="32" spans="17:27" x14ac:dyDescent="0.2">
      <c r="AA32" s="24"/>
    </row>
    <row r="33" spans="24:27" x14ac:dyDescent="0.2">
      <c r="AA33" s="24"/>
    </row>
    <row r="34" spans="24:27" x14ac:dyDescent="0.2">
      <c r="AA34" s="24"/>
    </row>
    <row r="35" spans="24:27" x14ac:dyDescent="0.2">
      <c r="AA35" s="24"/>
    </row>
    <row r="36" spans="24:27" ht="12.75" thickBot="1" x14ac:dyDescent="0.25">
      <c r="AA36" s="24"/>
    </row>
    <row r="37" spans="24:27" ht="13.5" thickBot="1" x14ac:dyDescent="0.25">
      <c r="X37" s="299" t="str">
        <f>'Raw Data'!$A$311&amp;" ="</f>
        <v>Disk 38 =</v>
      </c>
      <c r="Y37" s="300">
        <v>1</v>
      </c>
      <c r="AA37" s="24"/>
    </row>
    <row r="38" spans="24:27" ht="13.5" thickBot="1" x14ac:dyDescent="0.25">
      <c r="X38" s="22"/>
      <c r="AA38" s="24"/>
    </row>
    <row r="39" spans="24:27" ht="13.5" thickBot="1" x14ac:dyDescent="0.25">
      <c r="X39" s="299" t="str">
        <f>'Raw Data'!$A$312&amp;" ="</f>
        <v>Disk 39 =</v>
      </c>
      <c r="Y39" s="300">
        <v>1</v>
      </c>
      <c r="AA39" s="24"/>
    </row>
    <row r="40" spans="24:27" ht="13.5" thickBot="1" x14ac:dyDescent="0.25">
      <c r="X40" s="301"/>
      <c r="Y40" s="75"/>
      <c r="AA40" s="24"/>
    </row>
    <row r="41" spans="24:27" ht="13.5" thickBot="1" x14ac:dyDescent="0.25">
      <c r="X41" s="299" t="str">
        <f>'Raw Data'!$A$313&amp;" ="</f>
        <v>Disk 40 =</v>
      </c>
      <c r="Y41" s="300">
        <v>0</v>
      </c>
      <c r="AA41" s="24"/>
    </row>
    <row r="42" spans="24:27" ht="13.5" thickBot="1" x14ac:dyDescent="0.25">
      <c r="X42" s="301"/>
      <c r="Y42" s="75"/>
      <c r="AA42" s="24"/>
    </row>
    <row r="43" spans="24:27" ht="13.5" thickBot="1" x14ac:dyDescent="0.25">
      <c r="X43" s="299" t="str">
        <f>'Raw Data'!$A$314&amp;" ="</f>
        <v>Disk 41 =</v>
      </c>
      <c r="Y43" s="300">
        <v>1</v>
      </c>
      <c r="AA43" s="24"/>
    </row>
    <row r="44" spans="24:27" x14ac:dyDescent="0.2">
      <c r="X44" s="75"/>
      <c r="Y44" s="75"/>
      <c r="AA44" s="24"/>
    </row>
    <row r="45" spans="24:27" x14ac:dyDescent="0.2">
      <c r="X45" s="75"/>
      <c r="Y45" s="75"/>
      <c r="AA45" s="24"/>
    </row>
    <row r="46" spans="24:27" x14ac:dyDescent="0.2">
      <c r="X46" s="75"/>
      <c r="Y46" s="75"/>
      <c r="AA46" s="24"/>
    </row>
    <row r="47" spans="24:27" x14ac:dyDescent="0.2">
      <c r="X47" s="75"/>
      <c r="Y47" s="75"/>
      <c r="AA47" s="24"/>
    </row>
    <row r="48" spans="24:27" x14ac:dyDescent="0.2">
      <c r="X48" s="75"/>
      <c r="Y48" s="75"/>
      <c r="AA48" s="24"/>
    </row>
    <row r="49" spans="17:27" x14ac:dyDescent="0.2">
      <c r="Q49" s="14"/>
      <c r="X49" s="75"/>
      <c r="Y49" s="75"/>
      <c r="AA49" s="352"/>
    </row>
    <row r="50" spans="17:27" x14ac:dyDescent="0.2">
      <c r="X50" s="75"/>
      <c r="Y50" s="75"/>
      <c r="AA50" s="24"/>
    </row>
    <row r="51" spans="17:27" x14ac:dyDescent="0.2">
      <c r="X51" s="75"/>
      <c r="Y51" s="75"/>
      <c r="AA51" s="24"/>
    </row>
    <row r="52" spans="17:27" x14ac:dyDescent="0.2">
      <c r="X52" s="75"/>
      <c r="Y52" s="75"/>
      <c r="AA52" s="24"/>
    </row>
    <row r="53" spans="17:27" ht="12.75" thickBot="1" x14ac:dyDescent="0.25">
      <c r="X53" s="24"/>
      <c r="Y53" s="24"/>
      <c r="AA53" s="24"/>
    </row>
    <row r="54" spans="17:27" ht="13.5" thickBot="1" x14ac:dyDescent="0.25">
      <c r="X54" s="299" t="str">
        <f>'Raw Data'!$A$315&amp;" ="</f>
        <v>Disk 42 =</v>
      </c>
      <c r="Y54" s="300">
        <v>1</v>
      </c>
      <c r="AA54" s="24"/>
    </row>
    <row r="55" spans="17:27" ht="13.5" thickBot="1" x14ac:dyDescent="0.25">
      <c r="X55" s="22"/>
      <c r="AA55" s="24"/>
    </row>
    <row r="56" spans="17:27" ht="13.5" thickBot="1" x14ac:dyDescent="0.25">
      <c r="X56" s="299" t="str">
        <f>'Raw Data'!$A$316&amp;" ="</f>
        <v>Disk 43 =</v>
      </c>
      <c r="Y56" s="300">
        <v>0</v>
      </c>
      <c r="AA56" s="24"/>
    </row>
    <row r="57" spans="17:27" ht="13.5" thickBot="1" x14ac:dyDescent="0.25">
      <c r="X57" s="301"/>
      <c r="Y57" s="75"/>
      <c r="AA57" s="24"/>
    </row>
    <row r="58" spans="17:27" ht="13.5" thickBot="1" x14ac:dyDescent="0.25">
      <c r="X58" s="299" t="str">
        <f>'Raw Data'!$A$317&amp;" ="</f>
        <v>Disk 44 =</v>
      </c>
      <c r="Y58" s="300">
        <v>1</v>
      </c>
      <c r="AA58" s="24"/>
    </row>
    <row r="59" spans="17:27" ht="13.5" thickBot="1" x14ac:dyDescent="0.25">
      <c r="X59" s="301"/>
      <c r="Y59" s="75"/>
      <c r="AA59" s="24"/>
    </row>
    <row r="60" spans="17:27" ht="13.5" thickBot="1" x14ac:dyDescent="0.25">
      <c r="X60" s="299" t="str">
        <f>'Raw Data'!$A$318&amp;" ="</f>
        <v>Disk 45 =</v>
      </c>
      <c r="Y60" s="300">
        <v>1</v>
      </c>
      <c r="AA60" s="24"/>
    </row>
    <row r="61" spans="17:27" x14ac:dyDescent="0.2">
      <c r="X61" s="75"/>
      <c r="Y61" s="75"/>
      <c r="AA61" s="24"/>
    </row>
    <row r="62" spans="17:27" x14ac:dyDescent="0.2">
      <c r="X62" s="75"/>
      <c r="Y62" s="75"/>
      <c r="AA62" s="24"/>
    </row>
    <row r="63" spans="17:27" x14ac:dyDescent="0.2">
      <c r="X63" s="75"/>
      <c r="Y63" s="75"/>
      <c r="AA63" s="24"/>
    </row>
    <row r="64" spans="17:27" x14ac:dyDescent="0.2">
      <c r="X64" s="75"/>
      <c r="Y64" s="75"/>
      <c r="AA64" s="24"/>
    </row>
    <row r="65" spans="24:27" x14ac:dyDescent="0.2">
      <c r="X65" s="75"/>
      <c r="Y65" s="75"/>
      <c r="AA65" s="24"/>
    </row>
    <row r="66" spans="24:27" x14ac:dyDescent="0.2">
      <c r="X66" s="75"/>
      <c r="Y66" s="75"/>
      <c r="AA66" s="24"/>
    </row>
    <row r="67" spans="24:27" x14ac:dyDescent="0.2">
      <c r="X67" s="75"/>
      <c r="Y67" s="75"/>
      <c r="AA67" s="24"/>
    </row>
    <row r="68" spans="24:27" x14ac:dyDescent="0.2">
      <c r="X68" s="75"/>
      <c r="Y68" s="75"/>
      <c r="AA68" s="24"/>
    </row>
    <row r="69" spans="24:27" x14ac:dyDescent="0.2">
      <c r="X69" s="75"/>
      <c r="Y69" s="75"/>
      <c r="AA69" s="24"/>
    </row>
    <row r="70" spans="24:27" ht="12.75" thickBot="1" x14ac:dyDescent="0.25">
      <c r="X70" s="24"/>
      <c r="Y70" s="24"/>
      <c r="AA70" s="24"/>
    </row>
    <row r="71" spans="24:27" ht="13.5" thickBot="1" x14ac:dyDescent="0.25">
      <c r="X71" s="299" t="str">
        <f>'Raw Data'!$A$319&amp;" ="</f>
        <v>Disk 46 =</v>
      </c>
      <c r="Y71" s="300">
        <v>1</v>
      </c>
      <c r="AA71" s="24"/>
    </row>
    <row r="72" spans="24:27" ht="13.5" thickBot="1" x14ac:dyDescent="0.25">
      <c r="X72" s="353"/>
      <c r="Y72" s="24"/>
      <c r="AA72" s="24"/>
    </row>
    <row r="73" spans="24:27" ht="13.5" thickBot="1" x14ac:dyDescent="0.25">
      <c r="X73" s="299" t="str">
        <f>'Raw Data'!$A$320&amp;" ="</f>
        <v>Disk 47 =</v>
      </c>
      <c r="Y73" s="300">
        <v>1</v>
      </c>
      <c r="AA73" s="24"/>
    </row>
    <row r="74" spans="24:27" ht="12.75" thickBot="1" x14ac:dyDescent="0.25">
      <c r="X74" s="24"/>
      <c r="Y74" s="24"/>
      <c r="AA74" s="24"/>
    </row>
    <row r="75" spans="24:27" ht="13.5" thickBot="1" x14ac:dyDescent="0.25">
      <c r="X75" s="299" t="str">
        <f>'Raw Data'!$A$321&amp;" ="</f>
        <v>Disk 48 =</v>
      </c>
      <c r="Y75" s="300">
        <v>1</v>
      </c>
      <c r="AA75" s="24"/>
    </row>
    <row r="76" spans="24:27" ht="13.5" thickBot="1" x14ac:dyDescent="0.25">
      <c r="X76" s="353"/>
      <c r="Y76" s="24"/>
      <c r="AA76" s="24"/>
    </row>
    <row r="77" spans="24:27" ht="13.5" thickBot="1" x14ac:dyDescent="0.25">
      <c r="X77" s="299" t="str">
        <f>'Raw Data'!$A$322&amp;" ="</f>
        <v>Disk 49 =</v>
      </c>
      <c r="Y77" s="300">
        <v>0</v>
      </c>
      <c r="AA77" s="24"/>
    </row>
    <row r="78" spans="24:27" x14ac:dyDescent="0.2">
      <c r="X78" s="25"/>
      <c r="Y78" s="25"/>
      <c r="AA78" s="24"/>
    </row>
    <row r="79" spans="24:27" x14ac:dyDescent="0.2">
      <c r="AA79" s="24"/>
    </row>
    <row r="102" spans="2:4" x14ac:dyDescent="0.2">
      <c r="B102">
        <v>0</v>
      </c>
      <c r="C102">
        <v>0.8</v>
      </c>
      <c r="D102">
        <v>1.2</v>
      </c>
    </row>
    <row r="103" spans="2:4" x14ac:dyDescent="0.2">
      <c r="B103">
        <v>7</v>
      </c>
      <c r="C103">
        <v>0.8</v>
      </c>
      <c r="D103">
        <v>1.2</v>
      </c>
    </row>
  </sheetData>
  <phoneticPr fontId="5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Raw Data2</vt:lpstr>
      <vt:lpstr>Regression</vt:lpstr>
      <vt:lpstr>Sig-Dose Plt</vt:lpstr>
      <vt:lpstr>Signals Plt</vt:lpstr>
      <vt:lpstr>TD Plts</vt:lpstr>
    </vt:vector>
  </TitlesOfParts>
  <Company>UNL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J. Goble</dc:creator>
  <cp:lastModifiedBy>Perzan, Zachary M. (Zach)</cp:lastModifiedBy>
  <cp:lastPrinted>2013-09-21T15:23:07Z</cp:lastPrinted>
  <dcterms:created xsi:type="dcterms:W3CDTF">1999-12-27T19:28:19Z</dcterms:created>
  <dcterms:modified xsi:type="dcterms:W3CDTF">2015-03-28T01:17:53Z</dcterms:modified>
</cp:coreProperties>
</file>